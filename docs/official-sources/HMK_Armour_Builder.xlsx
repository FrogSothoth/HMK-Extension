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1_{14F423AA-B7D3-4701-BAAD-933820675B0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tandard Suits" sheetId="1" r:id="rId1"/>
    <sheet name="Suit Builder" sheetId="2" r:id="rId2"/>
    <sheet name="Item Builder" sheetId="3" r:id="rId3"/>
    <sheet name="Suit Store" sheetId="4" r:id="rId4"/>
    <sheet name="Tables" sheetId="5" r:id="rId5"/>
  </sheets>
  <definedNames>
    <definedName name="COVERAGE">Tables!$T$3:$U$17</definedName>
    <definedName name="ITEMS">'Item Builder'!$A$4:$FH$251</definedName>
    <definedName name="LAYERS">Tables!$AB$3:$AC$13</definedName>
    <definedName name="MATERIAL">Tables!$B$3:$N$36</definedName>
    <definedName name="MWS">Tables!$W$3:$Z$8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5" i="5" l="1"/>
  <c r="R35" i="5" s="1"/>
  <c r="P35" i="5"/>
  <c r="J35" i="5"/>
  <c r="I35" i="5"/>
  <c r="H35" i="5"/>
  <c r="G35" i="5"/>
  <c r="F35" i="5"/>
  <c r="Q34" i="5"/>
  <c r="R34" i="5" s="1"/>
  <c r="P34" i="5"/>
  <c r="R33" i="5"/>
  <c r="Q33" i="5"/>
  <c r="P33" i="5"/>
  <c r="Q32" i="5"/>
  <c r="R32" i="5" s="1"/>
  <c r="P32" i="5"/>
  <c r="R31" i="5"/>
  <c r="Q31" i="5"/>
  <c r="P31" i="5"/>
  <c r="J31" i="5"/>
  <c r="I31" i="5"/>
  <c r="H31" i="5"/>
  <c r="G31" i="5"/>
  <c r="F31" i="5"/>
  <c r="Q30" i="5"/>
  <c r="R30" i="5" s="1"/>
  <c r="P30" i="5"/>
  <c r="Q29" i="5"/>
  <c r="R29" i="5" s="1"/>
  <c r="P29" i="5"/>
  <c r="Q28" i="5"/>
  <c r="R28" i="5" s="1"/>
  <c r="P28" i="5"/>
  <c r="Q27" i="5"/>
  <c r="R27" i="5" s="1"/>
  <c r="P27" i="5"/>
  <c r="Q26" i="5"/>
  <c r="R26" i="5" s="1"/>
  <c r="P26" i="5"/>
  <c r="J26" i="5"/>
  <c r="H26" i="5"/>
  <c r="G26" i="5"/>
  <c r="F26" i="5"/>
  <c r="Q25" i="5"/>
  <c r="R25" i="5" s="1"/>
  <c r="P25" i="5"/>
  <c r="R24" i="5"/>
  <c r="Q24" i="5"/>
  <c r="P24" i="5"/>
  <c r="Q23" i="5"/>
  <c r="R23" i="5" s="1"/>
  <c r="P23" i="5"/>
  <c r="R22" i="5"/>
  <c r="Q22" i="5"/>
  <c r="P22" i="5"/>
  <c r="J22" i="5"/>
  <c r="H22" i="5"/>
  <c r="G22" i="5"/>
  <c r="F22" i="5"/>
  <c r="R21" i="5"/>
  <c r="Q21" i="5"/>
  <c r="P21" i="5"/>
  <c r="Q20" i="5"/>
  <c r="R20" i="5" s="1"/>
  <c r="P20" i="5"/>
  <c r="J20" i="5"/>
  <c r="H20" i="5"/>
  <c r="G20" i="5"/>
  <c r="F20" i="5"/>
  <c r="Q19" i="5"/>
  <c r="R19" i="5" s="1"/>
  <c r="P19" i="5"/>
  <c r="Q18" i="5"/>
  <c r="R18" i="5" s="1"/>
  <c r="P18" i="5"/>
  <c r="J18" i="5"/>
  <c r="H18" i="5"/>
  <c r="G18" i="5"/>
  <c r="F18" i="5"/>
  <c r="Q17" i="5"/>
  <c r="R17" i="5" s="1"/>
  <c r="P17" i="5"/>
  <c r="R16" i="5"/>
  <c r="Q16" i="5"/>
  <c r="P16" i="5"/>
  <c r="J16" i="5"/>
  <c r="H16" i="5"/>
  <c r="G16" i="5"/>
  <c r="F16" i="5"/>
  <c r="Q15" i="5"/>
  <c r="R15" i="5" s="1"/>
  <c r="P15" i="5"/>
  <c r="R14" i="5"/>
  <c r="Q14" i="5"/>
  <c r="P14" i="5"/>
  <c r="J14" i="5"/>
  <c r="H14" i="5"/>
  <c r="G14" i="5"/>
  <c r="F14" i="5"/>
  <c r="Q13" i="5"/>
  <c r="R13" i="5" s="1"/>
  <c r="P13" i="5"/>
  <c r="Q12" i="5"/>
  <c r="R12" i="5" s="1"/>
  <c r="P12" i="5"/>
  <c r="J12" i="5"/>
  <c r="H12" i="5"/>
  <c r="G12" i="5"/>
  <c r="F12" i="5"/>
  <c r="Q11" i="5"/>
  <c r="R11" i="5" s="1"/>
  <c r="P11" i="5"/>
  <c r="R10" i="5"/>
  <c r="Q10" i="5"/>
  <c r="P10" i="5"/>
  <c r="J10" i="5"/>
  <c r="H10" i="5"/>
  <c r="G10" i="5"/>
  <c r="F10" i="5"/>
  <c r="R9" i="5"/>
  <c r="Q9" i="5"/>
  <c r="P9" i="5"/>
  <c r="Q8" i="5"/>
  <c r="R8" i="5" s="1"/>
  <c r="P8" i="5"/>
  <c r="J8" i="5"/>
  <c r="H8" i="5"/>
  <c r="G8" i="5"/>
  <c r="F8" i="5"/>
  <c r="Q7" i="5"/>
  <c r="R7" i="5" s="1"/>
  <c r="P7" i="5"/>
  <c r="R6" i="5"/>
  <c r="Q6" i="5"/>
  <c r="P6" i="5"/>
  <c r="J6" i="5"/>
  <c r="H6" i="5"/>
  <c r="G6" i="5"/>
  <c r="F6" i="5"/>
  <c r="Q5" i="5"/>
  <c r="R5" i="5" s="1"/>
  <c r="P5" i="5"/>
  <c r="R4" i="5"/>
  <c r="Q4" i="5"/>
  <c r="P4" i="5"/>
  <c r="J4" i="5"/>
  <c r="H4" i="5"/>
  <c r="G4" i="5"/>
  <c r="F4" i="5"/>
  <c r="Q3" i="5"/>
  <c r="R3" i="5" s="1"/>
  <c r="P3" i="5"/>
  <c r="FG251" i="3"/>
  <c r="FF251" i="3"/>
  <c r="EU251" i="3"/>
  <c r="ET251" i="3"/>
  <c r="EK251" i="3"/>
  <c r="EJ251" i="3"/>
  <c r="EH251" i="3"/>
  <c r="DY251" i="3"/>
  <c r="DX251" i="3"/>
  <c r="DW251" i="3"/>
  <c r="DV251" i="3"/>
  <c r="DN251" i="3"/>
  <c r="DM251" i="3"/>
  <c r="DL251" i="3"/>
  <c r="DK251" i="3"/>
  <c r="DJ251" i="3"/>
  <c r="DI251" i="3"/>
  <c r="DH251" i="3"/>
  <c r="DG251" i="3"/>
  <c r="DF251" i="3"/>
  <c r="DE251" i="3"/>
  <c r="DD251" i="3"/>
  <c r="DC251" i="3"/>
  <c r="DB251" i="3"/>
  <c r="DA251" i="3"/>
  <c r="CZ251" i="3"/>
  <c r="CX251" i="3"/>
  <c r="CN251" i="3"/>
  <c r="CL251" i="3"/>
  <c r="CC251" i="3"/>
  <c r="CB251" i="3"/>
  <c r="BZ251" i="3"/>
  <c r="BQ251" i="3"/>
  <c r="BP251" i="3"/>
  <c r="BO251" i="3"/>
  <c r="BN251" i="3"/>
  <c r="BC251" i="3"/>
  <c r="BB251" i="3"/>
  <c r="BA251" i="3"/>
  <c r="EQ251" i="3" s="1"/>
  <c r="AZ251" i="3"/>
  <c r="CW251" i="3" s="1"/>
  <c r="AY251" i="3"/>
  <c r="FE251" i="3" s="1"/>
  <c r="AX251" i="3"/>
  <c r="FD251" i="3" s="1"/>
  <c r="AW251" i="3"/>
  <c r="FC251" i="3" s="1"/>
  <c r="AV251" i="3"/>
  <c r="FB251" i="3" s="1"/>
  <c r="AU251" i="3"/>
  <c r="FA251" i="3" s="1"/>
  <c r="AT251" i="3"/>
  <c r="DU251" i="3" s="1"/>
  <c r="AS251" i="3"/>
  <c r="DT251" i="3" s="1"/>
  <c r="AR251" i="3"/>
  <c r="DS251" i="3" s="1"/>
  <c r="AQ251" i="3"/>
  <c r="EG251" i="3" s="1"/>
  <c r="AP251" i="3"/>
  <c r="AO251" i="3"/>
  <c r="EE251" i="3" s="1"/>
  <c r="AN251" i="3"/>
  <c r="CK251" i="3" s="1"/>
  <c r="AL251" i="3"/>
  <c r="AK251" i="3"/>
  <c r="AJ251" i="3"/>
  <c r="AI251" i="3"/>
  <c r="BF251" i="3" s="1"/>
  <c r="AH251" i="3"/>
  <c r="AG251" i="3"/>
  <c r="AF251" i="3"/>
  <c r="BE251" i="3" s="1"/>
  <c r="AE251" i="3"/>
  <c r="AD251" i="3"/>
  <c r="BD251" i="3" s="1"/>
  <c r="AC251" i="3"/>
  <c r="AB251" i="3"/>
  <c r="AA251" i="3"/>
  <c r="Z251" i="3"/>
  <c r="Y251" i="3"/>
  <c r="X251" i="3"/>
  <c r="T251" i="3"/>
  <c r="EX250" i="3"/>
  <c r="EW250" i="3"/>
  <c r="EN250" i="3"/>
  <c r="EM250" i="3"/>
  <c r="EL250" i="3"/>
  <c r="EK250" i="3"/>
  <c r="EB250" i="3"/>
  <c r="EA250" i="3"/>
  <c r="DZ250" i="3"/>
  <c r="DY250" i="3"/>
  <c r="DP250" i="3"/>
  <c r="DO250" i="3"/>
  <c r="DN250" i="3"/>
  <c r="DM250" i="3"/>
  <c r="DL250" i="3"/>
  <c r="DK250" i="3"/>
  <c r="DJ250" i="3"/>
  <c r="DI250" i="3"/>
  <c r="DH250" i="3"/>
  <c r="DG250" i="3"/>
  <c r="DF250" i="3"/>
  <c r="DE250" i="3"/>
  <c r="DD250" i="3"/>
  <c r="DC250" i="3"/>
  <c r="DB250" i="3"/>
  <c r="DA250" i="3"/>
  <c r="CZ250" i="3"/>
  <c r="CX250" i="3"/>
  <c r="CU250" i="3"/>
  <c r="CQ250" i="3"/>
  <c r="CO250" i="3"/>
  <c r="CL250" i="3"/>
  <c r="CI250" i="3"/>
  <c r="CF250" i="3"/>
  <c r="CE250" i="3"/>
  <c r="CD250" i="3"/>
  <c r="CC250" i="3"/>
  <c r="BZ250" i="3"/>
  <c r="BT250" i="3"/>
  <c r="BS250" i="3"/>
  <c r="BR250" i="3"/>
  <c r="BQ250" i="3"/>
  <c r="BK250" i="3"/>
  <c r="BH250" i="3"/>
  <c r="BG250" i="3"/>
  <c r="BB250" i="3"/>
  <c r="FH250" i="3" s="1"/>
  <c r="BA250" i="3"/>
  <c r="FG250" i="3" s="1"/>
  <c r="AZ250" i="3"/>
  <c r="FF250" i="3" s="1"/>
  <c r="AY250" i="3"/>
  <c r="FE250" i="3" s="1"/>
  <c r="AX250" i="3"/>
  <c r="FD250" i="3" s="1"/>
  <c r="AW250" i="3"/>
  <c r="DX250" i="3" s="1"/>
  <c r="AV250" i="3"/>
  <c r="DW250" i="3" s="1"/>
  <c r="AU250" i="3"/>
  <c r="DV250" i="3" s="1"/>
  <c r="AT250" i="3"/>
  <c r="EJ250" i="3" s="1"/>
  <c r="AS250" i="3"/>
  <c r="AR250" i="3"/>
  <c r="EH250" i="3" s="1"/>
  <c r="AQ250" i="3"/>
  <c r="CN250" i="3" s="1"/>
  <c r="AP250" i="3"/>
  <c r="EV250" i="3" s="1"/>
  <c r="AO250" i="3"/>
  <c r="EU250" i="3" s="1"/>
  <c r="AN250" i="3"/>
  <c r="ET250" i="3" s="1"/>
  <c r="AL250" i="3"/>
  <c r="AK250" i="3"/>
  <c r="AJ250" i="3"/>
  <c r="AI250" i="3"/>
  <c r="BF250" i="3" s="1"/>
  <c r="AH250" i="3"/>
  <c r="AG250" i="3"/>
  <c r="BE250" i="3" s="1"/>
  <c r="AF250" i="3"/>
  <c r="AE250" i="3"/>
  <c r="AD250" i="3"/>
  <c r="AC250" i="3"/>
  <c r="AB250" i="3"/>
  <c r="AA250" i="3"/>
  <c r="BD250" i="3" s="1"/>
  <c r="Z250" i="3"/>
  <c r="Y250" i="3"/>
  <c r="X250" i="3"/>
  <c r="BC250" i="3" s="1"/>
  <c r="T250" i="3"/>
  <c r="FF249" i="3"/>
  <c r="FA249" i="3"/>
  <c r="EZ249" i="3"/>
  <c r="ET249" i="3"/>
  <c r="EQ249" i="3"/>
  <c r="EP249" i="3"/>
  <c r="EO249" i="3"/>
  <c r="EN249" i="3"/>
  <c r="EE249" i="3"/>
  <c r="ED249" i="3"/>
  <c r="EC249" i="3"/>
  <c r="EB249" i="3"/>
  <c r="EA249" i="3"/>
  <c r="DS249" i="3"/>
  <c r="DR249" i="3"/>
  <c r="DQ249" i="3"/>
  <c r="DP249" i="3"/>
  <c r="DO249" i="3"/>
  <c r="DN249" i="3"/>
  <c r="DM249" i="3"/>
  <c r="DL249" i="3"/>
  <c r="DK249" i="3"/>
  <c r="DJ249" i="3"/>
  <c r="DI249" i="3"/>
  <c r="DH249" i="3"/>
  <c r="DG249" i="3"/>
  <c r="DF249" i="3"/>
  <c r="DE249" i="3"/>
  <c r="DD249" i="3"/>
  <c r="DC249" i="3"/>
  <c r="DB249" i="3"/>
  <c r="DA249" i="3"/>
  <c r="CZ249" i="3"/>
  <c r="CX249" i="3"/>
  <c r="CT249" i="3"/>
  <c r="CR249" i="3"/>
  <c r="CQ249" i="3"/>
  <c r="CO249" i="3"/>
  <c r="CL249" i="3"/>
  <c r="CI249" i="3"/>
  <c r="CH249" i="3"/>
  <c r="CG249" i="3"/>
  <c r="CF249" i="3"/>
  <c r="BZ249" i="3"/>
  <c r="BW249" i="3"/>
  <c r="BV249" i="3"/>
  <c r="BU249" i="3"/>
  <c r="BT249" i="3"/>
  <c r="BS249" i="3"/>
  <c r="BK249" i="3"/>
  <c r="BJ249" i="3"/>
  <c r="BI249" i="3"/>
  <c r="BH249" i="3"/>
  <c r="BG249" i="3"/>
  <c r="BB249" i="3"/>
  <c r="FH249" i="3" s="1"/>
  <c r="BA249" i="3"/>
  <c r="FG249" i="3" s="1"/>
  <c r="AZ249" i="3"/>
  <c r="CW249" i="3" s="1"/>
  <c r="AY249" i="3"/>
  <c r="DZ249" i="3" s="1"/>
  <c r="AX249" i="3"/>
  <c r="DY249" i="3" s="1"/>
  <c r="AW249" i="3"/>
  <c r="EM249" i="3" s="1"/>
  <c r="AV249" i="3"/>
  <c r="AU249" i="3"/>
  <c r="EK249" i="3" s="1"/>
  <c r="AT249" i="3"/>
  <c r="EJ249" i="3" s="1"/>
  <c r="AS249" i="3"/>
  <c r="EY249" i="3" s="1"/>
  <c r="AR249" i="3"/>
  <c r="EX249" i="3" s="1"/>
  <c r="AQ249" i="3"/>
  <c r="EW249" i="3" s="1"/>
  <c r="AP249" i="3"/>
  <c r="EV249" i="3" s="1"/>
  <c r="AO249" i="3"/>
  <c r="EU249" i="3" s="1"/>
  <c r="AN249" i="3"/>
  <c r="CK249" i="3" s="1"/>
  <c r="AL249" i="3"/>
  <c r="AK249" i="3"/>
  <c r="AJ249" i="3"/>
  <c r="AI249" i="3"/>
  <c r="BF249" i="3" s="1"/>
  <c r="AH249" i="3"/>
  <c r="AG249" i="3"/>
  <c r="BE249" i="3" s="1"/>
  <c r="AF249" i="3"/>
  <c r="AE249" i="3"/>
  <c r="AD249" i="3"/>
  <c r="AC249" i="3"/>
  <c r="AB249" i="3"/>
  <c r="AA249" i="3"/>
  <c r="BD249" i="3" s="1"/>
  <c r="Z249" i="3"/>
  <c r="Y249" i="3"/>
  <c r="X249" i="3"/>
  <c r="T249" i="3"/>
  <c r="FD248" i="3"/>
  <c r="FC248" i="3"/>
  <c r="EW248" i="3"/>
  <c r="EM248" i="3"/>
  <c r="EH248" i="3"/>
  <c r="EG248" i="3"/>
  <c r="DU248" i="3"/>
  <c r="DS248" i="3"/>
  <c r="DR248" i="3"/>
  <c r="DN248" i="3"/>
  <c r="DM248" i="3"/>
  <c r="DL248" i="3"/>
  <c r="DK248" i="3"/>
  <c r="DJ248" i="3"/>
  <c r="DI248" i="3"/>
  <c r="DH248" i="3"/>
  <c r="DG248" i="3"/>
  <c r="DF248" i="3"/>
  <c r="DE248" i="3"/>
  <c r="DD248" i="3"/>
  <c r="DC248" i="3"/>
  <c r="DB248" i="3"/>
  <c r="DA248" i="3"/>
  <c r="CZ248" i="3"/>
  <c r="CW248" i="3"/>
  <c r="CU248" i="3"/>
  <c r="CT248" i="3"/>
  <c r="CO248" i="3"/>
  <c r="CK248" i="3"/>
  <c r="CJ248" i="3"/>
  <c r="CE248" i="3"/>
  <c r="BZ248" i="3"/>
  <c r="BY248" i="3"/>
  <c r="BX248" i="3"/>
  <c r="BQ248" i="3"/>
  <c r="BN248" i="3"/>
  <c r="BM248" i="3"/>
  <c r="BL248" i="3"/>
  <c r="BK248" i="3"/>
  <c r="BJ248" i="3"/>
  <c r="BB248" i="3"/>
  <c r="EC248" i="3" s="1"/>
  <c r="BA248" i="3"/>
  <c r="AZ248" i="3"/>
  <c r="EP248" i="3" s="1"/>
  <c r="AY248" i="3"/>
  <c r="AX248" i="3"/>
  <c r="EN248" i="3" s="1"/>
  <c r="AW248" i="3"/>
  <c r="DX248" i="3" s="1"/>
  <c r="AV248" i="3"/>
  <c r="FB248" i="3" s="1"/>
  <c r="AU248" i="3"/>
  <c r="FA248" i="3" s="1"/>
  <c r="AT248" i="3"/>
  <c r="EZ248" i="3" s="1"/>
  <c r="AS248" i="3"/>
  <c r="EY248" i="3" s="1"/>
  <c r="AR248" i="3"/>
  <c r="EX248" i="3" s="1"/>
  <c r="AQ248" i="3"/>
  <c r="CN248" i="3" s="1"/>
  <c r="AP248" i="3"/>
  <c r="DQ248" i="3" s="1"/>
  <c r="AO248" i="3"/>
  <c r="AN248" i="3"/>
  <c r="ED248" i="3" s="1"/>
  <c r="AL248" i="3"/>
  <c r="AK248" i="3"/>
  <c r="AJ248" i="3"/>
  <c r="AI248" i="3"/>
  <c r="BF248" i="3" s="1"/>
  <c r="AH248" i="3"/>
  <c r="AG248" i="3"/>
  <c r="BE248" i="3" s="1"/>
  <c r="AF248" i="3"/>
  <c r="AE248" i="3"/>
  <c r="AD248" i="3"/>
  <c r="AC248" i="3"/>
  <c r="AB248" i="3"/>
  <c r="AA248" i="3"/>
  <c r="Z248" i="3"/>
  <c r="Y248" i="3"/>
  <c r="X248" i="3"/>
  <c r="BC248" i="3" s="1"/>
  <c r="T248" i="3"/>
  <c r="FG247" i="3"/>
  <c r="FF247" i="3"/>
  <c r="FA247" i="3"/>
  <c r="EZ247" i="3"/>
  <c r="EV247" i="3"/>
  <c r="EU247" i="3"/>
  <c r="ET247" i="3"/>
  <c r="EP247" i="3"/>
  <c r="EK247" i="3"/>
  <c r="EJ247" i="3"/>
  <c r="ED247" i="3"/>
  <c r="EB247" i="3"/>
  <c r="DX247" i="3"/>
  <c r="DV247" i="3"/>
  <c r="DU247" i="3"/>
  <c r="DP247" i="3"/>
  <c r="DN247" i="3"/>
  <c r="DM247" i="3"/>
  <c r="DL247" i="3"/>
  <c r="DK247" i="3"/>
  <c r="DJ247" i="3"/>
  <c r="DI247" i="3"/>
  <c r="DH247" i="3"/>
  <c r="DG247" i="3"/>
  <c r="DF247" i="3"/>
  <c r="DE247" i="3"/>
  <c r="DD247" i="3"/>
  <c r="DC247" i="3"/>
  <c r="DB247" i="3"/>
  <c r="DA247" i="3"/>
  <c r="CZ247" i="3"/>
  <c r="CX247" i="3"/>
  <c r="CW247" i="3"/>
  <c r="CT247" i="3"/>
  <c r="CR247" i="3"/>
  <c r="CN247" i="3"/>
  <c r="CL247" i="3"/>
  <c r="CK247" i="3"/>
  <c r="CH247" i="3"/>
  <c r="CF247" i="3"/>
  <c r="CC247" i="3"/>
  <c r="CB247" i="3"/>
  <c r="BV247" i="3"/>
  <c r="BT247" i="3"/>
  <c r="BQ247" i="3"/>
  <c r="BP247" i="3"/>
  <c r="BN247" i="3"/>
  <c r="BM247" i="3"/>
  <c r="BH247" i="3"/>
  <c r="BB247" i="3"/>
  <c r="BA247" i="3"/>
  <c r="EQ247" i="3" s="1"/>
  <c r="AZ247" i="3"/>
  <c r="EA247" i="3" s="1"/>
  <c r="AY247" i="3"/>
  <c r="FE247" i="3" s="1"/>
  <c r="AX247" i="3"/>
  <c r="FD247" i="3" s="1"/>
  <c r="AW247" i="3"/>
  <c r="FC247" i="3" s="1"/>
  <c r="AV247" i="3"/>
  <c r="FB247" i="3" s="1"/>
  <c r="AU247" i="3"/>
  <c r="AT247" i="3"/>
  <c r="CQ247" i="3" s="1"/>
  <c r="AS247" i="3"/>
  <c r="DT247" i="3" s="1"/>
  <c r="AR247" i="3"/>
  <c r="AQ247" i="3"/>
  <c r="EG247" i="3" s="1"/>
  <c r="AP247" i="3"/>
  <c r="AO247" i="3"/>
  <c r="EE247" i="3" s="1"/>
  <c r="AN247" i="3"/>
  <c r="DO247" i="3" s="1"/>
  <c r="AL247" i="3"/>
  <c r="AK247" i="3"/>
  <c r="AJ247" i="3"/>
  <c r="AI247" i="3"/>
  <c r="BF247" i="3" s="1"/>
  <c r="AH247" i="3"/>
  <c r="AG247" i="3"/>
  <c r="AF247" i="3"/>
  <c r="BE247" i="3" s="1"/>
  <c r="AE247" i="3"/>
  <c r="AD247" i="3"/>
  <c r="BD247" i="3" s="1"/>
  <c r="AC247" i="3"/>
  <c r="AB247" i="3"/>
  <c r="AA247" i="3"/>
  <c r="Z247" i="3"/>
  <c r="Y247" i="3"/>
  <c r="X247" i="3"/>
  <c r="T247" i="3"/>
  <c r="FD246" i="3"/>
  <c r="FC246" i="3"/>
  <c r="EY246" i="3"/>
  <c r="EX246" i="3"/>
  <c r="EW246" i="3"/>
  <c r="EN246" i="3"/>
  <c r="EM246" i="3"/>
  <c r="EG246" i="3"/>
  <c r="EA246" i="3"/>
  <c r="DY246" i="3"/>
  <c r="DX246" i="3"/>
  <c r="DO246" i="3"/>
  <c r="DN246" i="3"/>
  <c r="DM246" i="3"/>
  <c r="DL246" i="3"/>
  <c r="DK246" i="3"/>
  <c r="DJ246" i="3"/>
  <c r="DI246" i="3"/>
  <c r="DH246" i="3"/>
  <c r="DG246" i="3"/>
  <c r="DF246" i="3"/>
  <c r="DE246" i="3"/>
  <c r="DD246" i="3"/>
  <c r="DC246" i="3"/>
  <c r="DB246" i="3"/>
  <c r="DA246" i="3"/>
  <c r="CZ246" i="3"/>
  <c r="CW246" i="3"/>
  <c r="CU246" i="3"/>
  <c r="CQ246" i="3"/>
  <c r="CO246" i="3"/>
  <c r="CN246" i="3"/>
  <c r="CK246" i="3"/>
  <c r="CF246" i="3"/>
  <c r="CE246" i="3"/>
  <c r="BY246" i="3"/>
  <c r="BS246" i="3"/>
  <c r="BQ246" i="3"/>
  <c r="BP246" i="3"/>
  <c r="BK246" i="3"/>
  <c r="BG246" i="3"/>
  <c r="BE246" i="3"/>
  <c r="BB246" i="3"/>
  <c r="FH246" i="3" s="1"/>
  <c r="BA246" i="3"/>
  <c r="FG246" i="3" s="1"/>
  <c r="AZ246" i="3"/>
  <c r="FF246" i="3" s="1"/>
  <c r="AY246" i="3"/>
  <c r="FE246" i="3" s="1"/>
  <c r="AX246" i="3"/>
  <c r="AW246" i="3"/>
  <c r="CT246" i="3" s="1"/>
  <c r="AV246" i="3"/>
  <c r="DW246" i="3" s="1"/>
  <c r="AU246" i="3"/>
  <c r="AT246" i="3"/>
  <c r="EJ246" i="3" s="1"/>
  <c r="AS246" i="3"/>
  <c r="AR246" i="3"/>
  <c r="EH246" i="3" s="1"/>
  <c r="AQ246" i="3"/>
  <c r="DR246" i="3" s="1"/>
  <c r="AP246" i="3"/>
  <c r="EV246" i="3" s="1"/>
  <c r="AO246" i="3"/>
  <c r="EU246" i="3" s="1"/>
  <c r="AN246" i="3"/>
  <c r="ET246" i="3" s="1"/>
  <c r="AL246" i="3"/>
  <c r="AK246" i="3"/>
  <c r="AJ246" i="3"/>
  <c r="AI246" i="3"/>
  <c r="BF246" i="3" s="1"/>
  <c r="AH246" i="3"/>
  <c r="AG246" i="3"/>
  <c r="AF246" i="3"/>
  <c r="AE246" i="3"/>
  <c r="AD246" i="3"/>
  <c r="AC246" i="3"/>
  <c r="AB246" i="3"/>
  <c r="AA246" i="3"/>
  <c r="BD246" i="3" s="1"/>
  <c r="Z246" i="3"/>
  <c r="Y246" i="3"/>
  <c r="X246" i="3"/>
  <c r="BC246" i="3" s="1"/>
  <c r="T246" i="3"/>
  <c r="FG245" i="3"/>
  <c r="FF245" i="3"/>
  <c r="FB245" i="3"/>
  <c r="EZ245" i="3"/>
  <c r="EU245" i="3"/>
  <c r="ET245" i="3"/>
  <c r="EQ245" i="3"/>
  <c r="EP245" i="3"/>
  <c r="EN245" i="3"/>
  <c r="EJ245" i="3"/>
  <c r="EE245" i="3"/>
  <c r="ED245" i="3"/>
  <c r="EB245" i="3"/>
  <c r="EA245" i="3"/>
  <c r="DR245" i="3"/>
  <c r="DP245" i="3"/>
  <c r="DO245" i="3"/>
  <c r="DN245" i="3"/>
  <c r="DM245" i="3"/>
  <c r="DL245" i="3"/>
  <c r="DK245" i="3"/>
  <c r="DJ245" i="3"/>
  <c r="DI245" i="3"/>
  <c r="DH245" i="3"/>
  <c r="DG245" i="3"/>
  <c r="DF245" i="3"/>
  <c r="DE245" i="3"/>
  <c r="DD245" i="3"/>
  <c r="DC245" i="3"/>
  <c r="DB245" i="3"/>
  <c r="DA245" i="3"/>
  <c r="CZ245" i="3"/>
  <c r="CX245" i="3"/>
  <c r="CT245" i="3"/>
  <c r="CR245" i="3"/>
  <c r="CQ245" i="3"/>
  <c r="CN245" i="3"/>
  <c r="CL245" i="3"/>
  <c r="CI245" i="3"/>
  <c r="CH245" i="3"/>
  <c r="CG245" i="3"/>
  <c r="CB245" i="3"/>
  <c r="BW245" i="3"/>
  <c r="BV245" i="3"/>
  <c r="BT245" i="3"/>
  <c r="BS245" i="3"/>
  <c r="BN245" i="3"/>
  <c r="BJ245" i="3"/>
  <c r="BH245" i="3"/>
  <c r="BG245" i="3"/>
  <c r="BB245" i="3"/>
  <c r="FH245" i="3" s="1"/>
  <c r="BA245" i="3"/>
  <c r="AZ245" i="3"/>
  <c r="CW245" i="3" s="1"/>
  <c r="AY245" i="3"/>
  <c r="DZ245" i="3" s="1"/>
  <c r="AX245" i="3"/>
  <c r="AW245" i="3"/>
  <c r="EM245" i="3" s="1"/>
  <c r="AV245" i="3"/>
  <c r="AU245" i="3"/>
  <c r="EK245" i="3" s="1"/>
  <c r="AT245" i="3"/>
  <c r="DU245" i="3" s="1"/>
  <c r="AS245" i="3"/>
  <c r="EY245" i="3" s="1"/>
  <c r="AR245" i="3"/>
  <c r="EX245" i="3" s="1"/>
  <c r="AQ245" i="3"/>
  <c r="EW245" i="3" s="1"/>
  <c r="AP245" i="3"/>
  <c r="EV245" i="3" s="1"/>
  <c r="AO245" i="3"/>
  <c r="AN245" i="3"/>
  <c r="CK245" i="3" s="1"/>
  <c r="AL245" i="3"/>
  <c r="AK245" i="3"/>
  <c r="AJ245" i="3"/>
  <c r="AI245" i="3"/>
  <c r="BF245" i="3" s="1"/>
  <c r="AH245" i="3"/>
  <c r="AG245" i="3"/>
  <c r="AF245" i="3"/>
  <c r="BE245" i="3" s="1"/>
  <c r="AE245" i="3"/>
  <c r="AD245" i="3"/>
  <c r="AC245" i="3"/>
  <c r="AB245" i="3"/>
  <c r="AA245" i="3"/>
  <c r="Z245" i="3"/>
  <c r="Y245" i="3"/>
  <c r="X245" i="3"/>
  <c r="T245" i="3"/>
  <c r="FD244" i="3"/>
  <c r="FC244" i="3"/>
  <c r="FB244" i="3"/>
  <c r="EX244" i="3"/>
  <c r="EW244" i="3"/>
  <c r="ET244" i="3"/>
  <c r="EQ244" i="3"/>
  <c r="EM244" i="3"/>
  <c r="EK244" i="3"/>
  <c r="EH244" i="3"/>
  <c r="EG244" i="3"/>
  <c r="EE244" i="3"/>
  <c r="ED244" i="3"/>
  <c r="EA244" i="3"/>
  <c r="DY244" i="3"/>
  <c r="DV244" i="3"/>
  <c r="DU244" i="3"/>
  <c r="DS244" i="3"/>
  <c r="DR244" i="3"/>
  <c r="DN244" i="3"/>
  <c r="DM244" i="3"/>
  <c r="DL244" i="3"/>
  <c r="DK244" i="3"/>
  <c r="DJ244" i="3"/>
  <c r="DI244" i="3"/>
  <c r="DH244" i="3"/>
  <c r="DG244" i="3"/>
  <c r="DF244" i="3"/>
  <c r="DE244" i="3"/>
  <c r="DD244" i="3"/>
  <c r="DC244" i="3"/>
  <c r="DB244" i="3"/>
  <c r="DA244" i="3"/>
  <c r="CZ244" i="3"/>
  <c r="CX244" i="3"/>
  <c r="CW244" i="3"/>
  <c r="CU244" i="3"/>
  <c r="CT244" i="3"/>
  <c r="CQ244" i="3"/>
  <c r="CO244" i="3"/>
  <c r="CL244" i="3"/>
  <c r="CI244" i="3"/>
  <c r="CH244" i="3"/>
  <c r="CE244" i="3"/>
  <c r="CC244" i="3"/>
  <c r="BZ244" i="3"/>
  <c r="BY244" i="3"/>
  <c r="BX244" i="3"/>
  <c r="BS244" i="3"/>
  <c r="BM244" i="3"/>
  <c r="BK244" i="3"/>
  <c r="BJ244" i="3"/>
  <c r="BG244" i="3"/>
  <c r="BE244" i="3"/>
  <c r="BB244" i="3"/>
  <c r="BA244" i="3"/>
  <c r="AZ244" i="3"/>
  <c r="FF244" i="3" s="1"/>
  <c r="AY244" i="3"/>
  <c r="CV244" i="3" s="1"/>
  <c r="AX244" i="3"/>
  <c r="AW244" i="3"/>
  <c r="DX244" i="3" s="1"/>
  <c r="AV244" i="3"/>
  <c r="CS244" i="3" s="1"/>
  <c r="AU244" i="3"/>
  <c r="AT244" i="3"/>
  <c r="EZ244" i="3" s="1"/>
  <c r="AS244" i="3"/>
  <c r="AR244" i="3"/>
  <c r="AQ244" i="3"/>
  <c r="CN244" i="3" s="1"/>
  <c r="AP244" i="3"/>
  <c r="AO244" i="3"/>
  <c r="AN244" i="3"/>
  <c r="BV244" i="3" s="1"/>
  <c r="AL244" i="3"/>
  <c r="AK244" i="3"/>
  <c r="AJ244" i="3"/>
  <c r="AI244" i="3"/>
  <c r="BF244" i="3" s="1"/>
  <c r="AH244" i="3"/>
  <c r="AG244" i="3"/>
  <c r="AF244" i="3"/>
  <c r="AE244" i="3"/>
  <c r="AD244" i="3"/>
  <c r="AC244" i="3"/>
  <c r="AB244" i="3"/>
  <c r="AA244" i="3"/>
  <c r="BD244" i="3" s="1"/>
  <c r="Z244" i="3"/>
  <c r="Y244" i="3"/>
  <c r="X244" i="3"/>
  <c r="BC244" i="3" s="1"/>
  <c r="T244" i="3"/>
  <c r="FH243" i="3"/>
  <c r="FG243" i="3"/>
  <c r="FF243" i="3"/>
  <c r="FC243" i="3"/>
  <c r="FA243" i="3"/>
  <c r="EZ243" i="3"/>
  <c r="EV243" i="3"/>
  <c r="EU243" i="3"/>
  <c r="ET243" i="3"/>
  <c r="EQ243" i="3"/>
  <c r="EP243" i="3"/>
  <c r="EN243" i="3"/>
  <c r="EK243" i="3"/>
  <c r="EJ243" i="3"/>
  <c r="EI243" i="3"/>
  <c r="EH243" i="3"/>
  <c r="EE243" i="3"/>
  <c r="ED243" i="3"/>
  <c r="EC243" i="3"/>
  <c r="EB243" i="3"/>
  <c r="DW243" i="3"/>
  <c r="DV243" i="3"/>
  <c r="DU243" i="3"/>
  <c r="DQ243" i="3"/>
  <c r="DP243" i="3"/>
  <c r="DN243" i="3"/>
  <c r="DM243" i="3"/>
  <c r="DL243" i="3"/>
  <c r="DK243" i="3"/>
  <c r="DJ243" i="3"/>
  <c r="DI243" i="3"/>
  <c r="DH243" i="3"/>
  <c r="DG243" i="3"/>
  <c r="DF243" i="3"/>
  <c r="DE243" i="3"/>
  <c r="DD243" i="3"/>
  <c r="DC243" i="3"/>
  <c r="DB243" i="3"/>
  <c r="DA243" i="3"/>
  <c r="CZ243" i="3"/>
  <c r="CX243" i="3"/>
  <c r="CW243" i="3"/>
  <c r="CR243" i="3"/>
  <c r="CO243" i="3"/>
  <c r="CN243" i="3"/>
  <c r="CM243" i="3"/>
  <c r="CL243" i="3"/>
  <c r="CK243" i="3"/>
  <c r="CH243" i="3"/>
  <c r="CG243" i="3"/>
  <c r="CC243" i="3"/>
  <c r="CB243" i="3"/>
  <c r="CA243" i="3"/>
  <c r="BZ243" i="3"/>
  <c r="BW243" i="3"/>
  <c r="BV243" i="3"/>
  <c r="BU243" i="3"/>
  <c r="BS243" i="3"/>
  <c r="BQ243" i="3"/>
  <c r="BN243" i="3"/>
  <c r="BM243" i="3"/>
  <c r="BK243" i="3"/>
  <c r="BI243" i="3"/>
  <c r="BH243" i="3"/>
  <c r="BG243" i="3"/>
  <c r="BC243" i="3"/>
  <c r="BB243" i="3"/>
  <c r="BA243" i="3"/>
  <c r="CI243" i="3" s="1"/>
  <c r="AZ243" i="3"/>
  <c r="EA243" i="3" s="1"/>
  <c r="AY243" i="3"/>
  <c r="AX243" i="3"/>
  <c r="FD243" i="3" s="1"/>
  <c r="AW243" i="3"/>
  <c r="AV243" i="3"/>
  <c r="AU243" i="3"/>
  <c r="AT243" i="3"/>
  <c r="CQ243" i="3" s="1"/>
  <c r="AS243" i="3"/>
  <c r="AR243" i="3"/>
  <c r="EX243" i="3" s="1"/>
  <c r="AQ243" i="3"/>
  <c r="AP243" i="3"/>
  <c r="AO243" i="3"/>
  <c r="AN243" i="3"/>
  <c r="DO243" i="3" s="1"/>
  <c r="AL243" i="3"/>
  <c r="AK243" i="3"/>
  <c r="AJ243" i="3"/>
  <c r="AI243" i="3"/>
  <c r="BF243" i="3" s="1"/>
  <c r="AH243" i="3"/>
  <c r="AG243" i="3"/>
  <c r="AF243" i="3"/>
  <c r="BE243" i="3" s="1"/>
  <c r="AE243" i="3"/>
  <c r="AD243" i="3"/>
  <c r="AC243" i="3"/>
  <c r="AB243" i="3"/>
  <c r="AA243" i="3"/>
  <c r="Z243" i="3"/>
  <c r="Y243" i="3"/>
  <c r="X243" i="3"/>
  <c r="T243" i="3"/>
  <c r="FH242" i="3"/>
  <c r="FC242" i="3"/>
  <c r="EX242" i="3"/>
  <c r="EW242" i="3"/>
  <c r="EV242" i="3"/>
  <c r="EQ242" i="3"/>
  <c r="EM242" i="3"/>
  <c r="EK242" i="3"/>
  <c r="EJ242" i="3"/>
  <c r="EH242" i="3"/>
  <c r="EG242" i="3"/>
  <c r="EF242" i="3"/>
  <c r="EB242" i="3"/>
  <c r="EA242" i="3"/>
  <c r="DX242" i="3"/>
  <c r="DT242" i="3"/>
  <c r="DP242" i="3"/>
  <c r="DO242" i="3"/>
  <c r="DN242" i="3"/>
  <c r="DM242" i="3"/>
  <c r="DL242" i="3"/>
  <c r="DK242" i="3"/>
  <c r="DJ242" i="3"/>
  <c r="DI242" i="3"/>
  <c r="DH242" i="3"/>
  <c r="DG242" i="3"/>
  <c r="DF242" i="3"/>
  <c r="DE242" i="3"/>
  <c r="DD242" i="3"/>
  <c r="DC242" i="3"/>
  <c r="DB242" i="3"/>
  <c r="DA242" i="3"/>
  <c r="CZ242" i="3"/>
  <c r="CX242" i="3"/>
  <c r="CU242" i="3"/>
  <c r="CT242" i="3"/>
  <c r="CR242" i="3"/>
  <c r="CQ242" i="3"/>
  <c r="CP242" i="3"/>
  <c r="CL242" i="3"/>
  <c r="CK242" i="3"/>
  <c r="CI242" i="3"/>
  <c r="CH242" i="3"/>
  <c r="CF242" i="3"/>
  <c r="CE242" i="3"/>
  <c r="CD242" i="3"/>
  <c r="CC242" i="3"/>
  <c r="CB242" i="3"/>
  <c r="BX242" i="3"/>
  <c r="BW242" i="3"/>
  <c r="BT242" i="3"/>
  <c r="BS242" i="3"/>
  <c r="BQ242" i="3"/>
  <c r="BP242" i="3"/>
  <c r="BO242" i="3"/>
  <c r="BN242" i="3"/>
  <c r="BK242" i="3"/>
  <c r="BH242" i="3"/>
  <c r="BG242" i="3"/>
  <c r="BF242" i="3"/>
  <c r="BE242" i="3"/>
  <c r="BC242" i="3"/>
  <c r="BB242" i="3"/>
  <c r="BA242" i="3"/>
  <c r="FG242" i="3" s="1"/>
  <c r="AZ242" i="3"/>
  <c r="EP242" i="3" s="1"/>
  <c r="AY242" i="3"/>
  <c r="AX242" i="3"/>
  <c r="EN242" i="3" s="1"/>
  <c r="AW242" i="3"/>
  <c r="AV242" i="3"/>
  <c r="EL242" i="3" s="1"/>
  <c r="AU242" i="3"/>
  <c r="FA242" i="3" s="1"/>
  <c r="AT242" i="3"/>
  <c r="BM242" i="3" s="1"/>
  <c r="AS242" i="3"/>
  <c r="AR242" i="3"/>
  <c r="BZ242" i="3" s="1"/>
  <c r="AQ242" i="3"/>
  <c r="AP242" i="3"/>
  <c r="AO242" i="3"/>
  <c r="EU242" i="3" s="1"/>
  <c r="AN242" i="3"/>
  <c r="ED242" i="3" s="1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BD242" i="3" s="1"/>
  <c r="Z242" i="3"/>
  <c r="Y242" i="3"/>
  <c r="X242" i="3"/>
  <c r="T242" i="3"/>
  <c r="FF241" i="3"/>
  <c r="EX241" i="3"/>
  <c r="EW241" i="3"/>
  <c r="ET241" i="3"/>
  <c r="EQ241" i="3"/>
  <c r="EP241" i="3"/>
  <c r="EO241" i="3"/>
  <c r="EN241" i="3"/>
  <c r="EM241" i="3"/>
  <c r="EH241" i="3"/>
  <c r="EE241" i="3"/>
  <c r="ED241" i="3"/>
  <c r="EB241" i="3"/>
  <c r="EA241" i="3"/>
  <c r="DZ241" i="3"/>
  <c r="DY241" i="3"/>
  <c r="DS241" i="3"/>
  <c r="DR241" i="3"/>
  <c r="DP241" i="3"/>
  <c r="DO241" i="3"/>
  <c r="DN241" i="3"/>
  <c r="DM241" i="3"/>
  <c r="DL241" i="3"/>
  <c r="DK241" i="3"/>
  <c r="DJ241" i="3"/>
  <c r="DI241" i="3"/>
  <c r="DH241" i="3"/>
  <c r="DG241" i="3"/>
  <c r="DF241" i="3"/>
  <c r="DE241" i="3"/>
  <c r="DD241" i="3"/>
  <c r="DC241" i="3"/>
  <c r="DB241" i="3"/>
  <c r="DA241" i="3"/>
  <c r="CZ241" i="3"/>
  <c r="CX241" i="3"/>
  <c r="CW241" i="3"/>
  <c r="CU241" i="3"/>
  <c r="CP241" i="3"/>
  <c r="CO241" i="3"/>
  <c r="CL241" i="3"/>
  <c r="CK241" i="3"/>
  <c r="CI241" i="3"/>
  <c r="CH241" i="3"/>
  <c r="CG241" i="3"/>
  <c r="CF241" i="3"/>
  <c r="CE241" i="3"/>
  <c r="CD241" i="3"/>
  <c r="BZ241" i="3"/>
  <c r="BW241" i="3"/>
  <c r="BV241" i="3"/>
  <c r="BT241" i="3"/>
  <c r="BS241" i="3"/>
  <c r="BR241" i="3"/>
  <c r="BQ241" i="3"/>
  <c r="BK241" i="3"/>
  <c r="BJ241" i="3"/>
  <c r="BH241" i="3"/>
  <c r="BG241" i="3"/>
  <c r="BE241" i="3"/>
  <c r="BB241" i="3"/>
  <c r="BA241" i="3"/>
  <c r="FG241" i="3" s="1"/>
  <c r="AZ241" i="3"/>
  <c r="AY241" i="3"/>
  <c r="FE241" i="3" s="1"/>
  <c r="AX241" i="3"/>
  <c r="FD241" i="3" s="1"/>
  <c r="AW241" i="3"/>
  <c r="DX241" i="3" s="1"/>
  <c r="AV241" i="3"/>
  <c r="AU241" i="3"/>
  <c r="AT241" i="3"/>
  <c r="CQ241" i="3" s="1"/>
  <c r="AS241" i="3"/>
  <c r="AR241" i="3"/>
  <c r="AQ241" i="3"/>
  <c r="CN241" i="3" s="1"/>
  <c r="AP241" i="3"/>
  <c r="AO241" i="3"/>
  <c r="EU241" i="3" s="1"/>
  <c r="AN241" i="3"/>
  <c r="AL241" i="3"/>
  <c r="AK241" i="3"/>
  <c r="AJ241" i="3"/>
  <c r="AI241" i="3"/>
  <c r="BF241" i="3" s="1"/>
  <c r="AH241" i="3"/>
  <c r="AG241" i="3"/>
  <c r="AF241" i="3"/>
  <c r="AE241" i="3"/>
  <c r="AD241" i="3"/>
  <c r="AC241" i="3"/>
  <c r="AB241" i="3"/>
  <c r="AA241" i="3"/>
  <c r="Z241" i="3"/>
  <c r="Y241" i="3"/>
  <c r="X241" i="3"/>
  <c r="T241" i="3"/>
  <c r="FB240" i="3"/>
  <c r="FA240" i="3"/>
  <c r="EZ240" i="3"/>
  <c r="EW240" i="3"/>
  <c r="ER240" i="3"/>
  <c r="EQ240" i="3"/>
  <c r="EP240" i="3"/>
  <c r="EN240" i="3"/>
  <c r="EK240" i="3"/>
  <c r="EH240" i="3"/>
  <c r="EG240" i="3"/>
  <c r="EF240" i="3"/>
  <c r="EE240" i="3"/>
  <c r="ED240" i="3"/>
  <c r="EC240" i="3"/>
  <c r="EB240" i="3"/>
  <c r="DV240" i="3"/>
  <c r="DU240" i="3"/>
  <c r="DS240" i="3"/>
  <c r="DR240" i="3"/>
  <c r="DQ240" i="3"/>
  <c r="DP240" i="3"/>
  <c r="DN240" i="3"/>
  <c r="DM240" i="3"/>
  <c r="DL240" i="3"/>
  <c r="DK240" i="3"/>
  <c r="DJ240" i="3"/>
  <c r="DI240" i="3"/>
  <c r="DH240" i="3"/>
  <c r="DG240" i="3"/>
  <c r="DF240" i="3"/>
  <c r="DE240" i="3"/>
  <c r="DD240" i="3"/>
  <c r="DC240" i="3"/>
  <c r="DB240" i="3"/>
  <c r="DA240" i="3"/>
  <c r="CZ240" i="3"/>
  <c r="CX240" i="3"/>
  <c r="CS240" i="3"/>
  <c r="CR240" i="3"/>
  <c r="CO240" i="3"/>
  <c r="CN240" i="3"/>
  <c r="CL240" i="3"/>
  <c r="CJ240" i="3"/>
  <c r="CI240" i="3"/>
  <c r="CH240" i="3"/>
  <c r="CC240" i="3"/>
  <c r="BZ240" i="3"/>
  <c r="BY240" i="3"/>
  <c r="BX240" i="3"/>
  <c r="BW240" i="3"/>
  <c r="BV240" i="3"/>
  <c r="BU240" i="3"/>
  <c r="BT240" i="3"/>
  <c r="BN240" i="3"/>
  <c r="BM240" i="3"/>
  <c r="BK240" i="3"/>
  <c r="BJ240" i="3"/>
  <c r="BI240" i="3"/>
  <c r="BH240" i="3"/>
  <c r="BE240" i="3"/>
  <c r="BB240" i="3"/>
  <c r="FH240" i="3" s="1"/>
  <c r="BA240" i="3"/>
  <c r="FG240" i="3" s="1"/>
  <c r="AZ240" i="3"/>
  <c r="EA240" i="3" s="1"/>
  <c r="AY240" i="3"/>
  <c r="AX240" i="3"/>
  <c r="AW240" i="3"/>
  <c r="AV240" i="3"/>
  <c r="AU240" i="3"/>
  <c r="AT240" i="3"/>
  <c r="CQ240" i="3" s="1"/>
  <c r="AS240" i="3"/>
  <c r="AR240" i="3"/>
  <c r="EX240" i="3" s="1"/>
  <c r="AQ240" i="3"/>
  <c r="AP240" i="3"/>
  <c r="EV240" i="3" s="1"/>
  <c r="AO240" i="3"/>
  <c r="EU240" i="3" s="1"/>
  <c r="AN240" i="3"/>
  <c r="DO240" i="3" s="1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BD240" i="3" s="1"/>
  <c r="Z240" i="3"/>
  <c r="Y240" i="3"/>
  <c r="AM240" i="3" s="1"/>
  <c r="X240" i="3"/>
  <c r="T240" i="3"/>
  <c r="FF239" i="3"/>
  <c r="FE239" i="3"/>
  <c r="FD239" i="3"/>
  <c r="FC239" i="3"/>
  <c r="EZ239" i="3"/>
  <c r="ET239" i="3"/>
  <c r="EN239" i="3"/>
  <c r="EK239" i="3"/>
  <c r="EJ239" i="3"/>
  <c r="EI239" i="3"/>
  <c r="EH239" i="3"/>
  <c r="EG239" i="3"/>
  <c r="DY239" i="3"/>
  <c r="DX239" i="3"/>
  <c r="DV239" i="3"/>
  <c r="DU239" i="3"/>
  <c r="DT239" i="3"/>
  <c r="DS239" i="3"/>
  <c r="DN239" i="3"/>
  <c r="DM239" i="3"/>
  <c r="DL239" i="3"/>
  <c r="DK239" i="3"/>
  <c r="DJ239" i="3"/>
  <c r="DI239" i="3"/>
  <c r="DH239" i="3"/>
  <c r="DG239" i="3"/>
  <c r="DF239" i="3"/>
  <c r="DE239" i="3"/>
  <c r="DD239" i="3"/>
  <c r="DC239" i="3"/>
  <c r="DB239" i="3"/>
  <c r="DA239" i="3"/>
  <c r="CZ239" i="3"/>
  <c r="CW239" i="3"/>
  <c r="CV239" i="3"/>
  <c r="CU239" i="3"/>
  <c r="CR239" i="3"/>
  <c r="CQ239" i="3"/>
  <c r="CO239" i="3"/>
  <c r="CK239" i="3"/>
  <c r="CF239" i="3"/>
  <c r="CE239" i="3"/>
  <c r="CC239" i="3"/>
  <c r="CB239" i="3"/>
  <c r="CA239" i="3"/>
  <c r="BZ239" i="3"/>
  <c r="BY239" i="3"/>
  <c r="BQ239" i="3"/>
  <c r="BP239" i="3"/>
  <c r="BN239" i="3"/>
  <c r="BM239" i="3"/>
  <c r="BL239" i="3"/>
  <c r="BK239" i="3"/>
  <c r="BB239" i="3"/>
  <c r="BA239" i="3"/>
  <c r="AZ239" i="3"/>
  <c r="AY239" i="3"/>
  <c r="AX239" i="3"/>
  <c r="AW239" i="3"/>
  <c r="CT239" i="3" s="1"/>
  <c r="AV239" i="3"/>
  <c r="AU239" i="3"/>
  <c r="FA239" i="3" s="1"/>
  <c r="AT239" i="3"/>
  <c r="AS239" i="3"/>
  <c r="EY239" i="3" s="1"/>
  <c r="AR239" i="3"/>
  <c r="EX239" i="3" s="1"/>
  <c r="AQ239" i="3"/>
  <c r="DR239" i="3" s="1"/>
  <c r="AP239" i="3"/>
  <c r="AO239" i="3"/>
  <c r="AN239" i="3"/>
  <c r="AL239" i="3"/>
  <c r="AK239" i="3"/>
  <c r="AJ239" i="3"/>
  <c r="AI239" i="3"/>
  <c r="BF239" i="3" s="1"/>
  <c r="AH239" i="3"/>
  <c r="AG239" i="3"/>
  <c r="BE239" i="3" s="1"/>
  <c r="AF239" i="3"/>
  <c r="AE239" i="3"/>
  <c r="AD239" i="3"/>
  <c r="AC239" i="3"/>
  <c r="AB239" i="3"/>
  <c r="AA239" i="3"/>
  <c r="Z239" i="3"/>
  <c r="Y239" i="3"/>
  <c r="X239" i="3"/>
  <c r="BC239" i="3" s="1"/>
  <c r="T239" i="3"/>
  <c r="FH238" i="3"/>
  <c r="FG238" i="3"/>
  <c r="FF238" i="3"/>
  <c r="FC238" i="3"/>
  <c r="EW238" i="3"/>
  <c r="EU238" i="3"/>
  <c r="ET238" i="3"/>
  <c r="EQ238" i="3"/>
  <c r="EP238" i="3"/>
  <c r="EN238" i="3"/>
  <c r="EM238" i="3"/>
  <c r="EL238" i="3"/>
  <c r="EK238" i="3"/>
  <c r="EJ238" i="3"/>
  <c r="EI238" i="3"/>
  <c r="EH238" i="3"/>
  <c r="EE238" i="3"/>
  <c r="EB238" i="3"/>
  <c r="EA238" i="3"/>
  <c r="DY238" i="3"/>
  <c r="DX238" i="3"/>
  <c r="DW238" i="3"/>
  <c r="DV238" i="3"/>
  <c r="DP238" i="3"/>
  <c r="DO238" i="3"/>
  <c r="DN238" i="3"/>
  <c r="DM238" i="3"/>
  <c r="DL238" i="3"/>
  <c r="DK238" i="3"/>
  <c r="DJ238" i="3"/>
  <c r="DI238" i="3"/>
  <c r="DH238" i="3"/>
  <c r="DG238" i="3"/>
  <c r="DF238" i="3"/>
  <c r="DE238" i="3"/>
  <c r="DD238" i="3"/>
  <c r="DC238" i="3"/>
  <c r="DB238" i="3"/>
  <c r="DA238" i="3"/>
  <c r="CZ238" i="3"/>
  <c r="CY238" i="3"/>
  <c r="CX238" i="3"/>
  <c r="CU238" i="3"/>
  <c r="CT238" i="3"/>
  <c r="CR238" i="3"/>
  <c r="CP238" i="3"/>
  <c r="CM238" i="3"/>
  <c r="CL238" i="3"/>
  <c r="CI238" i="3"/>
  <c r="CH238" i="3"/>
  <c r="CF238" i="3"/>
  <c r="CE238" i="3"/>
  <c r="CD238" i="3"/>
  <c r="CC238" i="3"/>
  <c r="CB238" i="3"/>
  <c r="CA238" i="3"/>
  <c r="BW238" i="3"/>
  <c r="BV238" i="3"/>
  <c r="BT238" i="3"/>
  <c r="BS238" i="3"/>
  <c r="BQ238" i="3"/>
  <c r="BP238" i="3"/>
  <c r="BO238" i="3"/>
  <c r="BN238" i="3"/>
  <c r="BH238" i="3"/>
  <c r="BG238" i="3"/>
  <c r="BF238" i="3"/>
  <c r="BC238" i="3"/>
  <c r="BB238" i="3"/>
  <c r="BA238" i="3"/>
  <c r="AZ238" i="3"/>
  <c r="CW238" i="3" s="1"/>
  <c r="AY238" i="3"/>
  <c r="AX238" i="3"/>
  <c r="FD238" i="3" s="1"/>
  <c r="AW238" i="3"/>
  <c r="AV238" i="3"/>
  <c r="FB238" i="3" s="1"/>
  <c r="AU238" i="3"/>
  <c r="FA238" i="3" s="1"/>
  <c r="AT238" i="3"/>
  <c r="AS238" i="3"/>
  <c r="AR238" i="3"/>
  <c r="AQ238" i="3"/>
  <c r="AP238" i="3"/>
  <c r="AO238" i="3"/>
  <c r="AN238" i="3"/>
  <c r="CK238" i="3" s="1"/>
  <c r="AL238" i="3"/>
  <c r="AK238" i="3"/>
  <c r="AJ238" i="3"/>
  <c r="AI238" i="3"/>
  <c r="AH238" i="3"/>
  <c r="AG238" i="3"/>
  <c r="AF238" i="3"/>
  <c r="BE238" i="3" s="1"/>
  <c r="AE238" i="3"/>
  <c r="BD238" i="3" s="1"/>
  <c r="AD238" i="3"/>
  <c r="AC238" i="3"/>
  <c r="AB238" i="3"/>
  <c r="AA238" i="3"/>
  <c r="Z238" i="3"/>
  <c r="Y238" i="3"/>
  <c r="X238" i="3"/>
  <c r="T238" i="3"/>
  <c r="FF237" i="3"/>
  <c r="EX237" i="3"/>
  <c r="EW237" i="3"/>
  <c r="ET237" i="3"/>
  <c r="EQ237" i="3"/>
  <c r="EP237" i="3"/>
  <c r="EN237" i="3"/>
  <c r="EM237" i="3"/>
  <c r="EH237" i="3"/>
  <c r="EE237" i="3"/>
  <c r="ED237" i="3"/>
  <c r="EB237" i="3"/>
  <c r="EA237" i="3"/>
  <c r="DV237" i="3"/>
  <c r="DS237" i="3"/>
  <c r="DR237" i="3"/>
  <c r="DP237" i="3"/>
  <c r="DO237" i="3"/>
  <c r="DN237" i="3"/>
  <c r="DM237" i="3"/>
  <c r="DL237" i="3"/>
  <c r="DK237" i="3"/>
  <c r="DJ237" i="3"/>
  <c r="DI237" i="3"/>
  <c r="DH237" i="3"/>
  <c r="DG237" i="3"/>
  <c r="DF237" i="3"/>
  <c r="DE237" i="3"/>
  <c r="DD237" i="3"/>
  <c r="DC237" i="3"/>
  <c r="DB237" i="3"/>
  <c r="DA237" i="3"/>
  <c r="CZ237" i="3"/>
  <c r="CX237" i="3"/>
  <c r="CW237" i="3"/>
  <c r="CS237" i="3"/>
  <c r="CO237" i="3"/>
  <c r="CL237" i="3"/>
  <c r="CK237" i="3"/>
  <c r="CI237" i="3"/>
  <c r="CH237" i="3"/>
  <c r="CF237" i="3"/>
  <c r="CE237" i="3"/>
  <c r="CD237" i="3"/>
  <c r="BZ237" i="3"/>
  <c r="BY237" i="3"/>
  <c r="BW237" i="3"/>
  <c r="BV237" i="3"/>
  <c r="BT237" i="3"/>
  <c r="BS237" i="3"/>
  <c r="BN237" i="3"/>
  <c r="BK237" i="3"/>
  <c r="BJ237" i="3"/>
  <c r="BH237" i="3"/>
  <c r="BG237" i="3"/>
  <c r="BE237" i="3"/>
  <c r="BB237" i="3"/>
  <c r="BA237" i="3"/>
  <c r="FG237" i="3" s="1"/>
  <c r="AZ237" i="3"/>
  <c r="AY237" i="3"/>
  <c r="EO237" i="3" s="1"/>
  <c r="AX237" i="3"/>
  <c r="FD237" i="3" s="1"/>
  <c r="AW237" i="3"/>
  <c r="AV237" i="3"/>
  <c r="AU237" i="3"/>
  <c r="CR237" i="3" s="1"/>
  <c r="AT237" i="3"/>
  <c r="AS237" i="3"/>
  <c r="AR237" i="3"/>
  <c r="AQ237" i="3"/>
  <c r="CN237" i="3" s="1"/>
  <c r="AP237" i="3"/>
  <c r="AO237" i="3"/>
  <c r="EU237" i="3" s="1"/>
  <c r="AN237" i="3"/>
  <c r="AL237" i="3"/>
  <c r="AK237" i="3"/>
  <c r="BF237" i="3" s="1"/>
  <c r="AJ237" i="3"/>
  <c r="AI237" i="3"/>
  <c r="AH237" i="3"/>
  <c r="AG237" i="3"/>
  <c r="AF237" i="3"/>
  <c r="AE237" i="3"/>
  <c r="AD237" i="3"/>
  <c r="AC237" i="3"/>
  <c r="AB237" i="3"/>
  <c r="AA237" i="3"/>
  <c r="BD237" i="3" s="1"/>
  <c r="Z237" i="3"/>
  <c r="Y237" i="3"/>
  <c r="AM237" i="3" s="1"/>
  <c r="X237" i="3"/>
  <c r="T237" i="3"/>
  <c r="FE236" i="3"/>
  <c r="FB236" i="3"/>
  <c r="FA236" i="3"/>
  <c r="EZ236" i="3"/>
  <c r="EW236" i="3"/>
  <c r="EK236" i="3"/>
  <c r="EH236" i="3"/>
  <c r="EG236" i="3"/>
  <c r="EF236" i="3"/>
  <c r="DV236" i="3"/>
  <c r="DU236" i="3"/>
  <c r="DT236" i="3"/>
  <c r="DS236" i="3"/>
  <c r="DR236" i="3"/>
  <c r="DQ236" i="3"/>
  <c r="DP236" i="3"/>
  <c r="DN236" i="3"/>
  <c r="DM236" i="3"/>
  <c r="DL236" i="3"/>
  <c r="DK236" i="3"/>
  <c r="DJ236" i="3"/>
  <c r="DI236" i="3"/>
  <c r="DH236" i="3"/>
  <c r="DG236" i="3"/>
  <c r="DF236" i="3"/>
  <c r="DE236" i="3"/>
  <c r="DD236" i="3"/>
  <c r="DC236" i="3"/>
  <c r="DB236" i="3"/>
  <c r="DA236" i="3"/>
  <c r="CZ236" i="3"/>
  <c r="CU236" i="3"/>
  <c r="CT236" i="3"/>
  <c r="CR236" i="3"/>
  <c r="CO236" i="3"/>
  <c r="CN236" i="3"/>
  <c r="CF236" i="3"/>
  <c r="CC236" i="3"/>
  <c r="CB236" i="3"/>
  <c r="BZ236" i="3"/>
  <c r="BY236" i="3"/>
  <c r="BX236" i="3"/>
  <c r="BP236" i="3"/>
  <c r="BN236" i="3"/>
  <c r="BM236" i="3"/>
  <c r="BL236" i="3"/>
  <c r="BK236" i="3"/>
  <c r="BJ236" i="3"/>
  <c r="BI236" i="3"/>
  <c r="BB236" i="3"/>
  <c r="BA236" i="3"/>
  <c r="FG236" i="3" s="1"/>
  <c r="AZ236" i="3"/>
  <c r="AY236" i="3"/>
  <c r="AX236" i="3"/>
  <c r="DY236" i="3" s="1"/>
  <c r="AW236" i="3"/>
  <c r="AV236" i="3"/>
  <c r="AU236" i="3"/>
  <c r="AT236" i="3"/>
  <c r="CQ236" i="3" s="1"/>
  <c r="AS236" i="3"/>
  <c r="AR236" i="3"/>
  <c r="EX236" i="3" s="1"/>
  <c r="AQ236" i="3"/>
  <c r="AP236" i="3"/>
  <c r="AO236" i="3"/>
  <c r="EU236" i="3" s="1"/>
  <c r="AN236" i="3"/>
  <c r="AL236" i="3"/>
  <c r="AK236" i="3"/>
  <c r="AJ236" i="3"/>
  <c r="BF236" i="3" s="1"/>
  <c r="AI236" i="3"/>
  <c r="AH236" i="3"/>
  <c r="AG236" i="3"/>
  <c r="AF236" i="3"/>
  <c r="BE236" i="3" s="1"/>
  <c r="AE236" i="3"/>
  <c r="AD236" i="3"/>
  <c r="AC236" i="3"/>
  <c r="AB236" i="3"/>
  <c r="AA236" i="3"/>
  <c r="BD236" i="3" s="1"/>
  <c r="Z236" i="3"/>
  <c r="Y236" i="3"/>
  <c r="X236" i="3"/>
  <c r="BC236" i="3" s="1"/>
  <c r="T236" i="3"/>
  <c r="FE235" i="3"/>
  <c r="FD235" i="3"/>
  <c r="FC235" i="3"/>
  <c r="EZ235" i="3"/>
  <c r="EW235" i="3"/>
  <c r="EN235" i="3"/>
  <c r="EM235" i="3"/>
  <c r="EK235" i="3"/>
  <c r="EJ235" i="3"/>
  <c r="EG235" i="3"/>
  <c r="DY235" i="3"/>
  <c r="DX235" i="3"/>
  <c r="DW235" i="3"/>
  <c r="DV235" i="3"/>
  <c r="DU235" i="3"/>
  <c r="DN235" i="3"/>
  <c r="DM235" i="3"/>
  <c r="DL235" i="3"/>
  <c r="DK235" i="3"/>
  <c r="DJ235" i="3"/>
  <c r="DI235" i="3"/>
  <c r="DH235" i="3"/>
  <c r="DG235" i="3"/>
  <c r="DF235" i="3"/>
  <c r="DE235" i="3"/>
  <c r="DD235" i="3"/>
  <c r="DC235" i="3"/>
  <c r="DB235" i="3"/>
  <c r="DA235" i="3"/>
  <c r="CZ235" i="3"/>
  <c r="CV235" i="3"/>
  <c r="CU235" i="3"/>
  <c r="CS235" i="3"/>
  <c r="CR235" i="3"/>
  <c r="CQ235" i="3"/>
  <c r="CG235" i="3"/>
  <c r="CF235" i="3"/>
  <c r="CE235" i="3"/>
  <c r="CC235" i="3"/>
  <c r="CB235" i="3"/>
  <c r="BS235" i="3"/>
  <c r="BQ235" i="3"/>
  <c r="BP235" i="3"/>
  <c r="BO235" i="3"/>
  <c r="BN235" i="3"/>
  <c r="BM235" i="3"/>
  <c r="BC235" i="3"/>
  <c r="BB235" i="3"/>
  <c r="BA235" i="3"/>
  <c r="BT235" i="3" s="1"/>
  <c r="AZ235" i="3"/>
  <c r="AY235" i="3"/>
  <c r="AX235" i="3"/>
  <c r="AW235" i="3"/>
  <c r="CT235" i="3" s="1"/>
  <c r="AV235" i="3"/>
  <c r="AU235" i="3"/>
  <c r="FA235" i="3" s="1"/>
  <c r="AT235" i="3"/>
  <c r="AS235" i="3"/>
  <c r="AR235" i="3"/>
  <c r="EH235" i="3" s="1"/>
  <c r="AQ235" i="3"/>
  <c r="AP235" i="3"/>
  <c r="EF235" i="3" s="1"/>
  <c r="AO235" i="3"/>
  <c r="AN235" i="3"/>
  <c r="AL235" i="3"/>
  <c r="AK235" i="3"/>
  <c r="AJ235" i="3"/>
  <c r="AI235" i="3"/>
  <c r="BF235" i="3" s="1"/>
  <c r="AH235" i="3"/>
  <c r="AG235" i="3"/>
  <c r="AF235" i="3"/>
  <c r="BE235" i="3" s="1"/>
  <c r="AE235" i="3"/>
  <c r="AD235" i="3"/>
  <c r="AC235" i="3"/>
  <c r="AB235" i="3"/>
  <c r="BD235" i="3" s="1"/>
  <c r="AA235" i="3"/>
  <c r="Z235" i="3"/>
  <c r="Y235" i="3"/>
  <c r="X235" i="3"/>
  <c r="AM235" i="3" s="1"/>
  <c r="T235" i="3"/>
  <c r="FH234" i="3"/>
  <c r="FC234" i="3"/>
  <c r="EZ234" i="3"/>
  <c r="EY234" i="3"/>
  <c r="EX234" i="3"/>
  <c r="EW234" i="3"/>
  <c r="EV234" i="3"/>
  <c r="EM234" i="3"/>
  <c r="EK234" i="3"/>
  <c r="EJ234" i="3"/>
  <c r="EI234" i="3"/>
  <c r="EH234" i="3"/>
  <c r="EG234" i="3"/>
  <c r="EF234" i="3"/>
  <c r="DZ234" i="3"/>
  <c r="DX234" i="3"/>
  <c r="DU234" i="3"/>
  <c r="DT234" i="3"/>
  <c r="DS234" i="3"/>
  <c r="DN234" i="3"/>
  <c r="DM234" i="3"/>
  <c r="DL234" i="3"/>
  <c r="DK234" i="3"/>
  <c r="DJ234" i="3"/>
  <c r="DI234" i="3"/>
  <c r="DH234" i="3"/>
  <c r="DG234" i="3"/>
  <c r="DF234" i="3"/>
  <c r="DE234" i="3"/>
  <c r="DD234" i="3"/>
  <c r="DC234" i="3"/>
  <c r="DB234" i="3"/>
  <c r="DA234" i="3"/>
  <c r="CZ234" i="3"/>
  <c r="CY234" i="3"/>
  <c r="CX234" i="3"/>
  <c r="CV234" i="3"/>
  <c r="CU234" i="3"/>
  <c r="CT234" i="3"/>
  <c r="CP234" i="3"/>
  <c r="CO234" i="3"/>
  <c r="CN234" i="3"/>
  <c r="CM234" i="3"/>
  <c r="CK234" i="3"/>
  <c r="CJ234" i="3"/>
  <c r="CH234" i="3"/>
  <c r="CE234" i="3"/>
  <c r="CA234" i="3"/>
  <c r="BZ234" i="3"/>
  <c r="BY234" i="3"/>
  <c r="BX234" i="3"/>
  <c r="BV234" i="3"/>
  <c r="BP234" i="3"/>
  <c r="BN234" i="3"/>
  <c r="BM234" i="3"/>
  <c r="BL234" i="3"/>
  <c r="BK234" i="3"/>
  <c r="BJ234" i="3"/>
  <c r="BG234" i="3"/>
  <c r="BB234" i="3"/>
  <c r="BA234" i="3"/>
  <c r="CI234" i="3" s="1"/>
  <c r="AZ234" i="3"/>
  <c r="AY234" i="3"/>
  <c r="AX234" i="3"/>
  <c r="AW234" i="3"/>
  <c r="AV234" i="3"/>
  <c r="AU234" i="3"/>
  <c r="AT234" i="3"/>
  <c r="AS234" i="3"/>
  <c r="AR234" i="3"/>
  <c r="AQ234" i="3"/>
  <c r="DR234" i="3" s="1"/>
  <c r="AP234" i="3"/>
  <c r="AO234" i="3"/>
  <c r="AN234" i="3"/>
  <c r="AL234" i="3"/>
  <c r="AK234" i="3"/>
  <c r="AJ234" i="3"/>
  <c r="BF234" i="3" s="1"/>
  <c r="AI234" i="3"/>
  <c r="AH234" i="3"/>
  <c r="AG234" i="3"/>
  <c r="AF234" i="3"/>
  <c r="BE234" i="3" s="1"/>
  <c r="AE234" i="3"/>
  <c r="AD234" i="3"/>
  <c r="AC234" i="3"/>
  <c r="AB234" i="3"/>
  <c r="AA234" i="3"/>
  <c r="Z234" i="3"/>
  <c r="Y234" i="3"/>
  <c r="X234" i="3"/>
  <c r="T234" i="3"/>
  <c r="FH233" i="3"/>
  <c r="FG233" i="3"/>
  <c r="FE233" i="3"/>
  <c r="FA233" i="3"/>
  <c r="EW233" i="3"/>
  <c r="EV233" i="3"/>
  <c r="EQ233" i="3"/>
  <c r="EO233" i="3"/>
  <c r="EH233" i="3"/>
  <c r="EG233" i="3"/>
  <c r="EE233" i="3"/>
  <c r="EC233" i="3"/>
  <c r="DS233" i="3"/>
  <c r="DR233" i="3"/>
  <c r="DQ233" i="3"/>
  <c r="DP233" i="3"/>
  <c r="DO233" i="3"/>
  <c r="DN233" i="3"/>
  <c r="DM233" i="3"/>
  <c r="DL233" i="3"/>
  <c r="DK233" i="3"/>
  <c r="DJ233" i="3"/>
  <c r="DI233" i="3"/>
  <c r="DH233" i="3"/>
  <c r="DG233" i="3"/>
  <c r="DF233" i="3"/>
  <c r="DE233" i="3"/>
  <c r="DD233" i="3"/>
  <c r="DC233" i="3"/>
  <c r="DB233" i="3"/>
  <c r="DA233" i="3"/>
  <c r="CZ233" i="3"/>
  <c r="CS233" i="3"/>
  <c r="CR233" i="3"/>
  <c r="CO233" i="3"/>
  <c r="CJ233" i="3"/>
  <c r="CI233" i="3"/>
  <c r="CC233" i="3"/>
  <c r="BZ233" i="3"/>
  <c r="BY233" i="3"/>
  <c r="BX233" i="3"/>
  <c r="BW233" i="3"/>
  <c r="BV233" i="3"/>
  <c r="BU233" i="3"/>
  <c r="BK233" i="3"/>
  <c r="BJ233" i="3"/>
  <c r="BI233" i="3"/>
  <c r="BH233" i="3"/>
  <c r="BG233" i="3"/>
  <c r="BB233" i="3"/>
  <c r="ER233" i="3" s="1"/>
  <c r="BA233" i="3"/>
  <c r="CX233" i="3" s="1"/>
  <c r="AZ233" i="3"/>
  <c r="CW233" i="3" s="1"/>
  <c r="AY233" i="3"/>
  <c r="CG233" i="3" s="1"/>
  <c r="AX233" i="3"/>
  <c r="EN233" i="3" s="1"/>
  <c r="AW233" i="3"/>
  <c r="FC233" i="3" s="1"/>
  <c r="AV233" i="3"/>
  <c r="FB233" i="3" s="1"/>
  <c r="AU233" i="3"/>
  <c r="AT233" i="3"/>
  <c r="AS233" i="3"/>
  <c r="AR233" i="3"/>
  <c r="EX233" i="3" s="1"/>
  <c r="AQ233" i="3"/>
  <c r="CN233" i="3" s="1"/>
  <c r="AP233" i="3"/>
  <c r="EF233" i="3" s="1"/>
  <c r="AO233" i="3"/>
  <c r="CL233" i="3" s="1"/>
  <c r="AN233" i="3"/>
  <c r="CK233" i="3" s="1"/>
  <c r="AL233" i="3"/>
  <c r="AK233" i="3"/>
  <c r="BF233" i="3" s="1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T233" i="3"/>
  <c r="FH232" i="3"/>
  <c r="FA232" i="3"/>
  <c r="EZ232" i="3"/>
  <c r="EU232" i="3"/>
  <c r="ET232" i="3"/>
  <c r="EO232" i="3"/>
  <c r="EK232" i="3"/>
  <c r="EJ232" i="3"/>
  <c r="EI232" i="3"/>
  <c r="EG232" i="3"/>
  <c r="EF232" i="3"/>
  <c r="EE232" i="3"/>
  <c r="DV232" i="3"/>
  <c r="DU232" i="3"/>
  <c r="DT232" i="3"/>
  <c r="DR232" i="3"/>
  <c r="DQ232" i="3"/>
  <c r="DP232" i="3"/>
  <c r="DN232" i="3"/>
  <c r="DM232" i="3"/>
  <c r="DL232" i="3"/>
  <c r="DK232" i="3"/>
  <c r="DJ232" i="3"/>
  <c r="DI232" i="3"/>
  <c r="DH232" i="3"/>
  <c r="DG232" i="3"/>
  <c r="DF232" i="3"/>
  <c r="DE232" i="3"/>
  <c r="DD232" i="3"/>
  <c r="DC232" i="3"/>
  <c r="DB232" i="3"/>
  <c r="DA232" i="3"/>
  <c r="CZ232" i="3"/>
  <c r="CW232" i="3"/>
  <c r="CV232" i="3"/>
  <c r="CS232" i="3"/>
  <c r="CR232" i="3"/>
  <c r="CN232" i="3"/>
  <c r="CH232" i="3"/>
  <c r="CG232" i="3"/>
  <c r="CC232" i="3"/>
  <c r="CB232" i="3"/>
  <c r="CA232" i="3"/>
  <c r="BZ232" i="3"/>
  <c r="BV232" i="3"/>
  <c r="BN232" i="3"/>
  <c r="BM232" i="3"/>
  <c r="BL232" i="3"/>
  <c r="BK232" i="3"/>
  <c r="BB232" i="3"/>
  <c r="ER232" i="3" s="1"/>
  <c r="BA232" i="3"/>
  <c r="AZ232" i="3"/>
  <c r="AY232" i="3"/>
  <c r="AX232" i="3"/>
  <c r="AW232" i="3"/>
  <c r="AV232" i="3"/>
  <c r="AU232" i="3"/>
  <c r="AT232" i="3"/>
  <c r="CQ232" i="3" s="1"/>
  <c r="AS232" i="3"/>
  <c r="EY232" i="3" s="1"/>
  <c r="AR232" i="3"/>
  <c r="EH232" i="3" s="1"/>
  <c r="AQ232" i="3"/>
  <c r="EW232" i="3" s="1"/>
  <c r="AP232" i="3"/>
  <c r="CM232" i="3" s="1"/>
  <c r="AO232" i="3"/>
  <c r="AN232" i="3"/>
  <c r="AL232" i="3"/>
  <c r="AK232" i="3"/>
  <c r="AJ232" i="3"/>
  <c r="AI232" i="3"/>
  <c r="AH232" i="3"/>
  <c r="AG232" i="3"/>
  <c r="AF232" i="3"/>
  <c r="BE232" i="3" s="1"/>
  <c r="AE232" i="3"/>
  <c r="AD232" i="3"/>
  <c r="AC232" i="3"/>
  <c r="BD232" i="3" s="1"/>
  <c r="AB232" i="3"/>
  <c r="AA232" i="3"/>
  <c r="Z232" i="3"/>
  <c r="Y232" i="3"/>
  <c r="X232" i="3"/>
  <c r="T232" i="3"/>
  <c r="FH231" i="3"/>
  <c r="FF231" i="3"/>
  <c r="FD231" i="3"/>
  <c r="FC231" i="3"/>
  <c r="ER231" i="3"/>
  <c r="EN231" i="3"/>
  <c r="EM231" i="3"/>
  <c r="EL231" i="3"/>
  <c r="EK231" i="3"/>
  <c r="EH231" i="3"/>
  <c r="EG231" i="3"/>
  <c r="EF231" i="3"/>
  <c r="EB231" i="3"/>
  <c r="DY231" i="3"/>
  <c r="DX231" i="3"/>
  <c r="DW231" i="3"/>
  <c r="DS231" i="3"/>
  <c r="DO231" i="3"/>
  <c r="DN231" i="3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A231" i="3"/>
  <c r="CZ231" i="3"/>
  <c r="CY231" i="3"/>
  <c r="CX231" i="3"/>
  <c r="CW231" i="3"/>
  <c r="CU231" i="3"/>
  <c r="CO231" i="3"/>
  <c r="CN231" i="3"/>
  <c r="CM231" i="3"/>
  <c r="CK231" i="3"/>
  <c r="CJ231" i="3"/>
  <c r="CI231" i="3"/>
  <c r="CF231" i="3"/>
  <c r="CE231" i="3"/>
  <c r="BZ231" i="3"/>
  <c r="BY231" i="3"/>
  <c r="BX231" i="3"/>
  <c r="BW231" i="3"/>
  <c r="BT231" i="3"/>
  <c r="BS231" i="3"/>
  <c r="BQ231" i="3"/>
  <c r="BP231" i="3"/>
  <c r="BO231" i="3"/>
  <c r="BK231" i="3"/>
  <c r="BG231" i="3"/>
  <c r="BF231" i="3"/>
  <c r="BE231" i="3"/>
  <c r="BB231" i="3"/>
  <c r="BA231" i="3"/>
  <c r="FG231" i="3" s="1"/>
  <c r="AZ231" i="3"/>
  <c r="EA231" i="3" s="1"/>
  <c r="AY231" i="3"/>
  <c r="FE231" i="3" s="1"/>
  <c r="AX231" i="3"/>
  <c r="AW231" i="3"/>
  <c r="CT231" i="3" s="1"/>
  <c r="AV231" i="3"/>
  <c r="AU231" i="3"/>
  <c r="AT231" i="3"/>
  <c r="AS231" i="3"/>
  <c r="AR231" i="3"/>
  <c r="EX231" i="3" s="1"/>
  <c r="AQ231" i="3"/>
  <c r="AP231" i="3"/>
  <c r="AO231" i="3"/>
  <c r="EU231" i="3" s="1"/>
  <c r="AN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BD231" i="3" s="1"/>
  <c r="Z231" i="3"/>
  <c r="Y231" i="3"/>
  <c r="X231" i="3"/>
  <c r="BC231" i="3" s="1"/>
  <c r="T231" i="3"/>
  <c r="FH230" i="3"/>
  <c r="FG230" i="3"/>
  <c r="FF230" i="3"/>
  <c r="FC230" i="3"/>
  <c r="EY230" i="3"/>
  <c r="EU230" i="3"/>
  <c r="ET230" i="3"/>
  <c r="EQ230" i="3"/>
  <c r="EP230" i="3"/>
  <c r="EO230" i="3"/>
  <c r="EL230" i="3"/>
  <c r="EK230" i="3"/>
  <c r="EE230" i="3"/>
  <c r="ED230" i="3"/>
  <c r="EC230" i="3"/>
  <c r="EB230" i="3"/>
  <c r="EA230" i="3"/>
  <c r="DW230" i="3"/>
  <c r="DV230" i="3"/>
  <c r="DR230" i="3"/>
  <c r="DQ230" i="3"/>
  <c r="DP230" i="3"/>
  <c r="DO230" i="3"/>
  <c r="DN230" i="3"/>
  <c r="DM230" i="3"/>
  <c r="DL230" i="3"/>
  <c r="DK230" i="3"/>
  <c r="DJ230" i="3"/>
  <c r="DI230" i="3"/>
  <c r="DH230" i="3"/>
  <c r="DG230" i="3"/>
  <c r="DF230" i="3"/>
  <c r="DE230" i="3"/>
  <c r="DD230" i="3"/>
  <c r="DC230" i="3"/>
  <c r="DB230" i="3"/>
  <c r="DA230" i="3"/>
  <c r="CZ230" i="3"/>
  <c r="CY230" i="3"/>
  <c r="CX230" i="3"/>
  <c r="CU230" i="3"/>
  <c r="CN230" i="3"/>
  <c r="CM230" i="3"/>
  <c r="CL230" i="3"/>
  <c r="CI230" i="3"/>
  <c r="CH230" i="3"/>
  <c r="CG230" i="3"/>
  <c r="CF230" i="3"/>
  <c r="BW230" i="3"/>
  <c r="BV230" i="3"/>
  <c r="BU230" i="3"/>
  <c r="BT230" i="3"/>
  <c r="BS230" i="3"/>
  <c r="BR230" i="3"/>
  <c r="BN230" i="3"/>
  <c r="BJ230" i="3"/>
  <c r="BI230" i="3"/>
  <c r="BH230" i="3"/>
  <c r="BG230" i="3"/>
  <c r="BE230" i="3"/>
  <c r="BD230" i="3"/>
  <c r="BB230" i="3"/>
  <c r="BA230" i="3"/>
  <c r="AZ230" i="3"/>
  <c r="CW230" i="3" s="1"/>
  <c r="AY230" i="3"/>
  <c r="DZ230" i="3" s="1"/>
  <c r="AX230" i="3"/>
  <c r="FD230" i="3" s="1"/>
  <c r="AW230" i="3"/>
  <c r="AV230" i="3"/>
  <c r="CS230" i="3" s="1"/>
  <c r="AU230" i="3"/>
  <c r="CR230" i="3" s="1"/>
  <c r="AT230" i="3"/>
  <c r="AS230" i="3"/>
  <c r="AR230" i="3"/>
  <c r="AQ230" i="3"/>
  <c r="AP230" i="3"/>
  <c r="AO230" i="3"/>
  <c r="AN230" i="3"/>
  <c r="CK230" i="3" s="1"/>
  <c r="AL230" i="3"/>
  <c r="AK230" i="3"/>
  <c r="BF230" i="3" s="1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BC230" i="3" s="1"/>
  <c r="T230" i="3"/>
  <c r="FF229" i="3"/>
  <c r="FE229" i="3"/>
  <c r="FC229" i="3"/>
  <c r="FB229" i="3"/>
  <c r="EY229" i="3"/>
  <c r="EX229" i="3"/>
  <c r="EW229" i="3"/>
  <c r="EQ229" i="3"/>
  <c r="EP229" i="3"/>
  <c r="EO229" i="3"/>
  <c r="EN229" i="3"/>
  <c r="EK229" i="3"/>
  <c r="EH229" i="3"/>
  <c r="EG229" i="3"/>
  <c r="ED229" i="3"/>
  <c r="EB229" i="3"/>
  <c r="EA229" i="3"/>
  <c r="DZ229" i="3"/>
  <c r="DU229" i="3"/>
  <c r="DT229" i="3"/>
  <c r="DS229" i="3"/>
  <c r="DR229" i="3"/>
  <c r="DP229" i="3"/>
  <c r="DO229" i="3"/>
  <c r="DN229" i="3"/>
  <c r="DM229" i="3"/>
  <c r="DL229" i="3"/>
  <c r="DK229" i="3"/>
  <c r="DJ229" i="3"/>
  <c r="DI229" i="3"/>
  <c r="DH229" i="3"/>
  <c r="DG229" i="3"/>
  <c r="DF229" i="3"/>
  <c r="DE229" i="3"/>
  <c r="DD229" i="3"/>
  <c r="DC229" i="3"/>
  <c r="DB229" i="3"/>
  <c r="DA229" i="3"/>
  <c r="CZ229" i="3"/>
  <c r="CX229" i="3"/>
  <c r="CW229" i="3"/>
  <c r="CV229" i="3"/>
  <c r="CU229" i="3"/>
  <c r="CT229" i="3"/>
  <c r="CP229" i="3"/>
  <c r="CO229" i="3"/>
  <c r="CL229" i="3"/>
  <c r="CK229" i="3"/>
  <c r="CI229" i="3"/>
  <c r="CH229" i="3"/>
  <c r="CG229" i="3"/>
  <c r="CF229" i="3"/>
  <c r="BZ229" i="3"/>
  <c r="BY229" i="3"/>
  <c r="BW229" i="3"/>
  <c r="BV229" i="3"/>
  <c r="BT229" i="3"/>
  <c r="BS229" i="3"/>
  <c r="BR229" i="3"/>
  <c r="BL229" i="3"/>
  <c r="BK229" i="3"/>
  <c r="BJ229" i="3"/>
  <c r="BH229" i="3"/>
  <c r="BG229" i="3"/>
  <c r="BE229" i="3"/>
  <c r="BB229" i="3"/>
  <c r="BA229" i="3"/>
  <c r="FG229" i="3" s="1"/>
  <c r="AZ229" i="3"/>
  <c r="AY229" i="3"/>
  <c r="AX229" i="3"/>
  <c r="BQ229" i="3" s="1"/>
  <c r="AW229" i="3"/>
  <c r="EM229" i="3" s="1"/>
  <c r="AV229" i="3"/>
  <c r="EL229" i="3" s="1"/>
  <c r="AU229" i="3"/>
  <c r="AT229" i="3"/>
  <c r="EZ229" i="3" s="1"/>
  <c r="AS229" i="3"/>
  <c r="AR229" i="3"/>
  <c r="AQ229" i="3"/>
  <c r="CN229" i="3" s="1"/>
  <c r="AP229" i="3"/>
  <c r="AO229" i="3"/>
  <c r="EU229" i="3" s="1"/>
  <c r="AN229" i="3"/>
  <c r="ET229" i="3" s="1"/>
  <c r="AL229" i="3"/>
  <c r="AK229" i="3"/>
  <c r="AJ229" i="3"/>
  <c r="AI229" i="3"/>
  <c r="BF229" i="3" s="1"/>
  <c r="AH229" i="3"/>
  <c r="AG229" i="3"/>
  <c r="AF229" i="3"/>
  <c r="AE229" i="3"/>
  <c r="AD229" i="3"/>
  <c r="AC229" i="3"/>
  <c r="AB229" i="3"/>
  <c r="AA229" i="3"/>
  <c r="Z229" i="3"/>
  <c r="Y229" i="3"/>
  <c r="X229" i="3"/>
  <c r="BC229" i="3" s="1"/>
  <c r="T229" i="3"/>
  <c r="FH228" i="3"/>
  <c r="FG228" i="3"/>
  <c r="FD228" i="3"/>
  <c r="FC228" i="3"/>
  <c r="FB228" i="3"/>
  <c r="EZ228" i="3"/>
  <c r="ET228" i="3"/>
  <c r="EN228" i="3"/>
  <c r="EJ228" i="3"/>
  <c r="EG228" i="3"/>
  <c r="EF228" i="3"/>
  <c r="EE228" i="3"/>
  <c r="DY228" i="3"/>
  <c r="DX228" i="3"/>
  <c r="DU228" i="3"/>
  <c r="DT228" i="3"/>
  <c r="DS228" i="3"/>
  <c r="DN228" i="3"/>
  <c r="DM228" i="3"/>
  <c r="DL228" i="3"/>
  <c r="DK228" i="3"/>
  <c r="DJ228" i="3"/>
  <c r="DI228" i="3"/>
  <c r="DH228" i="3"/>
  <c r="DG228" i="3"/>
  <c r="DF228" i="3"/>
  <c r="DE228" i="3"/>
  <c r="DD228" i="3"/>
  <c r="DC228" i="3"/>
  <c r="DB228" i="3"/>
  <c r="DA228" i="3"/>
  <c r="CZ228" i="3"/>
  <c r="CV228" i="3"/>
  <c r="CU228" i="3"/>
  <c r="CN228" i="3"/>
  <c r="CJ228" i="3"/>
  <c r="CI228" i="3"/>
  <c r="CF228" i="3"/>
  <c r="CE228" i="3"/>
  <c r="CD228" i="3"/>
  <c r="CC228" i="3"/>
  <c r="CB228" i="3"/>
  <c r="BY228" i="3"/>
  <c r="BX228" i="3"/>
  <c r="BQ228" i="3"/>
  <c r="BP228" i="3"/>
  <c r="BM228" i="3"/>
  <c r="BL228" i="3"/>
  <c r="BB228" i="3"/>
  <c r="ER228" i="3" s="1"/>
  <c r="BA228" i="3"/>
  <c r="AZ228" i="3"/>
  <c r="AY228" i="3"/>
  <c r="AX228" i="3"/>
  <c r="AW228" i="3"/>
  <c r="EM228" i="3" s="1"/>
  <c r="AV228" i="3"/>
  <c r="EL228" i="3" s="1"/>
  <c r="AU228" i="3"/>
  <c r="CR228" i="3" s="1"/>
  <c r="AT228" i="3"/>
  <c r="CQ228" i="3" s="1"/>
  <c r="AS228" i="3"/>
  <c r="EY228" i="3" s="1"/>
  <c r="AR228" i="3"/>
  <c r="AQ228" i="3"/>
  <c r="DR228" i="3" s="1"/>
  <c r="AP228" i="3"/>
  <c r="DQ228" i="3" s="1"/>
  <c r="AO228" i="3"/>
  <c r="AN228" i="3"/>
  <c r="AL228" i="3"/>
  <c r="AK228" i="3"/>
  <c r="AJ228" i="3"/>
  <c r="AI228" i="3"/>
  <c r="BF228" i="3" s="1"/>
  <c r="AH228" i="3"/>
  <c r="AG228" i="3"/>
  <c r="AF228" i="3"/>
  <c r="AE228" i="3"/>
  <c r="AD228" i="3"/>
  <c r="AC228" i="3"/>
  <c r="AB228" i="3"/>
  <c r="BD228" i="3" s="1"/>
  <c r="AA228" i="3"/>
  <c r="AM228" i="3" s="1"/>
  <c r="Z228" i="3"/>
  <c r="Y228" i="3"/>
  <c r="X228" i="3"/>
  <c r="BC228" i="3" s="1"/>
  <c r="T228" i="3"/>
  <c r="FH227" i="3"/>
  <c r="FG227" i="3"/>
  <c r="FF227" i="3"/>
  <c r="EZ227" i="3"/>
  <c r="EY227" i="3"/>
  <c r="EU227" i="3"/>
  <c r="ET227" i="3"/>
  <c r="EQ227" i="3"/>
  <c r="EP227" i="3"/>
  <c r="EO227" i="3"/>
  <c r="EN227" i="3"/>
  <c r="EM227" i="3"/>
  <c r="EJ227" i="3"/>
  <c r="EI227" i="3"/>
  <c r="EE227" i="3"/>
  <c r="ED227" i="3"/>
  <c r="EB227" i="3"/>
  <c r="EA227" i="3"/>
  <c r="DX227" i="3"/>
  <c r="DW227" i="3"/>
  <c r="DP227" i="3"/>
  <c r="DO227" i="3"/>
  <c r="DN227" i="3"/>
  <c r="DM227" i="3"/>
  <c r="DL227" i="3"/>
  <c r="DK227" i="3"/>
  <c r="DJ227" i="3"/>
  <c r="DI227" i="3"/>
  <c r="DH227" i="3"/>
  <c r="DG227" i="3"/>
  <c r="DF227" i="3"/>
  <c r="DE227" i="3"/>
  <c r="DD227" i="3"/>
  <c r="DC227" i="3"/>
  <c r="DB227" i="3"/>
  <c r="DA227" i="3"/>
  <c r="CZ227" i="3"/>
  <c r="CX227" i="3"/>
  <c r="CT227" i="3"/>
  <c r="CR227" i="3"/>
  <c r="CQ227" i="3"/>
  <c r="CN227" i="3"/>
  <c r="CL227" i="3"/>
  <c r="CI227" i="3"/>
  <c r="CH227" i="3"/>
  <c r="CG227" i="3"/>
  <c r="CF227" i="3"/>
  <c r="CE227" i="3"/>
  <c r="CB227" i="3"/>
  <c r="CA227" i="3"/>
  <c r="BW227" i="3"/>
  <c r="BV227" i="3"/>
  <c r="BT227" i="3"/>
  <c r="BS227" i="3"/>
  <c r="BP227" i="3"/>
  <c r="BH227" i="3"/>
  <c r="BG227" i="3"/>
  <c r="BD227" i="3"/>
  <c r="BB227" i="3"/>
  <c r="BA227" i="3"/>
  <c r="AZ227" i="3"/>
  <c r="CW227" i="3" s="1"/>
  <c r="AY227" i="3"/>
  <c r="FE227" i="3" s="1"/>
  <c r="AX227" i="3"/>
  <c r="FD227" i="3" s="1"/>
  <c r="AW227" i="3"/>
  <c r="FC227" i="3" s="1"/>
  <c r="AV227" i="3"/>
  <c r="AU227" i="3"/>
  <c r="AT227" i="3"/>
  <c r="DU227" i="3" s="1"/>
  <c r="AS227" i="3"/>
  <c r="DT227" i="3" s="1"/>
  <c r="AR227" i="3"/>
  <c r="AQ227" i="3"/>
  <c r="AP227" i="3"/>
  <c r="EV227" i="3" s="1"/>
  <c r="AO227" i="3"/>
  <c r="AN227" i="3"/>
  <c r="CK227" i="3" s="1"/>
  <c r="AL227" i="3"/>
  <c r="AK227" i="3"/>
  <c r="AJ227" i="3"/>
  <c r="AI227" i="3"/>
  <c r="AH227" i="3"/>
  <c r="AG227" i="3"/>
  <c r="AF227" i="3"/>
  <c r="BE227" i="3" s="1"/>
  <c r="AE227" i="3"/>
  <c r="AD227" i="3"/>
  <c r="AC227" i="3"/>
  <c r="AB227" i="3"/>
  <c r="AA227" i="3"/>
  <c r="Z227" i="3"/>
  <c r="Y227" i="3"/>
  <c r="X227" i="3"/>
  <c r="T227" i="3"/>
  <c r="FC226" i="3"/>
  <c r="FB226" i="3"/>
  <c r="EX226" i="3"/>
  <c r="EW226" i="3"/>
  <c r="ER226" i="3"/>
  <c r="EP226" i="3"/>
  <c r="EM226" i="3"/>
  <c r="EL226" i="3"/>
  <c r="EK226" i="3"/>
  <c r="EH226" i="3"/>
  <c r="EG226" i="3"/>
  <c r="EF226" i="3"/>
  <c r="ED226" i="3"/>
  <c r="EA226" i="3"/>
  <c r="DZ226" i="3"/>
  <c r="DS226" i="3"/>
  <c r="DR226" i="3"/>
  <c r="DO226" i="3"/>
  <c r="DN226" i="3"/>
  <c r="DM226" i="3"/>
  <c r="DL226" i="3"/>
  <c r="DK226" i="3"/>
  <c r="DJ226" i="3"/>
  <c r="DI226" i="3"/>
  <c r="DH226" i="3"/>
  <c r="DG226" i="3"/>
  <c r="DF226" i="3"/>
  <c r="DE226" i="3"/>
  <c r="DD226" i="3"/>
  <c r="DC226" i="3"/>
  <c r="DB226" i="3"/>
  <c r="DA226" i="3"/>
  <c r="CZ226" i="3"/>
  <c r="CW226" i="3"/>
  <c r="CU226" i="3"/>
  <c r="CT226" i="3"/>
  <c r="CP226" i="3"/>
  <c r="CO226" i="3"/>
  <c r="CK226" i="3"/>
  <c r="CJ226" i="3"/>
  <c r="CH226" i="3"/>
  <c r="CE226" i="3"/>
  <c r="CD226" i="3"/>
  <c r="BZ226" i="3"/>
  <c r="BY226" i="3"/>
  <c r="BX226" i="3"/>
  <c r="BV226" i="3"/>
  <c r="BS226" i="3"/>
  <c r="BR226" i="3"/>
  <c r="BK226" i="3"/>
  <c r="BJ226" i="3"/>
  <c r="BG226" i="3"/>
  <c r="BB226" i="3"/>
  <c r="FH226" i="3" s="1"/>
  <c r="BA226" i="3"/>
  <c r="AZ226" i="3"/>
  <c r="FF226" i="3" s="1"/>
  <c r="AY226" i="3"/>
  <c r="AX226" i="3"/>
  <c r="AW226" i="3"/>
  <c r="DX226" i="3" s="1"/>
  <c r="AV226" i="3"/>
  <c r="DW226" i="3" s="1"/>
  <c r="AU226" i="3"/>
  <c r="CC226" i="3" s="1"/>
  <c r="AT226" i="3"/>
  <c r="AS226" i="3"/>
  <c r="AR226" i="3"/>
  <c r="AQ226" i="3"/>
  <c r="CN226" i="3" s="1"/>
  <c r="AP226" i="3"/>
  <c r="EV226" i="3" s="1"/>
  <c r="AO226" i="3"/>
  <c r="AN226" i="3"/>
  <c r="ET226" i="3" s="1"/>
  <c r="AL226" i="3"/>
  <c r="BF226" i="3" s="1"/>
  <c r="AK226" i="3"/>
  <c r="AJ226" i="3"/>
  <c r="AI226" i="3"/>
  <c r="AH226" i="3"/>
  <c r="BE226" i="3" s="1"/>
  <c r="AG226" i="3"/>
  <c r="AF226" i="3"/>
  <c r="AE226" i="3"/>
  <c r="AD226" i="3"/>
  <c r="AC226" i="3"/>
  <c r="AB226" i="3"/>
  <c r="AA226" i="3"/>
  <c r="Z226" i="3"/>
  <c r="AM226" i="3" s="1"/>
  <c r="Y226" i="3"/>
  <c r="X226" i="3"/>
  <c r="T226" i="3"/>
  <c r="FH225" i="3"/>
  <c r="FF225" i="3"/>
  <c r="FE225" i="3"/>
  <c r="FA225" i="3"/>
  <c r="EZ225" i="3"/>
  <c r="EU225" i="3"/>
  <c r="ET225" i="3"/>
  <c r="EP225" i="3"/>
  <c r="EO225" i="3"/>
  <c r="EK225" i="3"/>
  <c r="EJ225" i="3"/>
  <c r="ED225" i="3"/>
  <c r="EC225" i="3"/>
  <c r="DX225" i="3"/>
  <c r="DV225" i="3"/>
  <c r="DU225" i="3"/>
  <c r="DQ225" i="3"/>
  <c r="DN225" i="3"/>
  <c r="DM225" i="3"/>
  <c r="DL225" i="3"/>
  <c r="DK225" i="3"/>
  <c r="DJ225" i="3"/>
  <c r="DI225" i="3"/>
  <c r="DH225" i="3"/>
  <c r="DG225" i="3"/>
  <c r="DF225" i="3"/>
  <c r="DE225" i="3"/>
  <c r="DD225" i="3"/>
  <c r="DC225" i="3"/>
  <c r="DB225" i="3"/>
  <c r="DA225" i="3"/>
  <c r="CZ225" i="3"/>
  <c r="CY225" i="3"/>
  <c r="CW225" i="3"/>
  <c r="CT225" i="3"/>
  <c r="CR225" i="3"/>
  <c r="CM225" i="3"/>
  <c r="CK225" i="3"/>
  <c r="CH225" i="3"/>
  <c r="CG225" i="3"/>
  <c r="CF225" i="3"/>
  <c r="CC225" i="3"/>
  <c r="CB225" i="3"/>
  <c r="BZ225" i="3"/>
  <c r="BV225" i="3"/>
  <c r="BU225" i="3"/>
  <c r="BP225" i="3"/>
  <c r="BN225" i="3"/>
  <c r="BM225" i="3"/>
  <c r="BJ225" i="3"/>
  <c r="BH225" i="3"/>
  <c r="BC225" i="3"/>
  <c r="BB225" i="3"/>
  <c r="BA225" i="3"/>
  <c r="AZ225" i="3"/>
  <c r="EA225" i="3" s="1"/>
  <c r="AY225" i="3"/>
  <c r="DZ225" i="3" s="1"/>
  <c r="AX225" i="3"/>
  <c r="AW225" i="3"/>
  <c r="AV225" i="3"/>
  <c r="AU225" i="3"/>
  <c r="AT225" i="3"/>
  <c r="CQ225" i="3" s="1"/>
  <c r="AS225" i="3"/>
  <c r="EI225" i="3" s="1"/>
  <c r="AR225" i="3"/>
  <c r="EH225" i="3" s="1"/>
  <c r="AQ225" i="3"/>
  <c r="AP225" i="3"/>
  <c r="EV225" i="3" s="1"/>
  <c r="AO225" i="3"/>
  <c r="AN225" i="3"/>
  <c r="DO225" i="3" s="1"/>
  <c r="AL225" i="3"/>
  <c r="AK225" i="3"/>
  <c r="AJ225" i="3"/>
  <c r="AI225" i="3"/>
  <c r="AH225" i="3"/>
  <c r="AG225" i="3"/>
  <c r="AF225" i="3"/>
  <c r="BE225" i="3" s="1"/>
  <c r="AE225" i="3"/>
  <c r="AD225" i="3"/>
  <c r="BD225" i="3" s="1"/>
  <c r="AC225" i="3"/>
  <c r="AB225" i="3"/>
  <c r="AA225" i="3"/>
  <c r="Z225" i="3"/>
  <c r="Y225" i="3"/>
  <c r="X225" i="3"/>
  <c r="T225" i="3"/>
  <c r="FH224" i="3"/>
  <c r="FE224" i="3"/>
  <c r="FD224" i="3"/>
  <c r="FC224" i="3"/>
  <c r="EZ224" i="3"/>
  <c r="EX224" i="3"/>
  <c r="EW224" i="3"/>
  <c r="EV224" i="3"/>
  <c r="ER224" i="3"/>
  <c r="EN224" i="3"/>
  <c r="EM224" i="3"/>
  <c r="EG224" i="3"/>
  <c r="EF224" i="3"/>
  <c r="EB224" i="3"/>
  <c r="EA224" i="3"/>
  <c r="DZ224" i="3"/>
  <c r="DY224" i="3"/>
  <c r="DX224" i="3"/>
  <c r="DO224" i="3"/>
  <c r="DN224" i="3"/>
  <c r="DM224" i="3"/>
  <c r="DL224" i="3"/>
  <c r="DK224" i="3"/>
  <c r="DJ224" i="3"/>
  <c r="DI224" i="3"/>
  <c r="DH224" i="3"/>
  <c r="DG224" i="3"/>
  <c r="DF224" i="3"/>
  <c r="DE224" i="3"/>
  <c r="DD224" i="3"/>
  <c r="DC224" i="3"/>
  <c r="DB224" i="3"/>
  <c r="DA224" i="3"/>
  <c r="CZ224" i="3"/>
  <c r="CW224" i="3"/>
  <c r="CV224" i="3"/>
  <c r="CU224" i="3"/>
  <c r="CQ224" i="3"/>
  <c r="CN224" i="3"/>
  <c r="CK224" i="3"/>
  <c r="CJ224" i="3"/>
  <c r="CF224" i="3"/>
  <c r="CE224" i="3"/>
  <c r="CD224" i="3"/>
  <c r="BY224" i="3"/>
  <c r="BX224" i="3"/>
  <c r="BT224" i="3"/>
  <c r="BS224" i="3"/>
  <c r="BQ224" i="3"/>
  <c r="BP224" i="3"/>
  <c r="BL224" i="3"/>
  <c r="BG224" i="3"/>
  <c r="BB224" i="3"/>
  <c r="EC224" i="3" s="1"/>
  <c r="BA224" i="3"/>
  <c r="AZ224" i="3"/>
  <c r="AY224" i="3"/>
  <c r="BR224" i="3" s="1"/>
  <c r="AX224" i="3"/>
  <c r="AW224" i="3"/>
  <c r="CT224" i="3" s="1"/>
  <c r="AV224" i="3"/>
  <c r="EL224" i="3" s="1"/>
  <c r="AU224" i="3"/>
  <c r="EK224" i="3" s="1"/>
  <c r="AT224" i="3"/>
  <c r="AS224" i="3"/>
  <c r="EY224" i="3" s="1"/>
  <c r="AR224" i="3"/>
  <c r="AQ224" i="3"/>
  <c r="DR224" i="3" s="1"/>
  <c r="AP224" i="3"/>
  <c r="DQ224" i="3" s="1"/>
  <c r="AO224" i="3"/>
  <c r="AN224" i="3"/>
  <c r="AL224" i="3"/>
  <c r="AK224" i="3"/>
  <c r="AJ224" i="3"/>
  <c r="AI224" i="3"/>
  <c r="BF224" i="3" s="1"/>
  <c r="AH224" i="3"/>
  <c r="AG224" i="3"/>
  <c r="AF224" i="3"/>
  <c r="AE224" i="3"/>
  <c r="AD224" i="3"/>
  <c r="AC224" i="3"/>
  <c r="AB224" i="3"/>
  <c r="AA224" i="3"/>
  <c r="BD224" i="3" s="1"/>
  <c r="Z224" i="3"/>
  <c r="Y224" i="3"/>
  <c r="X224" i="3"/>
  <c r="BC224" i="3" s="1"/>
  <c r="T224" i="3"/>
  <c r="FH223" i="3"/>
  <c r="FG223" i="3"/>
  <c r="FF223" i="3"/>
  <c r="EZ223" i="3"/>
  <c r="EY223" i="3"/>
  <c r="EU223" i="3"/>
  <c r="ET223" i="3"/>
  <c r="EQ223" i="3"/>
  <c r="EP223" i="3"/>
  <c r="EN223" i="3"/>
  <c r="EJ223" i="3"/>
  <c r="EI223" i="3"/>
  <c r="EE223" i="3"/>
  <c r="ED223" i="3"/>
  <c r="EC223" i="3"/>
  <c r="EB223" i="3"/>
  <c r="EA223" i="3"/>
  <c r="DX223" i="3"/>
  <c r="DV223" i="3"/>
  <c r="DR223" i="3"/>
  <c r="DP223" i="3"/>
  <c r="DO223" i="3"/>
  <c r="DN223" i="3"/>
  <c r="DM223" i="3"/>
  <c r="DL223" i="3"/>
  <c r="DK223" i="3"/>
  <c r="DJ223" i="3"/>
  <c r="DI223" i="3"/>
  <c r="DH223" i="3"/>
  <c r="DG223" i="3"/>
  <c r="DF223" i="3"/>
  <c r="DE223" i="3"/>
  <c r="DD223" i="3"/>
  <c r="DC223" i="3"/>
  <c r="DB223" i="3"/>
  <c r="DA223" i="3"/>
  <c r="CZ223" i="3"/>
  <c r="CX223" i="3"/>
  <c r="CT223" i="3"/>
  <c r="CR223" i="3"/>
  <c r="CQ223" i="3"/>
  <c r="CN223" i="3"/>
  <c r="CL223" i="3"/>
  <c r="CI223" i="3"/>
  <c r="CH223" i="3"/>
  <c r="CF223" i="3"/>
  <c r="CB223" i="3"/>
  <c r="CA223" i="3"/>
  <c r="BW223" i="3"/>
  <c r="BV223" i="3"/>
  <c r="BT223" i="3"/>
  <c r="BS223" i="3"/>
  <c r="BN223" i="3"/>
  <c r="BJ223" i="3"/>
  <c r="BH223" i="3"/>
  <c r="BG223" i="3"/>
  <c r="BD223" i="3"/>
  <c r="BB223" i="3"/>
  <c r="CY223" i="3" s="1"/>
  <c r="BA223" i="3"/>
  <c r="AZ223" i="3"/>
  <c r="CW223" i="3" s="1"/>
  <c r="AY223" i="3"/>
  <c r="EO223" i="3" s="1"/>
  <c r="AX223" i="3"/>
  <c r="AW223" i="3"/>
  <c r="FC223" i="3" s="1"/>
  <c r="AV223" i="3"/>
  <c r="AU223" i="3"/>
  <c r="FA223" i="3" s="1"/>
  <c r="AT223" i="3"/>
  <c r="DU223" i="3" s="1"/>
  <c r="AS223" i="3"/>
  <c r="DT223" i="3" s="1"/>
  <c r="AR223" i="3"/>
  <c r="AQ223" i="3"/>
  <c r="AP223" i="3"/>
  <c r="AO223" i="3"/>
  <c r="AN223" i="3"/>
  <c r="CK223" i="3" s="1"/>
  <c r="AL223" i="3"/>
  <c r="AK223" i="3"/>
  <c r="AJ223" i="3"/>
  <c r="AI223" i="3"/>
  <c r="AH223" i="3"/>
  <c r="AG223" i="3"/>
  <c r="AF223" i="3"/>
  <c r="BE223" i="3" s="1"/>
  <c r="AE223" i="3"/>
  <c r="AD223" i="3"/>
  <c r="AC223" i="3"/>
  <c r="AB223" i="3"/>
  <c r="AA223" i="3"/>
  <c r="Z223" i="3"/>
  <c r="Y223" i="3"/>
  <c r="X223" i="3"/>
  <c r="T223" i="3"/>
  <c r="FE222" i="3"/>
  <c r="FC222" i="3"/>
  <c r="FB222" i="3"/>
  <c r="EX222" i="3"/>
  <c r="EW222" i="3"/>
  <c r="EQ222" i="3"/>
  <c r="EM222" i="3"/>
  <c r="EH222" i="3"/>
  <c r="EG222" i="3"/>
  <c r="EF222" i="3"/>
  <c r="ED222" i="3"/>
  <c r="DZ222" i="3"/>
  <c r="DU222" i="3"/>
  <c r="DS222" i="3"/>
  <c r="DR222" i="3"/>
  <c r="DN222" i="3"/>
  <c r="DM222" i="3"/>
  <c r="DL222" i="3"/>
  <c r="DK222" i="3"/>
  <c r="DJ222" i="3"/>
  <c r="DI222" i="3"/>
  <c r="DH222" i="3"/>
  <c r="DG222" i="3"/>
  <c r="DF222" i="3"/>
  <c r="DE222" i="3"/>
  <c r="DD222" i="3"/>
  <c r="DC222" i="3"/>
  <c r="DB222" i="3"/>
  <c r="DA222" i="3"/>
  <c r="CZ222" i="3"/>
  <c r="CX222" i="3"/>
  <c r="CV222" i="3"/>
  <c r="CT222" i="3"/>
  <c r="CO222" i="3"/>
  <c r="CL222" i="3"/>
  <c r="CK222" i="3"/>
  <c r="CI222" i="3"/>
  <c r="CE222" i="3"/>
  <c r="BZ222" i="3"/>
  <c r="BY222" i="3"/>
  <c r="BW222" i="3"/>
  <c r="BM222" i="3"/>
  <c r="BK222" i="3"/>
  <c r="BJ222" i="3"/>
  <c r="BH222" i="3"/>
  <c r="BF222" i="3"/>
  <c r="BB222" i="3"/>
  <c r="BA222" i="3"/>
  <c r="AZ222" i="3"/>
  <c r="BS222" i="3" s="1"/>
  <c r="AY222" i="3"/>
  <c r="AX222" i="3"/>
  <c r="BQ222" i="3" s="1"/>
  <c r="AW222" i="3"/>
  <c r="DX222" i="3" s="1"/>
  <c r="AV222" i="3"/>
  <c r="EL222" i="3" s="1"/>
  <c r="AU222" i="3"/>
  <c r="AT222" i="3"/>
  <c r="AS222" i="3"/>
  <c r="EY222" i="3" s="1"/>
  <c r="AR222" i="3"/>
  <c r="AQ222" i="3"/>
  <c r="CN222" i="3" s="1"/>
  <c r="AP222" i="3"/>
  <c r="AO222" i="3"/>
  <c r="AN222" i="3"/>
  <c r="AL222" i="3"/>
  <c r="AK222" i="3"/>
  <c r="AJ222" i="3"/>
  <c r="AI222" i="3"/>
  <c r="AH222" i="3"/>
  <c r="AG222" i="3"/>
  <c r="BE222" i="3" s="1"/>
  <c r="AF222" i="3"/>
  <c r="AE222" i="3"/>
  <c r="AD222" i="3"/>
  <c r="AC222" i="3"/>
  <c r="AB222" i="3"/>
  <c r="AA222" i="3"/>
  <c r="Z222" i="3"/>
  <c r="Y222" i="3"/>
  <c r="X222" i="3"/>
  <c r="T222" i="3"/>
  <c r="FG221" i="3"/>
  <c r="FF221" i="3"/>
  <c r="FE221" i="3"/>
  <c r="FB221" i="3"/>
  <c r="FA221" i="3"/>
  <c r="EZ221" i="3"/>
  <c r="EW221" i="3"/>
  <c r="ET221" i="3"/>
  <c r="EQ221" i="3"/>
  <c r="EP221" i="3"/>
  <c r="EO221" i="3"/>
  <c r="EK221" i="3"/>
  <c r="EJ221" i="3"/>
  <c r="EI221" i="3"/>
  <c r="EH221" i="3"/>
  <c r="ED221" i="3"/>
  <c r="EB221" i="3"/>
  <c r="DX221" i="3"/>
  <c r="DW221" i="3"/>
  <c r="DV221" i="3"/>
  <c r="DU221" i="3"/>
  <c r="DR221" i="3"/>
  <c r="DN221" i="3"/>
  <c r="DM221" i="3"/>
  <c r="DL221" i="3"/>
  <c r="DK221" i="3"/>
  <c r="DJ221" i="3"/>
  <c r="DI221" i="3"/>
  <c r="DH221" i="3"/>
  <c r="DG221" i="3"/>
  <c r="DF221" i="3"/>
  <c r="DE221" i="3"/>
  <c r="DD221" i="3"/>
  <c r="DC221" i="3"/>
  <c r="DB221" i="3"/>
  <c r="DA221" i="3"/>
  <c r="CZ221" i="3"/>
  <c r="CX221" i="3"/>
  <c r="CW221" i="3"/>
  <c r="CU221" i="3"/>
  <c r="CS221" i="3"/>
  <c r="CR221" i="3"/>
  <c r="CN221" i="3"/>
  <c r="CK221" i="3"/>
  <c r="CH221" i="3"/>
  <c r="CG221" i="3"/>
  <c r="CF221" i="3"/>
  <c r="CC221" i="3"/>
  <c r="CB221" i="3"/>
  <c r="CA221" i="3"/>
  <c r="BY221" i="3"/>
  <c r="BW221" i="3"/>
  <c r="BV221" i="3"/>
  <c r="BQ221" i="3"/>
  <c r="BO221" i="3"/>
  <c r="BN221" i="3"/>
  <c r="BM221" i="3"/>
  <c r="BK221" i="3"/>
  <c r="BJ221" i="3"/>
  <c r="BH221" i="3"/>
  <c r="BB221" i="3"/>
  <c r="BA221" i="3"/>
  <c r="CI221" i="3" s="1"/>
  <c r="AZ221" i="3"/>
  <c r="EA221" i="3" s="1"/>
  <c r="AY221" i="3"/>
  <c r="AX221" i="3"/>
  <c r="FD221" i="3" s="1"/>
  <c r="AW221" i="3"/>
  <c r="AV221" i="3"/>
  <c r="AU221" i="3"/>
  <c r="AT221" i="3"/>
  <c r="CQ221" i="3" s="1"/>
  <c r="AS221" i="3"/>
  <c r="AR221" i="3"/>
  <c r="AQ221" i="3"/>
  <c r="EG221" i="3" s="1"/>
  <c r="AP221" i="3"/>
  <c r="AO221" i="3"/>
  <c r="EU221" i="3" s="1"/>
  <c r="AN221" i="3"/>
  <c r="DO221" i="3" s="1"/>
  <c r="AL221" i="3"/>
  <c r="AK221" i="3"/>
  <c r="AJ221" i="3"/>
  <c r="AI221" i="3"/>
  <c r="AH221" i="3"/>
  <c r="AG221" i="3"/>
  <c r="AF221" i="3"/>
  <c r="BE221" i="3" s="1"/>
  <c r="AE221" i="3"/>
  <c r="AD221" i="3"/>
  <c r="BD221" i="3" s="1"/>
  <c r="AC221" i="3"/>
  <c r="AB221" i="3"/>
  <c r="AA221" i="3"/>
  <c r="Z221" i="3"/>
  <c r="Y221" i="3"/>
  <c r="X221" i="3"/>
  <c r="BC221" i="3" s="1"/>
  <c r="T221" i="3"/>
  <c r="FG220" i="3"/>
  <c r="FF220" i="3"/>
  <c r="FE220" i="3"/>
  <c r="FD220" i="3"/>
  <c r="FC220" i="3"/>
  <c r="ER220" i="3"/>
  <c r="EN220" i="3"/>
  <c r="EM220" i="3"/>
  <c r="EL220" i="3"/>
  <c r="EI220" i="3"/>
  <c r="EE220" i="3"/>
  <c r="EA220" i="3"/>
  <c r="DY220" i="3"/>
  <c r="DX220" i="3"/>
  <c r="DS220" i="3"/>
  <c r="DO220" i="3"/>
  <c r="DN220" i="3"/>
  <c r="DM220" i="3"/>
  <c r="DL220" i="3"/>
  <c r="DK220" i="3"/>
  <c r="DJ220" i="3"/>
  <c r="DI220" i="3"/>
  <c r="DH220" i="3"/>
  <c r="DG220" i="3"/>
  <c r="DF220" i="3"/>
  <c r="DE220" i="3"/>
  <c r="DD220" i="3"/>
  <c r="DC220" i="3"/>
  <c r="DB220" i="3"/>
  <c r="DA220" i="3"/>
  <c r="CZ220" i="3"/>
  <c r="CY220" i="3"/>
  <c r="CW220" i="3"/>
  <c r="CU220" i="3"/>
  <c r="CO220" i="3"/>
  <c r="CM220" i="3"/>
  <c r="CK220" i="3"/>
  <c r="CJ220" i="3"/>
  <c r="CF220" i="3"/>
  <c r="CE220" i="3"/>
  <c r="CC220" i="3"/>
  <c r="CA220" i="3"/>
  <c r="BT220" i="3"/>
  <c r="BS220" i="3"/>
  <c r="BQ220" i="3"/>
  <c r="BP220" i="3"/>
  <c r="BO220" i="3"/>
  <c r="BL220" i="3"/>
  <c r="BK220" i="3"/>
  <c r="BG220" i="3"/>
  <c r="BF220" i="3"/>
  <c r="BC220" i="3"/>
  <c r="BB220" i="3"/>
  <c r="BA220" i="3"/>
  <c r="AZ220" i="3"/>
  <c r="AY220" i="3"/>
  <c r="AX220" i="3"/>
  <c r="AW220" i="3"/>
  <c r="CT220" i="3" s="1"/>
  <c r="AV220" i="3"/>
  <c r="DW220" i="3" s="1"/>
  <c r="AU220" i="3"/>
  <c r="FA220" i="3" s="1"/>
  <c r="AT220" i="3"/>
  <c r="AS220" i="3"/>
  <c r="CP220" i="3" s="1"/>
  <c r="AR220" i="3"/>
  <c r="BZ220" i="3" s="1"/>
  <c r="AQ220" i="3"/>
  <c r="AP220" i="3"/>
  <c r="AO220" i="3"/>
  <c r="AN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T220" i="3"/>
  <c r="FH219" i="3"/>
  <c r="FF219" i="3"/>
  <c r="FB219" i="3"/>
  <c r="EZ219" i="3"/>
  <c r="EV219" i="3"/>
  <c r="EO219" i="3"/>
  <c r="EN219" i="3"/>
  <c r="EL219" i="3"/>
  <c r="EK219" i="3"/>
  <c r="EJ219" i="3"/>
  <c r="EH219" i="3"/>
  <c r="ED219" i="3"/>
  <c r="EB219" i="3"/>
  <c r="DZ219" i="3"/>
  <c r="DW219" i="3"/>
  <c r="DS219" i="3"/>
  <c r="DN219" i="3"/>
  <c r="DM219" i="3"/>
  <c r="DL219" i="3"/>
  <c r="DK219" i="3"/>
  <c r="DJ219" i="3"/>
  <c r="DI219" i="3"/>
  <c r="DH219" i="3"/>
  <c r="DG219" i="3"/>
  <c r="DF219" i="3"/>
  <c r="DE219" i="3"/>
  <c r="DD219" i="3"/>
  <c r="DC219" i="3"/>
  <c r="DB219" i="3"/>
  <c r="DA219" i="3"/>
  <c r="CZ219" i="3"/>
  <c r="CX219" i="3"/>
  <c r="CV219" i="3"/>
  <c r="CS219" i="3"/>
  <c r="CQ219" i="3"/>
  <c r="CO219" i="3"/>
  <c r="CM219" i="3"/>
  <c r="CJ219" i="3"/>
  <c r="CG219" i="3"/>
  <c r="CE219" i="3"/>
  <c r="CC219" i="3"/>
  <c r="CB219" i="3"/>
  <c r="CA219" i="3"/>
  <c r="BX219" i="3"/>
  <c r="BU219" i="3"/>
  <c r="BQ219" i="3"/>
  <c r="BO219" i="3"/>
  <c r="BM219" i="3"/>
  <c r="BI219" i="3"/>
  <c r="BG219" i="3"/>
  <c r="BC219" i="3"/>
  <c r="BB219" i="3"/>
  <c r="ER219" i="3" s="1"/>
  <c r="BA219" i="3"/>
  <c r="AZ219" i="3"/>
  <c r="BS219" i="3" s="1"/>
  <c r="AY219" i="3"/>
  <c r="FE219" i="3" s="1"/>
  <c r="AX219" i="3"/>
  <c r="FD219" i="3" s="1"/>
  <c r="AW219" i="3"/>
  <c r="AV219" i="3"/>
  <c r="CD219" i="3" s="1"/>
  <c r="AU219" i="3"/>
  <c r="AT219" i="3"/>
  <c r="DU219" i="3" s="1"/>
  <c r="AS219" i="3"/>
  <c r="AR219" i="3"/>
  <c r="BZ219" i="3" s="1"/>
  <c r="AQ219" i="3"/>
  <c r="AP219" i="3"/>
  <c r="EF219" i="3" s="1"/>
  <c r="AO219" i="3"/>
  <c r="AN219" i="3"/>
  <c r="ET219" i="3" s="1"/>
  <c r="AL219" i="3"/>
  <c r="AK219" i="3"/>
  <c r="AJ219" i="3"/>
  <c r="AI219" i="3"/>
  <c r="AH219" i="3"/>
  <c r="AG219" i="3"/>
  <c r="BE219" i="3" s="1"/>
  <c r="AF219" i="3"/>
  <c r="AE219" i="3"/>
  <c r="AD219" i="3"/>
  <c r="AC219" i="3"/>
  <c r="AB219" i="3"/>
  <c r="BD219" i="3" s="1"/>
  <c r="AA219" i="3"/>
  <c r="Z219" i="3"/>
  <c r="Y219" i="3"/>
  <c r="X219" i="3"/>
  <c r="T219" i="3"/>
  <c r="FH218" i="3"/>
  <c r="FG218" i="3"/>
  <c r="FE218" i="3"/>
  <c r="FC218" i="3"/>
  <c r="EY218" i="3"/>
  <c r="EX218" i="3"/>
  <c r="EV218" i="3"/>
  <c r="EU218" i="3"/>
  <c r="ER218" i="3"/>
  <c r="EP218" i="3"/>
  <c r="EM218" i="3"/>
  <c r="EI218" i="3"/>
  <c r="EF218" i="3"/>
  <c r="EB218" i="3"/>
  <c r="DZ218" i="3"/>
  <c r="DX218" i="3"/>
  <c r="DT218" i="3"/>
  <c r="DP218" i="3"/>
  <c r="DN218" i="3"/>
  <c r="DM218" i="3"/>
  <c r="DL218" i="3"/>
  <c r="DK218" i="3"/>
  <c r="DJ218" i="3"/>
  <c r="DI218" i="3"/>
  <c r="DH218" i="3"/>
  <c r="DG218" i="3"/>
  <c r="DF218" i="3"/>
  <c r="DE218" i="3"/>
  <c r="DD218" i="3"/>
  <c r="DC218" i="3"/>
  <c r="DB218" i="3"/>
  <c r="DA218" i="3"/>
  <c r="CZ218" i="3"/>
  <c r="CY218" i="3"/>
  <c r="CV218" i="3"/>
  <c r="CT218" i="3"/>
  <c r="CR218" i="3"/>
  <c r="CP218" i="3"/>
  <c r="CN218" i="3"/>
  <c r="CM218" i="3"/>
  <c r="CJ218" i="3"/>
  <c r="CH218" i="3"/>
  <c r="CE218" i="3"/>
  <c r="CA218" i="3"/>
  <c r="BX218" i="3"/>
  <c r="BT218" i="3"/>
  <c r="BR218" i="3"/>
  <c r="BP218" i="3"/>
  <c r="BL218" i="3"/>
  <c r="BJ218" i="3"/>
  <c r="BH218" i="3"/>
  <c r="BB218" i="3"/>
  <c r="EC218" i="3" s="1"/>
  <c r="BA218" i="3"/>
  <c r="CX218" i="3" s="1"/>
  <c r="AZ218" i="3"/>
  <c r="AY218" i="3"/>
  <c r="EO218" i="3" s="1"/>
  <c r="AX218" i="3"/>
  <c r="AW218" i="3"/>
  <c r="AV218" i="3"/>
  <c r="AU218" i="3"/>
  <c r="FA218" i="3" s="1"/>
  <c r="AT218" i="3"/>
  <c r="AS218" i="3"/>
  <c r="AR218" i="3"/>
  <c r="AQ218" i="3"/>
  <c r="DR218" i="3" s="1"/>
  <c r="AP218" i="3"/>
  <c r="DQ218" i="3" s="1"/>
  <c r="AO218" i="3"/>
  <c r="CL218" i="3" s="1"/>
  <c r="AN218" i="3"/>
  <c r="AL218" i="3"/>
  <c r="BF218" i="3" s="1"/>
  <c r="AK218" i="3"/>
  <c r="AJ218" i="3"/>
  <c r="AI218" i="3"/>
  <c r="AH218" i="3"/>
  <c r="AG218" i="3"/>
  <c r="AF218" i="3"/>
  <c r="AE218" i="3"/>
  <c r="BD218" i="3" s="1"/>
  <c r="AD218" i="3"/>
  <c r="AC218" i="3"/>
  <c r="AB218" i="3"/>
  <c r="AA218" i="3"/>
  <c r="Z218" i="3"/>
  <c r="Y218" i="3"/>
  <c r="X218" i="3"/>
  <c r="T218" i="3"/>
  <c r="FH217" i="3"/>
  <c r="FF217" i="3"/>
  <c r="FB217" i="3"/>
  <c r="FA217" i="3"/>
  <c r="EY217" i="3"/>
  <c r="EX217" i="3"/>
  <c r="EV217" i="3"/>
  <c r="EU217" i="3"/>
  <c r="ET217" i="3"/>
  <c r="EP217" i="3"/>
  <c r="EL217" i="3"/>
  <c r="EI217" i="3"/>
  <c r="EE217" i="3"/>
  <c r="ED217" i="3"/>
  <c r="EC217" i="3"/>
  <c r="EA217" i="3"/>
  <c r="DW217" i="3"/>
  <c r="DS217" i="3"/>
  <c r="DQ217" i="3"/>
  <c r="DO217" i="3"/>
  <c r="DN217" i="3"/>
  <c r="DM217" i="3"/>
  <c r="DL217" i="3"/>
  <c r="DK217" i="3"/>
  <c r="DJ217" i="3"/>
  <c r="DI217" i="3"/>
  <c r="DH217" i="3"/>
  <c r="DG217" i="3"/>
  <c r="DF217" i="3"/>
  <c r="DE217" i="3"/>
  <c r="DD217" i="3"/>
  <c r="DC217" i="3"/>
  <c r="DB217" i="3"/>
  <c r="DA217" i="3"/>
  <c r="CZ217" i="3"/>
  <c r="CY217" i="3"/>
  <c r="CW217" i="3"/>
  <c r="CU217" i="3"/>
  <c r="CS217" i="3"/>
  <c r="CP217" i="3"/>
  <c r="CM217" i="3"/>
  <c r="CK217" i="3"/>
  <c r="CI217" i="3"/>
  <c r="CH217" i="3"/>
  <c r="CG217" i="3"/>
  <c r="CE217" i="3"/>
  <c r="CD217" i="3"/>
  <c r="CA217" i="3"/>
  <c r="BV217" i="3"/>
  <c r="BU217" i="3"/>
  <c r="BS217" i="3"/>
  <c r="BR217" i="3"/>
  <c r="BO217" i="3"/>
  <c r="BM217" i="3"/>
  <c r="BK217" i="3"/>
  <c r="BI217" i="3"/>
  <c r="BG217" i="3"/>
  <c r="BF217" i="3"/>
  <c r="BB217" i="3"/>
  <c r="ER217" i="3" s="1"/>
  <c r="BA217" i="3"/>
  <c r="AZ217" i="3"/>
  <c r="AY217" i="3"/>
  <c r="CV217" i="3" s="1"/>
  <c r="AX217" i="3"/>
  <c r="FD217" i="3" s="1"/>
  <c r="AW217" i="3"/>
  <c r="AV217" i="3"/>
  <c r="AU217" i="3"/>
  <c r="AT217" i="3"/>
  <c r="AS217" i="3"/>
  <c r="DT217" i="3" s="1"/>
  <c r="AR217" i="3"/>
  <c r="CO217" i="3" s="1"/>
  <c r="AQ217" i="3"/>
  <c r="EG217" i="3" s="1"/>
  <c r="AP217" i="3"/>
  <c r="EF217" i="3" s="1"/>
  <c r="AO217" i="3"/>
  <c r="AN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T217" i="3"/>
  <c r="FE216" i="3"/>
  <c r="FB216" i="3"/>
  <c r="FA216" i="3"/>
  <c r="EY216" i="3"/>
  <c r="EX216" i="3"/>
  <c r="EW216" i="3"/>
  <c r="EO216" i="3"/>
  <c r="EL216" i="3"/>
  <c r="EG216" i="3"/>
  <c r="ED216" i="3"/>
  <c r="DZ216" i="3"/>
  <c r="DV216" i="3"/>
  <c r="DT216" i="3"/>
  <c r="DR216" i="3"/>
  <c r="DN216" i="3"/>
  <c r="DM216" i="3"/>
  <c r="DL216" i="3"/>
  <c r="DK216" i="3"/>
  <c r="DJ216" i="3"/>
  <c r="DI216" i="3"/>
  <c r="DH216" i="3"/>
  <c r="DG216" i="3"/>
  <c r="DF216" i="3"/>
  <c r="DE216" i="3"/>
  <c r="DD216" i="3"/>
  <c r="DC216" i="3"/>
  <c r="DB216" i="3"/>
  <c r="DA216" i="3"/>
  <c r="CZ216" i="3"/>
  <c r="CX216" i="3"/>
  <c r="CV216" i="3"/>
  <c r="CS216" i="3"/>
  <c r="CP216" i="3"/>
  <c r="CN216" i="3"/>
  <c r="CL216" i="3"/>
  <c r="CG216" i="3"/>
  <c r="CD216" i="3"/>
  <c r="CB216" i="3"/>
  <c r="BZ216" i="3"/>
  <c r="BY216" i="3"/>
  <c r="BV216" i="3"/>
  <c r="BR216" i="3"/>
  <c r="BP216" i="3"/>
  <c r="BN216" i="3"/>
  <c r="BL216" i="3"/>
  <c r="BJ216" i="3"/>
  <c r="BB216" i="3"/>
  <c r="BA216" i="3"/>
  <c r="FG216" i="3" s="1"/>
  <c r="AZ216" i="3"/>
  <c r="AY216" i="3"/>
  <c r="AX216" i="3"/>
  <c r="AW216" i="3"/>
  <c r="AV216" i="3"/>
  <c r="DW216" i="3" s="1"/>
  <c r="AU216" i="3"/>
  <c r="CR216" i="3" s="1"/>
  <c r="AT216" i="3"/>
  <c r="AS216" i="3"/>
  <c r="EI216" i="3" s="1"/>
  <c r="AR216" i="3"/>
  <c r="AQ216" i="3"/>
  <c r="AP216" i="3"/>
  <c r="AO216" i="3"/>
  <c r="EU216" i="3" s="1"/>
  <c r="AN216" i="3"/>
  <c r="AL216" i="3"/>
  <c r="AK216" i="3"/>
  <c r="BF216" i="3" s="1"/>
  <c r="AJ216" i="3"/>
  <c r="AI216" i="3"/>
  <c r="AH216" i="3"/>
  <c r="AG216" i="3"/>
  <c r="AF216" i="3"/>
  <c r="BE216" i="3" s="1"/>
  <c r="AE216" i="3"/>
  <c r="AD216" i="3"/>
  <c r="BD216" i="3" s="1"/>
  <c r="AC216" i="3"/>
  <c r="AB216" i="3"/>
  <c r="AA216" i="3"/>
  <c r="Z216" i="3"/>
  <c r="Y216" i="3"/>
  <c r="X216" i="3"/>
  <c r="T216" i="3"/>
  <c r="FH215" i="3"/>
  <c r="FE215" i="3"/>
  <c r="FB215" i="3"/>
  <c r="FA215" i="3"/>
  <c r="EY215" i="3"/>
  <c r="EW215" i="3"/>
  <c r="EV215" i="3"/>
  <c r="ER215" i="3"/>
  <c r="EO215" i="3"/>
  <c r="EM215" i="3"/>
  <c r="EK215" i="3"/>
  <c r="EJ215" i="3"/>
  <c r="EF215" i="3"/>
  <c r="EC215" i="3"/>
  <c r="DW215" i="3"/>
  <c r="DU215" i="3"/>
  <c r="DQ215" i="3"/>
  <c r="DN215" i="3"/>
  <c r="DM215" i="3"/>
  <c r="DL215" i="3"/>
  <c r="DK215" i="3"/>
  <c r="DJ215" i="3"/>
  <c r="DI215" i="3"/>
  <c r="DH215" i="3"/>
  <c r="DG215" i="3"/>
  <c r="DF215" i="3"/>
  <c r="DE215" i="3"/>
  <c r="DD215" i="3"/>
  <c r="DC215" i="3"/>
  <c r="DB215" i="3"/>
  <c r="DA215" i="3"/>
  <c r="CZ215" i="3"/>
  <c r="CY215" i="3"/>
  <c r="CV215" i="3"/>
  <c r="CS215" i="3"/>
  <c r="CQ215" i="3"/>
  <c r="CO215" i="3"/>
  <c r="CM215" i="3"/>
  <c r="CJ215" i="3"/>
  <c r="CG215" i="3"/>
  <c r="CB215" i="3"/>
  <c r="BX215" i="3"/>
  <c r="BU215" i="3"/>
  <c r="BR215" i="3"/>
  <c r="BQ215" i="3"/>
  <c r="BP215" i="3"/>
  <c r="BO215" i="3"/>
  <c r="BM215" i="3"/>
  <c r="BI215" i="3"/>
  <c r="BC215" i="3"/>
  <c r="BB215" i="3"/>
  <c r="BA215" i="3"/>
  <c r="AZ215" i="3"/>
  <c r="AY215" i="3"/>
  <c r="DZ215" i="3" s="1"/>
  <c r="AX215" i="3"/>
  <c r="FD215" i="3" s="1"/>
  <c r="AW215" i="3"/>
  <c r="FC215" i="3" s="1"/>
  <c r="AV215" i="3"/>
  <c r="EL215" i="3" s="1"/>
  <c r="AU215" i="3"/>
  <c r="AT215" i="3"/>
  <c r="EZ215" i="3" s="1"/>
  <c r="AS215" i="3"/>
  <c r="EI215" i="3" s="1"/>
  <c r="AR215" i="3"/>
  <c r="AQ215" i="3"/>
  <c r="AP215" i="3"/>
  <c r="AO215" i="3"/>
  <c r="AN215" i="3"/>
  <c r="AL215" i="3"/>
  <c r="AK215" i="3"/>
  <c r="AJ215" i="3"/>
  <c r="AI215" i="3"/>
  <c r="BF215" i="3" s="1"/>
  <c r="AH215" i="3"/>
  <c r="AG215" i="3"/>
  <c r="AF215" i="3"/>
  <c r="BE215" i="3" s="1"/>
  <c r="AE215" i="3"/>
  <c r="AD215" i="3"/>
  <c r="AC215" i="3"/>
  <c r="AB215" i="3"/>
  <c r="BD215" i="3" s="1"/>
  <c r="AA215" i="3"/>
  <c r="Z215" i="3"/>
  <c r="Y215" i="3"/>
  <c r="X215" i="3"/>
  <c r="T215" i="3"/>
  <c r="FH214" i="3"/>
  <c r="FG214" i="3"/>
  <c r="FE214" i="3"/>
  <c r="FB214" i="3"/>
  <c r="EY214" i="3"/>
  <c r="EX214" i="3"/>
  <c r="EV214" i="3"/>
  <c r="EU214" i="3"/>
  <c r="ER214" i="3"/>
  <c r="EM214" i="3"/>
  <c r="EL214" i="3"/>
  <c r="EJ214" i="3"/>
  <c r="EI214" i="3"/>
  <c r="EF214" i="3"/>
  <c r="EB214" i="3"/>
  <c r="EA214" i="3"/>
  <c r="DZ214" i="3"/>
  <c r="DX214" i="3"/>
  <c r="DT214" i="3"/>
  <c r="DR214" i="3"/>
  <c r="DN214" i="3"/>
  <c r="DM214" i="3"/>
  <c r="DL214" i="3"/>
  <c r="DK214" i="3"/>
  <c r="DJ214" i="3"/>
  <c r="DI214" i="3"/>
  <c r="DH214" i="3"/>
  <c r="DG214" i="3"/>
  <c r="DF214" i="3"/>
  <c r="DE214" i="3"/>
  <c r="DD214" i="3"/>
  <c r="DC214" i="3"/>
  <c r="DB214" i="3"/>
  <c r="DA214" i="3"/>
  <c r="CZ214" i="3"/>
  <c r="CY214" i="3"/>
  <c r="CW214" i="3"/>
  <c r="CV214" i="3"/>
  <c r="CT214" i="3"/>
  <c r="CR214" i="3"/>
  <c r="CP214" i="3"/>
  <c r="CM214" i="3"/>
  <c r="CJ214" i="3"/>
  <c r="CE214" i="3"/>
  <c r="CA214" i="3"/>
  <c r="BY214" i="3"/>
  <c r="BX214" i="3"/>
  <c r="BR214" i="3"/>
  <c r="BP214" i="3"/>
  <c r="BL214" i="3"/>
  <c r="BJ214" i="3"/>
  <c r="BH214" i="3"/>
  <c r="BG214" i="3"/>
  <c r="BB214" i="3"/>
  <c r="EC214" i="3" s="1"/>
  <c r="BA214" i="3"/>
  <c r="AZ214" i="3"/>
  <c r="FF214" i="3" s="1"/>
  <c r="AY214" i="3"/>
  <c r="EO214" i="3" s="1"/>
  <c r="AX214" i="3"/>
  <c r="AW214" i="3"/>
  <c r="FC214" i="3" s="1"/>
  <c r="AV214" i="3"/>
  <c r="AU214" i="3"/>
  <c r="AT214" i="3"/>
  <c r="EZ214" i="3" s="1"/>
  <c r="AS214" i="3"/>
  <c r="AR214" i="3"/>
  <c r="AQ214" i="3"/>
  <c r="EW214" i="3" s="1"/>
  <c r="AP214" i="3"/>
  <c r="DQ214" i="3" s="1"/>
  <c r="AO214" i="3"/>
  <c r="AN214" i="3"/>
  <c r="ET214" i="3" s="1"/>
  <c r="AL214" i="3"/>
  <c r="BF214" i="3" s="1"/>
  <c r="AK214" i="3"/>
  <c r="AJ214" i="3"/>
  <c r="AI214" i="3"/>
  <c r="AH214" i="3"/>
  <c r="AG214" i="3"/>
  <c r="AF214" i="3"/>
  <c r="BE214" i="3" s="1"/>
  <c r="AE214" i="3"/>
  <c r="AD214" i="3"/>
  <c r="AC214" i="3"/>
  <c r="AB214" i="3"/>
  <c r="BD214" i="3" s="1"/>
  <c r="AA214" i="3"/>
  <c r="Z214" i="3"/>
  <c r="Y214" i="3"/>
  <c r="X214" i="3"/>
  <c r="T214" i="3"/>
  <c r="FF213" i="3"/>
  <c r="FC213" i="3"/>
  <c r="FB213" i="3"/>
  <c r="EY213" i="3"/>
  <c r="EX213" i="3"/>
  <c r="EV213" i="3"/>
  <c r="EU213" i="3"/>
  <c r="ET213" i="3"/>
  <c r="EP213" i="3"/>
  <c r="EM213" i="3"/>
  <c r="EL213" i="3"/>
  <c r="EI213" i="3"/>
  <c r="EG213" i="3"/>
  <c r="EE213" i="3"/>
  <c r="ED213" i="3"/>
  <c r="EA213" i="3"/>
  <c r="DW213" i="3"/>
  <c r="DV213" i="3"/>
  <c r="DU213" i="3"/>
  <c r="DR213" i="3"/>
  <c r="DQ213" i="3"/>
  <c r="DO213" i="3"/>
  <c r="DN213" i="3"/>
  <c r="DM213" i="3"/>
  <c r="DL213" i="3"/>
  <c r="DK213" i="3"/>
  <c r="DJ213" i="3"/>
  <c r="DI213" i="3"/>
  <c r="DH213" i="3"/>
  <c r="DG213" i="3"/>
  <c r="DF213" i="3"/>
  <c r="DE213" i="3"/>
  <c r="DD213" i="3"/>
  <c r="DC213" i="3"/>
  <c r="DB213" i="3"/>
  <c r="DA213" i="3"/>
  <c r="CZ213" i="3"/>
  <c r="CY213" i="3"/>
  <c r="CW213" i="3"/>
  <c r="CU213" i="3"/>
  <c r="CT213" i="3"/>
  <c r="CS213" i="3"/>
  <c r="CQ213" i="3"/>
  <c r="CP213" i="3"/>
  <c r="CN213" i="3"/>
  <c r="CM213" i="3"/>
  <c r="CK213" i="3"/>
  <c r="CH213" i="3"/>
  <c r="CE213" i="3"/>
  <c r="CD213" i="3"/>
  <c r="CA213" i="3"/>
  <c r="BZ213" i="3"/>
  <c r="BY213" i="3"/>
  <c r="BW213" i="3"/>
  <c r="BV213" i="3"/>
  <c r="BS213" i="3"/>
  <c r="BO213" i="3"/>
  <c r="BK213" i="3"/>
  <c r="BJ213" i="3"/>
  <c r="BI213" i="3"/>
  <c r="BG213" i="3"/>
  <c r="BB213" i="3"/>
  <c r="BA213" i="3"/>
  <c r="AZ213" i="3"/>
  <c r="AY213" i="3"/>
  <c r="AX213" i="3"/>
  <c r="AW213" i="3"/>
  <c r="AV213" i="3"/>
  <c r="AU213" i="3"/>
  <c r="AT213" i="3"/>
  <c r="AS213" i="3"/>
  <c r="AR213" i="3"/>
  <c r="DS213" i="3" s="1"/>
  <c r="AQ213" i="3"/>
  <c r="EW213" i="3" s="1"/>
  <c r="AP213" i="3"/>
  <c r="AO213" i="3"/>
  <c r="AN213" i="3"/>
  <c r="AL213" i="3"/>
  <c r="AK213" i="3"/>
  <c r="AJ213" i="3"/>
  <c r="AI213" i="3"/>
  <c r="BF213" i="3" s="1"/>
  <c r="AH213" i="3"/>
  <c r="AG213" i="3"/>
  <c r="AF213" i="3"/>
  <c r="AE213" i="3"/>
  <c r="AD213" i="3"/>
  <c r="AC213" i="3"/>
  <c r="AB213" i="3"/>
  <c r="AA213" i="3"/>
  <c r="BD213" i="3" s="1"/>
  <c r="Z213" i="3"/>
  <c r="Y213" i="3"/>
  <c r="X213" i="3"/>
  <c r="BC213" i="3" s="1"/>
  <c r="T213" i="3"/>
  <c r="FF212" i="3"/>
  <c r="FE212" i="3"/>
  <c r="FC212" i="3"/>
  <c r="FB212" i="3"/>
  <c r="EZ212" i="3"/>
  <c r="EW212" i="3"/>
  <c r="EP212" i="3"/>
  <c r="EO212" i="3"/>
  <c r="EN212" i="3"/>
  <c r="EM212" i="3"/>
  <c r="EG212" i="3"/>
  <c r="EE212" i="3"/>
  <c r="EC212" i="3"/>
  <c r="EB212" i="3"/>
  <c r="DX212" i="3"/>
  <c r="DS212" i="3"/>
  <c r="DR212" i="3"/>
  <c r="DP212" i="3"/>
  <c r="DO212" i="3"/>
  <c r="DN212" i="3"/>
  <c r="DM212" i="3"/>
  <c r="DL212" i="3"/>
  <c r="DK212" i="3"/>
  <c r="DJ212" i="3"/>
  <c r="DI212" i="3"/>
  <c r="DH212" i="3"/>
  <c r="DG212" i="3"/>
  <c r="DF212" i="3"/>
  <c r="DE212" i="3"/>
  <c r="DD212" i="3"/>
  <c r="DC212" i="3"/>
  <c r="DB212" i="3"/>
  <c r="DA212" i="3"/>
  <c r="CZ212" i="3"/>
  <c r="CX212" i="3"/>
  <c r="CT212" i="3"/>
  <c r="CP212" i="3"/>
  <c r="CO212" i="3"/>
  <c r="CN212" i="3"/>
  <c r="CL212" i="3"/>
  <c r="CI212" i="3"/>
  <c r="CH212" i="3"/>
  <c r="CE212" i="3"/>
  <c r="BZ212" i="3"/>
  <c r="BY212" i="3"/>
  <c r="BW212" i="3"/>
  <c r="BV212" i="3"/>
  <c r="BT212" i="3"/>
  <c r="BS212" i="3"/>
  <c r="BR212" i="3"/>
  <c r="BP212" i="3"/>
  <c r="BK212" i="3"/>
  <c r="BJ212" i="3"/>
  <c r="BH212" i="3"/>
  <c r="BG212" i="3"/>
  <c r="BF212" i="3"/>
  <c r="BE212" i="3"/>
  <c r="BB212" i="3"/>
  <c r="BA212" i="3"/>
  <c r="FG212" i="3" s="1"/>
  <c r="AZ212" i="3"/>
  <c r="CW212" i="3" s="1"/>
  <c r="AY212" i="3"/>
  <c r="CG212" i="3" s="1"/>
  <c r="AX212" i="3"/>
  <c r="AW212" i="3"/>
  <c r="AV212" i="3"/>
  <c r="AU212" i="3"/>
  <c r="AT212" i="3"/>
  <c r="AS212" i="3"/>
  <c r="AR212" i="3"/>
  <c r="EX212" i="3" s="1"/>
  <c r="AQ212" i="3"/>
  <c r="AP212" i="3"/>
  <c r="AO212" i="3"/>
  <c r="EU212" i="3" s="1"/>
  <c r="AN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BC212" i="3" s="1"/>
  <c r="T212" i="3"/>
  <c r="FG211" i="3"/>
  <c r="FF211" i="3"/>
  <c r="EZ211" i="3"/>
  <c r="EY211" i="3"/>
  <c r="EW211" i="3"/>
  <c r="EU211" i="3"/>
  <c r="ET211" i="3"/>
  <c r="EQ211" i="3"/>
  <c r="EP211" i="3"/>
  <c r="EH211" i="3"/>
  <c r="EG211" i="3"/>
  <c r="EE211" i="3"/>
  <c r="ED211" i="3"/>
  <c r="EC211" i="3"/>
  <c r="EB211" i="3"/>
  <c r="EA211" i="3"/>
  <c r="DU211" i="3"/>
  <c r="DS211" i="3"/>
  <c r="DR211" i="3"/>
  <c r="DQ211" i="3"/>
  <c r="DP211" i="3"/>
  <c r="DO211" i="3"/>
  <c r="DN211" i="3"/>
  <c r="DM211" i="3"/>
  <c r="DL211" i="3"/>
  <c r="DK211" i="3"/>
  <c r="DJ211" i="3"/>
  <c r="DI211" i="3"/>
  <c r="DH211" i="3"/>
  <c r="DG211" i="3"/>
  <c r="DF211" i="3"/>
  <c r="DE211" i="3"/>
  <c r="DD211" i="3"/>
  <c r="DC211" i="3"/>
  <c r="DB211" i="3"/>
  <c r="DA211" i="3"/>
  <c r="CZ211" i="3"/>
  <c r="CW211" i="3"/>
  <c r="CU211" i="3"/>
  <c r="CQ211" i="3"/>
  <c r="CO211" i="3"/>
  <c r="CM211" i="3"/>
  <c r="CL211" i="3"/>
  <c r="CK211" i="3"/>
  <c r="CH211" i="3"/>
  <c r="CF211" i="3"/>
  <c r="CB211" i="3"/>
  <c r="BZ211" i="3"/>
  <c r="BY211" i="3"/>
  <c r="BW211" i="3"/>
  <c r="BV211" i="3"/>
  <c r="BS211" i="3"/>
  <c r="BQ211" i="3"/>
  <c r="BM211" i="3"/>
  <c r="BK211" i="3"/>
  <c r="BJ211" i="3"/>
  <c r="BI211" i="3"/>
  <c r="BH211" i="3"/>
  <c r="BG211" i="3"/>
  <c r="BB211" i="3"/>
  <c r="BA211" i="3"/>
  <c r="CI211" i="3" s="1"/>
  <c r="AZ211" i="3"/>
  <c r="AY211" i="3"/>
  <c r="AX211" i="3"/>
  <c r="FD211" i="3" s="1"/>
  <c r="AW211" i="3"/>
  <c r="AV211" i="3"/>
  <c r="AU211" i="3"/>
  <c r="CC211" i="3" s="1"/>
  <c r="AT211" i="3"/>
  <c r="EJ211" i="3" s="1"/>
  <c r="AS211" i="3"/>
  <c r="AR211" i="3"/>
  <c r="EX211" i="3" s="1"/>
  <c r="AQ211" i="3"/>
  <c r="CN211" i="3" s="1"/>
  <c r="AP211" i="3"/>
  <c r="AO211" i="3"/>
  <c r="AN211" i="3"/>
  <c r="AL211" i="3"/>
  <c r="AK211" i="3"/>
  <c r="AJ211" i="3"/>
  <c r="AI211" i="3"/>
  <c r="BF211" i="3" s="1"/>
  <c r="AH211" i="3"/>
  <c r="AG211" i="3"/>
  <c r="BE211" i="3" s="1"/>
  <c r="AF211" i="3"/>
  <c r="AE211" i="3"/>
  <c r="AD211" i="3"/>
  <c r="AC211" i="3"/>
  <c r="AB211" i="3"/>
  <c r="AA211" i="3"/>
  <c r="BD211" i="3" s="1"/>
  <c r="Z211" i="3"/>
  <c r="Y211" i="3"/>
  <c r="X211" i="3"/>
  <c r="BC211" i="3" s="1"/>
  <c r="T211" i="3"/>
  <c r="FC210" i="3"/>
  <c r="EZ210" i="3"/>
  <c r="EX210" i="3"/>
  <c r="EW210" i="3"/>
  <c r="EV210" i="3"/>
  <c r="ET210" i="3"/>
  <c r="EP210" i="3"/>
  <c r="EM210" i="3"/>
  <c r="EJ210" i="3"/>
  <c r="EH210" i="3"/>
  <c r="EG210" i="3"/>
  <c r="EF210" i="3"/>
  <c r="DX210" i="3"/>
  <c r="DU210" i="3"/>
  <c r="DT210" i="3"/>
  <c r="DS210" i="3"/>
  <c r="DR210" i="3"/>
  <c r="DN210" i="3"/>
  <c r="DM210" i="3"/>
  <c r="DL210" i="3"/>
  <c r="DK210" i="3"/>
  <c r="DJ210" i="3"/>
  <c r="DI210" i="3"/>
  <c r="DH210" i="3"/>
  <c r="DG210" i="3"/>
  <c r="DF210" i="3"/>
  <c r="DE210" i="3"/>
  <c r="DD210" i="3"/>
  <c r="DC210" i="3"/>
  <c r="DB210" i="3"/>
  <c r="DA210" i="3"/>
  <c r="CZ210" i="3"/>
  <c r="CV210" i="3"/>
  <c r="CT210" i="3"/>
  <c r="CR210" i="3"/>
  <c r="CP210" i="3"/>
  <c r="CO210" i="3"/>
  <c r="CN210" i="3"/>
  <c r="CE210" i="3"/>
  <c r="CC210" i="3"/>
  <c r="CB210" i="3"/>
  <c r="BZ210" i="3"/>
  <c r="BY210" i="3"/>
  <c r="BQ210" i="3"/>
  <c r="BP210" i="3"/>
  <c r="BM210" i="3"/>
  <c r="BL210" i="3"/>
  <c r="BK210" i="3"/>
  <c r="BJ210" i="3"/>
  <c r="BB210" i="3"/>
  <c r="BA210" i="3"/>
  <c r="AZ210" i="3"/>
  <c r="AY210" i="3"/>
  <c r="AX210" i="3"/>
  <c r="AW210" i="3"/>
  <c r="AV210" i="3"/>
  <c r="AU210" i="3"/>
  <c r="AT210" i="3"/>
  <c r="CQ210" i="3" s="1"/>
  <c r="AS210" i="3"/>
  <c r="AR210" i="3"/>
  <c r="AQ210" i="3"/>
  <c r="AP210" i="3"/>
  <c r="AO210" i="3"/>
  <c r="AN210" i="3"/>
  <c r="AL210" i="3"/>
  <c r="AK210" i="3"/>
  <c r="AJ210" i="3"/>
  <c r="AI210" i="3"/>
  <c r="AH210" i="3"/>
  <c r="AG210" i="3"/>
  <c r="AF210" i="3"/>
  <c r="BE210" i="3" s="1"/>
  <c r="AE210" i="3"/>
  <c r="AD210" i="3"/>
  <c r="AC210" i="3"/>
  <c r="AB210" i="3"/>
  <c r="AA210" i="3"/>
  <c r="Z210" i="3"/>
  <c r="Y210" i="3"/>
  <c r="X210" i="3"/>
  <c r="T210" i="3"/>
  <c r="FG209" i="3"/>
  <c r="FF209" i="3"/>
  <c r="FE209" i="3"/>
  <c r="FB209" i="3"/>
  <c r="EZ209" i="3"/>
  <c r="EU209" i="3"/>
  <c r="ET209" i="3"/>
  <c r="EP209" i="3"/>
  <c r="EO209" i="3"/>
  <c r="EN209" i="3"/>
  <c r="EJ209" i="3"/>
  <c r="EI209" i="3"/>
  <c r="EH209" i="3"/>
  <c r="EG209" i="3"/>
  <c r="ED209" i="3"/>
  <c r="EB209" i="3"/>
  <c r="EA209" i="3"/>
  <c r="DY209" i="3"/>
  <c r="DW209" i="3"/>
  <c r="DU209" i="3"/>
  <c r="DS209" i="3"/>
  <c r="DR209" i="3"/>
  <c r="DP209" i="3"/>
  <c r="DO209" i="3"/>
  <c r="DN209" i="3"/>
  <c r="DM209" i="3"/>
  <c r="DL209" i="3"/>
  <c r="DK209" i="3"/>
  <c r="DJ209" i="3"/>
  <c r="DI209" i="3"/>
  <c r="DH209" i="3"/>
  <c r="DG209" i="3"/>
  <c r="DF209" i="3"/>
  <c r="DE209" i="3"/>
  <c r="DD209" i="3"/>
  <c r="DC209" i="3"/>
  <c r="DB209" i="3"/>
  <c r="DA209" i="3"/>
  <c r="CZ209" i="3"/>
  <c r="CY209" i="3"/>
  <c r="CX209" i="3"/>
  <c r="CW209" i="3"/>
  <c r="CQ209" i="3"/>
  <c r="CO209" i="3"/>
  <c r="CN209" i="3"/>
  <c r="CM209" i="3"/>
  <c r="CL209" i="3"/>
  <c r="CK209" i="3"/>
  <c r="CI209" i="3"/>
  <c r="CH209" i="3"/>
  <c r="CB209" i="3"/>
  <c r="CA209" i="3"/>
  <c r="BZ209" i="3"/>
  <c r="BY209" i="3"/>
  <c r="BW209" i="3"/>
  <c r="BV209" i="3"/>
  <c r="BU209" i="3"/>
  <c r="BS209" i="3"/>
  <c r="BN209" i="3"/>
  <c r="BM209" i="3"/>
  <c r="BK209" i="3"/>
  <c r="BJ209" i="3"/>
  <c r="BI209" i="3"/>
  <c r="BH209" i="3"/>
  <c r="BG209" i="3"/>
  <c r="BB209" i="3"/>
  <c r="FH209" i="3" s="1"/>
  <c r="BA209" i="3"/>
  <c r="BT209" i="3" s="1"/>
  <c r="AZ209" i="3"/>
  <c r="AY209" i="3"/>
  <c r="AX209" i="3"/>
  <c r="AW209" i="3"/>
  <c r="AV209" i="3"/>
  <c r="AU209" i="3"/>
  <c r="AT209" i="3"/>
  <c r="AS209" i="3"/>
  <c r="AR209" i="3"/>
  <c r="EX209" i="3" s="1"/>
  <c r="AQ209" i="3"/>
  <c r="EW209" i="3" s="1"/>
  <c r="AP209" i="3"/>
  <c r="DQ209" i="3" s="1"/>
  <c r="AO209" i="3"/>
  <c r="EE209" i="3" s="1"/>
  <c r="AN209" i="3"/>
  <c r="AL209" i="3"/>
  <c r="AK209" i="3"/>
  <c r="AJ209" i="3"/>
  <c r="AI209" i="3"/>
  <c r="AH209" i="3"/>
  <c r="AG209" i="3"/>
  <c r="AF209" i="3"/>
  <c r="BE209" i="3" s="1"/>
  <c r="AE209" i="3"/>
  <c r="AD209" i="3"/>
  <c r="AC209" i="3"/>
  <c r="AB209" i="3"/>
  <c r="AA209" i="3"/>
  <c r="BD209" i="3" s="1"/>
  <c r="Z209" i="3"/>
  <c r="Y209" i="3"/>
  <c r="X209" i="3"/>
  <c r="T209" i="3"/>
  <c r="FH208" i="3"/>
  <c r="FE208" i="3"/>
  <c r="FD208" i="3"/>
  <c r="FC208" i="3"/>
  <c r="FB208" i="3"/>
  <c r="EY208" i="3"/>
  <c r="EW208" i="3"/>
  <c r="EV208" i="3"/>
  <c r="ER208" i="3"/>
  <c r="EQ208" i="3"/>
  <c r="EP208" i="3"/>
  <c r="EN208" i="3"/>
  <c r="EM208" i="3"/>
  <c r="EL208" i="3"/>
  <c r="EG208" i="3"/>
  <c r="EF208" i="3"/>
  <c r="EE208" i="3"/>
  <c r="EB208" i="3"/>
  <c r="EA208" i="3"/>
  <c r="DZ208" i="3"/>
  <c r="DY208" i="3"/>
  <c r="DX208" i="3"/>
  <c r="DV208" i="3"/>
  <c r="DR208" i="3"/>
  <c r="DP208" i="3"/>
  <c r="DN208" i="3"/>
  <c r="DM208" i="3"/>
  <c r="DL208" i="3"/>
  <c r="DK208" i="3"/>
  <c r="DJ208" i="3"/>
  <c r="DI208" i="3"/>
  <c r="DH208" i="3"/>
  <c r="DG208" i="3"/>
  <c r="DF208" i="3"/>
  <c r="DE208" i="3"/>
  <c r="DD208" i="3"/>
  <c r="DC208" i="3"/>
  <c r="DB208" i="3"/>
  <c r="DA208" i="3"/>
  <c r="CZ208" i="3"/>
  <c r="CX208" i="3"/>
  <c r="CW208" i="3"/>
  <c r="CV208" i="3"/>
  <c r="CU208" i="3"/>
  <c r="CT208" i="3"/>
  <c r="CN208" i="3"/>
  <c r="CL208" i="3"/>
  <c r="CK208" i="3"/>
  <c r="CJ208" i="3"/>
  <c r="CI208" i="3"/>
  <c r="CH208" i="3"/>
  <c r="CF208" i="3"/>
  <c r="CE208" i="3"/>
  <c r="BY208" i="3"/>
  <c r="BX208" i="3"/>
  <c r="BW208" i="3"/>
  <c r="BV208" i="3"/>
  <c r="BT208" i="3"/>
  <c r="BS208" i="3"/>
  <c r="BR208" i="3"/>
  <c r="BP208" i="3"/>
  <c r="BK208" i="3"/>
  <c r="BJ208" i="3"/>
  <c r="BH208" i="3"/>
  <c r="BG208" i="3"/>
  <c r="BF208" i="3"/>
  <c r="BD208" i="3"/>
  <c r="BB208" i="3"/>
  <c r="BA208" i="3"/>
  <c r="FG208" i="3" s="1"/>
  <c r="AZ208" i="3"/>
  <c r="FF208" i="3" s="1"/>
  <c r="AY208" i="3"/>
  <c r="AX208" i="3"/>
  <c r="BQ208" i="3" s="1"/>
  <c r="AW208" i="3"/>
  <c r="AV208" i="3"/>
  <c r="AU208" i="3"/>
  <c r="EK208" i="3" s="1"/>
  <c r="AT208" i="3"/>
  <c r="AS208" i="3"/>
  <c r="AR208" i="3"/>
  <c r="AQ208" i="3"/>
  <c r="AP208" i="3"/>
  <c r="AO208" i="3"/>
  <c r="EU208" i="3" s="1"/>
  <c r="AN208" i="3"/>
  <c r="ET208" i="3" s="1"/>
  <c r="AL208" i="3"/>
  <c r="AK208" i="3"/>
  <c r="AJ208" i="3"/>
  <c r="AI208" i="3"/>
  <c r="AH208" i="3"/>
  <c r="AG208" i="3"/>
  <c r="BE208" i="3" s="1"/>
  <c r="AF208" i="3"/>
  <c r="AE208" i="3"/>
  <c r="AD208" i="3"/>
  <c r="AC208" i="3"/>
  <c r="AB208" i="3"/>
  <c r="AA208" i="3"/>
  <c r="Z208" i="3"/>
  <c r="Y208" i="3"/>
  <c r="X208" i="3"/>
  <c r="BC208" i="3" s="1"/>
  <c r="T208" i="3"/>
  <c r="EZ207" i="3"/>
  <c r="EY207" i="3"/>
  <c r="EV207" i="3"/>
  <c r="EU207" i="3"/>
  <c r="EP207" i="3"/>
  <c r="EJ207" i="3"/>
  <c r="EI207" i="3"/>
  <c r="EH207" i="3"/>
  <c r="DY207" i="3"/>
  <c r="DU207" i="3"/>
  <c r="DS207" i="3"/>
  <c r="DN207" i="3"/>
  <c r="DM207" i="3"/>
  <c r="DL207" i="3"/>
  <c r="DK207" i="3"/>
  <c r="DJ207" i="3"/>
  <c r="DI207" i="3"/>
  <c r="DH207" i="3"/>
  <c r="DG207" i="3"/>
  <c r="DF207" i="3"/>
  <c r="DE207" i="3"/>
  <c r="DD207" i="3"/>
  <c r="DC207" i="3"/>
  <c r="DB207" i="3"/>
  <c r="DA207" i="3"/>
  <c r="CZ207" i="3"/>
  <c r="CY207" i="3"/>
  <c r="CX207" i="3"/>
  <c r="CW207" i="3"/>
  <c r="CU207" i="3"/>
  <c r="CT207" i="3"/>
  <c r="CQ207" i="3"/>
  <c r="CN207" i="3"/>
  <c r="CL207" i="3"/>
  <c r="CH207" i="3"/>
  <c r="CB207" i="3"/>
  <c r="CA207" i="3"/>
  <c r="BX207" i="3"/>
  <c r="BW207" i="3"/>
  <c r="BV207" i="3"/>
  <c r="BU207" i="3"/>
  <c r="BS207" i="3"/>
  <c r="BO207" i="3"/>
  <c r="BM207" i="3"/>
  <c r="BL207" i="3"/>
  <c r="BK207" i="3"/>
  <c r="BI207" i="3"/>
  <c r="BH207" i="3"/>
  <c r="BG207" i="3"/>
  <c r="BC207" i="3"/>
  <c r="BB207" i="3"/>
  <c r="BA207" i="3"/>
  <c r="AZ207" i="3"/>
  <c r="FF207" i="3" s="1"/>
  <c r="AY207" i="3"/>
  <c r="AX207" i="3"/>
  <c r="AW207" i="3"/>
  <c r="AV207" i="3"/>
  <c r="AU207" i="3"/>
  <c r="AT207" i="3"/>
  <c r="AS207" i="3"/>
  <c r="AR207" i="3"/>
  <c r="EX207" i="3" s="1"/>
  <c r="AQ207" i="3"/>
  <c r="AP207" i="3"/>
  <c r="EF207" i="3" s="1"/>
  <c r="AO207" i="3"/>
  <c r="AN207" i="3"/>
  <c r="ET207" i="3" s="1"/>
  <c r="AL207" i="3"/>
  <c r="AK207" i="3"/>
  <c r="AJ207" i="3"/>
  <c r="AI207" i="3"/>
  <c r="AH207" i="3"/>
  <c r="AG207" i="3"/>
  <c r="AF207" i="3"/>
  <c r="BE207" i="3" s="1"/>
  <c r="AE207" i="3"/>
  <c r="AD207" i="3"/>
  <c r="AC207" i="3"/>
  <c r="AB207" i="3"/>
  <c r="AA207" i="3"/>
  <c r="BD207" i="3" s="1"/>
  <c r="Z207" i="3"/>
  <c r="Y207" i="3"/>
  <c r="X207" i="3"/>
  <c r="T207" i="3"/>
  <c r="FF206" i="3"/>
  <c r="FC206" i="3"/>
  <c r="FB206" i="3"/>
  <c r="EX206" i="3"/>
  <c r="ET206" i="3"/>
  <c r="EQ206" i="3"/>
  <c r="EM206" i="3"/>
  <c r="EL206" i="3"/>
  <c r="EI206" i="3"/>
  <c r="EH206" i="3"/>
  <c r="EE206" i="3"/>
  <c r="ED206" i="3"/>
  <c r="DX206" i="3"/>
  <c r="DW206" i="3"/>
  <c r="DV206" i="3"/>
  <c r="DT206" i="3"/>
  <c r="DS206" i="3"/>
  <c r="DR206" i="3"/>
  <c r="DN206" i="3"/>
  <c r="DM206" i="3"/>
  <c r="DL206" i="3"/>
  <c r="DK206" i="3"/>
  <c r="DJ206" i="3"/>
  <c r="DI206" i="3"/>
  <c r="DH206" i="3"/>
  <c r="DG206" i="3"/>
  <c r="DF206" i="3"/>
  <c r="DE206" i="3"/>
  <c r="DD206" i="3"/>
  <c r="DC206" i="3"/>
  <c r="DB206" i="3"/>
  <c r="DA206" i="3"/>
  <c r="CZ206" i="3"/>
  <c r="CX206" i="3"/>
  <c r="CW206" i="3"/>
  <c r="CT206" i="3"/>
  <c r="CP206" i="3"/>
  <c r="CK206" i="3"/>
  <c r="CI206" i="3"/>
  <c r="CH206" i="3"/>
  <c r="CE206" i="3"/>
  <c r="CD206" i="3"/>
  <c r="CA206" i="3"/>
  <c r="BZ206" i="3"/>
  <c r="BY206" i="3"/>
  <c r="BV206" i="3"/>
  <c r="BP206" i="3"/>
  <c r="BO206" i="3"/>
  <c r="BN206" i="3"/>
  <c r="BL206" i="3"/>
  <c r="BK206" i="3"/>
  <c r="BJ206" i="3"/>
  <c r="BB206" i="3"/>
  <c r="BA206" i="3"/>
  <c r="AZ206" i="3"/>
  <c r="EP206" i="3" s="1"/>
  <c r="AY206" i="3"/>
  <c r="AX206" i="3"/>
  <c r="AW206" i="3"/>
  <c r="AV206" i="3"/>
  <c r="CS206" i="3" s="1"/>
  <c r="AU206" i="3"/>
  <c r="FA206" i="3" s="1"/>
  <c r="AT206" i="3"/>
  <c r="AS206" i="3"/>
  <c r="EY206" i="3" s="1"/>
  <c r="AR206" i="3"/>
  <c r="CO206" i="3" s="1"/>
  <c r="AQ206" i="3"/>
  <c r="EW206" i="3" s="1"/>
  <c r="AP206" i="3"/>
  <c r="AO206" i="3"/>
  <c r="AN206" i="3"/>
  <c r="AL206" i="3"/>
  <c r="BF206" i="3" s="1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BC206" i="3" s="1"/>
  <c r="Y206" i="3"/>
  <c r="X206" i="3"/>
  <c r="T206" i="3"/>
  <c r="FH205" i="3"/>
  <c r="FF205" i="3"/>
  <c r="FE205" i="3"/>
  <c r="FA205" i="3"/>
  <c r="EW205" i="3"/>
  <c r="EV205" i="3"/>
  <c r="ET205" i="3"/>
  <c r="EP205" i="3"/>
  <c r="EO205" i="3"/>
  <c r="EL205" i="3"/>
  <c r="EK205" i="3"/>
  <c r="EJ205" i="3"/>
  <c r="EG205" i="3"/>
  <c r="ED205" i="3"/>
  <c r="EA205" i="3"/>
  <c r="DZ205" i="3"/>
  <c r="DY205" i="3"/>
  <c r="DW205" i="3"/>
  <c r="DV205" i="3"/>
  <c r="DU205" i="3"/>
  <c r="DQ205" i="3"/>
  <c r="DO205" i="3"/>
  <c r="DN205" i="3"/>
  <c r="DM205" i="3"/>
  <c r="DL205" i="3"/>
  <c r="DK205" i="3"/>
  <c r="DJ205" i="3"/>
  <c r="DI205" i="3"/>
  <c r="DH205" i="3"/>
  <c r="DG205" i="3"/>
  <c r="DF205" i="3"/>
  <c r="DE205" i="3"/>
  <c r="DD205" i="3"/>
  <c r="DC205" i="3"/>
  <c r="DB205" i="3"/>
  <c r="DA205" i="3"/>
  <c r="CZ205" i="3"/>
  <c r="CW205" i="3"/>
  <c r="CV205" i="3"/>
  <c r="CS205" i="3"/>
  <c r="CQ205" i="3"/>
  <c r="CN205" i="3"/>
  <c r="CM205" i="3"/>
  <c r="CK205" i="3"/>
  <c r="CH205" i="3"/>
  <c r="CG205" i="3"/>
  <c r="CD205" i="3"/>
  <c r="CC205" i="3"/>
  <c r="CB205" i="3"/>
  <c r="BY205" i="3"/>
  <c r="BV205" i="3"/>
  <c r="BU205" i="3"/>
  <c r="BS205" i="3"/>
  <c r="BR205" i="3"/>
  <c r="BQ205" i="3"/>
  <c r="BO205" i="3"/>
  <c r="BN205" i="3"/>
  <c r="BM205" i="3"/>
  <c r="BI205" i="3"/>
  <c r="BG205" i="3"/>
  <c r="BB205" i="3"/>
  <c r="BA205" i="3"/>
  <c r="AZ205" i="3"/>
  <c r="AY205" i="3"/>
  <c r="AX205" i="3"/>
  <c r="FD205" i="3" s="1"/>
  <c r="AW205" i="3"/>
  <c r="AV205" i="3"/>
  <c r="FB205" i="3" s="1"/>
  <c r="AU205" i="3"/>
  <c r="CR205" i="3" s="1"/>
  <c r="AT205" i="3"/>
  <c r="EZ205" i="3" s="1"/>
  <c r="AS205" i="3"/>
  <c r="AR205" i="3"/>
  <c r="EX205" i="3" s="1"/>
  <c r="AQ205" i="3"/>
  <c r="AP205" i="3"/>
  <c r="AO205" i="3"/>
  <c r="AN205" i="3"/>
  <c r="AL205" i="3"/>
  <c r="AK205" i="3"/>
  <c r="AJ205" i="3"/>
  <c r="AI205" i="3"/>
  <c r="AH205" i="3"/>
  <c r="AG205" i="3"/>
  <c r="AF205" i="3"/>
  <c r="BE205" i="3" s="1"/>
  <c r="AE205" i="3"/>
  <c r="BD205" i="3" s="1"/>
  <c r="AD205" i="3"/>
  <c r="AC205" i="3"/>
  <c r="AB205" i="3"/>
  <c r="AA205" i="3"/>
  <c r="Z205" i="3"/>
  <c r="Y205" i="3"/>
  <c r="BC205" i="3" s="1"/>
  <c r="X205" i="3"/>
  <c r="T205" i="3"/>
  <c r="FH204" i="3"/>
  <c r="FD204" i="3"/>
  <c r="EW204" i="3"/>
  <c r="EV204" i="3"/>
  <c r="ER204" i="3"/>
  <c r="EO204" i="3"/>
  <c r="EM204" i="3"/>
  <c r="EJ204" i="3"/>
  <c r="EG204" i="3"/>
  <c r="EF204" i="3"/>
  <c r="EC204" i="3"/>
  <c r="EB204" i="3"/>
  <c r="DZ204" i="3"/>
  <c r="DR204" i="3"/>
  <c r="DQ204" i="3"/>
  <c r="DP204" i="3"/>
  <c r="DN204" i="3"/>
  <c r="DM204" i="3"/>
  <c r="DL204" i="3"/>
  <c r="DK204" i="3"/>
  <c r="DJ204" i="3"/>
  <c r="DI204" i="3"/>
  <c r="DH204" i="3"/>
  <c r="DG204" i="3"/>
  <c r="DF204" i="3"/>
  <c r="DE204" i="3"/>
  <c r="DD204" i="3"/>
  <c r="DC204" i="3"/>
  <c r="DB204" i="3"/>
  <c r="DA204" i="3"/>
  <c r="CZ204" i="3"/>
  <c r="CY204" i="3"/>
  <c r="CV204" i="3"/>
  <c r="CS204" i="3"/>
  <c r="CO204" i="3"/>
  <c r="CN204" i="3"/>
  <c r="CJ204" i="3"/>
  <c r="CG204" i="3"/>
  <c r="CF204" i="3"/>
  <c r="CD204" i="3"/>
  <c r="CC204" i="3"/>
  <c r="BY204" i="3"/>
  <c r="BX204" i="3"/>
  <c r="BV204" i="3"/>
  <c r="BU204" i="3"/>
  <c r="BT204" i="3"/>
  <c r="BR204" i="3"/>
  <c r="BQ204" i="3"/>
  <c r="BJ204" i="3"/>
  <c r="BI204" i="3"/>
  <c r="BH204" i="3"/>
  <c r="BG204" i="3"/>
  <c r="BF204" i="3"/>
  <c r="BB204" i="3"/>
  <c r="BA204" i="3"/>
  <c r="FG204" i="3" s="1"/>
  <c r="AZ204" i="3"/>
  <c r="CH204" i="3" s="1"/>
  <c r="AY204" i="3"/>
  <c r="FE204" i="3" s="1"/>
  <c r="AX204" i="3"/>
  <c r="CU204" i="3" s="1"/>
  <c r="AW204" i="3"/>
  <c r="DX204" i="3" s="1"/>
  <c r="AV204" i="3"/>
  <c r="AU204" i="3"/>
  <c r="AT204" i="3"/>
  <c r="AS204" i="3"/>
  <c r="AR204" i="3"/>
  <c r="AQ204" i="3"/>
  <c r="AP204" i="3"/>
  <c r="CM204" i="3" s="1"/>
  <c r="AO204" i="3"/>
  <c r="EU204" i="3" s="1"/>
  <c r="AN204" i="3"/>
  <c r="DO204" i="3" s="1"/>
  <c r="AL204" i="3"/>
  <c r="AK204" i="3"/>
  <c r="AJ204" i="3"/>
  <c r="AI204" i="3"/>
  <c r="AH204" i="3"/>
  <c r="AG204" i="3"/>
  <c r="AF204" i="3"/>
  <c r="BE204" i="3" s="1"/>
  <c r="AE204" i="3"/>
  <c r="AD204" i="3"/>
  <c r="AC204" i="3"/>
  <c r="AB204" i="3"/>
  <c r="BD204" i="3" s="1"/>
  <c r="AA204" i="3"/>
  <c r="Z204" i="3"/>
  <c r="Y204" i="3"/>
  <c r="X204" i="3"/>
  <c r="T204" i="3"/>
  <c r="FE203" i="3"/>
  <c r="FB203" i="3"/>
  <c r="EZ203" i="3"/>
  <c r="EY203" i="3"/>
  <c r="ER203" i="3"/>
  <c r="EQ203" i="3"/>
  <c r="EO203" i="3"/>
  <c r="EJ203" i="3"/>
  <c r="EI203" i="3"/>
  <c r="EF203" i="3"/>
  <c r="EC203" i="3"/>
  <c r="EB203" i="3"/>
  <c r="DW203" i="3"/>
  <c r="DU203" i="3"/>
  <c r="DT203" i="3"/>
  <c r="DS203" i="3"/>
  <c r="DQ203" i="3"/>
  <c r="DP203" i="3"/>
  <c r="DN203" i="3"/>
  <c r="DM203" i="3"/>
  <c r="DL203" i="3"/>
  <c r="DK203" i="3"/>
  <c r="DJ203" i="3"/>
  <c r="DI203" i="3"/>
  <c r="DH203" i="3"/>
  <c r="DG203" i="3"/>
  <c r="DF203" i="3"/>
  <c r="DE203" i="3"/>
  <c r="DD203" i="3"/>
  <c r="DC203" i="3"/>
  <c r="DB203" i="3"/>
  <c r="DA203" i="3"/>
  <c r="CZ203" i="3"/>
  <c r="CY203" i="3"/>
  <c r="CQ203" i="3"/>
  <c r="CM203" i="3"/>
  <c r="CJ203" i="3"/>
  <c r="CI203" i="3"/>
  <c r="CG203" i="3"/>
  <c r="CB203" i="3"/>
  <c r="CA203" i="3"/>
  <c r="BZ203" i="3"/>
  <c r="BY203" i="3"/>
  <c r="BX203" i="3"/>
  <c r="BV203" i="3"/>
  <c r="BU203" i="3"/>
  <c r="BO203" i="3"/>
  <c r="BM203" i="3"/>
  <c r="BL203" i="3"/>
  <c r="BK203" i="3"/>
  <c r="BI203" i="3"/>
  <c r="BB203" i="3"/>
  <c r="FH203" i="3" s="1"/>
  <c r="BA203" i="3"/>
  <c r="CX203" i="3" s="1"/>
  <c r="AZ203" i="3"/>
  <c r="FF203" i="3" s="1"/>
  <c r="AY203" i="3"/>
  <c r="AX203" i="3"/>
  <c r="AW203" i="3"/>
  <c r="AV203" i="3"/>
  <c r="AU203" i="3"/>
  <c r="AT203" i="3"/>
  <c r="AS203" i="3"/>
  <c r="CP203" i="3" s="1"/>
  <c r="AR203" i="3"/>
  <c r="EX203" i="3" s="1"/>
  <c r="AQ203" i="3"/>
  <c r="AP203" i="3"/>
  <c r="EV203" i="3" s="1"/>
  <c r="AO203" i="3"/>
  <c r="CL203" i="3" s="1"/>
  <c r="AN203" i="3"/>
  <c r="ET203" i="3" s="1"/>
  <c r="AL203" i="3"/>
  <c r="AK203" i="3"/>
  <c r="AJ203" i="3"/>
  <c r="AI203" i="3"/>
  <c r="AH203" i="3"/>
  <c r="AG203" i="3"/>
  <c r="AF203" i="3"/>
  <c r="BE203" i="3" s="1"/>
  <c r="AE203" i="3"/>
  <c r="AD203" i="3"/>
  <c r="AC203" i="3"/>
  <c r="AB203" i="3"/>
  <c r="AA203" i="3"/>
  <c r="Z203" i="3"/>
  <c r="Y203" i="3"/>
  <c r="AM203" i="3" s="1"/>
  <c r="X203" i="3"/>
  <c r="T203" i="3"/>
  <c r="FH202" i="3"/>
  <c r="FG202" i="3"/>
  <c r="FF202" i="3"/>
  <c r="FD202" i="3"/>
  <c r="FC202" i="3"/>
  <c r="FB202" i="3"/>
  <c r="EX202" i="3"/>
  <c r="ET202" i="3"/>
  <c r="ER202" i="3"/>
  <c r="EQ202" i="3"/>
  <c r="EP202" i="3"/>
  <c r="EM202" i="3"/>
  <c r="EL202" i="3"/>
  <c r="EK202" i="3"/>
  <c r="EI202" i="3"/>
  <c r="EF202" i="3"/>
  <c r="DX202" i="3"/>
  <c r="DW202" i="3"/>
  <c r="DV202" i="3"/>
  <c r="DT202" i="3"/>
  <c r="DS202" i="3"/>
  <c r="DN202" i="3"/>
  <c r="DM202" i="3"/>
  <c r="DL202" i="3"/>
  <c r="DK202" i="3"/>
  <c r="DJ202" i="3"/>
  <c r="DI202" i="3"/>
  <c r="DH202" i="3"/>
  <c r="DG202" i="3"/>
  <c r="DF202" i="3"/>
  <c r="DE202" i="3"/>
  <c r="DD202" i="3"/>
  <c r="DC202" i="3"/>
  <c r="DB202" i="3"/>
  <c r="DA202" i="3"/>
  <c r="CZ202" i="3"/>
  <c r="CY202" i="3"/>
  <c r="CX202" i="3"/>
  <c r="CW202" i="3"/>
  <c r="CU202" i="3"/>
  <c r="CT202" i="3"/>
  <c r="CP202" i="3"/>
  <c r="CK202" i="3"/>
  <c r="CH202" i="3"/>
  <c r="CE202" i="3"/>
  <c r="CD202" i="3"/>
  <c r="CC202" i="3"/>
  <c r="CA202" i="3"/>
  <c r="BZ202" i="3"/>
  <c r="BX202" i="3"/>
  <c r="BW202" i="3"/>
  <c r="BP202" i="3"/>
  <c r="BO202" i="3"/>
  <c r="BN202" i="3"/>
  <c r="BL202" i="3"/>
  <c r="BK202" i="3"/>
  <c r="BJ202" i="3"/>
  <c r="BC202" i="3"/>
  <c r="BB202" i="3"/>
  <c r="BA202" i="3"/>
  <c r="AZ202" i="3"/>
  <c r="AY202" i="3"/>
  <c r="DZ202" i="3" s="1"/>
  <c r="AX202" i="3"/>
  <c r="AW202" i="3"/>
  <c r="AV202" i="3"/>
  <c r="CS202" i="3" s="1"/>
  <c r="AU202" i="3"/>
  <c r="FA202" i="3" s="1"/>
  <c r="AT202" i="3"/>
  <c r="AS202" i="3"/>
  <c r="EY202" i="3" s="1"/>
  <c r="AR202" i="3"/>
  <c r="CO202" i="3" s="1"/>
  <c r="AQ202" i="3"/>
  <c r="AP202" i="3"/>
  <c r="AO202" i="3"/>
  <c r="AN202" i="3"/>
  <c r="AL202" i="3"/>
  <c r="BF202" i="3" s="1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T202" i="3"/>
  <c r="FF201" i="3"/>
  <c r="FE201" i="3"/>
  <c r="EY201" i="3"/>
  <c r="EX201" i="3"/>
  <c r="EV201" i="3"/>
  <c r="ET201" i="3"/>
  <c r="EP201" i="3"/>
  <c r="EO201" i="3"/>
  <c r="EN201" i="3"/>
  <c r="EM201" i="3"/>
  <c r="EL201" i="3"/>
  <c r="EI201" i="3"/>
  <c r="EH201" i="3"/>
  <c r="ED201" i="3"/>
  <c r="EC201" i="3"/>
  <c r="EA201" i="3"/>
  <c r="DZ201" i="3"/>
  <c r="DY201" i="3"/>
  <c r="DX201" i="3"/>
  <c r="DW201" i="3"/>
  <c r="DQ201" i="3"/>
  <c r="DO201" i="3"/>
  <c r="DN201" i="3"/>
  <c r="DM201" i="3"/>
  <c r="DL201" i="3"/>
  <c r="DK201" i="3"/>
  <c r="DJ201" i="3"/>
  <c r="DI201" i="3"/>
  <c r="DH201" i="3"/>
  <c r="DG201" i="3"/>
  <c r="DF201" i="3"/>
  <c r="DE201" i="3"/>
  <c r="DD201" i="3"/>
  <c r="DC201" i="3"/>
  <c r="DB201" i="3"/>
  <c r="DA201" i="3"/>
  <c r="CZ201" i="3"/>
  <c r="CW201" i="3"/>
  <c r="CS201" i="3"/>
  <c r="CP201" i="3"/>
  <c r="CO201" i="3"/>
  <c r="CN201" i="3"/>
  <c r="CM201" i="3"/>
  <c r="CK201" i="3"/>
  <c r="CH201" i="3"/>
  <c r="CG201" i="3"/>
  <c r="CF201" i="3"/>
  <c r="CE201" i="3"/>
  <c r="CD201" i="3"/>
  <c r="CA201" i="3"/>
  <c r="BZ201" i="3"/>
  <c r="BY201" i="3"/>
  <c r="BV201" i="3"/>
  <c r="BU201" i="3"/>
  <c r="BS201" i="3"/>
  <c r="BR201" i="3"/>
  <c r="BQ201" i="3"/>
  <c r="BP201" i="3"/>
  <c r="BO201" i="3"/>
  <c r="BI201" i="3"/>
  <c r="BG201" i="3"/>
  <c r="BF201" i="3"/>
  <c r="BC201" i="3"/>
  <c r="BB201" i="3"/>
  <c r="BA201" i="3"/>
  <c r="AZ201" i="3"/>
  <c r="AY201" i="3"/>
  <c r="CV201" i="3" s="1"/>
  <c r="AX201" i="3"/>
  <c r="FD201" i="3" s="1"/>
  <c r="AW201" i="3"/>
  <c r="AV201" i="3"/>
  <c r="FB201" i="3" s="1"/>
  <c r="AU201" i="3"/>
  <c r="AT201" i="3"/>
  <c r="AS201" i="3"/>
  <c r="AR201" i="3"/>
  <c r="AQ201" i="3"/>
  <c r="AP201" i="3"/>
  <c r="AO201" i="3"/>
  <c r="AN201" i="3"/>
  <c r="AL201" i="3"/>
  <c r="AK201" i="3"/>
  <c r="AJ201" i="3"/>
  <c r="AI201" i="3"/>
  <c r="AH201" i="3"/>
  <c r="AG201" i="3"/>
  <c r="AF201" i="3"/>
  <c r="AE201" i="3"/>
  <c r="AD201" i="3"/>
  <c r="BD201" i="3" s="1"/>
  <c r="AC201" i="3"/>
  <c r="AB201" i="3"/>
  <c r="AA201" i="3"/>
  <c r="Z201" i="3"/>
  <c r="Y201" i="3"/>
  <c r="X201" i="3"/>
  <c r="T201" i="3"/>
  <c r="FH200" i="3"/>
  <c r="FB200" i="3"/>
  <c r="FA200" i="3"/>
  <c r="EX200" i="3"/>
  <c r="EW200" i="3"/>
  <c r="EV200" i="3"/>
  <c r="ER200" i="3"/>
  <c r="EQ200" i="3"/>
  <c r="EP200" i="3"/>
  <c r="EO200" i="3"/>
  <c r="EM200" i="3"/>
  <c r="EL200" i="3"/>
  <c r="EK200" i="3"/>
  <c r="EG200" i="3"/>
  <c r="EF200" i="3"/>
  <c r="EE200" i="3"/>
  <c r="EC200" i="3"/>
  <c r="EB200" i="3"/>
  <c r="DZ200" i="3"/>
  <c r="DX200" i="3"/>
  <c r="DR200" i="3"/>
  <c r="DQ200" i="3"/>
  <c r="DP200" i="3"/>
  <c r="DO200" i="3"/>
  <c r="DN200" i="3"/>
  <c r="DM200" i="3"/>
  <c r="DL200" i="3"/>
  <c r="DK200" i="3"/>
  <c r="DJ200" i="3"/>
  <c r="DI200" i="3"/>
  <c r="DH200" i="3"/>
  <c r="DG200" i="3"/>
  <c r="DF200" i="3"/>
  <c r="DE200" i="3"/>
  <c r="DD200" i="3"/>
  <c r="DC200" i="3"/>
  <c r="DB200" i="3"/>
  <c r="DA200" i="3"/>
  <c r="CZ200" i="3"/>
  <c r="CV200" i="3"/>
  <c r="CS200" i="3"/>
  <c r="CR200" i="3"/>
  <c r="CO200" i="3"/>
  <c r="CN200" i="3"/>
  <c r="CJ200" i="3"/>
  <c r="CI200" i="3"/>
  <c r="CH200" i="3"/>
  <c r="CG200" i="3"/>
  <c r="CD200" i="3"/>
  <c r="CC200" i="3"/>
  <c r="BY200" i="3"/>
  <c r="BX200" i="3"/>
  <c r="BW200" i="3"/>
  <c r="BV200" i="3"/>
  <c r="BU200" i="3"/>
  <c r="BT200" i="3"/>
  <c r="BS200" i="3"/>
  <c r="BR200" i="3"/>
  <c r="BP200" i="3"/>
  <c r="BJ200" i="3"/>
  <c r="BI200" i="3"/>
  <c r="BH200" i="3"/>
  <c r="BG200" i="3"/>
  <c r="BD200" i="3"/>
  <c r="BB200" i="3"/>
  <c r="CY200" i="3" s="1"/>
  <c r="BA200" i="3"/>
  <c r="FG200" i="3" s="1"/>
  <c r="AZ200" i="3"/>
  <c r="AY200" i="3"/>
  <c r="FE200" i="3" s="1"/>
  <c r="AX200" i="3"/>
  <c r="AW200" i="3"/>
  <c r="FC200" i="3" s="1"/>
  <c r="AV200" i="3"/>
  <c r="AU200" i="3"/>
  <c r="AT200" i="3"/>
  <c r="AS200" i="3"/>
  <c r="AR200" i="3"/>
  <c r="AQ200" i="3"/>
  <c r="AP200" i="3"/>
  <c r="CM200" i="3" s="1"/>
  <c r="AO200" i="3"/>
  <c r="EU200" i="3" s="1"/>
  <c r="AN200" i="3"/>
  <c r="AL200" i="3"/>
  <c r="AK200" i="3"/>
  <c r="BF200" i="3" s="1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T200" i="3"/>
  <c r="FE199" i="3"/>
  <c r="FD199" i="3"/>
  <c r="FA199" i="3"/>
  <c r="EZ199" i="3"/>
  <c r="EY199" i="3"/>
  <c r="EU199" i="3"/>
  <c r="ER199" i="3"/>
  <c r="EQ199" i="3"/>
  <c r="EO199" i="3"/>
  <c r="EN199" i="3"/>
  <c r="EJ199" i="3"/>
  <c r="EI199" i="3"/>
  <c r="EH199" i="3"/>
  <c r="EF199" i="3"/>
  <c r="EC199" i="3"/>
  <c r="DU199" i="3"/>
  <c r="DT199" i="3"/>
  <c r="DS199" i="3"/>
  <c r="DR199" i="3"/>
  <c r="DQ199" i="3"/>
  <c r="DP199" i="3"/>
  <c r="DN199" i="3"/>
  <c r="DM199" i="3"/>
  <c r="DL199" i="3"/>
  <c r="DK199" i="3"/>
  <c r="DJ199" i="3"/>
  <c r="DI199" i="3"/>
  <c r="DH199" i="3"/>
  <c r="DG199" i="3"/>
  <c r="DF199" i="3"/>
  <c r="DE199" i="3"/>
  <c r="DD199" i="3"/>
  <c r="DC199" i="3"/>
  <c r="DB199" i="3"/>
  <c r="DA199" i="3"/>
  <c r="CZ199" i="3"/>
  <c r="CY199" i="3"/>
  <c r="CW199" i="3"/>
  <c r="CS199" i="3"/>
  <c r="CQ199" i="3"/>
  <c r="CM199" i="3"/>
  <c r="CK199" i="3"/>
  <c r="CJ199" i="3"/>
  <c r="CG199" i="3"/>
  <c r="CB199" i="3"/>
  <c r="CA199" i="3"/>
  <c r="BZ199" i="3"/>
  <c r="BX199" i="3"/>
  <c r="BW199" i="3"/>
  <c r="BU199" i="3"/>
  <c r="BS199" i="3"/>
  <c r="BM199" i="3"/>
  <c r="BL199" i="3"/>
  <c r="BK199" i="3"/>
  <c r="BI199" i="3"/>
  <c r="BH199" i="3"/>
  <c r="BG199" i="3"/>
  <c r="BB199" i="3"/>
  <c r="FH199" i="3" s="1"/>
  <c r="BA199" i="3"/>
  <c r="CX199" i="3" s="1"/>
  <c r="AZ199" i="3"/>
  <c r="AY199" i="3"/>
  <c r="AX199" i="3"/>
  <c r="AW199" i="3"/>
  <c r="AV199" i="3"/>
  <c r="AU199" i="3"/>
  <c r="AT199" i="3"/>
  <c r="AS199" i="3"/>
  <c r="CP199" i="3" s="1"/>
  <c r="AR199" i="3"/>
  <c r="EX199" i="3" s="1"/>
  <c r="AQ199" i="3"/>
  <c r="AP199" i="3"/>
  <c r="EV199" i="3" s="1"/>
  <c r="AO199" i="3"/>
  <c r="CL199" i="3" s="1"/>
  <c r="AN199" i="3"/>
  <c r="AL199" i="3"/>
  <c r="AK199" i="3"/>
  <c r="AJ199" i="3"/>
  <c r="AI199" i="3"/>
  <c r="AH199" i="3"/>
  <c r="AG199" i="3"/>
  <c r="AF199" i="3"/>
  <c r="BE199" i="3" s="1"/>
  <c r="AE199" i="3"/>
  <c r="AD199" i="3"/>
  <c r="AC199" i="3"/>
  <c r="AB199" i="3"/>
  <c r="AA199" i="3"/>
  <c r="Z199" i="3"/>
  <c r="Y199" i="3"/>
  <c r="X199" i="3"/>
  <c r="T199" i="3"/>
  <c r="FH198" i="3"/>
  <c r="FE198" i="3"/>
  <c r="FD198" i="3"/>
  <c r="FC198" i="3"/>
  <c r="FB198" i="3"/>
  <c r="EX198" i="3"/>
  <c r="EV198" i="3"/>
  <c r="ER198" i="3"/>
  <c r="EQ198" i="3"/>
  <c r="EM198" i="3"/>
  <c r="EL198" i="3"/>
  <c r="EK198" i="3"/>
  <c r="EI198" i="3"/>
  <c r="EH198" i="3"/>
  <c r="EF198" i="3"/>
  <c r="DZ198" i="3"/>
  <c r="DX198" i="3"/>
  <c r="DW198" i="3"/>
  <c r="DV198" i="3"/>
  <c r="DT198" i="3"/>
  <c r="DS198" i="3"/>
  <c r="DN198" i="3"/>
  <c r="DM198" i="3"/>
  <c r="DL198" i="3"/>
  <c r="DK198" i="3"/>
  <c r="DJ198" i="3"/>
  <c r="DI198" i="3"/>
  <c r="DH198" i="3"/>
  <c r="DG198" i="3"/>
  <c r="DF198" i="3"/>
  <c r="DE198" i="3"/>
  <c r="DD198" i="3"/>
  <c r="DC198" i="3"/>
  <c r="DB198" i="3"/>
  <c r="DA198" i="3"/>
  <c r="CZ198" i="3"/>
  <c r="CY198" i="3"/>
  <c r="CV198" i="3"/>
  <c r="CU198" i="3"/>
  <c r="CT198" i="3"/>
  <c r="CP198" i="3"/>
  <c r="CM198" i="3"/>
  <c r="CE198" i="3"/>
  <c r="CD198" i="3"/>
  <c r="CC198" i="3"/>
  <c r="CA198" i="3"/>
  <c r="BZ198" i="3"/>
  <c r="BX198" i="3"/>
  <c r="BW198" i="3"/>
  <c r="BR198" i="3"/>
  <c r="BP198" i="3"/>
  <c r="BO198" i="3"/>
  <c r="BN198" i="3"/>
  <c r="BL198" i="3"/>
  <c r="BF198" i="3"/>
  <c r="BC198" i="3"/>
  <c r="BB198" i="3"/>
  <c r="BA198" i="3"/>
  <c r="AZ198" i="3"/>
  <c r="AY198" i="3"/>
  <c r="AX198" i="3"/>
  <c r="AW198" i="3"/>
  <c r="AV198" i="3"/>
  <c r="CS198" i="3" s="1"/>
  <c r="AU198" i="3"/>
  <c r="FA198" i="3" s="1"/>
  <c r="AT198" i="3"/>
  <c r="AS198" i="3"/>
  <c r="EY198" i="3" s="1"/>
  <c r="AR198" i="3"/>
  <c r="CO198" i="3" s="1"/>
  <c r="AQ198" i="3"/>
  <c r="AP198" i="3"/>
  <c r="AO198" i="3"/>
  <c r="AN198" i="3"/>
  <c r="AL198" i="3"/>
  <c r="AK198" i="3"/>
  <c r="AJ198" i="3"/>
  <c r="AI198" i="3"/>
  <c r="AH198" i="3"/>
  <c r="AG198" i="3"/>
  <c r="AF198" i="3"/>
  <c r="AE198" i="3"/>
  <c r="AD198" i="3"/>
  <c r="AC198" i="3"/>
  <c r="AB198" i="3"/>
  <c r="BD198" i="3" s="1"/>
  <c r="AA198" i="3"/>
  <c r="Z198" i="3"/>
  <c r="AM198" i="3" s="1"/>
  <c r="Y198" i="3"/>
  <c r="X198" i="3"/>
  <c r="T198" i="3"/>
  <c r="FG197" i="3"/>
  <c r="FF197" i="3"/>
  <c r="FE197" i="3"/>
  <c r="EX197" i="3"/>
  <c r="EV197" i="3"/>
  <c r="EU197" i="3"/>
  <c r="ET197" i="3"/>
  <c r="EP197" i="3"/>
  <c r="EO197" i="3"/>
  <c r="EN197" i="3"/>
  <c r="EK197" i="3"/>
  <c r="EH197" i="3"/>
  <c r="EG197" i="3"/>
  <c r="ED197" i="3"/>
  <c r="EC197" i="3"/>
  <c r="EB197" i="3"/>
  <c r="EA197" i="3"/>
  <c r="DZ197" i="3"/>
  <c r="DY197" i="3"/>
  <c r="DW197" i="3"/>
  <c r="DP197" i="3"/>
  <c r="DO197" i="3"/>
  <c r="DN197" i="3"/>
  <c r="DM197" i="3"/>
  <c r="DL197" i="3"/>
  <c r="DK197" i="3"/>
  <c r="DJ197" i="3"/>
  <c r="DI197" i="3"/>
  <c r="DH197" i="3"/>
  <c r="DG197" i="3"/>
  <c r="DF197" i="3"/>
  <c r="DE197" i="3"/>
  <c r="DD197" i="3"/>
  <c r="DC197" i="3"/>
  <c r="DB197" i="3"/>
  <c r="DA197" i="3"/>
  <c r="CZ197" i="3"/>
  <c r="CY197" i="3"/>
  <c r="CW197" i="3"/>
  <c r="CS197" i="3"/>
  <c r="CO197" i="3"/>
  <c r="CN197" i="3"/>
  <c r="CL197" i="3"/>
  <c r="CK197" i="3"/>
  <c r="CH197" i="3"/>
  <c r="CG197" i="3"/>
  <c r="CF197" i="3"/>
  <c r="CE197" i="3"/>
  <c r="CB197" i="3"/>
  <c r="BZ197" i="3"/>
  <c r="BY197" i="3"/>
  <c r="BV197" i="3"/>
  <c r="BT197" i="3"/>
  <c r="BS197" i="3"/>
  <c r="BR197" i="3"/>
  <c r="BQ197" i="3"/>
  <c r="BN197" i="3"/>
  <c r="BH197" i="3"/>
  <c r="BG197" i="3"/>
  <c r="BF197" i="3"/>
  <c r="BB197" i="3"/>
  <c r="BU197" i="3" s="1"/>
  <c r="BA197" i="3"/>
  <c r="AZ197" i="3"/>
  <c r="AY197" i="3"/>
  <c r="CV197" i="3" s="1"/>
  <c r="AX197" i="3"/>
  <c r="FD197" i="3" s="1"/>
  <c r="AW197" i="3"/>
  <c r="AV197" i="3"/>
  <c r="AU197" i="3"/>
  <c r="FA197" i="3" s="1"/>
  <c r="AT197" i="3"/>
  <c r="AS197" i="3"/>
  <c r="AR197" i="3"/>
  <c r="AQ197" i="3"/>
  <c r="EW197" i="3" s="1"/>
  <c r="AP197" i="3"/>
  <c r="DQ197" i="3" s="1"/>
  <c r="AO197" i="3"/>
  <c r="AN197" i="3"/>
  <c r="AL197" i="3"/>
  <c r="AK197" i="3"/>
  <c r="AJ197" i="3"/>
  <c r="AI197" i="3"/>
  <c r="AH197" i="3"/>
  <c r="AG197" i="3"/>
  <c r="AF197" i="3"/>
  <c r="BE197" i="3" s="1"/>
  <c r="AE197" i="3"/>
  <c r="AD197" i="3"/>
  <c r="AC197" i="3"/>
  <c r="BD197" i="3" s="1"/>
  <c r="AB197" i="3"/>
  <c r="AA197" i="3"/>
  <c r="Z197" i="3"/>
  <c r="Y197" i="3"/>
  <c r="X197" i="3"/>
  <c r="T197" i="3"/>
  <c r="FH196" i="3"/>
  <c r="FB196" i="3"/>
  <c r="FA196" i="3"/>
  <c r="EZ196" i="3"/>
  <c r="EX196" i="3"/>
  <c r="EW196" i="3"/>
  <c r="EV196" i="3"/>
  <c r="ER196" i="3"/>
  <c r="EQ196" i="3"/>
  <c r="EP196" i="3"/>
  <c r="EM196" i="3"/>
  <c r="EL196" i="3"/>
  <c r="EK196" i="3"/>
  <c r="EJ196" i="3"/>
  <c r="EG196" i="3"/>
  <c r="EF196" i="3"/>
  <c r="EE196" i="3"/>
  <c r="EC196" i="3"/>
  <c r="EB196" i="3"/>
  <c r="DY196" i="3"/>
  <c r="DX196" i="3"/>
  <c r="DS196" i="3"/>
  <c r="DR196" i="3"/>
  <c r="DQ196" i="3"/>
  <c r="DP196" i="3"/>
  <c r="DN196" i="3"/>
  <c r="DM196" i="3"/>
  <c r="DL196" i="3"/>
  <c r="DK196" i="3"/>
  <c r="DJ196" i="3"/>
  <c r="DI196" i="3"/>
  <c r="DH196" i="3"/>
  <c r="DG196" i="3"/>
  <c r="DF196" i="3"/>
  <c r="DE196" i="3"/>
  <c r="DD196" i="3"/>
  <c r="DC196" i="3"/>
  <c r="DB196" i="3"/>
  <c r="DA196" i="3"/>
  <c r="CZ196" i="3"/>
  <c r="CT196" i="3"/>
  <c r="CS196" i="3"/>
  <c r="CR196" i="3"/>
  <c r="CQ196" i="3"/>
  <c r="CO196" i="3"/>
  <c r="CN196" i="3"/>
  <c r="CJ196" i="3"/>
  <c r="CI196" i="3"/>
  <c r="CE196" i="3"/>
  <c r="CC196" i="3"/>
  <c r="CB196" i="3"/>
  <c r="BY196" i="3"/>
  <c r="BX196" i="3"/>
  <c r="BW196" i="3"/>
  <c r="BU196" i="3"/>
  <c r="BT196" i="3"/>
  <c r="BK196" i="3"/>
  <c r="BJ196" i="3"/>
  <c r="BI196" i="3"/>
  <c r="BH196" i="3"/>
  <c r="BF196" i="3"/>
  <c r="BB196" i="3"/>
  <c r="CY196" i="3" s="1"/>
  <c r="BA196" i="3"/>
  <c r="FG196" i="3" s="1"/>
  <c r="AZ196" i="3"/>
  <c r="AY196" i="3"/>
  <c r="AX196" i="3"/>
  <c r="CF196" i="3" s="1"/>
  <c r="AW196" i="3"/>
  <c r="FC196" i="3" s="1"/>
  <c r="AV196" i="3"/>
  <c r="CD196" i="3" s="1"/>
  <c r="AU196" i="3"/>
  <c r="AT196" i="3"/>
  <c r="AS196" i="3"/>
  <c r="AR196" i="3"/>
  <c r="AQ196" i="3"/>
  <c r="AP196" i="3"/>
  <c r="CM196" i="3" s="1"/>
  <c r="AO196" i="3"/>
  <c r="EU196" i="3" s="1"/>
  <c r="AN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T196" i="3"/>
  <c r="FF195" i="3"/>
  <c r="FE195" i="3"/>
  <c r="FD195" i="3"/>
  <c r="FC195" i="3"/>
  <c r="FB195" i="3"/>
  <c r="FA195" i="3"/>
  <c r="EZ195" i="3"/>
  <c r="EY195" i="3"/>
  <c r="ET195" i="3"/>
  <c r="EP195" i="3"/>
  <c r="EO195" i="3"/>
  <c r="EN195" i="3"/>
  <c r="EM195" i="3"/>
  <c r="EJ195" i="3"/>
  <c r="EI195" i="3"/>
  <c r="EG195" i="3"/>
  <c r="EF195" i="3"/>
  <c r="EA195" i="3"/>
  <c r="DV195" i="3"/>
  <c r="DU195" i="3"/>
  <c r="DT195" i="3"/>
  <c r="DR195" i="3"/>
  <c r="DN195" i="3"/>
  <c r="DM195" i="3"/>
  <c r="DL195" i="3"/>
  <c r="DK195" i="3"/>
  <c r="DJ195" i="3"/>
  <c r="DI195" i="3"/>
  <c r="DH195" i="3"/>
  <c r="DG195" i="3"/>
  <c r="DF195" i="3"/>
  <c r="DE195" i="3"/>
  <c r="DD195" i="3"/>
  <c r="DC195" i="3"/>
  <c r="DB195" i="3"/>
  <c r="DA195" i="3"/>
  <c r="CZ195" i="3"/>
  <c r="CW195" i="3"/>
  <c r="CV195" i="3"/>
  <c r="CQ195" i="3"/>
  <c r="CN195" i="3"/>
  <c r="CL195" i="3"/>
  <c r="CK195" i="3"/>
  <c r="CH195" i="3"/>
  <c r="CF195" i="3"/>
  <c r="CB195" i="3"/>
  <c r="CA195" i="3"/>
  <c r="BY195" i="3"/>
  <c r="BW195" i="3"/>
  <c r="BV195" i="3"/>
  <c r="BU195" i="3"/>
  <c r="BO195" i="3"/>
  <c r="BM195" i="3"/>
  <c r="BL195" i="3"/>
  <c r="BJ195" i="3"/>
  <c r="BG195" i="3"/>
  <c r="BB195" i="3"/>
  <c r="BA195" i="3"/>
  <c r="FG195" i="3" s="1"/>
  <c r="AZ195" i="3"/>
  <c r="BS195" i="3" s="1"/>
  <c r="AY195" i="3"/>
  <c r="AX195" i="3"/>
  <c r="AW195" i="3"/>
  <c r="DX195" i="3" s="1"/>
  <c r="AV195" i="3"/>
  <c r="AU195" i="3"/>
  <c r="AT195" i="3"/>
  <c r="AS195" i="3"/>
  <c r="CP195" i="3" s="1"/>
  <c r="AR195" i="3"/>
  <c r="AQ195" i="3"/>
  <c r="EW195" i="3" s="1"/>
  <c r="AP195" i="3"/>
  <c r="AO195" i="3"/>
  <c r="AN195" i="3"/>
  <c r="ED195" i="3" s="1"/>
  <c r="AL195" i="3"/>
  <c r="AK195" i="3"/>
  <c r="AJ195" i="3"/>
  <c r="AI195" i="3"/>
  <c r="AH195" i="3"/>
  <c r="AG195" i="3"/>
  <c r="AF195" i="3"/>
  <c r="BE195" i="3" s="1"/>
  <c r="AE195" i="3"/>
  <c r="AD195" i="3"/>
  <c r="AC195" i="3"/>
  <c r="BD195" i="3" s="1"/>
  <c r="AB195" i="3"/>
  <c r="AA195" i="3"/>
  <c r="Z195" i="3"/>
  <c r="Y195" i="3"/>
  <c r="X195" i="3"/>
  <c r="T195" i="3"/>
  <c r="FH194" i="3"/>
  <c r="FG194" i="3"/>
  <c r="FD194" i="3"/>
  <c r="FC194" i="3"/>
  <c r="FB194" i="3"/>
  <c r="EM194" i="3"/>
  <c r="EL194" i="3"/>
  <c r="EK194" i="3"/>
  <c r="EE194" i="3"/>
  <c r="DY194" i="3"/>
  <c r="DX194" i="3"/>
  <c r="DW194" i="3"/>
  <c r="DT194" i="3"/>
  <c r="DN194" i="3"/>
  <c r="DM194" i="3"/>
  <c r="DL194" i="3"/>
  <c r="DK194" i="3"/>
  <c r="DJ194" i="3"/>
  <c r="DI194" i="3"/>
  <c r="DH194" i="3"/>
  <c r="DG194" i="3"/>
  <c r="DF194" i="3"/>
  <c r="DE194" i="3"/>
  <c r="DD194" i="3"/>
  <c r="DC194" i="3"/>
  <c r="DB194" i="3"/>
  <c r="DA194" i="3"/>
  <c r="CZ194" i="3"/>
  <c r="CX194" i="3"/>
  <c r="CW194" i="3"/>
  <c r="CU194" i="3"/>
  <c r="CT194" i="3"/>
  <c r="CL194" i="3"/>
  <c r="CI194" i="3"/>
  <c r="CE194" i="3"/>
  <c r="CD194" i="3"/>
  <c r="BX194" i="3"/>
  <c r="BW194" i="3"/>
  <c r="BV194" i="3"/>
  <c r="BR194" i="3"/>
  <c r="BQ194" i="3"/>
  <c r="BP194" i="3"/>
  <c r="BO194" i="3"/>
  <c r="BG194" i="3"/>
  <c r="BF194" i="3"/>
  <c r="BC194" i="3"/>
  <c r="BB194" i="3"/>
  <c r="CJ194" i="3" s="1"/>
  <c r="BA194" i="3"/>
  <c r="EQ194" i="3" s="1"/>
  <c r="AZ194" i="3"/>
  <c r="CH194" i="3" s="1"/>
  <c r="AY194" i="3"/>
  <c r="CV194" i="3" s="1"/>
  <c r="AX194" i="3"/>
  <c r="AW194" i="3"/>
  <c r="AV194" i="3"/>
  <c r="CS194" i="3" s="1"/>
  <c r="AU194" i="3"/>
  <c r="AT194" i="3"/>
  <c r="AS194" i="3"/>
  <c r="CP194" i="3" s="1"/>
  <c r="AR194" i="3"/>
  <c r="AQ194" i="3"/>
  <c r="EW194" i="3" s="1"/>
  <c r="AP194" i="3"/>
  <c r="EF194" i="3" s="1"/>
  <c r="AO194" i="3"/>
  <c r="AN194" i="3"/>
  <c r="ED194" i="3" s="1"/>
  <c r="AL194" i="3"/>
  <c r="AK194" i="3"/>
  <c r="AJ194" i="3"/>
  <c r="AI194" i="3"/>
  <c r="AH194" i="3"/>
  <c r="AG194" i="3"/>
  <c r="BE194" i="3" s="1"/>
  <c r="AF194" i="3"/>
  <c r="AE194" i="3"/>
  <c r="BD194" i="3" s="1"/>
  <c r="AD194" i="3"/>
  <c r="AC194" i="3"/>
  <c r="AB194" i="3"/>
  <c r="AA194" i="3"/>
  <c r="Z194" i="3"/>
  <c r="Y194" i="3"/>
  <c r="X194" i="3"/>
  <c r="T194" i="3"/>
  <c r="FF193" i="3"/>
  <c r="FE193" i="3"/>
  <c r="EZ193" i="3"/>
  <c r="EW193" i="3"/>
  <c r="EV193" i="3"/>
  <c r="EU193" i="3"/>
  <c r="ET193" i="3"/>
  <c r="EP193" i="3"/>
  <c r="EO193" i="3"/>
  <c r="EM193" i="3"/>
  <c r="EL193" i="3"/>
  <c r="EK193" i="3"/>
  <c r="EH193" i="3"/>
  <c r="EG193" i="3"/>
  <c r="ED193" i="3"/>
  <c r="EA193" i="3"/>
  <c r="DZ193" i="3"/>
  <c r="DX193" i="3"/>
  <c r="DW193" i="3"/>
  <c r="DR193" i="3"/>
  <c r="DQ193" i="3"/>
  <c r="DO193" i="3"/>
  <c r="DN193" i="3"/>
  <c r="DM193" i="3"/>
  <c r="DL193" i="3"/>
  <c r="DK193" i="3"/>
  <c r="DJ193" i="3"/>
  <c r="DI193" i="3"/>
  <c r="DH193" i="3"/>
  <c r="DG193" i="3"/>
  <c r="DF193" i="3"/>
  <c r="DE193" i="3"/>
  <c r="DD193" i="3"/>
  <c r="DC193" i="3"/>
  <c r="DB193" i="3"/>
  <c r="DA193" i="3"/>
  <c r="CZ193" i="3"/>
  <c r="CW193" i="3"/>
  <c r="CT193" i="3"/>
  <c r="CS193" i="3"/>
  <c r="CR193" i="3"/>
  <c r="CQ193" i="3"/>
  <c r="CK193" i="3"/>
  <c r="CH193" i="3"/>
  <c r="CG193" i="3"/>
  <c r="CE193" i="3"/>
  <c r="CD193" i="3"/>
  <c r="CC193" i="3"/>
  <c r="BV193" i="3"/>
  <c r="BU193" i="3"/>
  <c r="BT193" i="3"/>
  <c r="BS193" i="3"/>
  <c r="BR193" i="3"/>
  <c r="BP193" i="3"/>
  <c r="BO193" i="3"/>
  <c r="BJ193" i="3"/>
  <c r="BG193" i="3"/>
  <c r="BF193" i="3"/>
  <c r="BC193" i="3"/>
  <c r="BB193" i="3"/>
  <c r="CY193" i="3" s="1"/>
  <c r="BA193" i="3"/>
  <c r="FG193" i="3" s="1"/>
  <c r="AZ193" i="3"/>
  <c r="AY193" i="3"/>
  <c r="CV193" i="3" s="1"/>
  <c r="AX193" i="3"/>
  <c r="AW193" i="3"/>
  <c r="FC193" i="3" s="1"/>
  <c r="AV193" i="3"/>
  <c r="FB193" i="3" s="1"/>
  <c r="AU193" i="3"/>
  <c r="BN193" i="3" s="1"/>
  <c r="AT193" i="3"/>
  <c r="CB193" i="3" s="1"/>
  <c r="AS193" i="3"/>
  <c r="AR193" i="3"/>
  <c r="AQ193" i="3"/>
  <c r="BY193" i="3" s="1"/>
  <c r="AP193" i="3"/>
  <c r="AO193" i="3"/>
  <c r="AN193" i="3"/>
  <c r="AL193" i="3"/>
  <c r="AK193" i="3"/>
  <c r="AJ193" i="3"/>
  <c r="AI193" i="3"/>
  <c r="AH193" i="3"/>
  <c r="AG193" i="3"/>
  <c r="AF193" i="3"/>
  <c r="BE193" i="3" s="1"/>
  <c r="AE193" i="3"/>
  <c r="BD193" i="3" s="1"/>
  <c r="AD193" i="3"/>
  <c r="AC193" i="3"/>
  <c r="AB193" i="3"/>
  <c r="AA193" i="3"/>
  <c r="Z193" i="3"/>
  <c r="Y193" i="3"/>
  <c r="X193" i="3"/>
  <c r="T193" i="3"/>
  <c r="FH192" i="3"/>
  <c r="FC192" i="3"/>
  <c r="EY192" i="3"/>
  <c r="EW192" i="3"/>
  <c r="EV192" i="3"/>
  <c r="ER192" i="3"/>
  <c r="EQ192" i="3"/>
  <c r="EN192" i="3"/>
  <c r="EM192" i="3"/>
  <c r="EG192" i="3"/>
  <c r="ED192" i="3"/>
  <c r="EC192" i="3"/>
  <c r="EA192" i="3"/>
  <c r="DU192" i="3"/>
  <c r="DT192" i="3"/>
  <c r="DS192" i="3"/>
  <c r="DR192" i="3"/>
  <c r="DO192" i="3"/>
  <c r="DN192" i="3"/>
  <c r="DM192" i="3"/>
  <c r="DL192" i="3"/>
  <c r="DK192" i="3"/>
  <c r="DJ192" i="3"/>
  <c r="DI192" i="3"/>
  <c r="DH192" i="3"/>
  <c r="DG192" i="3"/>
  <c r="DF192" i="3"/>
  <c r="DE192" i="3"/>
  <c r="DD192" i="3"/>
  <c r="DC192" i="3"/>
  <c r="DB192" i="3"/>
  <c r="DA192" i="3"/>
  <c r="CZ192" i="3"/>
  <c r="CU192" i="3"/>
  <c r="CT192" i="3"/>
  <c r="CQ192" i="3"/>
  <c r="CP192" i="3"/>
  <c r="CK192" i="3"/>
  <c r="CJ192" i="3"/>
  <c r="CF192" i="3"/>
  <c r="CE192" i="3"/>
  <c r="CC192" i="3"/>
  <c r="CB192" i="3"/>
  <c r="BY192" i="3"/>
  <c r="BW192" i="3"/>
  <c r="BV192" i="3"/>
  <c r="BU192" i="3"/>
  <c r="BS192" i="3"/>
  <c r="BP192" i="3"/>
  <c r="BL192" i="3"/>
  <c r="BK192" i="3"/>
  <c r="BI192" i="3"/>
  <c r="BH192" i="3"/>
  <c r="BG192" i="3"/>
  <c r="BB192" i="3"/>
  <c r="CY192" i="3" s="1"/>
  <c r="BA192" i="3"/>
  <c r="AZ192" i="3"/>
  <c r="AY192" i="3"/>
  <c r="AX192" i="3"/>
  <c r="AW192" i="3"/>
  <c r="DX192" i="3" s="1"/>
  <c r="AV192" i="3"/>
  <c r="AU192" i="3"/>
  <c r="AT192" i="3"/>
  <c r="EZ192" i="3" s="1"/>
  <c r="AS192" i="3"/>
  <c r="AR192" i="3"/>
  <c r="CO192" i="3" s="1"/>
  <c r="AQ192" i="3"/>
  <c r="AP192" i="3"/>
  <c r="EF192" i="3" s="1"/>
  <c r="AO192" i="3"/>
  <c r="EE192" i="3" s="1"/>
  <c r="AN192" i="3"/>
  <c r="ET192" i="3" s="1"/>
  <c r="AL192" i="3"/>
  <c r="AK192" i="3"/>
  <c r="AJ192" i="3"/>
  <c r="AI192" i="3"/>
  <c r="AH192" i="3"/>
  <c r="AG192" i="3"/>
  <c r="AF192" i="3"/>
  <c r="BE192" i="3" s="1"/>
  <c r="AE192" i="3"/>
  <c r="AD192" i="3"/>
  <c r="AC192" i="3"/>
  <c r="AB192" i="3"/>
  <c r="AA192" i="3"/>
  <c r="BD192" i="3" s="1"/>
  <c r="Z192" i="3"/>
  <c r="Y192" i="3"/>
  <c r="X192" i="3"/>
  <c r="BC192" i="3" s="1"/>
  <c r="T192" i="3"/>
  <c r="FC191" i="3"/>
  <c r="FB191" i="3"/>
  <c r="FA191" i="3"/>
  <c r="EY191" i="3"/>
  <c r="EW191" i="3"/>
  <c r="EQ191" i="3"/>
  <c r="EO191" i="3"/>
  <c r="EM191" i="3"/>
  <c r="EL191" i="3"/>
  <c r="EK191" i="3"/>
  <c r="EJ191" i="3"/>
  <c r="EI191" i="3"/>
  <c r="EG191" i="3"/>
  <c r="EC191" i="3"/>
  <c r="DZ191" i="3"/>
  <c r="DY191" i="3"/>
  <c r="DX191" i="3"/>
  <c r="DW191" i="3"/>
  <c r="DV191" i="3"/>
  <c r="DR191" i="3"/>
  <c r="DN191" i="3"/>
  <c r="DM191" i="3"/>
  <c r="DL191" i="3"/>
  <c r="DK191" i="3"/>
  <c r="DJ191" i="3"/>
  <c r="DI191" i="3"/>
  <c r="DH191" i="3"/>
  <c r="DG191" i="3"/>
  <c r="DF191" i="3"/>
  <c r="DE191" i="3"/>
  <c r="DD191" i="3"/>
  <c r="DC191" i="3"/>
  <c r="DB191" i="3"/>
  <c r="DA191" i="3"/>
  <c r="CZ191" i="3"/>
  <c r="CY191" i="3"/>
  <c r="CX191" i="3"/>
  <c r="CV191" i="3"/>
  <c r="CS191" i="3"/>
  <c r="CK191" i="3"/>
  <c r="CE191" i="3"/>
  <c r="CD191" i="3"/>
  <c r="CB191" i="3"/>
  <c r="CA191" i="3"/>
  <c r="BY191" i="3"/>
  <c r="BX191" i="3"/>
  <c r="BP191" i="3"/>
  <c r="BO191" i="3"/>
  <c r="BN191" i="3"/>
  <c r="BM191" i="3"/>
  <c r="BL191" i="3"/>
  <c r="BJ191" i="3"/>
  <c r="BB191" i="3"/>
  <c r="ER191" i="3" s="1"/>
  <c r="BA191" i="3"/>
  <c r="AZ191" i="3"/>
  <c r="FF191" i="3" s="1"/>
  <c r="AY191" i="3"/>
  <c r="CG191" i="3" s="1"/>
  <c r="AX191" i="3"/>
  <c r="CU191" i="3" s="1"/>
  <c r="AW191" i="3"/>
  <c r="CT191" i="3" s="1"/>
  <c r="AV191" i="3"/>
  <c r="AU191" i="3"/>
  <c r="CR191" i="3" s="1"/>
  <c r="AT191" i="3"/>
  <c r="EZ191" i="3" s="1"/>
  <c r="AS191" i="3"/>
  <c r="DT191" i="3" s="1"/>
  <c r="AR191" i="3"/>
  <c r="AQ191" i="3"/>
  <c r="CN191" i="3" s="1"/>
  <c r="AP191" i="3"/>
  <c r="EF191" i="3" s="1"/>
  <c r="AO191" i="3"/>
  <c r="CL191" i="3" s="1"/>
  <c r="AN191" i="3"/>
  <c r="AL191" i="3"/>
  <c r="AK191" i="3"/>
  <c r="AJ191" i="3"/>
  <c r="AI191" i="3"/>
  <c r="BF191" i="3" s="1"/>
  <c r="AH191" i="3"/>
  <c r="AG191" i="3"/>
  <c r="AF191" i="3"/>
  <c r="BE191" i="3" s="1"/>
  <c r="AE191" i="3"/>
  <c r="AD191" i="3"/>
  <c r="AC191" i="3"/>
  <c r="AB191" i="3"/>
  <c r="BD191" i="3" s="1"/>
  <c r="AA191" i="3"/>
  <c r="Z191" i="3"/>
  <c r="Y191" i="3"/>
  <c r="BC191" i="3" s="1"/>
  <c r="X191" i="3"/>
  <c r="T191" i="3"/>
  <c r="FH190" i="3"/>
  <c r="FG190" i="3"/>
  <c r="FF190" i="3"/>
  <c r="FE190" i="3"/>
  <c r="FB190" i="3"/>
  <c r="EY190" i="3"/>
  <c r="EV190" i="3"/>
  <c r="EU190" i="3"/>
  <c r="ET190" i="3"/>
  <c r="EP190" i="3"/>
  <c r="EO190" i="3"/>
  <c r="EM190" i="3"/>
  <c r="EL190" i="3"/>
  <c r="EJ190" i="3"/>
  <c r="EI190" i="3"/>
  <c r="ED190" i="3"/>
  <c r="EA190" i="3"/>
  <c r="DZ190" i="3"/>
  <c r="DY190" i="3"/>
  <c r="DX190" i="3"/>
  <c r="DW190" i="3"/>
  <c r="DU190" i="3"/>
  <c r="DO190" i="3"/>
  <c r="DN190" i="3"/>
  <c r="DM190" i="3"/>
  <c r="DL190" i="3"/>
  <c r="DK190" i="3"/>
  <c r="DJ190" i="3"/>
  <c r="DI190" i="3"/>
  <c r="DH190" i="3"/>
  <c r="DG190" i="3"/>
  <c r="DF190" i="3"/>
  <c r="DE190" i="3"/>
  <c r="DD190" i="3"/>
  <c r="DC190" i="3"/>
  <c r="DB190" i="3"/>
  <c r="DA190" i="3"/>
  <c r="CZ190" i="3"/>
  <c r="CY190" i="3"/>
  <c r="CW190" i="3"/>
  <c r="CV190" i="3"/>
  <c r="CS190" i="3"/>
  <c r="CQ190" i="3"/>
  <c r="CN190" i="3"/>
  <c r="CM190" i="3"/>
  <c r="CK190" i="3"/>
  <c r="CH190" i="3"/>
  <c r="CG190" i="3"/>
  <c r="CE190" i="3"/>
  <c r="CD190" i="3"/>
  <c r="CB190" i="3"/>
  <c r="CA190" i="3"/>
  <c r="BV190" i="3"/>
  <c r="BS190" i="3"/>
  <c r="BR190" i="3"/>
  <c r="BQ190" i="3"/>
  <c r="BP190" i="3"/>
  <c r="BO190" i="3"/>
  <c r="BM190" i="3"/>
  <c r="BG190" i="3"/>
  <c r="BC190" i="3"/>
  <c r="BB190" i="3"/>
  <c r="ER190" i="3" s="1"/>
  <c r="BA190" i="3"/>
  <c r="EQ190" i="3" s="1"/>
  <c r="AZ190" i="3"/>
  <c r="AY190" i="3"/>
  <c r="AX190" i="3"/>
  <c r="FD190" i="3" s="1"/>
  <c r="AW190" i="3"/>
  <c r="FC190" i="3" s="1"/>
  <c r="AV190" i="3"/>
  <c r="AU190" i="3"/>
  <c r="AT190" i="3"/>
  <c r="EZ190" i="3" s="1"/>
  <c r="AS190" i="3"/>
  <c r="DT190" i="3" s="1"/>
  <c r="AR190" i="3"/>
  <c r="AQ190" i="3"/>
  <c r="AP190" i="3"/>
  <c r="EF190" i="3" s="1"/>
  <c r="AO190" i="3"/>
  <c r="EE190" i="3" s="1"/>
  <c r="AN190" i="3"/>
  <c r="AL190" i="3"/>
  <c r="AK190" i="3"/>
  <c r="AJ190" i="3"/>
  <c r="AI190" i="3"/>
  <c r="BF190" i="3" s="1"/>
  <c r="AH190" i="3"/>
  <c r="AG190" i="3"/>
  <c r="AF190" i="3"/>
  <c r="BE190" i="3" s="1"/>
  <c r="AE190" i="3"/>
  <c r="BD190" i="3" s="1"/>
  <c r="AD190" i="3"/>
  <c r="AC190" i="3"/>
  <c r="AB190" i="3"/>
  <c r="AA190" i="3"/>
  <c r="Z190" i="3"/>
  <c r="Y190" i="3"/>
  <c r="X190" i="3"/>
  <c r="T190" i="3"/>
  <c r="FH189" i="3"/>
  <c r="FE189" i="3"/>
  <c r="FB189" i="3"/>
  <c r="EY189" i="3"/>
  <c r="EX189" i="3"/>
  <c r="EV189" i="3"/>
  <c r="ER189" i="3"/>
  <c r="EP189" i="3"/>
  <c r="EO189" i="3"/>
  <c r="EM189" i="3"/>
  <c r="EL189" i="3"/>
  <c r="EF189" i="3"/>
  <c r="ED189" i="3"/>
  <c r="EC189" i="3"/>
  <c r="EB189" i="3"/>
  <c r="EA189" i="3"/>
  <c r="DZ189" i="3"/>
  <c r="DX189" i="3"/>
  <c r="DR189" i="3"/>
  <c r="DQ189" i="3"/>
  <c r="DP189" i="3"/>
  <c r="DO189" i="3"/>
  <c r="DN189" i="3"/>
  <c r="DM189" i="3"/>
  <c r="DL189" i="3"/>
  <c r="DK189" i="3"/>
  <c r="DJ189" i="3"/>
  <c r="DI189" i="3"/>
  <c r="DH189" i="3"/>
  <c r="DG189" i="3"/>
  <c r="DF189" i="3"/>
  <c r="DE189" i="3"/>
  <c r="DD189" i="3"/>
  <c r="DC189" i="3"/>
  <c r="DB189" i="3"/>
  <c r="DA189" i="3"/>
  <c r="CZ189" i="3"/>
  <c r="CY189" i="3"/>
  <c r="CV189" i="3"/>
  <c r="CT189" i="3"/>
  <c r="CP189" i="3"/>
  <c r="CN189" i="3"/>
  <c r="CM189" i="3"/>
  <c r="CJ189" i="3"/>
  <c r="CH189" i="3"/>
  <c r="CG189" i="3"/>
  <c r="CE189" i="3"/>
  <c r="CD189" i="3"/>
  <c r="CA189" i="3"/>
  <c r="BX189" i="3"/>
  <c r="BV189" i="3"/>
  <c r="BU189" i="3"/>
  <c r="BT189" i="3"/>
  <c r="BS189" i="3"/>
  <c r="BR189" i="3"/>
  <c r="BP189" i="3"/>
  <c r="BJ189" i="3"/>
  <c r="BI189" i="3"/>
  <c r="BH189" i="3"/>
  <c r="BG189" i="3"/>
  <c r="BD189" i="3"/>
  <c r="BB189" i="3"/>
  <c r="BA189" i="3"/>
  <c r="FG189" i="3" s="1"/>
  <c r="AZ189" i="3"/>
  <c r="FF189" i="3" s="1"/>
  <c r="AY189" i="3"/>
  <c r="AX189" i="3"/>
  <c r="AW189" i="3"/>
  <c r="FC189" i="3" s="1"/>
  <c r="AV189" i="3"/>
  <c r="DW189" i="3" s="1"/>
  <c r="AU189" i="3"/>
  <c r="AT189" i="3"/>
  <c r="AS189" i="3"/>
  <c r="EI189" i="3" s="1"/>
  <c r="AR189" i="3"/>
  <c r="EH189" i="3" s="1"/>
  <c r="AQ189" i="3"/>
  <c r="EG189" i="3" s="1"/>
  <c r="AP189" i="3"/>
  <c r="AO189" i="3"/>
  <c r="EU189" i="3" s="1"/>
  <c r="AN189" i="3"/>
  <c r="ET189" i="3" s="1"/>
  <c r="AL189" i="3"/>
  <c r="AK189" i="3"/>
  <c r="AJ189" i="3"/>
  <c r="AI189" i="3"/>
  <c r="BF189" i="3" s="1"/>
  <c r="AH189" i="3"/>
  <c r="AG189" i="3"/>
  <c r="AF189" i="3"/>
  <c r="BE189" i="3" s="1"/>
  <c r="AE189" i="3"/>
  <c r="AD189" i="3"/>
  <c r="AC189" i="3"/>
  <c r="AB189" i="3"/>
  <c r="AA189" i="3"/>
  <c r="Z189" i="3"/>
  <c r="Y189" i="3"/>
  <c r="X189" i="3"/>
  <c r="BC189" i="3" s="1"/>
  <c r="T189" i="3"/>
  <c r="FH188" i="3"/>
  <c r="FE188" i="3"/>
  <c r="FB188" i="3"/>
  <c r="FA188" i="3"/>
  <c r="EY188" i="3"/>
  <c r="EX188" i="3"/>
  <c r="EV188" i="3"/>
  <c r="ER188" i="3"/>
  <c r="EP188" i="3"/>
  <c r="EO188" i="3"/>
  <c r="EL188" i="3"/>
  <c r="EI188" i="3"/>
  <c r="EG188" i="3"/>
  <c r="EF188" i="3"/>
  <c r="ED188" i="3"/>
  <c r="EC188" i="3"/>
  <c r="EA188" i="3"/>
  <c r="DU188" i="3"/>
  <c r="DT188" i="3"/>
  <c r="DS188" i="3"/>
  <c r="DR188" i="3"/>
  <c r="DQ188" i="3"/>
  <c r="DO188" i="3"/>
  <c r="DN188" i="3"/>
  <c r="DM188" i="3"/>
  <c r="DL188" i="3"/>
  <c r="DK188" i="3"/>
  <c r="DJ188" i="3"/>
  <c r="DI188" i="3"/>
  <c r="DH188" i="3"/>
  <c r="DG188" i="3"/>
  <c r="DF188" i="3"/>
  <c r="DE188" i="3"/>
  <c r="DD188" i="3"/>
  <c r="DC188" i="3"/>
  <c r="DB188" i="3"/>
  <c r="DA188" i="3"/>
  <c r="CZ188" i="3"/>
  <c r="CY188" i="3"/>
  <c r="CW188" i="3"/>
  <c r="CS188" i="3"/>
  <c r="CQ188" i="3"/>
  <c r="CP188" i="3"/>
  <c r="CM188" i="3"/>
  <c r="CK188" i="3"/>
  <c r="CJ188" i="3"/>
  <c r="CH188" i="3"/>
  <c r="CG188" i="3"/>
  <c r="CD188" i="3"/>
  <c r="CA188" i="3"/>
  <c r="BY188" i="3"/>
  <c r="BX188" i="3"/>
  <c r="BV188" i="3"/>
  <c r="BU188" i="3"/>
  <c r="BS188" i="3"/>
  <c r="BO188" i="3"/>
  <c r="BM188" i="3"/>
  <c r="BL188" i="3"/>
  <c r="BK188" i="3"/>
  <c r="BJ188" i="3"/>
  <c r="BI188" i="3"/>
  <c r="BG188" i="3"/>
  <c r="BB188" i="3"/>
  <c r="BA188" i="3"/>
  <c r="AZ188" i="3"/>
  <c r="FF188" i="3" s="1"/>
  <c r="AY188" i="3"/>
  <c r="DZ188" i="3" s="1"/>
  <c r="AX188" i="3"/>
  <c r="AW188" i="3"/>
  <c r="AV188" i="3"/>
  <c r="DW188" i="3" s="1"/>
  <c r="AU188" i="3"/>
  <c r="EK188" i="3" s="1"/>
  <c r="AT188" i="3"/>
  <c r="EJ188" i="3" s="1"/>
  <c r="AS188" i="3"/>
  <c r="AR188" i="3"/>
  <c r="CO188" i="3" s="1"/>
  <c r="AQ188" i="3"/>
  <c r="EW188" i="3" s="1"/>
  <c r="AP188" i="3"/>
  <c r="AO188" i="3"/>
  <c r="AN188" i="3"/>
  <c r="ET188" i="3" s="1"/>
  <c r="AL188" i="3"/>
  <c r="AK188" i="3"/>
  <c r="AJ188" i="3"/>
  <c r="AI188" i="3"/>
  <c r="AH188" i="3"/>
  <c r="AG188" i="3"/>
  <c r="AF188" i="3"/>
  <c r="BE188" i="3" s="1"/>
  <c r="AE188" i="3"/>
  <c r="AD188" i="3"/>
  <c r="AC188" i="3"/>
  <c r="AB188" i="3"/>
  <c r="AA188" i="3"/>
  <c r="Z188" i="3"/>
  <c r="Y188" i="3"/>
  <c r="X188" i="3"/>
  <c r="T188" i="3"/>
  <c r="FH187" i="3"/>
  <c r="FE187" i="3"/>
  <c r="FD187" i="3"/>
  <c r="FB187" i="3"/>
  <c r="EY187" i="3"/>
  <c r="EV187" i="3"/>
  <c r="ET187" i="3"/>
  <c r="ER187" i="3"/>
  <c r="EO187" i="3"/>
  <c r="EL187" i="3"/>
  <c r="EJ187" i="3"/>
  <c r="EI187" i="3"/>
  <c r="EG187" i="3"/>
  <c r="DZ187" i="3"/>
  <c r="DX187" i="3"/>
  <c r="DW187" i="3"/>
  <c r="DV187" i="3"/>
  <c r="DU187" i="3"/>
  <c r="DT187" i="3"/>
  <c r="DR187" i="3"/>
  <c r="DN187" i="3"/>
  <c r="DM187" i="3"/>
  <c r="DL187" i="3"/>
  <c r="DK187" i="3"/>
  <c r="DJ187" i="3"/>
  <c r="DI187" i="3"/>
  <c r="DH187" i="3"/>
  <c r="DG187" i="3"/>
  <c r="DF187" i="3"/>
  <c r="DE187" i="3"/>
  <c r="DD187" i="3"/>
  <c r="DC187" i="3"/>
  <c r="DB187" i="3"/>
  <c r="DA187" i="3"/>
  <c r="CZ187" i="3"/>
  <c r="CV187" i="3"/>
  <c r="CT187" i="3"/>
  <c r="CS187" i="3"/>
  <c r="CP187" i="3"/>
  <c r="CN187" i="3"/>
  <c r="CK187" i="3"/>
  <c r="CJ187" i="3"/>
  <c r="CG187" i="3"/>
  <c r="CD187" i="3"/>
  <c r="CB187" i="3"/>
  <c r="CA187" i="3"/>
  <c r="BY187" i="3"/>
  <c r="BX187" i="3"/>
  <c r="BR187" i="3"/>
  <c r="BP187" i="3"/>
  <c r="BO187" i="3"/>
  <c r="BN187" i="3"/>
  <c r="BM187" i="3"/>
  <c r="BL187" i="3"/>
  <c r="BJ187" i="3"/>
  <c r="BB187" i="3"/>
  <c r="BA187" i="3"/>
  <c r="AZ187" i="3"/>
  <c r="FF187" i="3" s="1"/>
  <c r="AY187" i="3"/>
  <c r="AX187" i="3"/>
  <c r="EN187" i="3" s="1"/>
  <c r="AW187" i="3"/>
  <c r="EM187" i="3" s="1"/>
  <c r="AV187" i="3"/>
  <c r="AU187" i="3"/>
  <c r="FA187" i="3" s="1"/>
  <c r="AT187" i="3"/>
  <c r="EZ187" i="3" s="1"/>
  <c r="AS187" i="3"/>
  <c r="AR187" i="3"/>
  <c r="BZ187" i="3" s="1"/>
  <c r="AQ187" i="3"/>
  <c r="EW187" i="3" s="1"/>
  <c r="AP187" i="3"/>
  <c r="AO187" i="3"/>
  <c r="AN187" i="3"/>
  <c r="AL187" i="3"/>
  <c r="BF187" i="3" s="1"/>
  <c r="AK187" i="3"/>
  <c r="AJ187" i="3"/>
  <c r="AI187" i="3"/>
  <c r="AH187" i="3"/>
  <c r="AG187" i="3"/>
  <c r="AF187" i="3"/>
  <c r="BE187" i="3" s="1"/>
  <c r="AE187" i="3"/>
  <c r="AD187" i="3"/>
  <c r="AC187" i="3"/>
  <c r="AB187" i="3"/>
  <c r="BD187" i="3" s="1"/>
  <c r="AA187" i="3"/>
  <c r="Z187" i="3"/>
  <c r="Y187" i="3"/>
  <c r="BC187" i="3" s="1"/>
  <c r="X187" i="3"/>
  <c r="T187" i="3"/>
  <c r="FH186" i="3"/>
  <c r="FG186" i="3"/>
  <c r="FE186" i="3"/>
  <c r="FD186" i="3"/>
  <c r="FB186" i="3"/>
  <c r="EV186" i="3"/>
  <c r="EU186" i="3"/>
  <c r="ER186" i="3"/>
  <c r="EO186" i="3"/>
  <c r="EM186" i="3"/>
  <c r="EL186" i="3"/>
  <c r="EK186" i="3"/>
  <c r="EJ186" i="3"/>
  <c r="EF186" i="3"/>
  <c r="EC186" i="3"/>
  <c r="EA186" i="3"/>
  <c r="DZ186" i="3"/>
  <c r="DY186" i="3"/>
  <c r="DW186" i="3"/>
  <c r="DU186" i="3"/>
  <c r="DQ186" i="3"/>
  <c r="DO186" i="3"/>
  <c r="DN186" i="3"/>
  <c r="DM186" i="3"/>
  <c r="DL186" i="3"/>
  <c r="DK186" i="3"/>
  <c r="DJ186" i="3"/>
  <c r="DI186" i="3"/>
  <c r="DH186" i="3"/>
  <c r="DG186" i="3"/>
  <c r="DF186" i="3"/>
  <c r="DE186" i="3"/>
  <c r="DD186" i="3"/>
  <c r="DC186" i="3"/>
  <c r="DB186" i="3"/>
  <c r="DA186" i="3"/>
  <c r="CZ186" i="3"/>
  <c r="CY186" i="3"/>
  <c r="CW186" i="3"/>
  <c r="CV186" i="3"/>
  <c r="CS186" i="3"/>
  <c r="CQ186" i="3"/>
  <c r="CO186" i="3"/>
  <c r="CN186" i="3"/>
  <c r="CM186" i="3"/>
  <c r="CK186" i="3"/>
  <c r="CJ186" i="3"/>
  <c r="CG186" i="3"/>
  <c r="CD186" i="3"/>
  <c r="CB186" i="3"/>
  <c r="CA186" i="3"/>
  <c r="BX186" i="3"/>
  <c r="BU186" i="3"/>
  <c r="BS186" i="3"/>
  <c r="BR186" i="3"/>
  <c r="BQ186" i="3"/>
  <c r="BO186" i="3"/>
  <c r="BM186" i="3"/>
  <c r="BI186" i="3"/>
  <c r="BG186" i="3"/>
  <c r="BE186" i="3"/>
  <c r="BC186" i="3"/>
  <c r="BB186" i="3"/>
  <c r="BA186" i="3"/>
  <c r="AZ186" i="3"/>
  <c r="EP186" i="3" s="1"/>
  <c r="AY186" i="3"/>
  <c r="AX186" i="3"/>
  <c r="CU186" i="3" s="1"/>
  <c r="AW186" i="3"/>
  <c r="AV186" i="3"/>
  <c r="AU186" i="3"/>
  <c r="AT186" i="3"/>
  <c r="EZ186" i="3" s="1"/>
  <c r="AS186" i="3"/>
  <c r="AR186" i="3"/>
  <c r="AQ186" i="3"/>
  <c r="AP186" i="3"/>
  <c r="AO186" i="3"/>
  <c r="AN186" i="3"/>
  <c r="ED186" i="3" s="1"/>
  <c r="AL186" i="3"/>
  <c r="AK186" i="3"/>
  <c r="AJ186" i="3"/>
  <c r="AI186" i="3"/>
  <c r="BF186" i="3" s="1"/>
  <c r="AH186" i="3"/>
  <c r="AG186" i="3"/>
  <c r="AF186" i="3"/>
  <c r="AE186" i="3"/>
  <c r="AD186" i="3"/>
  <c r="AC186" i="3"/>
  <c r="BD186" i="3" s="1"/>
  <c r="AB186" i="3"/>
  <c r="AA186" i="3"/>
  <c r="Z186" i="3"/>
  <c r="Y186" i="3"/>
  <c r="X186" i="3"/>
  <c r="AM186" i="3" s="1"/>
  <c r="T186" i="3"/>
  <c r="FH185" i="3"/>
  <c r="FG185" i="3"/>
  <c r="FE185" i="3"/>
  <c r="FB185" i="3"/>
  <c r="EY185" i="3"/>
  <c r="EV185" i="3"/>
  <c r="EU185" i="3"/>
  <c r="ER185" i="3"/>
  <c r="EP185" i="3"/>
  <c r="EO185" i="3"/>
  <c r="EN185" i="3"/>
  <c r="EM185" i="3"/>
  <c r="EI185" i="3"/>
  <c r="EF185" i="3"/>
  <c r="ED185" i="3"/>
  <c r="EC185" i="3"/>
  <c r="EB185" i="3"/>
  <c r="DZ185" i="3"/>
  <c r="DX185" i="3"/>
  <c r="DW185" i="3"/>
  <c r="DT185" i="3"/>
  <c r="DR185" i="3"/>
  <c r="DQ185" i="3"/>
  <c r="DP185" i="3"/>
  <c r="DN185" i="3"/>
  <c r="DM185" i="3"/>
  <c r="DL185" i="3"/>
  <c r="DK185" i="3"/>
  <c r="DJ185" i="3"/>
  <c r="DI185" i="3"/>
  <c r="DH185" i="3"/>
  <c r="DG185" i="3"/>
  <c r="DF185" i="3"/>
  <c r="DE185" i="3"/>
  <c r="DD185" i="3"/>
  <c r="DC185" i="3"/>
  <c r="DB185" i="3"/>
  <c r="DA185" i="3"/>
  <c r="CZ185" i="3"/>
  <c r="CY185" i="3"/>
  <c r="CV185" i="3"/>
  <c r="CT185" i="3"/>
  <c r="CP185" i="3"/>
  <c r="CN185" i="3"/>
  <c r="CM185" i="3"/>
  <c r="CJ185" i="3"/>
  <c r="CH185" i="3"/>
  <c r="CG185" i="3"/>
  <c r="CF185" i="3"/>
  <c r="CE185" i="3"/>
  <c r="CD185" i="3"/>
  <c r="CA185" i="3"/>
  <c r="BX185" i="3"/>
  <c r="BU185" i="3"/>
  <c r="BT185" i="3"/>
  <c r="BR185" i="3"/>
  <c r="BP185" i="3"/>
  <c r="BO185" i="3"/>
  <c r="BL185" i="3"/>
  <c r="BJ185" i="3"/>
  <c r="BI185" i="3"/>
  <c r="BH185" i="3"/>
  <c r="BG185" i="3"/>
  <c r="BB185" i="3"/>
  <c r="BA185" i="3"/>
  <c r="CX185" i="3" s="1"/>
  <c r="AZ185" i="3"/>
  <c r="EA185" i="3" s="1"/>
  <c r="AY185" i="3"/>
  <c r="AX185" i="3"/>
  <c r="FD185" i="3" s="1"/>
  <c r="AW185" i="3"/>
  <c r="FC185" i="3" s="1"/>
  <c r="AV185" i="3"/>
  <c r="CS185" i="3" s="1"/>
  <c r="AU185" i="3"/>
  <c r="AT185" i="3"/>
  <c r="AS185" i="3"/>
  <c r="AR185" i="3"/>
  <c r="AQ185" i="3"/>
  <c r="AP185" i="3"/>
  <c r="AO185" i="3"/>
  <c r="CL185" i="3" s="1"/>
  <c r="AN185" i="3"/>
  <c r="BV185" i="3" s="1"/>
  <c r="AL185" i="3"/>
  <c r="AK185" i="3"/>
  <c r="AJ185" i="3"/>
  <c r="AI185" i="3"/>
  <c r="AH185" i="3"/>
  <c r="AG185" i="3"/>
  <c r="AF185" i="3"/>
  <c r="AE185" i="3"/>
  <c r="AD185" i="3"/>
  <c r="AC185" i="3"/>
  <c r="AB185" i="3"/>
  <c r="BD185" i="3" s="1"/>
  <c r="AA185" i="3"/>
  <c r="Z185" i="3"/>
  <c r="Y185" i="3"/>
  <c r="X185" i="3"/>
  <c r="T185" i="3"/>
  <c r="FH184" i="3"/>
  <c r="FE184" i="3"/>
  <c r="FB184" i="3"/>
  <c r="EY184" i="3"/>
  <c r="EV184" i="3"/>
  <c r="EU184" i="3"/>
  <c r="ER184" i="3"/>
  <c r="EP184" i="3"/>
  <c r="EO184" i="3"/>
  <c r="EL184" i="3"/>
  <c r="EI184" i="3"/>
  <c r="EG184" i="3"/>
  <c r="EF184" i="3"/>
  <c r="EE184" i="3"/>
  <c r="ED184" i="3"/>
  <c r="EC184" i="3"/>
  <c r="EA184" i="3"/>
  <c r="DW184" i="3"/>
  <c r="DT184" i="3"/>
  <c r="DR184" i="3"/>
  <c r="DQ184" i="3"/>
  <c r="DO184" i="3"/>
  <c r="DN184" i="3"/>
  <c r="DM184" i="3"/>
  <c r="DL184" i="3"/>
  <c r="DK184" i="3"/>
  <c r="DJ184" i="3"/>
  <c r="DI184" i="3"/>
  <c r="DH184" i="3"/>
  <c r="DG184" i="3"/>
  <c r="DF184" i="3"/>
  <c r="DE184" i="3"/>
  <c r="DD184" i="3"/>
  <c r="DC184" i="3"/>
  <c r="DB184" i="3"/>
  <c r="DA184" i="3"/>
  <c r="CZ184" i="3"/>
  <c r="CY184" i="3"/>
  <c r="CW184" i="3"/>
  <c r="CU184" i="3"/>
  <c r="CS184" i="3"/>
  <c r="CQ184" i="3"/>
  <c r="CP184" i="3"/>
  <c r="CN184" i="3"/>
  <c r="CM184" i="3"/>
  <c r="CK184" i="3"/>
  <c r="CJ184" i="3"/>
  <c r="CH184" i="3"/>
  <c r="CG184" i="3"/>
  <c r="CD184" i="3"/>
  <c r="CA184" i="3"/>
  <c r="BY184" i="3"/>
  <c r="BX184" i="3"/>
  <c r="BW184" i="3"/>
  <c r="BV184" i="3"/>
  <c r="BU184" i="3"/>
  <c r="BS184" i="3"/>
  <c r="BO184" i="3"/>
  <c r="BL184" i="3"/>
  <c r="BJ184" i="3"/>
  <c r="BI184" i="3"/>
  <c r="BG184" i="3"/>
  <c r="BB184" i="3"/>
  <c r="BA184" i="3"/>
  <c r="AZ184" i="3"/>
  <c r="FF184" i="3" s="1"/>
  <c r="AY184" i="3"/>
  <c r="CV184" i="3" s="1"/>
  <c r="AX184" i="3"/>
  <c r="AW184" i="3"/>
  <c r="AV184" i="3"/>
  <c r="AU184" i="3"/>
  <c r="AT184" i="3"/>
  <c r="AS184" i="3"/>
  <c r="AR184" i="3"/>
  <c r="AQ184" i="3"/>
  <c r="EW184" i="3" s="1"/>
  <c r="AP184" i="3"/>
  <c r="AO184" i="3"/>
  <c r="AN184" i="3"/>
  <c r="ET184" i="3" s="1"/>
  <c r="AL184" i="3"/>
  <c r="AK184" i="3"/>
  <c r="AJ184" i="3"/>
  <c r="AI184" i="3"/>
  <c r="AH184" i="3"/>
  <c r="AG184" i="3"/>
  <c r="AF184" i="3"/>
  <c r="BE184" i="3" s="1"/>
  <c r="AE184" i="3"/>
  <c r="AD184" i="3"/>
  <c r="AC184" i="3"/>
  <c r="BD184" i="3" s="1"/>
  <c r="AB184" i="3"/>
  <c r="AA184" i="3"/>
  <c r="Z184" i="3"/>
  <c r="Y184" i="3"/>
  <c r="X184" i="3"/>
  <c r="T184" i="3"/>
  <c r="FF183" i="3"/>
  <c r="FE183" i="3"/>
  <c r="FD183" i="3"/>
  <c r="FB183" i="3"/>
  <c r="FA183" i="3"/>
  <c r="EY183" i="3"/>
  <c r="EP183" i="3"/>
  <c r="EO183" i="3"/>
  <c r="EL183" i="3"/>
  <c r="EJ183" i="3"/>
  <c r="EI183" i="3"/>
  <c r="EG183" i="3"/>
  <c r="EE183" i="3"/>
  <c r="EA183" i="3"/>
  <c r="DZ183" i="3"/>
  <c r="DW183" i="3"/>
  <c r="DV183" i="3"/>
  <c r="DU183" i="3"/>
  <c r="DT183" i="3"/>
  <c r="DS183" i="3"/>
  <c r="DN183" i="3"/>
  <c r="DM183" i="3"/>
  <c r="DL183" i="3"/>
  <c r="DK183" i="3"/>
  <c r="DJ183" i="3"/>
  <c r="DI183" i="3"/>
  <c r="DH183" i="3"/>
  <c r="DG183" i="3"/>
  <c r="DF183" i="3"/>
  <c r="DE183" i="3"/>
  <c r="DD183" i="3"/>
  <c r="DC183" i="3"/>
  <c r="DB183" i="3"/>
  <c r="DA183" i="3"/>
  <c r="CZ183" i="3"/>
  <c r="CW183" i="3"/>
  <c r="CV183" i="3"/>
  <c r="CU183" i="3"/>
  <c r="CS183" i="3"/>
  <c r="CQ183" i="3"/>
  <c r="CP183" i="3"/>
  <c r="CL183" i="3"/>
  <c r="CI183" i="3"/>
  <c r="CG183" i="3"/>
  <c r="CD183" i="3"/>
  <c r="CB183" i="3"/>
  <c r="CA183" i="3"/>
  <c r="BY183" i="3"/>
  <c r="BW183" i="3"/>
  <c r="BR183" i="3"/>
  <c r="BO183" i="3"/>
  <c r="BN183" i="3"/>
  <c r="BL183" i="3"/>
  <c r="BK183" i="3"/>
  <c r="BF183" i="3"/>
  <c r="BB183" i="3"/>
  <c r="BA183" i="3"/>
  <c r="AZ183" i="3"/>
  <c r="AY183" i="3"/>
  <c r="AX183" i="3"/>
  <c r="AW183" i="3"/>
  <c r="AV183" i="3"/>
  <c r="AU183" i="3"/>
  <c r="AT183" i="3"/>
  <c r="EZ183" i="3" s="1"/>
  <c r="AS183" i="3"/>
  <c r="AR183" i="3"/>
  <c r="CO183" i="3" s="1"/>
  <c r="AQ183" i="3"/>
  <c r="EW183" i="3" s="1"/>
  <c r="AP183" i="3"/>
  <c r="AO183" i="3"/>
  <c r="AN183" i="3"/>
  <c r="AL183" i="3"/>
  <c r="AK183" i="3"/>
  <c r="AJ183" i="3"/>
  <c r="AI183" i="3"/>
  <c r="AH183" i="3"/>
  <c r="AG183" i="3"/>
  <c r="AF183" i="3"/>
  <c r="BE183" i="3" s="1"/>
  <c r="AE183" i="3"/>
  <c r="AD183" i="3"/>
  <c r="AC183" i="3"/>
  <c r="AB183" i="3"/>
  <c r="AA183" i="3"/>
  <c r="Z183" i="3"/>
  <c r="Y183" i="3"/>
  <c r="X183" i="3"/>
  <c r="T183" i="3"/>
  <c r="FG182" i="3"/>
  <c r="FE182" i="3"/>
  <c r="FD182" i="3"/>
  <c r="FB182" i="3"/>
  <c r="FA182" i="3"/>
  <c r="EO182" i="3"/>
  <c r="EM182" i="3"/>
  <c r="EL182" i="3"/>
  <c r="EJ182" i="3"/>
  <c r="EI182" i="3"/>
  <c r="EG182" i="3"/>
  <c r="ED182" i="3"/>
  <c r="DZ182" i="3"/>
  <c r="DY182" i="3"/>
  <c r="DX182" i="3"/>
  <c r="DW182" i="3"/>
  <c r="DV182" i="3"/>
  <c r="DT182" i="3"/>
  <c r="DR182" i="3"/>
  <c r="DO182" i="3"/>
  <c r="DN182" i="3"/>
  <c r="DM182" i="3"/>
  <c r="DL182" i="3"/>
  <c r="DK182" i="3"/>
  <c r="DJ182" i="3"/>
  <c r="DI182" i="3"/>
  <c r="DH182" i="3"/>
  <c r="DG182" i="3"/>
  <c r="DF182" i="3"/>
  <c r="DE182" i="3"/>
  <c r="DD182" i="3"/>
  <c r="DC182" i="3"/>
  <c r="DB182" i="3"/>
  <c r="DA182" i="3"/>
  <c r="CZ182" i="3"/>
  <c r="CW182" i="3"/>
  <c r="CV182" i="3"/>
  <c r="CT182" i="3"/>
  <c r="CS182" i="3"/>
  <c r="CQ182" i="3"/>
  <c r="CL182" i="3"/>
  <c r="CK182" i="3"/>
  <c r="CJ182" i="3"/>
  <c r="CH182" i="3"/>
  <c r="CG182" i="3"/>
  <c r="CE182" i="3"/>
  <c r="CD182" i="3"/>
  <c r="CC182" i="3"/>
  <c r="CA182" i="3"/>
  <c r="BX182" i="3"/>
  <c r="BV182" i="3"/>
  <c r="BU182" i="3"/>
  <c r="BS182" i="3"/>
  <c r="BR182" i="3"/>
  <c r="BQ182" i="3"/>
  <c r="BP182" i="3"/>
  <c r="BO182" i="3"/>
  <c r="BM182" i="3"/>
  <c r="BI182" i="3"/>
  <c r="BG182" i="3"/>
  <c r="BD182" i="3"/>
  <c r="BB182" i="3"/>
  <c r="ER182" i="3" s="1"/>
  <c r="BA182" i="3"/>
  <c r="AZ182" i="3"/>
  <c r="FF182" i="3" s="1"/>
  <c r="AY182" i="3"/>
  <c r="AX182" i="3"/>
  <c r="AW182" i="3"/>
  <c r="FC182" i="3" s="1"/>
  <c r="AV182" i="3"/>
  <c r="AU182" i="3"/>
  <c r="CR182" i="3" s="1"/>
  <c r="AT182" i="3"/>
  <c r="EZ182" i="3" s="1"/>
  <c r="AS182" i="3"/>
  <c r="BL182" i="3" s="1"/>
  <c r="AR182" i="3"/>
  <c r="AQ182" i="3"/>
  <c r="CN182" i="3" s="1"/>
  <c r="AP182" i="3"/>
  <c r="CM182" i="3" s="1"/>
  <c r="AO182" i="3"/>
  <c r="AN182" i="3"/>
  <c r="ET182" i="3" s="1"/>
  <c r="AL182" i="3"/>
  <c r="AK182" i="3"/>
  <c r="AJ182" i="3"/>
  <c r="AI182" i="3"/>
  <c r="BF182" i="3" s="1"/>
  <c r="AH182" i="3"/>
  <c r="AG182" i="3"/>
  <c r="AF182" i="3"/>
  <c r="BE182" i="3" s="1"/>
  <c r="AE182" i="3"/>
  <c r="AD182" i="3"/>
  <c r="AC182" i="3"/>
  <c r="AB182" i="3"/>
  <c r="AA182" i="3"/>
  <c r="Z182" i="3"/>
  <c r="BC182" i="3" s="1"/>
  <c r="Y182" i="3"/>
  <c r="X182" i="3"/>
  <c r="T182" i="3"/>
  <c r="FH181" i="3"/>
  <c r="FG181" i="3"/>
  <c r="FE181" i="3"/>
  <c r="FD181" i="3"/>
  <c r="EV181" i="3"/>
  <c r="ER181" i="3"/>
  <c r="EO181" i="3"/>
  <c r="EL181" i="3"/>
  <c r="EK181" i="3"/>
  <c r="EG181" i="3"/>
  <c r="EF181" i="3"/>
  <c r="EC181" i="3"/>
  <c r="EA181" i="3"/>
  <c r="DZ181" i="3"/>
  <c r="DW181" i="3"/>
  <c r="DR181" i="3"/>
  <c r="DQ181" i="3"/>
  <c r="DP181" i="3"/>
  <c r="DO181" i="3"/>
  <c r="DN181" i="3"/>
  <c r="DM181" i="3"/>
  <c r="DL181" i="3"/>
  <c r="DK181" i="3"/>
  <c r="DJ181" i="3"/>
  <c r="DI181" i="3"/>
  <c r="DH181" i="3"/>
  <c r="DG181" i="3"/>
  <c r="DF181" i="3"/>
  <c r="DE181" i="3"/>
  <c r="DD181" i="3"/>
  <c r="DC181" i="3"/>
  <c r="DB181" i="3"/>
  <c r="DA181" i="3"/>
  <c r="CZ181" i="3"/>
  <c r="CY181" i="3"/>
  <c r="CW181" i="3"/>
  <c r="CV181" i="3"/>
  <c r="CS181" i="3"/>
  <c r="CR181" i="3"/>
  <c r="CO181" i="3"/>
  <c r="CM181" i="3"/>
  <c r="CJ181" i="3"/>
  <c r="CH181" i="3"/>
  <c r="CG181" i="3"/>
  <c r="CF181" i="3"/>
  <c r="CD181" i="3"/>
  <c r="CC181" i="3"/>
  <c r="CA181" i="3"/>
  <c r="BX181" i="3"/>
  <c r="BU181" i="3"/>
  <c r="BT181" i="3"/>
  <c r="BR181" i="3"/>
  <c r="BQ181" i="3"/>
  <c r="BP181" i="3"/>
  <c r="BO181" i="3"/>
  <c r="BL181" i="3"/>
  <c r="BI181" i="3"/>
  <c r="BF181" i="3"/>
  <c r="BB181" i="3"/>
  <c r="BA181" i="3"/>
  <c r="EB181" i="3" s="1"/>
  <c r="AZ181" i="3"/>
  <c r="FF181" i="3" s="1"/>
  <c r="AY181" i="3"/>
  <c r="AX181" i="3"/>
  <c r="CU181" i="3" s="1"/>
  <c r="AW181" i="3"/>
  <c r="AV181" i="3"/>
  <c r="FB181" i="3" s="1"/>
  <c r="AU181" i="3"/>
  <c r="AT181" i="3"/>
  <c r="AS181" i="3"/>
  <c r="EY181" i="3" s="1"/>
  <c r="AR181" i="3"/>
  <c r="AQ181" i="3"/>
  <c r="EW181" i="3" s="1"/>
  <c r="AP181" i="3"/>
  <c r="AO181" i="3"/>
  <c r="AN181" i="3"/>
  <c r="ET181" i="3" s="1"/>
  <c r="AL181" i="3"/>
  <c r="AK181" i="3"/>
  <c r="AJ181" i="3"/>
  <c r="AI181" i="3"/>
  <c r="AH181" i="3"/>
  <c r="AG181" i="3"/>
  <c r="AF181" i="3"/>
  <c r="BE181" i="3" s="1"/>
  <c r="AE181" i="3"/>
  <c r="AD181" i="3"/>
  <c r="AC181" i="3"/>
  <c r="BD181" i="3" s="1"/>
  <c r="AB181" i="3"/>
  <c r="AA181" i="3"/>
  <c r="Z181" i="3"/>
  <c r="Y181" i="3"/>
  <c r="X181" i="3"/>
  <c r="T181" i="3"/>
  <c r="FG180" i="3"/>
  <c r="EY180" i="3"/>
  <c r="EU180" i="3"/>
  <c r="ER180" i="3"/>
  <c r="EQ180" i="3"/>
  <c r="EO180" i="3"/>
  <c r="EJ180" i="3"/>
  <c r="EI180" i="3"/>
  <c r="ED180" i="3"/>
  <c r="EB180" i="3"/>
  <c r="EA180" i="3"/>
  <c r="DU180" i="3"/>
  <c r="DT180" i="3"/>
  <c r="DR180" i="3"/>
  <c r="DP180" i="3"/>
  <c r="DN180" i="3"/>
  <c r="DM180" i="3"/>
  <c r="DL180" i="3"/>
  <c r="DK180" i="3"/>
  <c r="DJ180" i="3"/>
  <c r="DI180" i="3"/>
  <c r="DH180" i="3"/>
  <c r="DG180" i="3"/>
  <c r="DF180" i="3"/>
  <c r="DE180" i="3"/>
  <c r="DD180" i="3"/>
  <c r="DC180" i="3"/>
  <c r="DB180" i="3"/>
  <c r="DA180" i="3"/>
  <c r="CZ180" i="3"/>
  <c r="CY180" i="3"/>
  <c r="CU180" i="3"/>
  <c r="CS180" i="3"/>
  <c r="CQ180" i="3"/>
  <c r="CP180" i="3"/>
  <c r="CM180" i="3"/>
  <c r="CJ180" i="3"/>
  <c r="CG180" i="3"/>
  <c r="CF180" i="3"/>
  <c r="CD180" i="3"/>
  <c r="CB180" i="3"/>
  <c r="CA180" i="3"/>
  <c r="BX180" i="3"/>
  <c r="BV180" i="3"/>
  <c r="BR180" i="3"/>
  <c r="BO180" i="3"/>
  <c r="BM180" i="3"/>
  <c r="BL180" i="3"/>
  <c r="BJ180" i="3"/>
  <c r="BH180" i="3"/>
  <c r="BB180" i="3"/>
  <c r="BU180" i="3" s="1"/>
  <c r="BA180" i="3"/>
  <c r="CX180" i="3" s="1"/>
  <c r="AZ180" i="3"/>
  <c r="BS180" i="3" s="1"/>
  <c r="AY180" i="3"/>
  <c r="CV180" i="3" s="1"/>
  <c r="AX180" i="3"/>
  <c r="EN180" i="3" s="1"/>
  <c r="AW180" i="3"/>
  <c r="DX180" i="3" s="1"/>
  <c r="AV180" i="3"/>
  <c r="EL180" i="3" s="1"/>
  <c r="AU180" i="3"/>
  <c r="AT180" i="3"/>
  <c r="EZ180" i="3" s="1"/>
  <c r="AS180" i="3"/>
  <c r="AR180" i="3"/>
  <c r="EX180" i="3" s="1"/>
  <c r="AQ180" i="3"/>
  <c r="EW180" i="3" s="1"/>
  <c r="AP180" i="3"/>
  <c r="EV180" i="3" s="1"/>
  <c r="AO180" i="3"/>
  <c r="CL180" i="3" s="1"/>
  <c r="AN180" i="3"/>
  <c r="AL180" i="3"/>
  <c r="AK180" i="3"/>
  <c r="AJ180" i="3"/>
  <c r="AI180" i="3"/>
  <c r="BF180" i="3" s="1"/>
  <c r="AH180" i="3"/>
  <c r="AG180" i="3"/>
  <c r="AF180" i="3"/>
  <c r="BE180" i="3" s="1"/>
  <c r="AE180" i="3"/>
  <c r="AD180" i="3"/>
  <c r="AC180" i="3"/>
  <c r="AB180" i="3"/>
  <c r="BD180" i="3" s="1"/>
  <c r="AA180" i="3"/>
  <c r="Z180" i="3"/>
  <c r="Y180" i="3"/>
  <c r="X180" i="3"/>
  <c r="T180" i="3"/>
  <c r="FG179" i="3"/>
  <c r="FF179" i="3"/>
  <c r="FD179" i="3"/>
  <c r="FB179" i="3"/>
  <c r="EW179" i="3"/>
  <c r="EU179" i="3"/>
  <c r="ET179" i="3"/>
  <c r="EQ179" i="3"/>
  <c r="EL179" i="3"/>
  <c r="EK179" i="3"/>
  <c r="EJ179" i="3"/>
  <c r="EI179" i="3"/>
  <c r="EG179" i="3"/>
  <c r="EE179" i="3"/>
  <c r="ED179" i="3"/>
  <c r="EA179" i="3"/>
  <c r="DX179" i="3"/>
  <c r="DW179" i="3"/>
  <c r="DT179" i="3"/>
  <c r="DR179" i="3"/>
  <c r="DQ179" i="3"/>
  <c r="DN179" i="3"/>
  <c r="DM179" i="3"/>
  <c r="DL179" i="3"/>
  <c r="DK179" i="3"/>
  <c r="DJ179" i="3"/>
  <c r="DI179" i="3"/>
  <c r="DH179" i="3"/>
  <c r="DG179" i="3"/>
  <c r="DF179" i="3"/>
  <c r="DE179" i="3"/>
  <c r="DD179" i="3"/>
  <c r="DC179" i="3"/>
  <c r="DB179" i="3"/>
  <c r="DA179" i="3"/>
  <c r="CZ179" i="3"/>
  <c r="CX179" i="3"/>
  <c r="CW179" i="3"/>
  <c r="CU179" i="3"/>
  <c r="CS179" i="3"/>
  <c r="CQ179" i="3"/>
  <c r="CL179" i="3"/>
  <c r="CK179" i="3"/>
  <c r="CI179" i="3"/>
  <c r="CH179" i="3"/>
  <c r="CD179" i="3"/>
  <c r="CB179" i="3"/>
  <c r="BY179" i="3"/>
  <c r="BW179" i="3"/>
  <c r="BV179" i="3"/>
  <c r="BU179" i="3"/>
  <c r="BS179" i="3"/>
  <c r="BQ179" i="3"/>
  <c r="BO179" i="3"/>
  <c r="BL179" i="3"/>
  <c r="BJ179" i="3"/>
  <c r="BG179" i="3"/>
  <c r="BD179" i="3"/>
  <c r="BB179" i="3"/>
  <c r="BA179" i="3"/>
  <c r="AZ179" i="3"/>
  <c r="EP179" i="3" s="1"/>
  <c r="AY179" i="3"/>
  <c r="EO179" i="3" s="1"/>
  <c r="AX179" i="3"/>
  <c r="AW179" i="3"/>
  <c r="EM179" i="3" s="1"/>
  <c r="AV179" i="3"/>
  <c r="AU179" i="3"/>
  <c r="AT179" i="3"/>
  <c r="EZ179" i="3" s="1"/>
  <c r="AS179" i="3"/>
  <c r="CA179" i="3" s="1"/>
  <c r="AR179" i="3"/>
  <c r="AQ179" i="3"/>
  <c r="CN179" i="3" s="1"/>
  <c r="AP179" i="3"/>
  <c r="AO179" i="3"/>
  <c r="AN179" i="3"/>
  <c r="DO179" i="3" s="1"/>
  <c r="AL179" i="3"/>
  <c r="AK179" i="3"/>
  <c r="AJ179" i="3"/>
  <c r="AI179" i="3"/>
  <c r="BF179" i="3" s="1"/>
  <c r="AH179" i="3"/>
  <c r="AG179" i="3"/>
  <c r="AF179" i="3"/>
  <c r="BE179" i="3" s="1"/>
  <c r="AE179" i="3"/>
  <c r="AD179" i="3"/>
  <c r="AC179" i="3"/>
  <c r="AB179" i="3"/>
  <c r="AA179" i="3"/>
  <c r="AM179" i="3" s="1"/>
  <c r="Z179" i="3"/>
  <c r="Y179" i="3"/>
  <c r="BC179" i="3" s="1"/>
  <c r="X179" i="3"/>
  <c r="T179" i="3"/>
  <c r="FF178" i="3"/>
  <c r="FE178" i="3"/>
  <c r="FB178" i="3"/>
  <c r="EZ178" i="3"/>
  <c r="EX178" i="3"/>
  <c r="EW178" i="3"/>
  <c r="ET178" i="3"/>
  <c r="EP178" i="3"/>
  <c r="EO178" i="3"/>
  <c r="EM178" i="3"/>
  <c r="EH178" i="3"/>
  <c r="EG178" i="3"/>
  <c r="ED178" i="3"/>
  <c r="EA178" i="3"/>
  <c r="DY178" i="3"/>
  <c r="DV178" i="3"/>
  <c r="DU178" i="3"/>
  <c r="DS178" i="3"/>
  <c r="DR178" i="3"/>
  <c r="DO178" i="3"/>
  <c r="DN178" i="3"/>
  <c r="DM178" i="3"/>
  <c r="DL178" i="3"/>
  <c r="DK178" i="3"/>
  <c r="DJ178" i="3"/>
  <c r="DI178" i="3"/>
  <c r="DH178" i="3"/>
  <c r="DG178" i="3"/>
  <c r="DF178" i="3"/>
  <c r="DE178" i="3"/>
  <c r="DD178" i="3"/>
  <c r="DC178" i="3"/>
  <c r="DB178" i="3"/>
  <c r="DA178" i="3"/>
  <c r="CZ178" i="3"/>
  <c r="CX178" i="3"/>
  <c r="CV178" i="3"/>
  <c r="CT178" i="3"/>
  <c r="CQ178" i="3"/>
  <c r="CO178" i="3"/>
  <c r="CL178" i="3"/>
  <c r="CH178" i="3"/>
  <c r="CG178" i="3"/>
  <c r="CE178" i="3"/>
  <c r="BZ178" i="3"/>
  <c r="BY178" i="3"/>
  <c r="BV178" i="3"/>
  <c r="BS178" i="3"/>
  <c r="BM178" i="3"/>
  <c r="BK178" i="3"/>
  <c r="BJ178" i="3"/>
  <c r="BG178" i="3"/>
  <c r="BE178" i="3"/>
  <c r="BB178" i="3"/>
  <c r="BA178" i="3"/>
  <c r="FG178" i="3" s="1"/>
  <c r="AZ178" i="3"/>
  <c r="CW178" i="3" s="1"/>
  <c r="AY178" i="3"/>
  <c r="DZ178" i="3" s="1"/>
  <c r="AX178" i="3"/>
  <c r="BQ178" i="3" s="1"/>
  <c r="AW178" i="3"/>
  <c r="DX178" i="3" s="1"/>
  <c r="AV178" i="3"/>
  <c r="DW178" i="3" s="1"/>
  <c r="AU178" i="3"/>
  <c r="AT178" i="3"/>
  <c r="EJ178" i="3" s="1"/>
  <c r="AS178" i="3"/>
  <c r="AR178" i="3"/>
  <c r="AQ178" i="3"/>
  <c r="CN178" i="3" s="1"/>
  <c r="AP178" i="3"/>
  <c r="AO178" i="3"/>
  <c r="EU178" i="3" s="1"/>
  <c r="AN178" i="3"/>
  <c r="CK178" i="3" s="1"/>
  <c r="AL178" i="3"/>
  <c r="AK178" i="3"/>
  <c r="AJ178" i="3"/>
  <c r="AI178" i="3"/>
  <c r="BF178" i="3" s="1"/>
  <c r="AH178" i="3"/>
  <c r="AG178" i="3"/>
  <c r="AF178" i="3"/>
  <c r="AE178" i="3"/>
  <c r="AD178" i="3"/>
  <c r="AC178" i="3"/>
  <c r="AB178" i="3"/>
  <c r="AA178" i="3"/>
  <c r="Z178" i="3"/>
  <c r="Y178" i="3"/>
  <c r="X178" i="3"/>
  <c r="T178" i="3"/>
  <c r="FH177" i="3"/>
  <c r="FE177" i="3"/>
  <c r="FC177" i="3"/>
  <c r="FB177" i="3"/>
  <c r="FA177" i="3"/>
  <c r="EZ177" i="3"/>
  <c r="EW177" i="3"/>
  <c r="EV177" i="3"/>
  <c r="ER177" i="3"/>
  <c r="EP177" i="3"/>
  <c r="EN177" i="3"/>
  <c r="EK177" i="3"/>
  <c r="EJ177" i="3"/>
  <c r="EG177" i="3"/>
  <c r="EF177" i="3"/>
  <c r="ED177" i="3"/>
  <c r="EB177" i="3"/>
  <c r="DX177" i="3"/>
  <c r="DV177" i="3"/>
  <c r="DU177" i="3"/>
  <c r="DR177" i="3"/>
  <c r="DN177" i="3"/>
  <c r="DM177" i="3"/>
  <c r="DL177" i="3"/>
  <c r="DK177" i="3"/>
  <c r="DJ177" i="3"/>
  <c r="DI177" i="3"/>
  <c r="DH177" i="3"/>
  <c r="DG177" i="3"/>
  <c r="DF177" i="3"/>
  <c r="DE177" i="3"/>
  <c r="DD177" i="3"/>
  <c r="DC177" i="3"/>
  <c r="DB177" i="3"/>
  <c r="DA177" i="3"/>
  <c r="CZ177" i="3"/>
  <c r="CY177" i="3"/>
  <c r="CW177" i="3"/>
  <c r="CT177" i="3"/>
  <c r="CR177" i="3"/>
  <c r="CO177" i="3"/>
  <c r="CM177" i="3"/>
  <c r="CK177" i="3"/>
  <c r="CJ177" i="3"/>
  <c r="CH177" i="3"/>
  <c r="CF177" i="3"/>
  <c r="CC177" i="3"/>
  <c r="CB177" i="3"/>
  <c r="BY177" i="3"/>
  <c r="BX177" i="3"/>
  <c r="BV177" i="3"/>
  <c r="BQ177" i="3"/>
  <c r="BP177" i="3"/>
  <c r="BN177" i="3"/>
  <c r="BM177" i="3"/>
  <c r="BJ177" i="3"/>
  <c r="BB177" i="3"/>
  <c r="EC177" i="3" s="1"/>
  <c r="BA177" i="3"/>
  <c r="AZ177" i="3"/>
  <c r="EA177" i="3" s="1"/>
  <c r="AY177" i="3"/>
  <c r="DZ177" i="3" s="1"/>
  <c r="AX177" i="3"/>
  <c r="AW177" i="3"/>
  <c r="EM177" i="3" s="1"/>
  <c r="AV177" i="3"/>
  <c r="AU177" i="3"/>
  <c r="AT177" i="3"/>
  <c r="CQ177" i="3" s="1"/>
  <c r="AS177" i="3"/>
  <c r="AR177" i="3"/>
  <c r="EX177" i="3" s="1"/>
  <c r="AQ177" i="3"/>
  <c r="CN177" i="3" s="1"/>
  <c r="AP177" i="3"/>
  <c r="DQ177" i="3" s="1"/>
  <c r="AO177" i="3"/>
  <c r="AN177" i="3"/>
  <c r="DO177" i="3" s="1"/>
  <c r="AL177" i="3"/>
  <c r="AK177" i="3"/>
  <c r="AJ177" i="3"/>
  <c r="AI177" i="3"/>
  <c r="AH177" i="3"/>
  <c r="AG177" i="3"/>
  <c r="BE177" i="3" s="1"/>
  <c r="AF177" i="3"/>
  <c r="AE177" i="3"/>
  <c r="AD177" i="3"/>
  <c r="AC177" i="3"/>
  <c r="BD177" i="3" s="1"/>
  <c r="AB177" i="3"/>
  <c r="AA177" i="3"/>
  <c r="Z177" i="3"/>
  <c r="Y177" i="3"/>
  <c r="X177" i="3"/>
  <c r="T177" i="3"/>
  <c r="FH176" i="3"/>
  <c r="FF176" i="3"/>
  <c r="FD176" i="3"/>
  <c r="FC176" i="3"/>
  <c r="EZ176" i="3"/>
  <c r="EY176" i="3"/>
  <c r="EV176" i="3"/>
  <c r="ET176" i="3"/>
  <c r="EN176" i="3"/>
  <c r="EM176" i="3"/>
  <c r="EJ176" i="3"/>
  <c r="EI176" i="3"/>
  <c r="EG176" i="3"/>
  <c r="EB176" i="3"/>
  <c r="EA176" i="3"/>
  <c r="DY176" i="3"/>
  <c r="DX176" i="3"/>
  <c r="DU176" i="3"/>
  <c r="DO176" i="3"/>
  <c r="DN176" i="3"/>
  <c r="DM176" i="3"/>
  <c r="DL176" i="3"/>
  <c r="DK176" i="3"/>
  <c r="DJ176" i="3"/>
  <c r="DI176" i="3"/>
  <c r="DH176" i="3"/>
  <c r="DG176" i="3"/>
  <c r="DF176" i="3"/>
  <c r="DE176" i="3"/>
  <c r="DD176" i="3"/>
  <c r="DC176" i="3"/>
  <c r="DB176" i="3"/>
  <c r="DA176" i="3"/>
  <c r="CZ176" i="3"/>
  <c r="CW176" i="3"/>
  <c r="CU176" i="3"/>
  <c r="CR176" i="3"/>
  <c r="CP176" i="3"/>
  <c r="CN176" i="3"/>
  <c r="CK176" i="3"/>
  <c r="CF176" i="3"/>
  <c r="CE176" i="3"/>
  <c r="CB176" i="3"/>
  <c r="CA176" i="3"/>
  <c r="BY176" i="3"/>
  <c r="BT176" i="3"/>
  <c r="BS176" i="3"/>
  <c r="BQ176" i="3"/>
  <c r="BP176" i="3"/>
  <c r="BM176" i="3"/>
  <c r="BG176" i="3"/>
  <c r="BB176" i="3"/>
  <c r="EC176" i="3" s="1"/>
  <c r="BA176" i="3"/>
  <c r="AZ176" i="3"/>
  <c r="EP176" i="3" s="1"/>
  <c r="AY176" i="3"/>
  <c r="AX176" i="3"/>
  <c r="AW176" i="3"/>
  <c r="CT176" i="3" s="1"/>
  <c r="AV176" i="3"/>
  <c r="AU176" i="3"/>
  <c r="FA176" i="3" s="1"/>
  <c r="AT176" i="3"/>
  <c r="CQ176" i="3" s="1"/>
  <c r="AS176" i="3"/>
  <c r="DT176" i="3" s="1"/>
  <c r="AR176" i="3"/>
  <c r="AQ176" i="3"/>
  <c r="DR176" i="3" s="1"/>
  <c r="AP176" i="3"/>
  <c r="DQ176" i="3" s="1"/>
  <c r="AO176" i="3"/>
  <c r="EE176" i="3" s="1"/>
  <c r="AN176" i="3"/>
  <c r="ED176" i="3" s="1"/>
  <c r="AL176" i="3"/>
  <c r="AK176" i="3"/>
  <c r="AJ176" i="3"/>
  <c r="BF176" i="3" s="1"/>
  <c r="AI176" i="3"/>
  <c r="AH176" i="3"/>
  <c r="AG176" i="3"/>
  <c r="AF176" i="3"/>
  <c r="BE176" i="3" s="1"/>
  <c r="AE176" i="3"/>
  <c r="AD176" i="3"/>
  <c r="AC176" i="3"/>
  <c r="AB176" i="3"/>
  <c r="AA176" i="3"/>
  <c r="BD176" i="3" s="1"/>
  <c r="Z176" i="3"/>
  <c r="Y176" i="3"/>
  <c r="X176" i="3"/>
  <c r="BC176" i="3" s="1"/>
  <c r="T176" i="3"/>
  <c r="FG175" i="3"/>
  <c r="FF175" i="3"/>
  <c r="FC175" i="3"/>
  <c r="FB175" i="3"/>
  <c r="EY175" i="3"/>
  <c r="EW175" i="3"/>
  <c r="EV175" i="3"/>
  <c r="EU175" i="3"/>
  <c r="ET175" i="3"/>
  <c r="EQ175" i="3"/>
  <c r="EP175" i="3"/>
  <c r="EM175" i="3"/>
  <c r="EL175" i="3"/>
  <c r="EJ175" i="3"/>
  <c r="EE175" i="3"/>
  <c r="ED175" i="3"/>
  <c r="EB175" i="3"/>
  <c r="EA175" i="3"/>
  <c r="DX175" i="3"/>
  <c r="DV175" i="3"/>
  <c r="DR175" i="3"/>
  <c r="DP175" i="3"/>
  <c r="DO175" i="3"/>
  <c r="DN175" i="3"/>
  <c r="DM175" i="3"/>
  <c r="DL175" i="3"/>
  <c r="DK175" i="3"/>
  <c r="DJ175" i="3"/>
  <c r="DI175" i="3"/>
  <c r="DH175" i="3"/>
  <c r="DG175" i="3"/>
  <c r="DF175" i="3"/>
  <c r="DE175" i="3"/>
  <c r="DD175" i="3"/>
  <c r="DC175" i="3"/>
  <c r="DB175" i="3"/>
  <c r="DA175" i="3"/>
  <c r="CZ175" i="3"/>
  <c r="CX175" i="3"/>
  <c r="CU175" i="3"/>
  <c r="CS175" i="3"/>
  <c r="CQ175" i="3"/>
  <c r="CN175" i="3"/>
  <c r="CL175" i="3"/>
  <c r="CI175" i="3"/>
  <c r="CH175" i="3"/>
  <c r="CE175" i="3"/>
  <c r="CD175" i="3"/>
  <c r="CB175" i="3"/>
  <c r="BW175" i="3"/>
  <c r="BV175" i="3"/>
  <c r="BT175" i="3"/>
  <c r="BS175" i="3"/>
  <c r="BP175" i="3"/>
  <c r="BJ175" i="3"/>
  <c r="BH175" i="3"/>
  <c r="BG175" i="3"/>
  <c r="BB175" i="3"/>
  <c r="BA175" i="3"/>
  <c r="AZ175" i="3"/>
  <c r="CW175" i="3" s="1"/>
  <c r="AY175" i="3"/>
  <c r="AX175" i="3"/>
  <c r="FD175" i="3" s="1"/>
  <c r="AW175" i="3"/>
  <c r="CT175" i="3" s="1"/>
  <c r="AV175" i="3"/>
  <c r="DW175" i="3" s="1"/>
  <c r="AU175" i="3"/>
  <c r="AT175" i="3"/>
  <c r="DU175" i="3" s="1"/>
  <c r="AS175" i="3"/>
  <c r="DT175" i="3" s="1"/>
  <c r="AR175" i="3"/>
  <c r="AQ175" i="3"/>
  <c r="EG175" i="3" s="1"/>
  <c r="AP175" i="3"/>
  <c r="AO175" i="3"/>
  <c r="AN175" i="3"/>
  <c r="CK175" i="3" s="1"/>
  <c r="AL175" i="3"/>
  <c r="AK175" i="3"/>
  <c r="AJ175" i="3"/>
  <c r="AI175" i="3"/>
  <c r="BF175" i="3" s="1"/>
  <c r="AH175" i="3"/>
  <c r="AG175" i="3"/>
  <c r="AF175" i="3"/>
  <c r="BE175" i="3" s="1"/>
  <c r="AE175" i="3"/>
  <c r="AD175" i="3"/>
  <c r="AC175" i="3"/>
  <c r="AB175" i="3"/>
  <c r="AA175" i="3"/>
  <c r="BD175" i="3" s="1"/>
  <c r="Z175" i="3"/>
  <c r="Y175" i="3"/>
  <c r="X175" i="3"/>
  <c r="BC175" i="3" s="1"/>
  <c r="T175" i="3"/>
  <c r="FE174" i="3"/>
  <c r="EZ174" i="3"/>
  <c r="EY174" i="3"/>
  <c r="EX174" i="3"/>
  <c r="EW174" i="3"/>
  <c r="EP174" i="3"/>
  <c r="EO174" i="3"/>
  <c r="EM174" i="3"/>
  <c r="EK174" i="3"/>
  <c r="EH174" i="3"/>
  <c r="EG174" i="3"/>
  <c r="EF174" i="3"/>
  <c r="ED174" i="3"/>
  <c r="DV174" i="3"/>
  <c r="DU174" i="3"/>
  <c r="DT174" i="3"/>
  <c r="DS174" i="3"/>
  <c r="DR174" i="3"/>
  <c r="DP174" i="3"/>
  <c r="DO174" i="3"/>
  <c r="DN174" i="3"/>
  <c r="DM174" i="3"/>
  <c r="DL174" i="3"/>
  <c r="DK174" i="3"/>
  <c r="DJ174" i="3"/>
  <c r="DI174" i="3"/>
  <c r="DH174" i="3"/>
  <c r="DG174" i="3"/>
  <c r="DF174" i="3"/>
  <c r="DE174" i="3"/>
  <c r="DD174" i="3"/>
  <c r="DC174" i="3"/>
  <c r="DB174" i="3"/>
  <c r="DA174" i="3"/>
  <c r="CZ174" i="3"/>
  <c r="CV174" i="3"/>
  <c r="CT174" i="3"/>
  <c r="CR174" i="3"/>
  <c r="CQ174" i="3"/>
  <c r="CO174" i="3"/>
  <c r="CJ174" i="3"/>
  <c r="CH174" i="3"/>
  <c r="CG174" i="3"/>
  <c r="CE174" i="3"/>
  <c r="CC174" i="3"/>
  <c r="BZ174" i="3"/>
  <c r="BY174" i="3"/>
  <c r="BX174" i="3"/>
  <c r="BN174" i="3"/>
  <c r="BM174" i="3"/>
  <c r="BL174" i="3"/>
  <c r="BK174" i="3"/>
  <c r="BJ174" i="3"/>
  <c r="BG174" i="3"/>
  <c r="BE174" i="3"/>
  <c r="BB174" i="3"/>
  <c r="BA174" i="3"/>
  <c r="AZ174" i="3"/>
  <c r="CW174" i="3" s="1"/>
  <c r="AY174" i="3"/>
  <c r="DZ174" i="3" s="1"/>
  <c r="AX174" i="3"/>
  <c r="AW174" i="3"/>
  <c r="DX174" i="3" s="1"/>
  <c r="AV174" i="3"/>
  <c r="AU174" i="3"/>
  <c r="FA174" i="3" s="1"/>
  <c r="AT174" i="3"/>
  <c r="EJ174" i="3" s="1"/>
  <c r="AS174" i="3"/>
  <c r="AR174" i="3"/>
  <c r="AQ174" i="3"/>
  <c r="CN174" i="3" s="1"/>
  <c r="AP174" i="3"/>
  <c r="AO174" i="3"/>
  <c r="CL174" i="3" s="1"/>
  <c r="AN174" i="3"/>
  <c r="CK174" i="3" s="1"/>
  <c r="AL174" i="3"/>
  <c r="AK174" i="3"/>
  <c r="AJ174" i="3"/>
  <c r="AI174" i="3"/>
  <c r="BF174" i="3" s="1"/>
  <c r="AH174" i="3"/>
  <c r="AG174" i="3"/>
  <c r="AF174" i="3"/>
  <c r="AE174" i="3"/>
  <c r="AD174" i="3"/>
  <c r="AC174" i="3"/>
  <c r="AB174" i="3"/>
  <c r="AA174" i="3"/>
  <c r="Z174" i="3"/>
  <c r="Y174" i="3"/>
  <c r="X174" i="3"/>
  <c r="T174" i="3"/>
  <c r="FH173" i="3"/>
  <c r="FE173" i="3"/>
  <c r="FC173" i="3"/>
  <c r="FB173" i="3"/>
  <c r="FA173" i="3"/>
  <c r="EZ173" i="3"/>
  <c r="EW173" i="3"/>
  <c r="EV173" i="3"/>
  <c r="ER173" i="3"/>
  <c r="EP173" i="3"/>
  <c r="EN173" i="3"/>
  <c r="EK173" i="3"/>
  <c r="EJ173" i="3"/>
  <c r="EI173" i="3"/>
  <c r="EG173" i="3"/>
  <c r="EF173" i="3"/>
  <c r="ED173" i="3"/>
  <c r="DY173" i="3"/>
  <c r="DX173" i="3"/>
  <c r="DW173" i="3"/>
  <c r="DV173" i="3"/>
  <c r="DU173" i="3"/>
  <c r="DN173" i="3"/>
  <c r="DM173" i="3"/>
  <c r="DL173" i="3"/>
  <c r="DK173" i="3"/>
  <c r="DJ173" i="3"/>
  <c r="DI173" i="3"/>
  <c r="DH173" i="3"/>
  <c r="DG173" i="3"/>
  <c r="DF173" i="3"/>
  <c r="DE173" i="3"/>
  <c r="DD173" i="3"/>
  <c r="DC173" i="3"/>
  <c r="DB173" i="3"/>
  <c r="DA173" i="3"/>
  <c r="CZ173" i="3"/>
  <c r="CY173" i="3"/>
  <c r="CW173" i="3"/>
  <c r="CT173" i="3"/>
  <c r="CR173" i="3"/>
  <c r="CN173" i="3"/>
  <c r="CM173" i="3"/>
  <c r="CK173" i="3"/>
  <c r="CJ173" i="3"/>
  <c r="CH173" i="3"/>
  <c r="CC173" i="3"/>
  <c r="CB173" i="3"/>
  <c r="CA173" i="3"/>
  <c r="BY173" i="3"/>
  <c r="BX173" i="3"/>
  <c r="BV173" i="3"/>
  <c r="BQ173" i="3"/>
  <c r="BP173" i="3"/>
  <c r="BO173" i="3"/>
  <c r="BN173" i="3"/>
  <c r="BM173" i="3"/>
  <c r="BC173" i="3"/>
  <c r="BB173" i="3"/>
  <c r="EC173" i="3" s="1"/>
  <c r="BA173" i="3"/>
  <c r="BT173" i="3" s="1"/>
  <c r="AZ173" i="3"/>
  <c r="EA173" i="3" s="1"/>
  <c r="AY173" i="3"/>
  <c r="AX173" i="3"/>
  <c r="FD173" i="3" s="1"/>
  <c r="AW173" i="3"/>
  <c r="EM173" i="3" s="1"/>
  <c r="AV173" i="3"/>
  <c r="AU173" i="3"/>
  <c r="AT173" i="3"/>
  <c r="CQ173" i="3" s="1"/>
  <c r="AS173" i="3"/>
  <c r="AR173" i="3"/>
  <c r="AQ173" i="3"/>
  <c r="BJ173" i="3" s="1"/>
  <c r="AP173" i="3"/>
  <c r="DQ173" i="3" s="1"/>
  <c r="AO173" i="3"/>
  <c r="EU173" i="3" s="1"/>
  <c r="AN173" i="3"/>
  <c r="DO173" i="3" s="1"/>
  <c r="AL173" i="3"/>
  <c r="AK173" i="3"/>
  <c r="AJ173" i="3"/>
  <c r="AI173" i="3"/>
  <c r="AH173" i="3"/>
  <c r="AG173" i="3"/>
  <c r="AF173" i="3"/>
  <c r="BE173" i="3" s="1"/>
  <c r="AE173" i="3"/>
  <c r="AD173" i="3"/>
  <c r="AC173" i="3"/>
  <c r="AB173" i="3"/>
  <c r="AA173" i="3"/>
  <c r="Z173" i="3"/>
  <c r="Y173" i="3"/>
  <c r="X173" i="3"/>
  <c r="T173" i="3"/>
  <c r="FF172" i="3"/>
  <c r="FE172" i="3"/>
  <c r="FD172" i="3"/>
  <c r="FC172" i="3"/>
  <c r="EZ172" i="3"/>
  <c r="EY172" i="3"/>
  <c r="ET172" i="3"/>
  <c r="EN172" i="3"/>
  <c r="EM172" i="3"/>
  <c r="EL172" i="3"/>
  <c r="EJ172" i="3"/>
  <c r="EI172" i="3"/>
  <c r="EH172" i="3"/>
  <c r="EG172" i="3"/>
  <c r="EA172" i="3"/>
  <c r="DZ172" i="3"/>
  <c r="DY172" i="3"/>
  <c r="DX172" i="3"/>
  <c r="DU172" i="3"/>
  <c r="DS172" i="3"/>
  <c r="DP172" i="3"/>
  <c r="DO172" i="3"/>
  <c r="DN172" i="3"/>
  <c r="DM172" i="3"/>
  <c r="DL172" i="3"/>
  <c r="DK172" i="3"/>
  <c r="DJ172" i="3"/>
  <c r="DI172" i="3"/>
  <c r="DH172" i="3"/>
  <c r="DG172" i="3"/>
  <c r="DF172" i="3"/>
  <c r="DE172" i="3"/>
  <c r="DD172" i="3"/>
  <c r="DC172" i="3"/>
  <c r="DB172" i="3"/>
  <c r="DA172" i="3"/>
  <c r="CZ172" i="3"/>
  <c r="CW172" i="3"/>
  <c r="CU172" i="3"/>
  <c r="CQ172" i="3"/>
  <c r="CP172" i="3"/>
  <c r="CN172" i="3"/>
  <c r="CL172" i="3"/>
  <c r="CK172" i="3"/>
  <c r="CF172" i="3"/>
  <c r="CE172" i="3"/>
  <c r="CB172" i="3"/>
  <c r="CA172" i="3"/>
  <c r="BZ172" i="3"/>
  <c r="BY172" i="3"/>
  <c r="BT172" i="3"/>
  <c r="BS172" i="3"/>
  <c r="BR172" i="3"/>
  <c r="BQ172" i="3"/>
  <c r="BP172" i="3"/>
  <c r="BM172" i="3"/>
  <c r="BK172" i="3"/>
  <c r="BG172" i="3"/>
  <c r="BB172" i="3"/>
  <c r="BA172" i="3"/>
  <c r="AZ172" i="3"/>
  <c r="EP172" i="3" s="1"/>
  <c r="AY172" i="3"/>
  <c r="AX172" i="3"/>
  <c r="AW172" i="3"/>
  <c r="CT172" i="3" s="1"/>
  <c r="AV172" i="3"/>
  <c r="AU172" i="3"/>
  <c r="AT172" i="3"/>
  <c r="AS172" i="3"/>
  <c r="DT172" i="3" s="1"/>
  <c r="AR172" i="3"/>
  <c r="CO172" i="3" s="1"/>
  <c r="AQ172" i="3"/>
  <c r="DR172" i="3" s="1"/>
  <c r="AP172" i="3"/>
  <c r="AO172" i="3"/>
  <c r="BW172" i="3" s="1"/>
  <c r="AN172" i="3"/>
  <c r="ED172" i="3" s="1"/>
  <c r="AL172" i="3"/>
  <c r="AK172" i="3"/>
  <c r="AJ172" i="3"/>
  <c r="AI172" i="3"/>
  <c r="BF172" i="3" s="1"/>
  <c r="AH172" i="3"/>
  <c r="AG172" i="3"/>
  <c r="AF172" i="3"/>
  <c r="BE172" i="3" s="1"/>
  <c r="AE172" i="3"/>
  <c r="AD172" i="3"/>
  <c r="BD172" i="3" s="1"/>
  <c r="AC172" i="3"/>
  <c r="AB172" i="3"/>
  <c r="AA172" i="3"/>
  <c r="Z172" i="3"/>
  <c r="Y172" i="3"/>
  <c r="X172" i="3"/>
  <c r="BC172" i="3" s="1"/>
  <c r="T172" i="3"/>
  <c r="FH171" i="3"/>
  <c r="FG171" i="3"/>
  <c r="FF171" i="3"/>
  <c r="FB171" i="3"/>
  <c r="EY171" i="3"/>
  <c r="EW171" i="3"/>
  <c r="EU171" i="3"/>
  <c r="ET171" i="3"/>
  <c r="EQ171" i="3"/>
  <c r="EP171" i="3"/>
  <c r="EO171" i="3"/>
  <c r="EL171" i="3"/>
  <c r="EJ171" i="3"/>
  <c r="EH171" i="3"/>
  <c r="EE171" i="3"/>
  <c r="ED171" i="3"/>
  <c r="EC171" i="3"/>
  <c r="EB171" i="3"/>
  <c r="EA171" i="3"/>
  <c r="DY171" i="3"/>
  <c r="DX171" i="3"/>
  <c r="DR171" i="3"/>
  <c r="DP171" i="3"/>
  <c r="DO171" i="3"/>
  <c r="DN171" i="3"/>
  <c r="DM171" i="3"/>
  <c r="DL171" i="3"/>
  <c r="DK171" i="3"/>
  <c r="DJ171" i="3"/>
  <c r="DI171" i="3"/>
  <c r="DH171" i="3"/>
  <c r="DG171" i="3"/>
  <c r="DF171" i="3"/>
  <c r="DE171" i="3"/>
  <c r="DD171" i="3"/>
  <c r="DC171" i="3"/>
  <c r="DB171" i="3"/>
  <c r="DA171" i="3"/>
  <c r="CZ171" i="3"/>
  <c r="CX171" i="3"/>
  <c r="CU171" i="3"/>
  <c r="CS171" i="3"/>
  <c r="CQ171" i="3"/>
  <c r="CN171" i="3"/>
  <c r="CL171" i="3"/>
  <c r="CI171" i="3"/>
  <c r="CH171" i="3"/>
  <c r="CD171" i="3"/>
  <c r="CB171" i="3"/>
  <c r="BZ171" i="3"/>
  <c r="BW171" i="3"/>
  <c r="BV171" i="3"/>
  <c r="BT171" i="3"/>
  <c r="BS171" i="3"/>
  <c r="BK171" i="3"/>
  <c r="BJ171" i="3"/>
  <c r="BI171" i="3"/>
  <c r="BH171" i="3"/>
  <c r="BG171" i="3"/>
  <c r="BB171" i="3"/>
  <c r="BA171" i="3"/>
  <c r="AZ171" i="3"/>
  <c r="CW171" i="3" s="1"/>
  <c r="AY171" i="3"/>
  <c r="AX171" i="3"/>
  <c r="AW171" i="3"/>
  <c r="EM171" i="3" s="1"/>
  <c r="AV171" i="3"/>
  <c r="DW171" i="3" s="1"/>
  <c r="AU171" i="3"/>
  <c r="AT171" i="3"/>
  <c r="DU171" i="3" s="1"/>
  <c r="AS171" i="3"/>
  <c r="AR171" i="3"/>
  <c r="EX171" i="3" s="1"/>
  <c r="AQ171" i="3"/>
  <c r="EG171" i="3" s="1"/>
  <c r="AP171" i="3"/>
  <c r="EV171" i="3" s="1"/>
  <c r="AO171" i="3"/>
  <c r="AN171" i="3"/>
  <c r="CK171" i="3" s="1"/>
  <c r="AL171" i="3"/>
  <c r="AK171" i="3"/>
  <c r="AJ171" i="3"/>
  <c r="AI171" i="3"/>
  <c r="BF171" i="3" s="1"/>
  <c r="AH171" i="3"/>
  <c r="AG171" i="3"/>
  <c r="AF171" i="3"/>
  <c r="BE171" i="3" s="1"/>
  <c r="AE171" i="3"/>
  <c r="AD171" i="3"/>
  <c r="AC171" i="3"/>
  <c r="AB171" i="3"/>
  <c r="AA171" i="3"/>
  <c r="BD171" i="3" s="1"/>
  <c r="Z171" i="3"/>
  <c r="Y171" i="3"/>
  <c r="X171" i="3"/>
  <c r="BC171" i="3" s="1"/>
  <c r="T171" i="3"/>
  <c r="FE170" i="3"/>
  <c r="EZ170" i="3"/>
  <c r="EY170" i="3"/>
  <c r="EX170" i="3"/>
  <c r="EW170" i="3"/>
  <c r="ET170" i="3"/>
  <c r="ER170" i="3"/>
  <c r="EO170" i="3"/>
  <c r="EM170" i="3"/>
  <c r="EH170" i="3"/>
  <c r="EG170" i="3"/>
  <c r="EF170" i="3"/>
  <c r="ED170" i="3"/>
  <c r="EB170" i="3"/>
  <c r="EA170" i="3"/>
  <c r="DU170" i="3"/>
  <c r="DT170" i="3"/>
  <c r="DS170" i="3"/>
  <c r="DR170" i="3"/>
  <c r="DN170" i="3"/>
  <c r="DM170" i="3"/>
  <c r="DL170" i="3"/>
  <c r="DK170" i="3"/>
  <c r="DJ170" i="3"/>
  <c r="DI170" i="3"/>
  <c r="DH170" i="3"/>
  <c r="DG170" i="3"/>
  <c r="DF170" i="3"/>
  <c r="DE170" i="3"/>
  <c r="DD170" i="3"/>
  <c r="DC170" i="3"/>
  <c r="DB170" i="3"/>
  <c r="DA170" i="3"/>
  <c r="CZ170" i="3"/>
  <c r="CX170" i="3"/>
  <c r="CV170" i="3"/>
  <c r="CT170" i="3"/>
  <c r="CR170" i="3"/>
  <c r="CQ170" i="3"/>
  <c r="CO170" i="3"/>
  <c r="CJ170" i="3"/>
  <c r="CH170" i="3"/>
  <c r="CG170" i="3"/>
  <c r="CE170" i="3"/>
  <c r="BZ170" i="3"/>
  <c r="BY170" i="3"/>
  <c r="BX170" i="3"/>
  <c r="BN170" i="3"/>
  <c r="BM170" i="3"/>
  <c r="BL170" i="3"/>
  <c r="BK170" i="3"/>
  <c r="BJ170" i="3"/>
  <c r="BE170" i="3"/>
  <c r="BB170" i="3"/>
  <c r="BA170" i="3"/>
  <c r="AZ170" i="3"/>
  <c r="CW170" i="3" s="1"/>
  <c r="AY170" i="3"/>
  <c r="DZ170" i="3" s="1"/>
  <c r="AX170" i="3"/>
  <c r="BQ170" i="3" s="1"/>
  <c r="AW170" i="3"/>
  <c r="DX170" i="3" s="1"/>
  <c r="AV170" i="3"/>
  <c r="AU170" i="3"/>
  <c r="FA170" i="3" s="1"/>
  <c r="AT170" i="3"/>
  <c r="EJ170" i="3" s="1"/>
  <c r="AS170" i="3"/>
  <c r="AR170" i="3"/>
  <c r="AQ170" i="3"/>
  <c r="CN170" i="3" s="1"/>
  <c r="AP170" i="3"/>
  <c r="AO170" i="3"/>
  <c r="AN170" i="3"/>
  <c r="BG170" i="3" s="1"/>
  <c r="AL170" i="3"/>
  <c r="AK170" i="3"/>
  <c r="AJ170" i="3"/>
  <c r="AI170" i="3"/>
  <c r="BF170" i="3" s="1"/>
  <c r="AH170" i="3"/>
  <c r="AG170" i="3"/>
  <c r="AF170" i="3"/>
  <c r="AE170" i="3"/>
  <c r="AD170" i="3"/>
  <c r="AC170" i="3"/>
  <c r="AB170" i="3"/>
  <c r="AA170" i="3"/>
  <c r="Z170" i="3"/>
  <c r="Y170" i="3"/>
  <c r="X170" i="3"/>
  <c r="T170" i="3"/>
  <c r="FH169" i="3"/>
  <c r="FC169" i="3"/>
  <c r="FB169" i="3"/>
  <c r="EZ169" i="3"/>
  <c r="EW169" i="3"/>
  <c r="EV169" i="3"/>
  <c r="ER169" i="3"/>
  <c r="EP169" i="3"/>
  <c r="EK169" i="3"/>
  <c r="EJ169" i="3"/>
  <c r="EF169" i="3"/>
  <c r="EE169" i="3"/>
  <c r="DX169" i="3"/>
  <c r="DV169" i="3"/>
  <c r="DU169" i="3"/>
  <c r="DN169" i="3"/>
  <c r="DM169" i="3"/>
  <c r="DL169" i="3"/>
  <c r="DK169" i="3"/>
  <c r="DJ169" i="3"/>
  <c r="DI169" i="3"/>
  <c r="DH169" i="3"/>
  <c r="DG169" i="3"/>
  <c r="DF169" i="3"/>
  <c r="DE169" i="3"/>
  <c r="DD169" i="3"/>
  <c r="DC169" i="3"/>
  <c r="DB169" i="3"/>
  <c r="DA169" i="3"/>
  <c r="CZ169" i="3"/>
  <c r="CY169" i="3"/>
  <c r="CW169" i="3"/>
  <c r="CT169" i="3"/>
  <c r="CR169" i="3"/>
  <c r="CO169" i="3"/>
  <c r="CM169" i="3"/>
  <c r="CJ169" i="3"/>
  <c r="CH169" i="3"/>
  <c r="CC169" i="3"/>
  <c r="CB169" i="3"/>
  <c r="BX169" i="3"/>
  <c r="BP169" i="3"/>
  <c r="BO169" i="3"/>
  <c r="BN169" i="3"/>
  <c r="BM169" i="3"/>
  <c r="BE169" i="3"/>
  <c r="BB169" i="3"/>
  <c r="EC169" i="3" s="1"/>
  <c r="BA169" i="3"/>
  <c r="AZ169" i="3"/>
  <c r="EA169" i="3" s="1"/>
  <c r="AY169" i="3"/>
  <c r="AX169" i="3"/>
  <c r="AW169" i="3"/>
  <c r="EM169" i="3" s="1"/>
  <c r="AV169" i="3"/>
  <c r="DW169" i="3" s="1"/>
  <c r="AU169" i="3"/>
  <c r="FA169" i="3" s="1"/>
  <c r="AT169" i="3"/>
  <c r="CQ169" i="3" s="1"/>
  <c r="AS169" i="3"/>
  <c r="AR169" i="3"/>
  <c r="AQ169" i="3"/>
  <c r="BJ169" i="3" s="1"/>
  <c r="AP169" i="3"/>
  <c r="DQ169" i="3" s="1"/>
  <c r="AO169" i="3"/>
  <c r="AN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T169" i="3"/>
  <c r="FH168" i="3"/>
  <c r="FG168" i="3"/>
  <c r="FF168" i="3"/>
  <c r="FE168" i="3"/>
  <c r="FC168" i="3"/>
  <c r="EZ168" i="3"/>
  <c r="EY168" i="3"/>
  <c r="EV168" i="3"/>
  <c r="ET168" i="3"/>
  <c r="EN168" i="3"/>
  <c r="EM168" i="3"/>
  <c r="EL168" i="3"/>
  <c r="EJ168" i="3"/>
  <c r="EI168" i="3"/>
  <c r="EH168" i="3"/>
  <c r="EA168" i="3"/>
  <c r="DZ168" i="3"/>
  <c r="DY168" i="3"/>
  <c r="DX168" i="3"/>
  <c r="DV168" i="3"/>
  <c r="DS168" i="3"/>
  <c r="DP168" i="3"/>
  <c r="DO168" i="3"/>
  <c r="DN168" i="3"/>
  <c r="DM168" i="3"/>
  <c r="DL168" i="3"/>
  <c r="DK168" i="3"/>
  <c r="DJ168" i="3"/>
  <c r="DI168" i="3"/>
  <c r="DH168" i="3"/>
  <c r="DG168" i="3"/>
  <c r="DF168" i="3"/>
  <c r="DE168" i="3"/>
  <c r="DD168" i="3"/>
  <c r="DC168" i="3"/>
  <c r="DB168" i="3"/>
  <c r="DA168" i="3"/>
  <c r="CZ168" i="3"/>
  <c r="CY168" i="3"/>
  <c r="CW168" i="3"/>
  <c r="CU168" i="3"/>
  <c r="CR168" i="3"/>
  <c r="CQ168" i="3"/>
  <c r="CP168" i="3"/>
  <c r="CN168" i="3"/>
  <c r="CM168" i="3"/>
  <c r="CK168" i="3"/>
  <c r="CF168" i="3"/>
  <c r="CE168" i="3"/>
  <c r="CA168" i="3"/>
  <c r="BZ168" i="3"/>
  <c r="BY168" i="3"/>
  <c r="BW168" i="3"/>
  <c r="BS168" i="3"/>
  <c r="BQ168" i="3"/>
  <c r="BP168" i="3"/>
  <c r="BK168" i="3"/>
  <c r="BH168" i="3"/>
  <c r="BG168" i="3"/>
  <c r="BB168" i="3"/>
  <c r="BA168" i="3"/>
  <c r="BT168" i="3" s="1"/>
  <c r="AZ168" i="3"/>
  <c r="EP168" i="3" s="1"/>
  <c r="AY168" i="3"/>
  <c r="AX168" i="3"/>
  <c r="FD168" i="3" s="1"/>
  <c r="AW168" i="3"/>
  <c r="CT168" i="3" s="1"/>
  <c r="AV168" i="3"/>
  <c r="AU168" i="3"/>
  <c r="AT168" i="3"/>
  <c r="AS168" i="3"/>
  <c r="DT168" i="3" s="1"/>
  <c r="AR168" i="3"/>
  <c r="CO168" i="3" s="1"/>
  <c r="AQ168" i="3"/>
  <c r="AP168" i="3"/>
  <c r="AO168" i="3"/>
  <c r="EE168" i="3" s="1"/>
  <c r="AN168" i="3"/>
  <c r="ED168" i="3" s="1"/>
  <c r="AL168" i="3"/>
  <c r="AK168" i="3"/>
  <c r="AJ168" i="3"/>
  <c r="BF168" i="3" s="1"/>
  <c r="AI168" i="3"/>
  <c r="AH168" i="3"/>
  <c r="AG168" i="3"/>
  <c r="AF168" i="3"/>
  <c r="AE168" i="3"/>
  <c r="AD168" i="3"/>
  <c r="AC168" i="3"/>
  <c r="BD168" i="3" s="1"/>
  <c r="AB168" i="3"/>
  <c r="AA168" i="3"/>
  <c r="Z168" i="3"/>
  <c r="Y168" i="3"/>
  <c r="X168" i="3"/>
  <c r="T168" i="3"/>
  <c r="FH167" i="3"/>
  <c r="FF167" i="3"/>
  <c r="FB167" i="3"/>
  <c r="EY167" i="3"/>
  <c r="EW167" i="3"/>
  <c r="EV167" i="3"/>
  <c r="ET167" i="3"/>
  <c r="EQ167" i="3"/>
  <c r="EP167" i="3"/>
  <c r="EM167" i="3"/>
  <c r="EL167" i="3"/>
  <c r="EK167" i="3"/>
  <c r="EE167" i="3"/>
  <c r="ED167" i="3"/>
  <c r="EC167" i="3"/>
  <c r="EB167" i="3"/>
  <c r="EA167" i="3"/>
  <c r="DX167" i="3"/>
  <c r="DR167" i="3"/>
  <c r="DQ167" i="3"/>
  <c r="DP167" i="3"/>
  <c r="DO167" i="3"/>
  <c r="DN167" i="3"/>
  <c r="DM167" i="3"/>
  <c r="DL167" i="3"/>
  <c r="DK167" i="3"/>
  <c r="DJ167" i="3"/>
  <c r="DI167" i="3"/>
  <c r="DH167" i="3"/>
  <c r="DG167" i="3"/>
  <c r="DF167" i="3"/>
  <c r="DE167" i="3"/>
  <c r="DD167" i="3"/>
  <c r="DC167" i="3"/>
  <c r="DB167" i="3"/>
  <c r="DA167" i="3"/>
  <c r="CZ167" i="3"/>
  <c r="CX167" i="3"/>
  <c r="CT167" i="3"/>
  <c r="CS167" i="3"/>
  <c r="CN167" i="3"/>
  <c r="CL167" i="3"/>
  <c r="CI167" i="3"/>
  <c r="CH167" i="3"/>
  <c r="CD167" i="3"/>
  <c r="CC167" i="3"/>
  <c r="BW167" i="3"/>
  <c r="BV167" i="3"/>
  <c r="BU167" i="3"/>
  <c r="BT167" i="3"/>
  <c r="BS167" i="3"/>
  <c r="BJ167" i="3"/>
  <c r="BI167" i="3"/>
  <c r="BH167" i="3"/>
  <c r="BG167" i="3"/>
  <c r="BE167" i="3"/>
  <c r="BD167" i="3"/>
  <c r="BB167" i="3"/>
  <c r="BA167" i="3"/>
  <c r="FG167" i="3" s="1"/>
  <c r="AZ167" i="3"/>
  <c r="CW167" i="3" s="1"/>
  <c r="AY167" i="3"/>
  <c r="AX167" i="3"/>
  <c r="AW167" i="3"/>
  <c r="CE167" i="3" s="1"/>
  <c r="AV167" i="3"/>
  <c r="DW167" i="3" s="1"/>
  <c r="AU167" i="3"/>
  <c r="CR167" i="3" s="1"/>
  <c r="AT167" i="3"/>
  <c r="AS167" i="3"/>
  <c r="AR167" i="3"/>
  <c r="EH167" i="3" s="1"/>
  <c r="AQ167" i="3"/>
  <c r="EG167" i="3" s="1"/>
  <c r="AP167" i="3"/>
  <c r="AO167" i="3"/>
  <c r="EU167" i="3" s="1"/>
  <c r="AN167" i="3"/>
  <c r="CK167" i="3" s="1"/>
  <c r="AL167" i="3"/>
  <c r="BF167" i="3" s="1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AM167" i="3" s="1"/>
  <c r="Y167" i="3"/>
  <c r="X167" i="3"/>
  <c r="T167" i="3"/>
  <c r="EZ166" i="3"/>
  <c r="EW166" i="3"/>
  <c r="ER166" i="3"/>
  <c r="EM166" i="3"/>
  <c r="EH166" i="3"/>
  <c r="EG166" i="3"/>
  <c r="EF166" i="3"/>
  <c r="EE166" i="3"/>
  <c r="EC166" i="3"/>
  <c r="DU166" i="3"/>
  <c r="DS166" i="3"/>
  <c r="DR166" i="3"/>
  <c r="DQ166" i="3"/>
  <c r="DP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V166" i="3"/>
  <c r="CT166" i="3"/>
  <c r="CR166" i="3"/>
  <c r="CQ166" i="3"/>
  <c r="CO166" i="3"/>
  <c r="CL166" i="3"/>
  <c r="CJ166" i="3"/>
  <c r="CG166" i="3"/>
  <c r="CE166" i="3"/>
  <c r="BZ166" i="3"/>
  <c r="BY166" i="3"/>
  <c r="BX166" i="3"/>
  <c r="BW166" i="3"/>
  <c r="BU166" i="3"/>
  <c r="BQ166" i="3"/>
  <c r="BM166" i="3"/>
  <c r="BK166" i="3"/>
  <c r="BJ166" i="3"/>
  <c r="BI166" i="3"/>
  <c r="BH166" i="3"/>
  <c r="BB166" i="3"/>
  <c r="BA166" i="3"/>
  <c r="FG166" i="3" s="1"/>
  <c r="AZ166" i="3"/>
  <c r="AY166" i="3"/>
  <c r="AX166" i="3"/>
  <c r="FD166" i="3" s="1"/>
  <c r="AW166" i="3"/>
  <c r="AV166" i="3"/>
  <c r="AU166" i="3"/>
  <c r="AT166" i="3"/>
  <c r="EJ166" i="3" s="1"/>
  <c r="AS166" i="3"/>
  <c r="AR166" i="3"/>
  <c r="EX166" i="3" s="1"/>
  <c r="AQ166" i="3"/>
  <c r="CN166" i="3" s="1"/>
  <c r="AP166" i="3"/>
  <c r="AO166" i="3"/>
  <c r="EU166" i="3" s="1"/>
  <c r="AN166" i="3"/>
  <c r="AL166" i="3"/>
  <c r="AK166" i="3"/>
  <c r="AJ166" i="3"/>
  <c r="AI166" i="3"/>
  <c r="BF166" i="3" s="1"/>
  <c r="AH166" i="3"/>
  <c r="AG166" i="3"/>
  <c r="BE166" i="3" s="1"/>
  <c r="AF166" i="3"/>
  <c r="AE166" i="3"/>
  <c r="AD166" i="3"/>
  <c r="AC166" i="3"/>
  <c r="AB166" i="3"/>
  <c r="AA166" i="3"/>
  <c r="Z166" i="3"/>
  <c r="Y166" i="3"/>
  <c r="X166" i="3"/>
  <c r="T166" i="3"/>
  <c r="FD165" i="3"/>
  <c r="FC165" i="3"/>
  <c r="FB165" i="3"/>
  <c r="EW165" i="3"/>
  <c r="EU165" i="3"/>
  <c r="EN165" i="3"/>
  <c r="EK165" i="3"/>
  <c r="EI165" i="3"/>
  <c r="EH165" i="3"/>
  <c r="EG165" i="3"/>
  <c r="DY165" i="3"/>
  <c r="DX165" i="3"/>
  <c r="DW165" i="3"/>
  <c r="DV165" i="3"/>
  <c r="DT165" i="3"/>
  <c r="DS165" i="3"/>
  <c r="DR165" i="3"/>
  <c r="DP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U165" i="3"/>
  <c r="CT165" i="3"/>
  <c r="CR165" i="3"/>
  <c r="CP165" i="3"/>
  <c r="CO165" i="3"/>
  <c r="CF165" i="3"/>
  <c r="CD165" i="3"/>
  <c r="CC165" i="3"/>
  <c r="CA165" i="3"/>
  <c r="BQ165" i="3"/>
  <c r="BP165" i="3"/>
  <c r="BO165" i="3"/>
  <c r="BN165" i="3"/>
  <c r="BF165" i="3"/>
  <c r="BC165" i="3"/>
  <c r="BB165" i="3"/>
  <c r="BA165" i="3"/>
  <c r="CX165" i="3" s="1"/>
  <c r="AZ165" i="3"/>
  <c r="AY165" i="3"/>
  <c r="AX165" i="3"/>
  <c r="AW165" i="3"/>
  <c r="EM165" i="3" s="1"/>
  <c r="AV165" i="3"/>
  <c r="AU165" i="3"/>
  <c r="FA165" i="3" s="1"/>
  <c r="AT165" i="3"/>
  <c r="AS165" i="3"/>
  <c r="EY165" i="3" s="1"/>
  <c r="AR165" i="3"/>
  <c r="EX165" i="3" s="1"/>
  <c r="AQ165" i="3"/>
  <c r="CN165" i="3" s="1"/>
  <c r="AP165" i="3"/>
  <c r="EF165" i="3" s="1"/>
  <c r="AO165" i="3"/>
  <c r="EE165" i="3" s="1"/>
  <c r="AN165" i="3"/>
  <c r="BV165" i="3" s="1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BD165" i="3" s="1"/>
  <c r="Z165" i="3"/>
  <c r="Y165" i="3"/>
  <c r="X165" i="3"/>
  <c r="T165" i="3"/>
  <c r="FH164" i="3"/>
  <c r="FG164" i="3"/>
  <c r="FF164" i="3"/>
  <c r="EX164" i="3"/>
  <c r="ET164" i="3"/>
  <c r="EQ164" i="3"/>
  <c r="EN164" i="3"/>
  <c r="EK164" i="3"/>
  <c r="EJ164" i="3"/>
  <c r="EG164" i="3"/>
  <c r="EE164" i="3"/>
  <c r="EC164" i="3"/>
  <c r="EB164" i="3"/>
  <c r="EA164" i="3"/>
  <c r="DY164" i="3"/>
  <c r="DW164" i="3"/>
  <c r="DV164" i="3"/>
  <c r="DU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W164" i="3"/>
  <c r="CU164" i="3"/>
  <c r="CR164" i="3"/>
  <c r="CQ164" i="3"/>
  <c r="CP164" i="3"/>
  <c r="CO164" i="3"/>
  <c r="CN164" i="3"/>
  <c r="CM164" i="3"/>
  <c r="CK164" i="3"/>
  <c r="CF164" i="3"/>
  <c r="CD164" i="3"/>
  <c r="CC164" i="3"/>
  <c r="CB164" i="3"/>
  <c r="CA164" i="3"/>
  <c r="BZ164" i="3"/>
  <c r="BY164" i="3"/>
  <c r="BS164" i="3"/>
  <c r="BQ164" i="3"/>
  <c r="BO164" i="3"/>
  <c r="BN164" i="3"/>
  <c r="BM164" i="3"/>
  <c r="BK164" i="3"/>
  <c r="BI164" i="3"/>
  <c r="BG164" i="3"/>
  <c r="BB164" i="3"/>
  <c r="BA164" i="3"/>
  <c r="CX164" i="3" s="1"/>
  <c r="AZ164" i="3"/>
  <c r="EP164" i="3" s="1"/>
  <c r="AY164" i="3"/>
  <c r="EO164" i="3" s="1"/>
  <c r="AX164" i="3"/>
  <c r="FD164" i="3" s="1"/>
  <c r="AW164" i="3"/>
  <c r="AV164" i="3"/>
  <c r="FB164" i="3" s="1"/>
  <c r="AU164" i="3"/>
  <c r="FA164" i="3" s="1"/>
  <c r="AT164" i="3"/>
  <c r="EZ164" i="3" s="1"/>
  <c r="AS164" i="3"/>
  <c r="EI164" i="3" s="1"/>
  <c r="AR164" i="3"/>
  <c r="AQ164" i="3"/>
  <c r="AP164" i="3"/>
  <c r="DQ164" i="3" s="1"/>
  <c r="AO164" i="3"/>
  <c r="CL164" i="3" s="1"/>
  <c r="AN164" i="3"/>
  <c r="ED164" i="3" s="1"/>
  <c r="AL164" i="3"/>
  <c r="AK164" i="3"/>
  <c r="AJ164" i="3"/>
  <c r="AI164" i="3"/>
  <c r="AH164" i="3"/>
  <c r="AG164" i="3"/>
  <c r="AF164" i="3"/>
  <c r="BE164" i="3" s="1"/>
  <c r="AE164" i="3"/>
  <c r="AD164" i="3"/>
  <c r="AC164" i="3"/>
  <c r="AB164" i="3"/>
  <c r="AA164" i="3"/>
  <c r="BD164" i="3" s="1"/>
  <c r="Z164" i="3"/>
  <c r="Y164" i="3"/>
  <c r="X164" i="3"/>
  <c r="BC164" i="3" s="1"/>
  <c r="T164" i="3"/>
  <c r="FD163" i="3"/>
  <c r="FC163" i="3"/>
  <c r="FB163" i="3"/>
  <c r="EW163" i="3"/>
  <c r="EP163" i="3"/>
  <c r="EN163" i="3"/>
  <c r="EM163" i="3"/>
  <c r="EL163" i="3"/>
  <c r="EH163" i="3"/>
  <c r="EA163" i="3"/>
  <c r="DZ163" i="3"/>
  <c r="DT163" i="3"/>
  <c r="DS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T163" i="3"/>
  <c r="CS163" i="3"/>
  <c r="CP163" i="3"/>
  <c r="CO163" i="3"/>
  <c r="CN163" i="3"/>
  <c r="CM163" i="3"/>
  <c r="CF163" i="3"/>
  <c r="CE163" i="3"/>
  <c r="CD163" i="3"/>
  <c r="CC163" i="3"/>
  <c r="CA163" i="3"/>
  <c r="BZ163" i="3"/>
  <c r="BS163" i="3"/>
  <c r="BQ163" i="3"/>
  <c r="BP163" i="3"/>
  <c r="BO163" i="3"/>
  <c r="BN163" i="3"/>
  <c r="BL163" i="3"/>
  <c r="BK163" i="3"/>
  <c r="BF163" i="3"/>
  <c r="BC163" i="3"/>
  <c r="BB163" i="3"/>
  <c r="BA163" i="3"/>
  <c r="AZ163" i="3"/>
  <c r="AY163" i="3"/>
  <c r="EO163" i="3" s="1"/>
  <c r="AX163" i="3"/>
  <c r="DY163" i="3" s="1"/>
  <c r="AW163" i="3"/>
  <c r="DX163" i="3" s="1"/>
  <c r="AV163" i="3"/>
  <c r="DW163" i="3" s="1"/>
  <c r="AU163" i="3"/>
  <c r="FA163" i="3" s="1"/>
  <c r="AT163" i="3"/>
  <c r="CB163" i="3" s="1"/>
  <c r="AS163" i="3"/>
  <c r="EI163" i="3" s="1"/>
  <c r="AR163" i="3"/>
  <c r="EX163" i="3" s="1"/>
  <c r="AQ163" i="3"/>
  <c r="AP163" i="3"/>
  <c r="AO163" i="3"/>
  <c r="AN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T163" i="3"/>
  <c r="FH162" i="3"/>
  <c r="FG162" i="3"/>
  <c r="FF162" i="3"/>
  <c r="FE162" i="3"/>
  <c r="FB162" i="3"/>
  <c r="FA162" i="3"/>
  <c r="EV162" i="3"/>
  <c r="EU162" i="3"/>
  <c r="ET162" i="3"/>
  <c r="EP162" i="3"/>
  <c r="EO162" i="3"/>
  <c r="EM162" i="3"/>
  <c r="EL162" i="3"/>
  <c r="EK162" i="3"/>
  <c r="EJ162" i="3"/>
  <c r="ED162" i="3"/>
  <c r="EC162" i="3"/>
  <c r="EA162" i="3"/>
  <c r="DZ162" i="3"/>
  <c r="DY162" i="3"/>
  <c r="DX162" i="3"/>
  <c r="DW162" i="3"/>
  <c r="DV162" i="3"/>
  <c r="DQ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S162" i="3"/>
  <c r="CQ162" i="3"/>
  <c r="CN162" i="3"/>
  <c r="CL162" i="3"/>
  <c r="CK162" i="3"/>
  <c r="CH162" i="3"/>
  <c r="CG162" i="3"/>
  <c r="CD162" i="3"/>
  <c r="CB162" i="3"/>
  <c r="BV162" i="3"/>
  <c r="BS162" i="3"/>
  <c r="BR162" i="3"/>
  <c r="BQ162" i="3"/>
  <c r="BP162" i="3"/>
  <c r="BO162" i="3"/>
  <c r="BN162" i="3"/>
  <c r="BI162" i="3"/>
  <c r="BG162" i="3"/>
  <c r="BC162" i="3"/>
  <c r="BB162" i="3"/>
  <c r="BA162" i="3"/>
  <c r="EQ162" i="3" s="1"/>
  <c r="AZ162" i="3"/>
  <c r="AY162" i="3"/>
  <c r="AX162" i="3"/>
  <c r="FD162" i="3" s="1"/>
  <c r="AW162" i="3"/>
  <c r="AV162" i="3"/>
  <c r="AU162" i="3"/>
  <c r="CR162" i="3" s="1"/>
  <c r="AT162" i="3"/>
  <c r="DU162" i="3" s="1"/>
  <c r="AS162" i="3"/>
  <c r="AR162" i="3"/>
  <c r="AQ162" i="3"/>
  <c r="AP162" i="3"/>
  <c r="AO162" i="3"/>
  <c r="EE162" i="3" s="1"/>
  <c r="AN162" i="3"/>
  <c r="AL162" i="3"/>
  <c r="AK162" i="3"/>
  <c r="AJ162" i="3"/>
  <c r="AI162" i="3"/>
  <c r="BF162" i="3" s="1"/>
  <c r="AH162" i="3"/>
  <c r="AG162" i="3"/>
  <c r="AF162" i="3"/>
  <c r="BE162" i="3" s="1"/>
  <c r="AE162" i="3"/>
  <c r="AD162" i="3"/>
  <c r="BD162" i="3" s="1"/>
  <c r="AC162" i="3"/>
  <c r="AB162" i="3"/>
  <c r="AA162" i="3"/>
  <c r="Z162" i="3"/>
  <c r="Y162" i="3"/>
  <c r="X162" i="3"/>
  <c r="T162" i="3"/>
  <c r="FH161" i="3"/>
  <c r="FE161" i="3"/>
  <c r="EZ161" i="3"/>
  <c r="EX161" i="3"/>
  <c r="EW161" i="3"/>
  <c r="EV161" i="3"/>
  <c r="ER161" i="3"/>
  <c r="EP161" i="3"/>
  <c r="EO161" i="3"/>
  <c r="EN161" i="3"/>
  <c r="EM161" i="3"/>
  <c r="EG161" i="3"/>
  <c r="EF161" i="3"/>
  <c r="EC161" i="3"/>
  <c r="EB161" i="3"/>
  <c r="EA161" i="3"/>
  <c r="DZ161" i="3"/>
  <c r="DR161" i="3"/>
  <c r="DQ161" i="3"/>
  <c r="DP161" i="3"/>
  <c r="DO161" i="3"/>
  <c r="DN161" i="3"/>
  <c r="DM161" i="3"/>
  <c r="DL161" i="3"/>
  <c r="DK161" i="3"/>
  <c r="DJ161" i="3"/>
  <c r="DI161" i="3"/>
  <c r="DH161" i="3"/>
  <c r="DG161" i="3"/>
  <c r="DF161" i="3"/>
  <c r="DE161" i="3"/>
  <c r="DD161" i="3"/>
  <c r="DC161" i="3"/>
  <c r="DB161" i="3"/>
  <c r="DA161" i="3"/>
  <c r="CZ161" i="3"/>
  <c r="CY161" i="3"/>
  <c r="CV161" i="3"/>
  <c r="CT161" i="3"/>
  <c r="CQ161" i="3"/>
  <c r="CO161" i="3"/>
  <c r="CN161" i="3"/>
  <c r="CM161" i="3"/>
  <c r="CJ161" i="3"/>
  <c r="CG161" i="3"/>
  <c r="CE161" i="3"/>
  <c r="BY161" i="3"/>
  <c r="BX161" i="3"/>
  <c r="BU161" i="3"/>
  <c r="BT161" i="3"/>
  <c r="BR161" i="3"/>
  <c r="BJ161" i="3"/>
  <c r="BI161" i="3"/>
  <c r="BH161" i="3"/>
  <c r="BG161" i="3"/>
  <c r="BB161" i="3"/>
  <c r="BA161" i="3"/>
  <c r="FG161" i="3" s="1"/>
  <c r="AZ161" i="3"/>
  <c r="CH161" i="3" s="1"/>
  <c r="AY161" i="3"/>
  <c r="AX161" i="3"/>
  <c r="CU161" i="3" s="1"/>
  <c r="AW161" i="3"/>
  <c r="DX161" i="3" s="1"/>
  <c r="AV161" i="3"/>
  <c r="CD161" i="3" s="1"/>
  <c r="AU161" i="3"/>
  <c r="CR161" i="3" s="1"/>
  <c r="AT161" i="3"/>
  <c r="AS161" i="3"/>
  <c r="AR161" i="3"/>
  <c r="EH161" i="3" s="1"/>
  <c r="AQ161" i="3"/>
  <c r="AP161" i="3"/>
  <c r="AO161" i="3"/>
  <c r="EU161" i="3" s="1"/>
  <c r="AN161" i="3"/>
  <c r="ED161" i="3" s="1"/>
  <c r="AL161" i="3"/>
  <c r="AK161" i="3"/>
  <c r="AJ161" i="3"/>
  <c r="AI161" i="3"/>
  <c r="BF161" i="3" s="1"/>
  <c r="AH161" i="3"/>
  <c r="BE161" i="3" s="1"/>
  <c r="AG161" i="3"/>
  <c r="AF161" i="3"/>
  <c r="AE161" i="3"/>
  <c r="AD161" i="3"/>
  <c r="AC161" i="3"/>
  <c r="AB161" i="3"/>
  <c r="AA161" i="3"/>
  <c r="Z161" i="3"/>
  <c r="Y161" i="3"/>
  <c r="X161" i="3"/>
  <c r="T161" i="3"/>
  <c r="FH160" i="3"/>
  <c r="FE160" i="3"/>
  <c r="FB160" i="3"/>
  <c r="FA160" i="3"/>
  <c r="EZ160" i="3"/>
  <c r="EY160" i="3"/>
  <c r="EV160" i="3"/>
  <c r="EU160" i="3"/>
  <c r="ER160" i="3"/>
  <c r="EQ160" i="3"/>
  <c r="EP160" i="3"/>
  <c r="EO160" i="3"/>
  <c r="EJ160" i="3"/>
  <c r="EI160" i="3"/>
  <c r="EF160" i="3"/>
  <c r="ED160" i="3"/>
  <c r="EC160" i="3"/>
  <c r="DW160" i="3"/>
  <c r="DU160" i="3"/>
  <c r="DT160" i="3"/>
  <c r="DS160" i="3"/>
  <c r="DQ160" i="3"/>
  <c r="DN160" i="3"/>
  <c r="DM160" i="3"/>
  <c r="DL160" i="3"/>
  <c r="DK160" i="3"/>
  <c r="DJ160" i="3"/>
  <c r="DI160" i="3"/>
  <c r="DH160" i="3"/>
  <c r="DG160" i="3"/>
  <c r="DF160" i="3"/>
  <c r="DE160" i="3"/>
  <c r="DD160" i="3"/>
  <c r="DC160" i="3"/>
  <c r="DB160" i="3"/>
  <c r="DA160" i="3"/>
  <c r="CZ160" i="3"/>
  <c r="CY160" i="3"/>
  <c r="CW160" i="3"/>
  <c r="CU160" i="3"/>
  <c r="CR160" i="3"/>
  <c r="CQ160" i="3"/>
  <c r="CP160" i="3"/>
  <c r="CM160" i="3"/>
  <c r="CK160" i="3"/>
  <c r="CJ160" i="3"/>
  <c r="CI160" i="3"/>
  <c r="CH160" i="3"/>
  <c r="CG160" i="3"/>
  <c r="CF160" i="3"/>
  <c r="CB160" i="3"/>
  <c r="CA160" i="3"/>
  <c r="BX160" i="3"/>
  <c r="BW160" i="3"/>
  <c r="BV160" i="3"/>
  <c r="BU160" i="3"/>
  <c r="BO160" i="3"/>
  <c r="BM160" i="3"/>
  <c r="BL160" i="3"/>
  <c r="BK160" i="3"/>
  <c r="BI160" i="3"/>
  <c r="BC160" i="3"/>
  <c r="BB160" i="3"/>
  <c r="BA160" i="3"/>
  <c r="CX160" i="3" s="1"/>
  <c r="AZ160" i="3"/>
  <c r="EA160" i="3" s="1"/>
  <c r="AY160" i="3"/>
  <c r="AX160" i="3"/>
  <c r="AW160" i="3"/>
  <c r="AV160" i="3"/>
  <c r="AU160" i="3"/>
  <c r="EK160" i="3" s="1"/>
  <c r="AT160" i="3"/>
  <c r="AS160" i="3"/>
  <c r="AR160" i="3"/>
  <c r="EX160" i="3" s="1"/>
  <c r="AQ160" i="3"/>
  <c r="EG160" i="3" s="1"/>
  <c r="AP160" i="3"/>
  <c r="AO160" i="3"/>
  <c r="CL160" i="3" s="1"/>
  <c r="AN160" i="3"/>
  <c r="DO160" i="3" s="1"/>
  <c r="AL160" i="3"/>
  <c r="AK160" i="3"/>
  <c r="AJ160" i="3"/>
  <c r="AI160" i="3"/>
  <c r="BF160" i="3" s="1"/>
  <c r="AH160" i="3"/>
  <c r="AG160" i="3"/>
  <c r="AF160" i="3"/>
  <c r="BE160" i="3" s="1"/>
  <c r="AE160" i="3"/>
  <c r="AD160" i="3"/>
  <c r="AC160" i="3"/>
  <c r="AB160" i="3"/>
  <c r="AA160" i="3"/>
  <c r="Z160" i="3"/>
  <c r="Y160" i="3"/>
  <c r="X160" i="3"/>
  <c r="AM160" i="3" s="1"/>
  <c r="T160" i="3"/>
  <c r="FH159" i="3"/>
  <c r="FE159" i="3"/>
  <c r="FD159" i="3"/>
  <c r="FC159" i="3"/>
  <c r="FB159" i="3"/>
  <c r="EY159" i="3"/>
  <c r="EX159" i="3"/>
  <c r="EV159" i="3"/>
  <c r="EM159" i="3"/>
  <c r="EL159" i="3"/>
  <c r="EJ159" i="3"/>
  <c r="EI159" i="3"/>
  <c r="EH159" i="3"/>
  <c r="EG159" i="3"/>
  <c r="EF159" i="3"/>
  <c r="DX159" i="3"/>
  <c r="DW159" i="3"/>
  <c r="DV159" i="3"/>
  <c r="DT159" i="3"/>
  <c r="DS159" i="3"/>
  <c r="DN159" i="3"/>
  <c r="DM159" i="3"/>
  <c r="DL159" i="3"/>
  <c r="DK159" i="3"/>
  <c r="DJ159" i="3"/>
  <c r="DI159" i="3"/>
  <c r="DH159" i="3"/>
  <c r="DG159" i="3"/>
  <c r="DF159" i="3"/>
  <c r="DE159" i="3"/>
  <c r="DD159" i="3"/>
  <c r="DC159" i="3"/>
  <c r="DB159" i="3"/>
  <c r="DA159" i="3"/>
  <c r="CZ159" i="3"/>
  <c r="CW159" i="3"/>
  <c r="CU159" i="3"/>
  <c r="CT159" i="3"/>
  <c r="CS159" i="3"/>
  <c r="CP159" i="3"/>
  <c r="CN159" i="3"/>
  <c r="CJ159" i="3"/>
  <c r="CE159" i="3"/>
  <c r="CD159" i="3"/>
  <c r="CA159" i="3"/>
  <c r="BY159" i="3"/>
  <c r="BR159" i="3"/>
  <c r="BP159" i="3"/>
  <c r="BO159" i="3"/>
  <c r="BN159" i="3"/>
  <c r="BM159" i="3"/>
  <c r="BL159" i="3"/>
  <c r="BK159" i="3"/>
  <c r="BF159" i="3"/>
  <c r="BC159" i="3"/>
  <c r="BB159" i="3"/>
  <c r="BA159" i="3"/>
  <c r="CI159" i="3" s="1"/>
  <c r="AZ159" i="3"/>
  <c r="AY159" i="3"/>
  <c r="DZ159" i="3" s="1"/>
  <c r="AX159" i="3"/>
  <c r="EN159" i="3" s="1"/>
  <c r="AW159" i="3"/>
  <c r="AV159" i="3"/>
  <c r="AU159" i="3"/>
  <c r="FA159" i="3" s="1"/>
  <c r="AT159" i="3"/>
  <c r="AS159" i="3"/>
  <c r="AR159" i="3"/>
  <c r="CO159" i="3" s="1"/>
  <c r="AQ159" i="3"/>
  <c r="DR159" i="3" s="1"/>
  <c r="AP159" i="3"/>
  <c r="AO159" i="3"/>
  <c r="CL159" i="3" s="1"/>
  <c r="AN159" i="3"/>
  <c r="CK159" i="3" s="1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BD159" i="3" s="1"/>
  <c r="Z159" i="3"/>
  <c r="Y159" i="3"/>
  <c r="X159" i="3"/>
  <c r="T159" i="3"/>
  <c r="FG158" i="3"/>
  <c r="FF158" i="3"/>
  <c r="FE158" i="3"/>
  <c r="FB158" i="3"/>
  <c r="FA158" i="3"/>
  <c r="EW158" i="3"/>
  <c r="EV158" i="3"/>
  <c r="EU158" i="3"/>
  <c r="ET158" i="3"/>
  <c r="EP158" i="3"/>
  <c r="EO158" i="3"/>
  <c r="EL158" i="3"/>
  <c r="EK158" i="3"/>
  <c r="EJ158" i="3"/>
  <c r="EI158" i="3"/>
  <c r="ED158" i="3"/>
  <c r="EC158" i="3"/>
  <c r="EA158" i="3"/>
  <c r="DZ158" i="3"/>
  <c r="DY158" i="3"/>
  <c r="DW158" i="3"/>
  <c r="DV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S158" i="3"/>
  <c r="CQ158" i="3"/>
  <c r="CL158" i="3"/>
  <c r="CK158" i="3"/>
  <c r="CH158" i="3"/>
  <c r="CG158" i="3"/>
  <c r="CD158" i="3"/>
  <c r="CB158" i="3"/>
  <c r="BV158" i="3"/>
  <c r="BS158" i="3"/>
  <c r="BR158" i="3"/>
  <c r="BQ158" i="3"/>
  <c r="BP158" i="3"/>
  <c r="BO158" i="3"/>
  <c r="BN158" i="3"/>
  <c r="BG158" i="3"/>
  <c r="BB158" i="3"/>
  <c r="BA158" i="3"/>
  <c r="EQ158" i="3" s="1"/>
  <c r="AZ158" i="3"/>
  <c r="AY158" i="3"/>
  <c r="AX158" i="3"/>
  <c r="FD158" i="3" s="1"/>
  <c r="AW158" i="3"/>
  <c r="AV158" i="3"/>
  <c r="AU158" i="3"/>
  <c r="CR158" i="3" s="1"/>
  <c r="AT158" i="3"/>
  <c r="DU158" i="3" s="1"/>
  <c r="AS158" i="3"/>
  <c r="EY158" i="3" s="1"/>
  <c r="AR158" i="3"/>
  <c r="EH158" i="3" s="1"/>
  <c r="AQ158" i="3"/>
  <c r="AP158" i="3"/>
  <c r="AO158" i="3"/>
  <c r="EE158" i="3" s="1"/>
  <c r="AN158" i="3"/>
  <c r="AL158" i="3"/>
  <c r="AK158" i="3"/>
  <c r="AJ158" i="3"/>
  <c r="AI158" i="3"/>
  <c r="BF158" i="3" s="1"/>
  <c r="AH158" i="3"/>
  <c r="AG158" i="3"/>
  <c r="AF158" i="3"/>
  <c r="BE158" i="3" s="1"/>
  <c r="AE158" i="3"/>
  <c r="BD158" i="3" s="1"/>
  <c r="AD158" i="3"/>
  <c r="AC158" i="3"/>
  <c r="AB158" i="3"/>
  <c r="AA158" i="3"/>
  <c r="Z158" i="3"/>
  <c r="Y158" i="3"/>
  <c r="BC158" i="3" s="1"/>
  <c r="X158" i="3"/>
  <c r="T158" i="3"/>
  <c r="FH157" i="3"/>
  <c r="FE157" i="3"/>
  <c r="FA157" i="3"/>
  <c r="EY157" i="3"/>
  <c r="EX157" i="3"/>
  <c r="EW157" i="3"/>
  <c r="EV157" i="3"/>
  <c r="ER157" i="3"/>
  <c r="EO157" i="3"/>
  <c r="EG157" i="3"/>
  <c r="EF157" i="3"/>
  <c r="EC157" i="3"/>
  <c r="EB157" i="3"/>
  <c r="EA157" i="3"/>
  <c r="DZ157" i="3"/>
  <c r="DY157" i="3"/>
  <c r="DT157" i="3"/>
  <c r="DR157" i="3"/>
  <c r="DQ157" i="3"/>
  <c r="DP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V157" i="3"/>
  <c r="CR157" i="3"/>
  <c r="CP157" i="3"/>
  <c r="CO157" i="3"/>
  <c r="CN157" i="3"/>
  <c r="CM157" i="3"/>
  <c r="CK157" i="3"/>
  <c r="CJ157" i="3"/>
  <c r="CG157" i="3"/>
  <c r="BY157" i="3"/>
  <c r="BX157" i="3"/>
  <c r="BU157" i="3"/>
  <c r="BT157" i="3"/>
  <c r="BS157" i="3"/>
  <c r="BR157" i="3"/>
  <c r="BQ157" i="3"/>
  <c r="BL157" i="3"/>
  <c r="BJ157" i="3"/>
  <c r="BI157" i="3"/>
  <c r="BH157" i="3"/>
  <c r="BB157" i="3"/>
  <c r="BA157" i="3"/>
  <c r="AZ157" i="3"/>
  <c r="FF157" i="3" s="1"/>
  <c r="AY157" i="3"/>
  <c r="AX157" i="3"/>
  <c r="CU157" i="3" s="1"/>
  <c r="AW157" i="3"/>
  <c r="AV157" i="3"/>
  <c r="AU157" i="3"/>
  <c r="AT157" i="3"/>
  <c r="AS157" i="3"/>
  <c r="AR157" i="3"/>
  <c r="EH157" i="3" s="1"/>
  <c r="AQ157" i="3"/>
  <c r="AP157" i="3"/>
  <c r="AO157" i="3"/>
  <c r="AN157" i="3"/>
  <c r="ET157" i="3" s="1"/>
  <c r="AL157" i="3"/>
  <c r="AK157" i="3"/>
  <c r="AJ157" i="3"/>
  <c r="AI157" i="3"/>
  <c r="BF157" i="3" s="1"/>
  <c r="AH157" i="3"/>
  <c r="AG157" i="3"/>
  <c r="BE157" i="3" s="1"/>
  <c r="AF157" i="3"/>
  <c r="AE157" i="3"/>
  <c r="AD157" i="3"/>
  <c r="AC157" i="3"/>
  <c r="AB157" i="3"/>
  <c r="AA157" i="3"/>
  <c r="Z157" i="3"/>
  <c r="Y157" i="3"/>
  <c r="X157" i="3"/>
  <c r="T157" i="3"/>
  <c r="FH156" i="3"/>
  <c r="FG156" i="3"/>
  <c r="FA156" i="3"/>
  <c r="EZ156" i="3"/>
  <c r="EY156" i="3"/>
  <c r="EV156" i="3"/>
  <c r="EU156" i="3"/>
  <c r="ER156" i="3"/>
  <c r="EQ156" i="3"/>
  <c r="EO156" i="3"/>
  <c r="EJ156" i="3"/>
  <c r="EI156" i="3"/>
  <c r="EF156" i="3"/>
  <c r="EE156" i="3"/>
  <c r="EC156" i="3"/>
  <c r="DU156" i="3"/>
  <c r="DT156" i="3"/>
  <c r="DR156" i="3"/>
  <c r="DQ156" i="3"/>
  <c r="DP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R156" i="3"/>
  <c r="CQ156" i="3"/>
  <c r="CP156" i="3"/>
  <c r="CN156" i="3"/>
  <c r="CM156" i="3"/>
  <c r="CK156" i="3"/>
  <c r="CJ156" i="3"/>
  <c r="CI156" i="3"/>
  <c r="CG156" i="3"/>
  <c r="CB156" i="3"/>
  <c r="CA156" i="3"/>
  <c r="BX156" i="3"/>
  <c r="BW156" i="3"/>
  <c r="BU156" i="3"/>
  <c r="BM156" i="3"/>
  <c r="BL156" i="3"/>
  <c r="BJ156" i="3"/>
  <c r="BI156" i="3"/>
  <c r="BH156" i="3"/>
  <c r="BD156" i="3"/>
  <c r="BB156" i="3"/>
  <c r="BA156" i="3"/>
  <c r="CX156" i="3" s="1"/>
  <c r="AZ156" i="3"/>
  <c r="EP156" i="3" s="1"/>
  <c r="AY156" i="3"/>
  <c r="AX156" i="3"/>
  <c r="EN156" i="3" s="1"/>
  <c r="AW156" i="3"/>
  <c r="AV156" i="3"/>
  <c r="AU156" i="3"/>
  <c r="EK156" i="3" s="1"/>
  <c r="AT156" i="3"/>
  <c r="AS156" i="3"/>
  <c r="AR156" i="3"/>
  <c r="AQ156" i="3"/>
  <c r="EW156" i="3" s="1"/>
  <c r="AP156" i="3"/>
  <c r="AO156" i="3"/>
  <c r="CL156" i="3" s="1"/>
  <c r="AN156" i="3"/>
  <c r="ED156" i="3" s="1"/>
  <c r="AL156" i="3"/>
  <c r="AK156" i="3"/>
  <c r="AJ156" i="3"/>
  <c r="AI156" i="3"/>
  <c r="BF156" i="3" s="1"/>
  <c r="AH156" i="3"/>
  <c r="AG156" i="3"/>
  <c r="AF156" i="3"/>
  <c r="BE156" i="3" s="1"/>
  <c r="AE156" i="3"/>
  <c r="AD156" i="3"/>
  <c r="AC156" i="3"/>
  <c r="AB156" i="3"/>
  <c r="AA156" i="3"/>
  <c r="Z156" i="3"/>
  <c r="Y156" i="3"/>
  <c r="X156" i="3"/>
  <c r="AM156" i="3" s="1"/>
  <c r="T156" i="3"/>
  <c r="FG155" i="3"/>
  <c r="FC155" i="3"/>
  <c r="FB155" i="3"/>
  <c r="EY155" i="3"/>
  <c r="EX155" i="3"/>
  <c r="ER155" i="3"/>
  <c r="EM155" i="3"/>
  <c r="EL155" i="3"/>
  <c r="EJ155" i="3"/>
  <c r="EI155" i="3"/>
  <c r="EH155" i="3"/>
  <c r="EF155" i="3"/>
  <c r="EA155" i="3"/>
  <c r="DX155" i="3"/>
  <c r="DW155" i="3"/>
  <c r="DV155" i="3"/>
  <c r="DU155" i="3"/>
  <c r="DT155" i="3"/>
  <c r="DS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V155" i="3"/>
  <c r="CT155" i="3"/>
  <c r="CS155" i="3"/>
  <c r="CP155" i="3"/>
  <c r="CN155" i="3"/>
  <c r="CL155" i="3"/>
  <c r="CJ155" i="3"/>
  <c r="CH155" i="3"/>
  <c r="CE155" i="3"/>
  <c r="CD155" i="3"/>
  <c r="CB155" i="3"/>
  <c r="CA155" i="3"/>
  <c r="BZ155" i="3"/>
  <c r="BY155" i="3"/>
  <c r="BW155" i="3"/>
  <c r="BP155" i="3"/>
  <c r="BO155" i="3"/>
  <c r="BM155" i="3"/>
  <c r="BL155" i="3"/>
  <c r="BK155" i="3"/>
  <c r="BJ155" i="3"/>
  <c r="BF155" i="3"/>
  <c r="BB155" i="3"/>
  <c r="FH155" i="3" s="1"/>
  <c r="BA155" i="3"/>
  <c r="AZ155" i="3"/>
  <c r="FF155" i="3" s="1"/>
  <c r="AY155" i="3"/>
  <c r="AX155" i="3"/>
  <c r="AW155" i="3"/>
  <c r="AV155" i="3"/>
  <c r="AU155" i="3"/>
  <c r="AT155" i="3"/>
  <c r="EZ155" i="3" s="1"/>
  <c r="AS155" i="3"/>
  <c r="AR155" i="3"/>
  <c r="CO155" i="3" s="1"/>
  <c r="AQ155" i="3"/>
  <c r="EW155" i="3" s="1"/>
  <c r="AP155" i="3"/>
  <c r="EV155" i="3" s="1"/>
  <c r="AO155" i="3"/>
  <c r="EU155" i="3" s="1"/>
  <c r="AN155" i="3"/>
  <c r="CK155" i="3" s="1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BD155" i="3" s="1"/>
  <c r="Z155" i="3"/>
  <c r="BC155" i="3" s="1"/>
  <c r="Y155" i="3"/>
  <c r="X155" i="3"/>
  <c r="T155" i="3"/>
  <c r="FG154" i="3"/>
  <c r="FF154" i="3"/>
  <c r="FE154" i="3"/>
  <c r="FB154" i="3"/>
  <c r="FA154" i="3"/>
  <c r="EW154" i="3"/>
  <c r="EU154" i="3"/>
  <c r="ET154" i="3"/>
  <c r="EP154" i="3"/>
  <c r="EO154" i="3"/>
  <c r="EL154" i="3"/>
  <c r="EK154" i="3"/>
  <c r="EJ154" i="3"/>
  <c r="EH154" i="3"/>
  <c r="ED154" i="3"/>
  <c r="EA154" i="3"/>
  <c r="DZ154" i="3"/>
  <c r="DY154" i="3"/>
  <c r="DW154" i="3"/>
  <c r="DV154" i="3"/>
  <c r="DU154" i="3"/>
  <c r="DQ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X154" i="3"/>
  <c r="CW154" i="3"/>
  <c r="CV154" i="3"/>
  <c r="CS154" i="3"/>
  <c r="CP154" i="3"/>
  <c r="CL154" i="3"/>
  <c r="CK154" i="3"/>
  <c r="CH154" i="3"/>
  <c r="CG154" i="3"/>
  <c r="CD154" i="3"/>
  <c r="CC154" i="3"/>
  <c r="CA154" i="3"/>
  <c r="BV154" i="3"/>
  <c r="BS154" i="3"/>
  <c r="BR154" i="3"/>
  <c r="BQ154" i="3"/>
  <c r="BO154" i="3"/>
  <c r="BN154" i="3"/>
  <c r="BJ154" i="3"/>
  <c r="BG154" i="3"/>
  <c r="BB154" i="3"/>
  <c r="BA154" i="3"/>
  <c r="AZ154" i="3"/>
  <c r="AY154" i="3"/>
  <c r="AX154" i="3"/>
  <c r="AW154" i="3"/>
  <c r="AV154" i="3"/>
  <c r="AU154" i="3"/>
  <c r="CR154" i="3" s="1"/>
  <c r="AT154" i="3"/>
  <c r="EZ154" i="3" s="1"/>
  <c r="AS154" i="3"/>
  <c r="EY154" i="3" s="1"/>
  <c r="AR154" i="3"/>
  <c r="EX154" i="3" s="1"/>
  <c r="AQ154" i="3"/>
  <c r="EG154" i="3" s="1"/>
  <c r="AP154" i="3"/>
  <c r="AO154" i="3"/>
  <c r="AN154" i="3"/>
  <c r="AL154" i="3"/>
  <c r="BF154" i="3" s="1"/>
  <c r="AK154" i="3"/>
  <c r="AJ154" i="3"/>
  <c r="AI154" i="3"/>
  <c r="AH154" i="3"/>
  <c r="AG154" i="3"/>
  <c r="AF154" i="3"/>
  <c r="BE154" i="3" s="1"/>
  <c r="AE154" i="3"/>
  <c r="AD154" i="3"/>
  <c r="AC154" i="3"/>
  <c r="BD154" i="3" s="1"/>
  <c r="AB154" i="3"/>
  <c r="AA154" i="3"/>
  <c r="Z154" i="3"/>
  <c r="BC154" i="3" s="1"/>
  <c r="Y154" i="3"/>
  <c r="X154" i="3"/>
  <c r="AM154" i="3" s="1"/>
  <c r="T154" i="3"/>
  <c r="FH153" i="3"/>
  <c r="FE153" i="3"/>
  <c r="FD153" i="3"/>
  <c r="EZ153" i="3"/>
  <c r="EX153" i="3"/>
  <c r="EW153" i="3"/>
  <c r="EV153" i="3"/>
  <c r="ER153" i="3"/>
  <c r="EO153" i="3"/>
  <c r="EN153" i="3"/>
  <c r="EM153" i="3"/>
  <c r="EK153" i="3"/>
  <c r="EG153" i="3"/>
  <c r="EF153" i="3"/>
  <c r="EC153" i="3"/>
  <c r="EB153" i="3"/>
  <c r="DZ153" i="3"/>
  <c r="DY153" i="3"/>
  <c r="DX153" i="3"/>
  <c r="DT153" i="3"/>
  <c r="DR153" i="3"/>
  <c r="DQ153" i="3"/>
  <c r="DP153" i="3"/>
  <c r="DN153" i="3"/>
  <c r="DM153" i="3"/>
  <c r="DL153" i="3"/>
  <c r="DK153" i="3"/>
  <c r="DJ153" i="3"/>
  <c r="DI153" i="3"/>
  <c r="DH153" i="3"/>
  <c r="DG153" i="3"/>
  <c r="DF153" i="3"/>
  <c r="DE153" i="3"/>
  <c r="DD153" i="3"/>
  <c r="DC153" i="3"/>
  <c r="DB153" i="3"/>
  <c r="DA153" i="3"/>
  <c r="CZ153" i="3"/>
  <c r="CY153" i="3"/>
  <c r="CV153" i="3"/>
  <c r="CS153" i="3"/>
  <c r="CO153" i="3"/>
  <c r="CN153" i="3"/>
  <c r="CM153" i="3"/>
  <c r="CJ153" i="3"/>
  <c r="CG153" i="3"/>
  <c r="CE153" i="3"/>
  <c r="BY153" i="3"/>
  <c r="BX153" i="3"/>
  <c r="BU153" i="3"/>
  <c r="BR153" i="3"/>
  <c r="BP153" i="3"/>
  <c r="BJ153" i="3"/>
  <c r="BI153" i="3"/>
  <c r="BH153" i="3"/>
  <c r="BF153" i="3"/>
  <c r="BB153" i="3"/>
  <c r="BA153" i="3"/>
  <c r="AZ153" i="3"/>
  <c r="AY153" i="3"/>
  <c r="AX153" i="3"/>
  <c r="CU153" i="3" s="1"/>
  <c r="AW153" i="3"/>
  <c r="FC153" i="3" s="1"/>
  <c r="AV153" i="3"/>
  <c r="FB153" i="3" s="1"/>
  <c r="AU153" i="3"/>
  <c r="FA153" i="3" s="1"/>
  <c r="AT153" i="3"/>
  <c r="EJ153" i="3" s="1"/>
  <c r="AS153" i="3"/>
  <c r="AR153" i="3"/>
  <c r="AQ153" i="3"/>
  <c r="AP153" i="3"/>
  <c r="AO153" i="3"/>
  <c r="AN153" i="3"/>
  <c r="AL153" i="3"/>
  <c r="AK153" i="3"/>
  <c r="AJ153" i="3"/>
  <c r="AI153" i="3"/>
  <c r="AH153" i="3"/>
  <c r="AG153" i="3"/>
  <c r="AF153" i="3"/>
  <c r="BE153" i="3" s="1"/>
  <c r="AE153" i="3"/>
  <c r="AD153" i="3"/>
  <c r="AC153" i="3"/>
  <c r="BD153" i="3" s="1"/>
  <c r="AB153" i="3"/>
  <c r="AA153" i="3"/>
  <c r="Z153" i="3"/>
  <c r="Y153" i="3"/>
  <c r="X153" i="3"/>
  <c r="T153" i="3"/>
  <c r="FD152" i="3"/>
  <c r="FC152" i="3"/>
  <c r="FA152" i="3"/>
  <c r="EZ152" i="3"/>
  <c r="EY152" i="3"/>
  <c r="EN152" i="3"/>
  <c r="EJ152" i="3"/>
  <c r="EI152" i="3"/>
  <c r="EG152" i="3"/>
  <c r="ED152" i="3"/>
  <c r="DW152" i="3"/>
  <c r="DU152" i="3"/>
  <c r="DT152" i="3"/>
  <c r="DR152" i="3"/>
  <c r="DO152" i="3"/>
  <c r="DN152" i="3"/>
  <c r="DM152" i="3"/>
  <c r="DL152" i="3"/>
  <c r="DK152" i="3"/>
  <c r="DJ152" i="3"/>
  <c r="DI152" i="3"/>
  <c r="DH152" i="3"/>
  <c r="DG152" i="3"/>
  <c r="DF152" i="3"/>
  <c r="DE152" i="3"/>
  <c r="DD152" i="3"/>
  <c r="DC152" i="3"/>
  <c r="DB152" i="3"/>
  <c r="DA152" i="3"/>
  <c r="CZ152" i="3"/>
  <c r="CW152" i="3"/>
  <c r="CU152" i="3"/>
  <c r="CS152" i="3"/>
  <c r="CR152" i="3"/>
  <c r="CQ152" i="3"/>
  <c r="CP152" i="3"/>
  <c r="CJ152" i="3"/>
  <c r="CF152" i="3"/>
  <c r="CE152" i="3"/>
  <c r="CB152" i="3"/>
  <c r="CA152" i="3"/>
  <c r="BY152" i="3"/>
  <c r="BV152" i="3"/>
  <c r="BP152" i="3"/>
  <c r="BO152" i="3"/>
  <c r="BN152" i="3"/>
  <c r="BM152" i="3"/>
  <c r="BL152" i="3"/>
  <c r="BK152" i="3"/>
  <c r="BJ152" i="3"/>
  <c r="BH152" i="3"/>
  <c r="BB152" i="3"/>
  <c r="BU152" i="3" s="1"/>
  <c r="BA152" i="3"/>
  <c r="CX152" i="3" s="1"/>
  <c r="AZ152" i="3"/>
  <c r="FF152" i="3" s="1"/>
  <c r="AY152" i="3"/>
  <c r="FE152" i="3" s="1"/>
  <c r="AX152" i="3"/>
  <c r="AW152" i="3"/>
  <c r="EM152" i="3" s="1"/>
  <c r="AV152" i="3"/>
  <c r="AU152" i="3"/>
  <c r="AT152" i="3"/>
  <c r="AS152" i="3"/>
  <c r="AR152" i="3"/>
  <c r="DS152" i="3" s="1"/>
  <c r="AQ152" i="3"/>
  <c r="EW152" i="3" s="1"/>
  <c r="AP152" i="3"/>
  <c r="EV152" i="3" s="1"/>
  <c r="AO152" i="3"/>
  <c r="EU152" i="3" s="1"/>
  <c r="AN152" i="3"/>
  <c r="ET152" i="3" s="1"/>
  <c r="AL152" i="3"/>
  <c r="AK152" i="3"/>
  <c r="AJ152" i="3"/>
  <c r="AI152" i="3"/>
  <c r="AH152" i="3"/>
  <c r="AG152" i="3"/>
  <c r="AF152" i="3"/>
  <c r="BE152" i="3" s="1"/>
  <c r="AE152" i="3"/>
  <c r="AD152" i="3"/>
  <c r="AC152" i="3"/>
  <c r="AB152" i="3"/>
  <c r="AA152" i="3"/>
  <c r="BD152" i="3" s="1"/>
  <c r="Z152" i="3"/>
  <c r="Y152" i="3"/>
  <c r="X152" i="3"/>
  <c r="BC152" i="3" s="1"/>
  <c r="T152" i="3"/>
  <c r="FH151" i="3"/>
  <c r="FF151" i="3"/>
  <c r="FE151" i="3"/>
  <c r="EY151" i="3"/>
  <c r="EV151" i="3"/>
  <c r="ET151" i="3"/>
  <c r="ER151" i="3"/>
  <c r="EP151" i="3"/>
  <c r="EO151" i="3"/>
  <c r="EL151" i="3"/>
  <c r="EI151" i="3"/>
  <c r="EH151" i="3"/>
  <c r="EG151" i="3"/>
  <c r="EF151" i="3"/>
  <c r="EC151" i="3"/>
  <c r="EA151" i="3"/>
  <c r="DY151" i="3"/>
  <c r="DT151" i="3"/>
  <c r="DS151" i="3"/>
  <c r="DR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W151" i="3"/>
  <c r="CV151" i="3"/>
  <c r="CU151" i="3"/>
  <c r="CS151" i="3"/>
  <c r="CP151" i="3"/>
  <c r="CO151" i="3"/>
  <c r="CM151" i="3"/>
  <c r="CK151" i="3"/>
  <c r="CJ151" i="3"/>
  <c r="CH151" i="3"/>
  <c r="CG151" i="3"/>
  <c r="CE151" i="3"/>
  <c r="CA151" i="3"/>
  <c r="BZ151" i="3"/>
  <c r="BX151" i="3"/>
  <c r="BV151" i="3"/>
  <c r="BU151" i="3"/>
  <c r="BS151" i="3"/>
  <c r="BR151" i="3"/>
  <c r="BL151" i="3"/>
  <c r="BI151" i="3"/>
  <c r="BG151" i="3"/>
  <c r="BF151" i="3"/>
  <c r="BB151" i="3"/>
  <c r="CY151" i="3" s="1"/>
  <c r="BA151" i="3"/>
  <c r="AZ151" i="3"/>
  <c r="AY151" i="3"/>
  <c r="DZ151" i="3" s="1"/>
  <c r="AX151" i="3"/>
  <c r="FD151" i="3" s="1"/>
  <c r="AW151" i="3"/>
  <c r="DX151" i="3" s="1"/>
  <c r="AV151" i="3"/>
  <c r="DW151" i="3" s="1"/>
  <c r="AU151" i="3"/>
  <c r="CR151" i="3" s="1"/>
  <c r="AT151" i="3"/>
  <c r="AS151" i="3"/>
  <c r="AR151" i="3"/>
  <c r="EX151" i="3" s="1"/>
  <c r="AQ151" i="3"/>
  <c r="BY151" i="3" s="1"/>
  <c r="AP151" i="3"/>
  <c r="DQ151" i="3" s="1"/>
  <c r="AO151" i="3"/>
  <c r="AN151" i="3"/>
  <c r="ED151" i="3" s="1"/>
  <c r="AL151" i="3"/>
  <c r="AK151" i="3"/>
  <c r="AJ151" i="3"/>
  <c r="AI151" i="3"/>
  <c r="AH151" i="3"/>
  <c r="AG151" i="3"/>
  <c r="AF151" i="3"/>
  <c r="BE151" i="3" s="1"/>
  <c r="AE151" i="3"/>
  <c r="AD151" i="3"/>
  <c r="AC151" i="3"/>
  <c r="BD151" i="3" s="1"/>
  <c r="AB151" i="3"/>
  <c r="AA151" i="3"/>
  <c r="Z151" i="3"/>
  <c r="Y151" i="3"/>
  <c r="X151" i="3"/>
  <c r="T151" i="3"/>
  <c r="FH150" i="3"/>
  <c r="FD150" i="3"/>
  <c r="FB150" i="3"/>
  <c r="FA150" i="3"/>
  <c r="EY150" i="3"/>
  <c r="EV150" i="3"/>
  <c r="ER150" i="3"/>
  <c r="EQ150" i="3"/>
  <c r="EO150" i="3"/>
  <c r="EL150" i="3"/>
  <c r="EJ150" i="3"/>
  <c r="EG150" i="3"/>
  <c r="EF150" i="3"/>
  <c r="EE150" i="3"/>
  <c r="EC150" i="3"/>
  <c r="DX150" i="3"/>
  <c r="DW150" i="3"/>
  <c r="DT150" i="3"/>
  <c r="DR150" i="3"/>
  <c r="DQ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V150" i="3"/>
  <c r="CU150" i="3"/>
  <c r="CS150" i="3"/>
  <c r="CP150" i="3"/>
  <c r="CN150" i="3"/>
  <c r="CJ150" i="3"/>
  <c r="CI150" i="3"/>
  <c r="CG150" i="3"/>
  <c r="CD150" i="3"/>
  <c r="CB150" i="3"/>
  <c r="BY150" i="3"/>
  <c r="BX150" i="3"/>
  <c r="BW150" i="3"/>
  <c r="BU150" i="3"/>
  <c r="BP150" i="3"/>
  <c r="BO150" i="3"/>
  <c r="BL150" i="3"/>
  <c r="BJ150" i="3"/>
  <c r="BI150" i="3"/>
  <c r="BD150" i="3"/>
  <c r="BB150" i="3"/>
  <c r="CY150" i="3" s="1"/>
  <c r="BA150" i="3"/>
  <c r="FG150" i="3" s="1"/>
  <c r="AZ150" i="3"/>
  <c r="FF150" i="3" s="1"/>
  <c r="AY150" i="3"/>
  <c r="FE150" i="3" s="1"/>
  <c r="AX150" i="3"/>
  <c r="EN150" i="3" s="1"/>
  <c r="AW150" i="3"/>
  <c r="AV150" i="3"/>
  <c r="AU150" i="3"/>
  <c r="DV150" i="3" s="1"/>
  <c r="AT150" i="3"/>
  <c r="DU150" i="3" s="1"/>
  <c r="AS150" i="3"/>
  <c r="EI150" i="3" s="1"/>
  <c r="AR150" i="3"/>
  <c r="AQ150" i="3"/>
  <c r="EW150" i="3" s="1"/>
  <c r="AP150" i="3"/>
  <c r="CM150" i="3" s="1"/>
  <c r="AO150" i="3"/>
  <c r="EU150" i="3" s="1"/>
  <c r="AN150" i="3"/>
  <c r="ET150" i="3" s="1"/>
  <c r="AL150" i="3"/>
  <c r="AK150" i="3"/>
  <c r="BF150" i="3" s="1"/>
  <c r="AJ150" i="3"/>
  <c r="AI150" i="3"/>
  <c r="AH150" i="3"/>
  <c r="AG150" i="3"/>
  <c r="AF150" i="3"/>
  <c r="BE150" i="3" s="1"/>
  <c r="AE150" i="3"/>
  <c r="AD150" i="3"/>
  <c r="AC150" i="3"/>
  <c r="AB150" i="3"/>
  <c r="AA150" i="3"/>
  <c r="Z150" i="3"/>
  <c r="Y150" i="3"/>
  <c r="X150" i="3"/>
  <c r="T150" i="3"/>
  <c r="FG149" i="3"/>
  <c r="FE149" i="3"/>
  <c r="FD149" i="3"/>
  <c r="FB149" i="3"/>
  <c r="EY149" i="3"/>
  <c r="EU149" i="3"/>
  <c r="ER149" i="3"/>
  <c r="EO149" i="3"/>
  <c r="EM149" i="3"/>
  <c r="EJ149" i="3"/>
  <c r="EI149" i="3"/>
  <c r="EH149" i="3"/>
  <c r="EF149" i="3"/>
  <c r="DZ149" i="3"/>
  <c r="DW149" i="3"/>
  <c r="DU149" i="3"/>
  <c r="DT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V149" i="3"/>
  <c r="CS149" i="3"/>
  <c r="CQ149" i="3"/>
  <c r="CM149" i="3"/>
  <c r="CL149" i="3"/>
  <c r="CJ149" i="3"/>
  <c r="CG149" i="3"/>
  <c r="CE149" i="3"/>
  <c r="CB149" i="3"/>
  <c r="CA149" i="3"/>
  <c r="BZ149" i="3"/>
  <c r="BX149" i="3"/>
  <c r="BS149" i="3"/>
  <c r="BR149" i="3"/>
  <c r="BO149" i="3"/>
  <c r="BM149" i="3"/>
  <c r="BL149" i="3"/>
  <c r="BC149" i="3"/>
  <c r="BB149" i="3"/>
  <c r="FH149" i="3" s="1"/>
  <c r="BA149" i="3"/>
  <c r="EQ149" i="3" s="1"/>
  <c r="AZ149" i="3"/>
  <c r="AY149" i="3"/>
  <c r="AX149" i="3"/>
  <c r="DY149" i="3" s="1"/>
  <c r="AW149" i="3"/>
  <c r="DX149" i="3" s="1"/>
  <c r="AV149" i="3"/>
  <c r="EL149" i="3" s="1"/>
  <c r="AU149" i="3"/>
  <c r="AT149" i="3"/>
  <c r="EZ149" i="3" s="1"/>
  <c r="AS149" i="3"/>
  <c r="CP149" i="3" s="1"/>
  <c r="AR149" i="3"/>
  <c r="EX149" i="3" s="1"/>
  <c r="AQ149" i="3"/>
  <c r="AP149" i="3"/>
  <c r="EV149" i="3" s="1"/>
  <c r="AO149" i="3"/>
  <c r="EE149" i="3" s="1"/>
  <c r="AN149" i="3"/>
  <c r="AL149" i="3"/>
  <c r="AK149" i="3"/>
  <c r="AJ149" i="3"/>
  <c r="AI149" i="3"/>
  <c r="BF149" i="3" s="1"/>
  <c r="AH149" i="3"/>
  <c r="AG149" i="3"/>
  <c r="AF149" i="3"/>
  <c r="BE149" i="3" s="1"/>
  <c r="AE149" i="3"/>
  <c r="AD149" i="3"/>
  <c r="AC149" i="3"/>
  <c r="AB149" i="3"/>
  <c r="BD149" i="3" s="1"/>
  <c r="AA149" i="3"/>
  <c r="Z149" i="3"/>
  <c r="Y149" i="3"/>
  <c r="X149" i="3"/>
  <c r="AM149" i="3" s="1"/>
  <c r="T149" i="3"/>
  <c r="FH148" i="3"/>
  <c r="FG148" i="3"/>
  <c r="FE148" i="3"/>
  <c r="FB148" i="3"/>
  <c r="EX148" i="3"/>
  <c r="EV148" i="3"/>
  <c r="EU148" i="3"/>
  <c r="ER148" i="3"/>
  <c r="EP148" i="3"/>
  <c r="EM148" i="3"/>
  <c r="EL148" i="3"/>
  <c r="EK148" i="3"/>
  <c r="EI148" i="3"/>
  <c r="EF148" i="3"/>
  <c r="ED148" i="3"/>
  <c r="EC148" i="3"/>
  <c r="DZ148" i="3"/>
  <c r="DX148" i="3"/>
  <c r="DW148" i="3"/>
  <c r="DR148" i="3"/>
  <c r="DQ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V148" i="3"/>
  <c r="CT148" i="3"/>
  <c r="CP148" i="3"/>
  <c r="CO148" i="3"/>
  <c r="CM148" i="3"/>
  <c r="CJ148" i="3"/>
  <c r="CH148" i="3"/>
  <c r="CE148" i="3"/>
  <c r="CD148" i="3"/>
  <c r="CC148" i="3"/>
  <c r="CA148" i="3"/>
  <c r="BX148" i="3"/>
  <c r="BV148" i="3"/>
  <c r="BU148" i="3"/>
  <c r="BR148" i="3"/>
  <c r="BP148" i="3"/>
  <c r="BO148" i="3"/>
  <c r="BJ148" i="3"/>
  <c r="BI148" i="3"/>
  <c r="BF148" i="3"/>
  <c r="BC148" i="3"/>
  <c r="BB148" i="3"/>
  <c r="BA148" i="3"/>
  <c r="EB148" i="3" s="1"/>
  <c r="AZ148" i="3"/>
  <c r="EA148" i="3" s="1"/>
  <c r="AY148" i="3"/>
  <c r="EO148" i="3" s="1"/>
  <c r="AX148" i="3"/>
  <c r="AW148" i="3"/>
  <c r="FC148" i="3" s="1"/>
  <c r="AV148" i="3"/>
  <c r="CS148" i="3" s="1"/>
  <c r="AU148" i="3"/>
  <c r="FA148" i="3" s="1"/>
  <c r="AT148" i="3"/>
  <c r="AS148" i="3"/>
  <c r="EY148" i="3" s="1"/>
  <c r="AR148" i="3"/>
  <c r="EH148" i="3" s="1"/>
  <c r="AQ148" i="3"/>
  <c r="AP148" i="3"/>
  <c r="AO148" i="3"/>
  <c r="DP148" i="3" s="1"/>
  <c r="AN148" i="3"/>
  <c r="DO148" i="3" s="1"/>
  <c r="AL148" i="3"/>
  <c r="AK148" i="3"/>
  <c r="AJ148" i="3"/>
  <c r="AI148" i="3"/>
  <c r="AH148" i="3"/>
  <c r="AG148" i="3"/>
  <c r="BE148" i="3" s="1"/>
  <c r="AF148" i="3"/>
  <c r="AE148" i="3"/>
  <c r="AD148" i="3"/>
  <c r="AC148" i="3"/>
  <c r="AB148" i="3"/>
  <c r="AA148" i="3"/>
  <c r="Z148" i="3"/>
  <c r="Y148" i="3"/>
  <c r="X148" i="3"/>
  <c r="T148" i="3"/>
  <c r="FH147" i="3"/>
  <c r="FF147" i="3"/>
  <c r="FE147" i="3"/>
  <c r="FA147" i="3"/>
  <c r="EY147" i="3"/>
  <c r="EX147" i="3"/>
  <c r="EV147" i="3"/>
  <c r="ET147" i="3"/>
  <c r="EP147" i="3"/>
  <c r="EO147" i="3"/>
  <c r="EN147" i="3"/>
  <c r="EI147" i="3"/>
  <c r="EG147" i="3"/>
  <c r="ED147" i="3"/>
  <c r="EC147" i="3"/>
  <c r="EA147" i="3"/>
  <c r="DZ147" i="3"/>
  <c r="DT147" i="3"/>
  <c r="DQ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W147" i="3"/>
  <c r="CR147" i="3"/>
  <c r="CP147" i="3"/>
  <c r="CM147" i="3"/>
  <c r="CK147" i="3"/>
  <c r="CH147" i="3"/>
  <c r="CG147" i="3"/>
  <c r="CF147" i="3"/>
  <c r="CA147" i="3"/>
  <c r="BY147" i="3"/>
  <c r="BV147" i="3"/>
  <c r="BU147" i="3"/>
  <c r="BS147" i="3"/>
  <c r="BR147" i="3"/>
  <c r="BM147" i="3"/>
  <c r="BL147" i="3"/>
  <c r="BI147" i="3"/>
  <c r="BH147" i="3"/>
  <c r="BG147" i="3"/>
  <c r="BF147" i="3"/>
  <c r="BB147" i="3"/>
  <c r="ER147" i="3" s="1"/>
  <c r="BA147" i="3"/>
  <c r="BT147" i="3" s="1"/>
  <c r="AZ147" i="3"/>
  <c r="AY147" i="3"/>
  <c r="CV147" i="3" s="1"/>
  <c r="AX147" i="3"/>
  <c r="FD147" i="3" s="1"/>
  <c r="AW147" i="3"/>
  <c r="AV147" i="3"/>
  <c r="EL147" i="3" s="1"/>
  <c r="AU147" i="3"/>
  <c r="EK147" i="3" s="1"/>
  <c r="AT147" i="3"/>
  <c r="AS147" i="3"/>
  <c r="AR147" i="3"/>
  <c r="DS147" i="3" s="1"/>
  <c r="AQ147" i="3"/>
  <c r="DR147" i="3" s="1"/>
  <c r="AP147" i="3"/>
  <c r="EF147" i="3" s="1"/>
  <c r="AO147" i="3"/>
  <c r="AN147" i="3"/>
  <c r="AL147" i="3"/>
  <c r="AK147" i="3"/>
  <c r="AJ147" i="3"/>
  <c r="AI147" i="3"/>
  <c r="AH147" i="3"/>
  <c r="AG147" i="3"/>
  <c r="AF147" i="3"/>
  <c r="BE147" i="3" s="1"/>
  <c r="AE147" i="3"/>
  <c r="AD147" i="3"/>
  <c r="AC147" i="3"/>
  <c r="BD147" i="3" s="1"/>
  <c r="AB147" i="3"/>
  <c r="AA147" i="3"/>
  <c r="Z147" i="3"/>
  <c r="Y147" i="3"/>
  <c r="X147" i="3"/>
  <c r="T147" i="3"/>
  <c r="FH146" i="3"/>
  <c r="FD146" i="3"/>
  <c r="FB146" i="3"/>
  <c r="FA146" i="3"/>
  <c r="EY146" i="3"/>
  <c r="EW146" i="3"/>
  <c r="EV146" i="3"/>
  <c r="ER146" i="3"/>
  <c r="EQ146" i="3"/>
  <c r="EO146" i="3"/>
  <c r="EL146" i="3"/>
  <c r="EJ146" i="3"/>
  <c r="EG146" i="3"/>
  <c r="EF146" i="3"/>
  <c r="EE146" i="3"/>
  <c r="EC146" i="3"/>
  <c r="DW146" i="3"/>
  <c r="DT146" i="3"/>
  <c r="DS146" i="3"/>
  <c r="DR146" i="3"/>
  <c r="DQ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U146" i="3"/>
  <c r="CS146" i="3"/>
  <c r="CP146" i="3"/>
  <c r="CN146" i="3"/>
  <c r="CJ146" i="3"/>
  <c r="CI146" i="3"/>
  <c r="CD146" i="3"/>
  <c r="CB146" i="3"/>
  <c r="BY146" i="3"/>
  <c r="BX146" i="3"/>
  <c r="BW146" i="3"/>
  <c r="BU146" i="3"/>
  <c r="BO146" i="3"/>
  <c r="BL146" i="3"/>
  <c r="BK146" i="3"/>
  <c r="BJ146" i="3"/>
  <c r="BI146" i="3"/>
  <c r="BD146" i="3"/>
  <c r="BB146" i="3"/>
  <c r="CY146" i="3" s="1"/>
  <c r="BA146" i="3"/>
  <c r="FG146" i="3" s="1"/>
  <c r="AZ146" i="3"/>
  <c r="AY146" i="3"/>
  <c r="AX146" i="3"/>
  <c r="EN146" i="3" s="1"/>
  <c r="AW146" i="3"/>
  <c r="DX146" i="3" s="1"/>
  <c r="AV146" i="3"/>
  <c r="AU146" i="3"/>
  <c r="DV146" i="3" s="1"/>
  <c r="AT146" i="3"/>
  <c r="DU146" i="3" s="1"/>
  <c r="AS146" i="3"/>
  <c r="EI146" i="3" s="1"/>
  <c r="AR146" i="3"/>
  <c r="AQ146" i="3"/>
  <c r="AP146" i="3"/>
  <c r="CM146" i="3" s="1"/>
  <c r="AO146" i="3"/>
  <c r="EU146" i="3" s="1"/>
  <c r="AN146" i="3"/>
  <c r="AL146" i="3"/>
  <c r="AK146" i="3"/>
  <c r="BF146" i="3" s="1"/>
  <c r="AJ146" i="3"/>
  <c r="AI146" i="3"/>
  <c r="AH146" i="3"/>
  <c r="AG146" i="3"/>
  <c r="AF146" i="3"/>
  <c r="BE146" i="3" s="1"/>
  <c r="AE146" i="3"/>
  <c r="AD146" i="3"/>
  <c r="AC146" i="3"/>
  <c r="AB146" i="3"/>
  <c r="AA146" i="3"/>
  <c r="AM146" i="3" s="1"/>
  <c r="Z146" i="3"/>
  <c r="Y146" i="3"/>
  <c r="BC146" i="3" s="1"/>
  <c r="X146" i="3"/>
  <c r="T146" i="3"/>
  <c r="FG145" i="3"/>
  <c r="FE145" i="3"/>
  <c r="FD145" i="3"/>
  <c r="FB145" i="3"/>
  <c r="EZ145" i="3"/>
  <c r="EY145" i="3"/>
  <c r="EU145" i="3"/>
  <c r="ER145" i="3"/>
  <c r="EO145" i="3"/>
  <c r="EJ145" i="3"/>
  <c r="EI145" i="3"/>
  <c r="EH145" i="3"/>
  <c r="DZ145" i="3"/>
  <c r="DW145" i="3"/>
  <c r="DV145" i="3"/>
  <c r="DU145" i="3"/>
  <c r="DT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V145" i="3"/>
  <c r="CS145" i="3"/>
  <c r="CQ145" i="3"/>
  <c r="CM145" i="3"/>
  <c r="CL145" i="3"/>
  <c r="CJ145" i="3"/>
  <c r="CG145" i="3"/>
  <c r="CB145" i="3"/>
  <c r="CA145" i="3"/>
  <c r="BZ145" i="3"/>
  <c r="BX145" i="3"/>
  <c r="BR145" i="3"/>
  <c r="BO145" i="3"/>
  <c r="BN145" i="3"/>
  <c r="BM145" i="3"/>
  <c r="BL145" i="3"/>
  <c r="BB145" i="3"/>
  <c r="BA145" i="3"/>
  <c r="EQ145" i="3" s="1"/>
  <c r="AZ145" i="3"/>
  <c r="EA145" i="3" s="1"/>
  <c r="AY145" i="3"/>
  <c r="AX145" i="3"/>
  <c r="DY145" i="3" s="1"/>
  <c r="AW145" i="3"/>
  <c r="AV145" i="3"/>
  <c r="EL145" i="3" s="1"/>
  <c r="AU145" i="3"/>
  <c r="AT145" i="3"/>
  <c r="AS145" i="3"/>
  <c r="CP145" i="3" s="1"/>
  <c r="AR145" i="3"/>
  <c r="EX145" i="3" s="1"/>
  <c r="AQ145" i="3"/>
  <c r="AP145" i="3"/>
  <c r="EF145" i="3" s="1"/>
  <c r="AO145" i="3"/>
  <c r="AN145" i="3"/>
  <c r="AL145" i="3"/>
  <c r="AK145" i="3"/>
  <c r="AJ145" i="3"/>
  <c r="AI145" i="3"/>
  <c r="BF145" i="3" s="1"/>
  <c r="AH145" i="3"/>
  <c r="AG145" i="3"/>
  <c r="AF145" i="3"/>
  <c r="BE145" i="3" s="1"/>
  <c r="AE145" i="3"/>
  <c r="AD145" i="3"/>
  <c r="AC145" i="3"/>
  <c r="AB145" i="3"/>
  <c r="AA145" i="3"/>
  <c r="Z145" i="3"/>
  <c r="Y145" i="3"/>
  <c r="BC145" i="3" s="1"/>
  <c r="X145" i="3"/>
  <c r="AM145" i="3" s="1"/>
  <c r="T145" i="3"/>
  <c r="FH144" i="3"/>
  <c r="FG144" i="3"/>
  <c r="FE144" i="3"/>
  <c r="FC144" i="3"/>
  <c r="FB144" i="3"/>
  <c r="EV144" i="3"/>
  <c r="EU144" i="3"/>
  <c r="ER144" i="3"/>
  <c r="EM144" i="3"/>
  <c r="EL144" i="3"/>
  <c r="EK144" i="3"/>
  <c r="EI144" i="3"/>
  <c r="EF144" i="3"/>
  <c r="EC144" i="3"/>
  <c r="DZ144" i="3"/>
  <c r="DY144" i="3"/>
  <c r="DX144" i="3"/>
  <c r="DW144" i="3"/>
  <c r="DQ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V144" i="3"/>
  <c r="CT144" i="3"/>
  <c r="CP144" i="3"/>
  <c r="CM144" i="3"/>
  <c r="CJ144" i="3"/>
  <c r="CE144" i="3"/>
  <c r="CD144" i="3"/>
  <c r="CC144" i="3"/>
  <c r="BX144" i="3"/>
  <c r="BV144" i="3"/>
  <c r="BU144" i="3"/>
  <c r="BR144" i="3"/>
  <c r="BQ144" i="3"/>
  <c r="BP144" i="3"/>
  <c r="BO144" i="3"/>
  <c r="BI144" i="3"/>
  <c r="BF144" i="3"/>
  <c r="BC144" i="3"/>
  <c r="BB144" i="3"/>
  <c r="BA144" i="3"/>
  <c r="EB144" i="3" s="1"/>
  <c r="AZ144" i="3"/>
  <c r="CH144" i="3" s="1"/>
  <c r="AY144" i="3"/>
  <c r="EO144" i="3" s="1"/>
  <c r="AX144" i="3"/>
  <c r="FD144" i="3" s="1"/>
  <c r="AW144" i="3"/>
  <c r="AV144" i="3"/>
  <c r="CS144" i="3" s="1"/>
  <c r="AU144" i="3"/>
  <c r="FA144" i="3" s="1"/>
  <c r="AT144" i="3"/>
  <c r="AS144" i="3"/>
  <c r="EY144" i="3" s="1"/>
  <c r="AR144" i="3"/>
  <c r="AQ144" i="3"/>
  <c r="AP144" i="3"/>
  <c r="AO144" i="3"/>
  <c r="DP144" i="3" s="1"/>
  <c r="AN144" i="3"/>
  <c r="ED144" i="3" s="1"/>
  <c r="AL144" i="3"/>
  <c r="AK144" i="3"/>
  <c r="AJ144" i="3"/>
  <c r="AI144" i="3"/>
  <c r="AH144" i="3"/>
  <c r="AG144" i="3"/>
  <c r="AF144" i="3"/>
  <c r="BE144" i="3" s="1"/>
  <c r="AE144" i="3"/>
  <c r="BD144" i="3" s="1"/>
  <c r="AD144" i="3"/>
  <c r="AC144" i="3"/>
  <c r="AB144" i="3"/>
  <c r="AA144" i="3"/>
  <c r="Z144" i="3"/>
  <c r="Y144" i="3"/>
  <c r="X144" i="3"/>
  <c r="T144" i="3"/>
  <c r="FH143" i="3"/>
  <c r="FG143" i="3"/>
  <c r="FF143" i="3"/>
  <c r="FE143" i="3"/>
  <c r="EY143" i="3"/>
  <c r="EV143" i="3"/>
  <c r="ET143" i="3"/>
  <c r="EP143" i="3"/>
  <c r="EO143" i="3"/>
  <c r="EN143" i="3"/>
  <c r="EL143" i="3"/>
  <c r="EI143" i="3"/>
  <c r="ED143" i="3"/>
  <c r="EC143" i="3"/>
  <c r="EA143" i="3"/>
  <c r="DZ143" i="3"/>
  <c r="DW143" i="3"/>
  <c r="DU143" i="3"/>
  <c r="DT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W143" i="3"/>
  <c r="CS143" i="3"/>
  <c r="CQ143" i="3"/>
  <c r="CP143" i="3"/>
  <c r="CM143" i="3"/>
  <c r="CK143" i="3"/>
  <c r="CH143" i="3"/>
  <c r="CG143" i="3"/>
  <c r="CF143" i="3"/>
  <c r="CE143" i="3"/>
  <c r="CD143" i="3"/>
  <c r="CA143" i="3"/>
  <c r="BY143" i="3"/>
  <c r="BV143" i="3"/>
  <c r="BU143" i="3"/>
  <c r="BS143" i="3"/>
  <c r="BR143" i="3"/>
  <c r="BO143" i="3"/>
  <c r="BL143" i="3"/>
  <c r="BI143" i="3"/>
  <c r="BG143" i="3"/>
  <c r="BF143" i="3"/>
  <c r="BC143" i="3"/>
  <c r="BB143" i="3"/>
  <c r="ER143" i="3" s="1"/>
  <c r="BA143" i="3"/>
  <c r="EB143" i="3" s="1"/>
  <c r="AZ143" i="3"/>
  <c r="AY143" i="3"/>
  <c r="CV143" i="3" s="1"/>
  <c r="AX143" i="3"/>
  <c r="FD143" i="3" s="1"/>
  <c r="AW143" i="3"/>
  <c r="AV143" i="3"/>
  <c r="FB143" i="3" s="1"/>
  <c r="AU143" i="3"/>
  <c r="CR143" i="3" s="1"/>
  <c r="AT143" i="3"/>
  <c r="AS143" i="3"/>
  <c r="AR143" i="3"/>
  <c r="AQ143" i="3"/>
  <c r="AP143" i="3"/>
  <c r="EF143" i="3" s="1"/>
  <c r="AO143" i="3"/>
  <c r="EU143" i="3" s="1"/>
  <c r="AN143" i="3"/>
  <c r="AL143" i="3"/>
  <c r="AK143" i="3"/>
  <c r="AJ143" i="3"/>
  <c r="AI143" i="3"/>
  <c r="AH143" i="3"/>
  <c r="AG143" i="3"/>
  <c r="AF143" i="3"/>
  <c r="AE143" i="3"/>
  <c r="AD143" i="3"/>
  <c r="AC143" i="3"/>
  <c r="BD143" i="3" s="1"/>
  <c r="AB143" i="3"/>
  <c r="AA143" i="3"/>
  <c r="Z143" i="3"/>
  <c r="Y143" i="3"/>
  <c r="X143" i="3"/>
  <c r="T143" i="3"/>
  <c r="FH142" i="3"/>
  <c r="FD142" i="3"/>
  <c r="FB142" i="3"/>
  <c r="EY142" i="3"/>
  <c r="EW142" i="3"/>
  <c r="EV142" i="3"/>
  <c r="ER142" i="3"/>
  <c r="EQ142" i="3"/>
  <c r="EO142" i="3"/>
  <c r="EM142" i="3"/>
  <c r="EL142" i="3"/>
  <c r="EG142" i="3"/>
  <c r="EF142" i="3"/>
  <c r="EE142" i="3"/>
  <c r="EC142" i="3"/>
  <c r="DZ142" i="3"/>
  <c r="DW142" i="3"/>
  <c r="DT142" i="3"/>
  <c r="DR142" i="3"/>
  <c r="DQ142" i="3"/>
  <c r="DN142" i="3"/>
  <c r="DM142" i="3"/>
  <c r="DL142" i="3"/>
  <c r="DK142" i="3"/>
  <c r="DJ142" i="3"/>
  <c r="DI142" i="3"/>
  <c r="DH142" i="3"/>
  <c r="DG142" i="3"/>
  <c r="DF142" i="3"/>
  <c r="DE142" i="3"/>
  <c r="DD142" i="3"/>
  <c r="DC142" i="3"/>
  <c r="DB142" i="3"/>
  <c r="DA142" i="3"/>
  <c r="CZ142" i="3"/>
  <c r="CV142" i="3"/>
  <c r="CU142" i="3"/>
  <c r="CS142" i="3"/>
  <c r="CP142" i="3"/>
  <c r="CN142" i="3"/>
  <c r="CJ142" i="3"/>
  <c r="CD142" i="3"/>
  <c r="CB142" i="3"/>
  <c r="BY142" i="3"/>
  <c r="BX142" i="3"/>
  <c r="BW142" i="3"/>
  <c r="BU142" i="3"/>
  <c r="BP142" i="3"/>
  <c r="BO142" i="3"/>
  <c r="BM142" i="3"/>
  <c r="BL142" i="3"/>
  <c r="BK142" i="3"/>
  <c r="BJ142" i="3"/>
  <c r="BI142" i="3"/>
  <c r="BB142" i="3"/>
  <c r="CY142" i="3" s="1"/>
  <c r="BA142" i="3"/>
  <c r="AZ142" i="3"/>
  <c r="FF142" i="3" s="1"/>
  <c r="AY142" i="3"/>
  <c r="FE142" i="3" s="1"/>
  <c r="AX142" i="3"/>
  <c r="AW142" i="3"/>
  <c r="FC142" i="3" s="1"/>
  <c r="AV142" i="3"/>
  <c r="AU142" i="3"/>
  <c r="AT142" i="3"/>
  <c r="EJ142" i="3" s="1"/>
  <c r="AS142" i="3"/>
  <c r="EI142" i="3" s="1"/>
  <c r="AR142" i="3"/>
  <c r="EX142" i="3" s="1"/>
  <c r="AQ142" i="3"/>
  <c r="AP142" i="3"/>
  <c r="CM142" i="3" s="1"/>
  <c r="AO142" i="3"/>
  <c r="AN142" i="3"/>
  <c r="ET142" i="3" s="1"/>
  <c r="AL142" i="3"/>
  <c r="AK142" i="3"/>
  <c r="AJ142" i="3"/>
  <c r="AI142" i="3"/>
  <c r="BF142" i="3" s="1"/>
  <c r="AH142" i="3"/>
  <c r="AG142" i="3"/>
  <c r="AF142" i="3"/>
  <c r="BE142" i="3" s="1"/>
  <c r="AE142" i="3"/>
  <c r="AD142" i="3"/>
  <c r="AC142" i="3"/>
  <c r="AB142" i="3"/>
  <c r="AA142" i="3"/>
  <c r="BD142" i="3" s="1"/>
  <c r="Z142" i="3"/>
  <c r="Y142" i="3"/>
  <c r="BC142" i="3" s="1"/>
  <c r="X142" i="3"/>
  <c r="T142" i="3"/>
  <c r="FE141" i="3"/>
  <c r="FB141" i="3"/>
  <c r="EZ141" i="3"/>
  <c r="ET141" i="3"/>
  <c r="EO141" i="3"/>
  <c r="EJ141" i="3"/>
  <c r="EH141" i="3"/>
  <c r="EG141" i="3"/>
  <c r="DZ141" i="3"/>
  <c r="DW141" i="3"/>
  <c r="DU141" i="3"/>
  <c r="DR141" i="3"/>
  <c r="DQ141" i="3"/>
  <c r="DN141" i="3"/>
  <c r="DM141" i="3"/>
  <c r="DL141" i="3"/>
  <c r="DK141" i="3"/>
  <c r="DJ141" i="3"/>
  <c r="DI141" i="3"/>
  <c r="DH141" i="3"/>
  <c r="DG141" i="3"/>
  <c r="DF141" i="3"/>
  <c r="DE141" i="3"/>
  <c r="DD141" i="3"/>
  <c r="DC141" i="3"/>
  <c r="DB141" i="3"/>
  <c r="DA141" i="3"/>
  <c r="CZ141" i="3"/>
  <c r="CW141" i="3"/>
  <c r="CV141" i="3"/>
  <c r="CT141" i="3"/>
  <c r="CS141" i="3"/>
  <c r="CQ141" i="3"/>
  <c r="CN141" i="3"/>
  <c r="CK141" i="3"/>
  <c r="CG141" i="3"/>
  <c r="CE141" i="3"/>
  <c r="CB141" i="3"/>
  <c r="BZ141" i="3"/>
  <c r="BY141" i="3"/>
  <c r="BX141" i="3"/>
  <c r="BS141" i="3"/>
  <c r="BR141" i="3"/>
  <c r="BO141" i="3"/>
  <c r="BN141" i="3"/>
  <c r="BM141" i="3"/>
  <c r="BJ141" i="3"/>
  <c r="BI141" i="3"/>
  <c r="BG141" i="3"/>
  <c r="BB141" i="3"/>
  <c r="BU141" i="3" s="1"/>
  <c r="BA141" i="3"/>
  <c r="FG141" i="3" s="1"/>
  <c r="AZ141" i="3"/>
  <c r="EA141" i="3" s="1"/>
  <c r="AY141" i="3"/>
  <c r="AX141" i="3"/>
  <c r="FD141" i="3" s="1"/>
  <c r="AW141" i="3"/>
  <c r="FC141" i="3" s="1"/>
  <c r="AV141" i="3"/>
  <c r="EL141" i="3" s="1"/>
  <c r="AU141" i="3"/>
  <c r="AT141" i="3"/>
  <c r="AS141" i="3"/>
  <c r="EY141" i="3" s="1"/>
  <c r="AR141" i="3"/>
  <c r="AQ141" i="3"/>
  <c r="EW141" i="3" s="1"/>
  <c r="AP141" i="3"/>
  <c r="EV141" i="3" s="1"/>
  <c r="AO141" i="3"/>
  <c r="AN141" i="3"/>
  <c r="DO141" i="3" s="1"/>
  <c r="AL141" i="3"/>
  <c r="AK141" i="3"/>
  <c r="AJ141" i="3"/>
  <c r="AI141" i="3"/>
  <c r="AH141" i="3"/>
  <c r="AG141" i="3"/>
  <c r="AF141" i="3"/>
  <c r="BE141" i="3" s="1"/>
  <c r="AE141" i="3"/>
  <c r="AD141" i="3"/>
  <c r="AC141" i="3"/>
  <c r="AB141" i="3"/>
  <c r="BD141" i="3" s="1"/>
  <c r="AA141" i="3"/>
  <c r="Z141" i="3"/>
  <c r="Y141" i="3"/>
  <c r="BC141" i="3" s="1"/>
  <c r="X141" i="3"/>
  <c r="T141" i="3"/>
  <c r="FH140" i="3"/>
  <c r="FE140" i="3"/>
  <c r="FD140" i="3"/>
  <c r="FC140" i="3"/>
  <c r="FB140" i="3"/>
  <c r="EY140" i="3"/>
  <c r="EW140" i="3"/>
  <c r="EV140" i="3"/>
  <c r="ER140" i="3"/>
  <c r="EN140" i="3"/>
  <c r="EM140" i="3"/>
  <c r="EL140" i="3"/>
  <c r="EJ140" i="3"/>
  <c r="EI140" i="3"/>
  <c r="EG140" i="3"/>
  <c r="EF140" i="3"/>
  <c r="EC140" i="3"/>
  <c r="DZ140" i="3"/>
  <c r="DX140" i="3"/>
  <c r="DU140" i="3"/>
  <c r="DT140" i="3"/>
  <c r="DR140" i="3"/>
  <c r="DQ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W140" i="3"/>
  <c r="CV140" i="3"/>
  <c r="CT140" i="3"/>
  <c r="CR140" i="3"/>
  <c r="CQ140" i="3"/>
  <c r="CP140" i="3"/>
  <c r="CM140" i="3"/>
  <c r="CJ140" i="3"/>
  <c r="CF140" i="3"/>
  <c r="CE140" i="3"/>
  <c r="CD140" i="3"/>
  <c r="CC140" i="3"/>
  <c r="CB140" i="3"/>
  <c r="CA140" i="3"/>
  <c r="BX140" i="3"/>
  <c r="BU140" i="3"/>
  <c r="BR140" i="3"/>
  <c r="BQ140" i="3"/>
  <c r="BP140" i="3"/>
  <c r="BO140" i="3"/>
  <c r="BM140" i="3"/>
  <c r="BL140" i="3"/>
  <c r="BI140" i="3"/>
  <c r="BB140" i="3"/>
  <c r="BA140" i="3"/>
  <c r="AZ140" i="3"/>
  <c r="FF140" i="3" s="1"/>
  <c r="AY140" i="3"/>
  <c r="EO140" i="3" s="1"/>
  <c r="AX140" i="3"/>
  <c r="CU140" i="3" s="1"/>
  <c r="AW140" i="3"/>
  <c r="AV140" i="3"/>
  <c r="CS140" i="3" s="1"/>
  <c r="AU140" i="3"/>
  <c r="EK140" i="3" s="1"/>
  <c r="AT140" i="3"/>
  <c r="EZ140" i="3" s="1"/>
  <c r="AS140" i="3"/>
  <c r="AR140" i="3"/>
  <c r="EX140" i="3" s="1"/>
  <c r="AQ140" i="3"/>
  <c r="BY140" i="3" s="1"/>
  <c r="AP140" i="3"/>
  <c r="AO140" i="3"/>
  <c r="AN140" i="3"/>
  <c r="ET140" i="3" s="1"/>
  <c r="AL140" i="3"/>
  <c r="AK140" i="3"/>
  <c r="AJ140" i="3"/>
  <c r="AI140" i="3"/>
  <c r="BF140" i="3" s="1"/>
  <c r="AH140" i="3"/>
  <c r="AG140" i="3"/>
  <c r="AF140" i="3"/>
  <c r="BE140" i="3" s="1"/>
  <c r="AE140" i="3"/>
  <c r="BD140" i="3" s="1"/>
  <c r="AD140" i="3"/>
  <c r="AC140" i="3"/>
  <c r="AB140" i="3"/>
  <c r="AA140" i="3"/>
  <c r="Z140" i="3"/>
  <c r="BC140" i="3" s="1"/>
  <c r="Y140" i="3"/>
  <c r="X140" i="3"/>
  <c r="T140" i="3"/>
  <c r="FF139" i="3"/>
  <c r="FC139" i="3"/>
  <c r="EY139" i="3"/>
  <c r="EX139" i="3"/>
  <c r="EU139" i="3"/>
  <c r="ET139" i="3"/>
  <c r="EP139" i="3"/>
  <c r="EO139" i="3"/>
  <c r="EL139" i="3"/>
  <c r="EI139" i="3"/>
  <c r="ED139" i="3"/>
  <c r="EC139" i="3"/>
  <c r="EA139" i="3"/>
  <c r="DW139" i="3"/>
  <c r="DU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W139" i="3"/>
  <c r="CS139" i="3"/>
  <c r="CQ139" i="3"/>
  <c r="CP139" i="3"/>
  <c r="CM139" i="3"/>
  <c r="CK139" i="3"/>
  <c r="CH139" i="3"/>
  <c r="CE139" i="3"/>
  <c r="CD139" i="3"/>
  <c r="CB139" i="3"/>
  <c r="CA139" i="3"/>
  <c r="BZ139" i="3"/>
  <c r="BY139" i="3"/>
  <c r="BV139" i="3"/>
  <c r="BU139" i="3"/>
  <c r="BS139" i="3"/>
  <c r="BP139" i="3"/>
  <c r="BO139" i="3"/>
  <c r="BN139" i="3"/>
  <c r="BM139" i="3"/>
  <c r="BL139" i="3"/>
  <c r="BK139" i="3"/>
  <c r="BG139" i="3"/>
  <c r="BB139" i="3"/>
  <c r="BA139" i="3"/>
  <c r="CX139" i="3" s="1"/>
  <c r="AZ139" i="3"/>
  <c r="AY139" i="3"/>
  <c r="CV139" i="3" s="1"/>
  <c r="AX139" i="3"/>
  <c r="AW139" i="3"/>
  <c r="EM139" i="3" s="1"/>
  <c r="AV139" i="3"/>
  <c r="FB139" i="3" s="1"/>
  <c r="AU139" i="3"/>
  <c r="DV139" i="3" s="1"/>
  <c r="AT139" i="3"/>
  <c r="EZ139" i="3" s="1"/>
  <c r="AS139" i="3"/>
  <c r="DT139" i="3" s="1"/>
  <c r="AR139" i="3"/>
  <c r="CO139" i="3" s="1"/>
  <c r="AQ139" i="3"/>
  <c r="EW139" i="3" s="1"/>
  <c r="AP139" i="3"/>
  <c r="AO139" i="3"/>
  <c r="CL139" i="3" s="1"/>
  <c r="AN139" i="3"/>
  <c r="AL139" i="3"/>
  <c r="BF139" i="3" s="1"/>
  <c r="AK139" i="3"/>
  <c r="AJ139" i="3"/>
  <c r="AI139" i="3"/>
  <c r="AH139" i="3"/>
  <c r="AG139" i="3"/>
  <c r="AF139" i="3"/>
  <c r="AE139" i="3"/>
  <c r="AD139" i="3"/>
  <c r="AC139" i="3"/>
  <c r="AB139" i="3"/>
  <c r="AA139" i="3"/>
  <c r="BD139" i="3" s="1"/>
  <c r="Z139" i="3"/>
  <c r="Y139" i="3"/>
  <c r="X139" i="3"/>
  <c r="T139" i="3"/>
  <c r="FD138" i="3"/>
  <c r="FB138" i="3"/>
  <c r="FA138" i="3"/>
  <c r="EW138" i="3"/>
  <c r="EQ138" i="3"/>
  <c r="EP138" i="3"/>
  <c r="EL138" i="3"/>
  <c r="EK138" i="3"/>
  <c r="EG138" i="3"/>
  <c r="EE138" i="3"/>
  <c r="EA138" i="3"/>
  <c r="DV138" i="3"/>
  <c r="DS138" i="3"/>
  <c r="DR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S138" i="3"/>
  <c r="CP138" i="3"/>
  <c r="CN138" i="3"/>
  <c r="CL138" i="3"/>
  <c r="CI138" i="3"/>
  <c r="CD138" i="3"/>
  <c r="CC138" i="3"/>
  <c r="CB138" i="3"/>
  <c r="BY138" i="3"/>
  <c r="BX138" i="3"/>
  <c r="BO138" i="3"/>
  <c r="BN138" i="3"/>
  <c r="BM138" i="3"/>
  <c r="BL138" i="3"/>
  <c r="BK138" i="3"/>
  <c r="BJ138" i="3"/>
  <c r="BB138" i="3"/>
  <c r="CY138" i="3" s="1"/>
  <c r="BA138" i="3"/>
  <c r="AZ138" i="3"/>
  <c r="CW138" i="3" s="1"/>
  <c r="AY138" i="3"/>
  <c r="EO138" i="3" s="1"/>
  <c r="AX138" i="3"/>
  <c r="AW138" i="3"/>
  <c r="AV138" i="3"/>
  <c r="DW138" i="3" s="1"/>
  <c r="AU138" i="3"/>
  <c r="CR138" i="3" s="1"/>
  <c r="AT138" i="3"/>
  <c r="EZ138" i="3" s="1"/>
  <c r="AS138" i="3"/>
  <c r="DT138" i="3" s="1"/>
  <c r="AR138" i="3"/>
  <c r="EX138" i="3" s="1"/>
  <c r="AQ138" i="3"/>
  <c r="AP138" i="3"/>
  <c r="CM138" i="3" s="1"/>
  <c r="AO138" i="3"/>
  <c r="AN138" i="3"/>
  <c r="CK138" i="3" s="1"/>
  <c r="AL138" i="3"/>
  <c r="AK138" i="3"/>
  <c r="BF138" i="3" s="1"/>
  <c r="AJ138" i="3"/>
  <c r="AI138" i="3"/>
  <c r="AH138" i="3"/>
  <c r="AG138" i="3"/>
  <c r="AF138" i="3"/>
  <c r="BE138" i="3" s="1"/>
  <c r="AE138" i="3"/>
  <c r="AD138" i="3"/>
  <c r="AC138" i="3"/>
  <c r="AB138" i="3"/>
  <c r="AA138" i="3"/>
  <c r="BD138" i="3" s="1"/>
  <c r="Z138" i="3"/>
  <c r="Y138" i="3"/>
  <c r="X138" i="3"/>
  <c r="T138" i="3"/>
  <c r="FH137" i="3"/>
  <c r="FD137" i="3"/>
  <c r="EV137" i="3"/>
  <c r="ER137" i="3"/>
  <c r="EP137" i="3"/>
  <c r="EL137" i="3"/>
  <c r="EK137" i="3"/>
  <c r="EI137" i="3"/>
  <c r="EG137" i="3"/>
  <c r="EF137" i="3"/>
  <c r="ED137" i="3"/>
  <c r="EC137" i="3"/>
  <c r="DY137" i="3"/>
  <c r="DV137" i="3"/>
  <c r="DR137" i="3"/>
  <c r="DQ137" i="3"/>
  <c r="DP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W137" i="3"/>
  <c r="CS137" i="3"/>
  <c r="CR137" i="3"/>
  <c r="CQ137" i="3"/>
  <c r="CN137" i="3"/>
  <c r="CM137" i="3"/>
  <c r="CL137" i="3"/>
  <c r="CJ137" i="3"/>
  <c r="CF137" i="3"/>
  <c r="CD137" i="3"/>
  <c r="BY137" i="3"/>
  <c r="BX137" i="3"/>
  <c r="BV137" i="3"/>
  <c r="BU137" i="3"/>
  <c r="BT137" i="3"/>
  <c r="BS137" i="3"/>
  <c r="BQ137" i="3"/>
  <c r="BL137" i="3"/>
  <c r="BJ137" i="3"/>
  <c r="BI137" i="3"/>
  <c r="BD137" i="3"/>
  <c r="BB137" i="3"/>
  <c r="BA137" i="3"/>
  <c r="CX137" i="3" s="1"/>
  <c r="AZ137" i="3"/>
  <c r="EA137" i="3" s="1"/>
  <c r="AY137" i="3"/>
  <c r="EO137" i="3" s="1"/>
  <c r="AX137" i="3"/>
  <c r="CU137" i="3" s="1"/>
  <c r="AW137" i="3"/>
  <c r="FC137" i="3" s="1"/>
  <c r="AV137" i="3"/>
  <c r="FB137" i="3" s="1"/>
  <c r="AU137" i="3"/>
  <c r="CC137" i="3" s="1"/>
  <c r="AT137" i="3"/>
  <c r="CB137" i="3" s="1"/>
  <c r="AS137" i="3"/>
  <c r="CP137" i="3" s="1"/>
  <c r="AR137" i="3"/>
  <c r="AQ137" i="3"/>
  <c r="EW137" i="3" s="1"/>
  <c r="AP137" i="3"/>
  <c r="AO137" i="3"/>
  <c r="EU137" i="3" s="1"/>
  <c r="AN137" i="3"/>
  <c r="DO137" i="3" s="1"/>
  <c r="AL137" i="3"/>
  <c r="AK137" i="3"/>
  <c r="BF137" i="3" s="1"/>
  <c r="AJ137" i="3"/>
  <c r="AI137" i="3"/>
  <c r="AH137" i="3"/>
  <c r="AG137" i="3"/>
  <c r="AF137" i="3"/>
  <c r="BE137" i="3" s="1"/>
  <c r="AE137" i="3"/>
  <c r="AD137" i="3"/>
  <c r="AC137" i="3"/>
  <c r="AB137" i="3"/>
  <c r="AA137" i="3"/>
  <c r="Z137" i="3"/>
  <c r="Y137" i="3"/>
  <c r="X137" i="3"/>
  <c r="BC137" i="3" s="1"/>
  <c r="T137" i="3"/>
  <c r="FG136" i="3"/>
  <c r="FD136" i="3"/>
  <c r="EZ136" i="3"/>
  <c r="EY136" i="3"/>
  <c r="EU136" i="3"/>
  <c r="ER136" i="3"/>
  <c r="EO136" i="3"/>
  <c r="EN136" i="3"/>
  <c r="EM136" i="3"/>
  <c r="EJ136" i="3"/>
  <c r="EI136" i="3"/>
  <c r="EH136" i="3"/>
  <c r="EF136" i="3"/>
  <c r="EB136" i="3"/>
  <c r="DU136" i="3"/>
  <c r="DT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X136" i="3"/>
  <c r="CV136" i="3"/>
  <c r="CQ136" i="3"/>
  <c r="CL136" i="3"/>
  <c r="CJ136" i="3"/>
  <c r="CG136" i="3"/>
  <c r="CF136" i="3"/>
  <c r="CE136" i="3"/>
  <c r="CB136" i="3"/>
  <c r="CA136" i="3"/>
  <c r="BZ136" i="3"/>
  <c r="BX136" i="3"/>
  <c r="BT136" i="3"/>
  <c r="BM136" i="3"/>
  <c r="BL136" i="3"/>
  <c r="BH136" i="3"/>
  <c r="BB136" i="3"/>
  <c r="FH136" i="3" s="1"/>
  <c r="BA136" i="3"/>
  <c r="EQ136" i="3" s="1"/>
  <c r="AZ136" i="3"/>
  <c r="AY136" i="3"/>
  <c r="DZ136" i="3" s="1"/>
  <c r="AX136" i="3"/>
  <c r="DY136" i="3" s="1"/>
  <c r="AW136" i="3"/>
  <c r="DX136" i="3" s="1"/>
  <c r="AV136" i="3"/>
  <c r="EL136" i="3" s="1"/>
  <c r="AU136" i="3"/>
  <c r="AT136" i="3"/>
  <c r="AS136" i="3"/>
  <c r="CP136" i="3" s="1"/>
  <c r="AR136" i="3"/>
  <c r="EX136" i="3" s="1"/>
  <c r="AQ136" i="3"/>
  <c r="EW136" i="3" s="1"/>
  <c r="AP136" i="3"/>
  <c r="EV136" i="3" s="1"/>
  <c r="AO136" i="3"/>
  <c r="EE136" i="3" s="1"/>
  <c r="AN136" i="3"/>
  <c r="AL136" i="3"/>
  <c r="AK136" i="3"/>
  <c r="AJ136" i="3"/>
  <c r="AI136" i="3"/>
  <c r="BF136" i="3" s="1"/>
  <c r="AH136" i="3"/>
  <c r="AG136" i="3"/>
  <c r="AF136" i="3"/>
  <c r="BE136" i="3" s="1"/>
  <c r="AE136" i="3"/>
  <c r="AD136" i="3"/>
  <c r="AC136" i="3"/>
  <c r="AB136" i="3"/>
  <c r="BD136" i="3" s="1"/>
  <c r="AA136" i="3"/>
  <c r="Z136" i="3"/>
  <c r="Y136" i="3"/>
  <c r="X136" i="3"/>
  <c r="BC136" i="3" s="1"/>
  <c r="T136" i="3"/>
  <c r="FG135" i="3"/>
  <c r="FC135" i="3"/>
  <c r="FB135" i="3"/>
  <c r="EX135" i="3"/>
  <c r="EU135" i="3"/>
  <c r="ER135" i="3"/>
  <c r="EQ135" i="3"/>
  <c r="EP135" i="3"/>
  <c r="EM135" i="3"/>
  <c r="EL135" i="3"/>
  <c r="EK135" i="3"/>
  <c r="EI135" i="3"/>
  <c r="EF135" i="3"/>
  <c r="EE135" i="3"/>
  <c r="ED135" i="3"/>
  <c r="DX135" i="3"/>
  <c r="DW135" i="3"/>
  <c r="DS135" i="3"/>
  <c r="DR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T135" i="3"/>
  <c r="CO135" i="3"/>
  <c r="CM135" i="3"/>
  <c r="CJ135" i="3"/>
  <c r="CI135" i="3"/>
  <c r="CH135" i="3"/>
  <c r="CE135" i="3"/>
  <c r="CD135" i="3"/>
  <c r="CC135" i="3"/>
  <c r="CA135" i="3"/>
  <c r="BX135" i="3"/>
  <c r="BW135" i="3"/>
  <c r="BV135" i="3"/>
  <c r="BP135" i="3"/>
  <c r="BO135" i="3"/>
  <c r="BK135" i="3"/>
  <c r="BC135" i="3"/>
  <c r="BB135" i="3"/>
  <c r="EC135" i="3" s="1"/>
  <c r="BA135" i="3"/>
  <c r="EB135" i="3" s="1"/>
  <c r="AZ135" i="3"/>
  <c r="EA135" i="3" s="1"/>
  <c r="AY135" i="3"/>
  <c r="EO135" i="3" s="1"/>
  <c r="AX135" i="3"/>
  <c r="AW135" i="3"/>
  <c r="AV135" i="3"/>
  <c r="CS135" i="3" s="1"/>
  <c r="AU135" i="3"/>
  <c r="FA135" i="3" s="1"/>
  <c r="AT135" i="3"/>
  <c r="EZ135" i="3" s="1"/>
  <c r="AS135" i="3"/>
  <c r="EY135" i="3" s="1"/>
  <c r="AR135" i="3"/>
  <c r="EH135" i="3" s="1"/>
  <c r="AQ135" i="3"/>
  <c r="AP135" i="3"/>
  <c r="DQ135" i="3" s="1"/>
  <c r="AO135" i="3"/>
  <c r="DP135" i="3" s="1"/>
  <c r="AN135" i="3"/>
  <c r="DO135" i="3" s="1"/>
  <c r="AL135" i="3"/>
  <c r="BF135" i="3" s="1"/>
  <c r="AK135" i="3"/>
  <c r="AJ135" i="3"/>
  <c r="AI135" i="3"/>
  <c r="AH135" i="3"/>
  <c r="AG135" i="3"/>
  <c r="BE135" i="3" s="1"/>
  <c r="AF135" i="3"/>
  <c r="AE135" i="3"/>
  <c r="AD135" i="3"/>
  <c r="AC135" i="3"/>
  <c r="AB135" i="3"/>
  <c r="AA135" i="3"/>
  <c r="Z135" i="3"/>
  <c r="Y135" i="3"/>
  <c r="X135" i="3"/>
  <c r="T135" i="3"/>
  <c r="FF134" i="3"/>
  <c r="FE134" i="3"/>
  <c r="FA134" i="3"/>
  <c r="EX134" i="3"/>
  <c r="ET134" i="3"/>
  <c r="EP134" i="3"/>
  <c r="EO134" i="3"/>
  <c r="EN134" i="3"/>
  <c r="EL134" i="3"/>
  <c r="EI134" i="3"/>
  <c r="EH134" i="3"/>
  <c r="EG134" i="3"/>
  <c r="ED134" i="3"/>
  <c r="EA134" i="3"/>
  <c r="DZ134" i="3"/>
  <c r="DV134" i="3"/>
  <c r="DU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W134" i="3"/>
  <c r="CR134" i="3"/>
  <c r="CP134" i="3"/>
  <c r="CK134" i="3"/>
  <c r="CH134" i="3"/>
  <c r="CG134" i="3"/>
  <c r="CF134" i="3"/>
  <c r="CD134" i="3"/>
  <c r="CA134" i="3"/>
  <c r="BZ134" i="3"/>
  <c r="BY134" i="3"/>
  <c r="BV134" i="3"/>
  <c r="BS134" i="3"/>
  <c r="BR134" i="3"/>
  <c r="BN134" i="3"/>
  <c r="BG134" i="3"/>
  <c r="BF134" i="3"/>
  <c r="BB134" i="3"/>
  <c r="ER134" i="3" s="1"/>
  <c r="BA134" i="3"/>
  <c r="AZ134" i="3"/>
  <c r="AY134" i="3"/>
  <c r="CV134" i="3" s="1"/>
  <c r="AX134" i="3"/>
  <c r="FD134" i="3" s="1"/>
  <c r="AW134" i="3"/>
  <c r="FC134" i="3" s="1"/>
  <c r="AV134" i="3"/>
  <c r="FB134" i="3" s="1"/>
  <c r="AU134" i="3"/>
  <c r="EK134" i="3" s="1"/>
  <c r="AT134" i="3"/>
  <c r="BM134" i="3" s="1"/>
  <c r="AS134" i="3"/>
  <c r="DT134" i="3" s="1"/>
  <c r="AR134" i="3"/>
  <c r="DS134" i="3" s="1"/>
  <c r="AQ134" i="3"/>
  <c r="DR134" i="3" s="1"/>
  <c r="AP134" i="3"/>
  <c r="EF134" i="3" s="1"/>
  <c r="AO134" i="3"/>
  <c r="AN134" i="3"/>
  <c r="AL134" i="3"/>
  <c r="AK134" i="3"/>
  <c r="AJ134" i="3"/>
  <c r="AI134" i="3"/>
  <c r="AH134" i="3"/>
  <c r="AG134" i="3"/>
  <c r="AF134" i="3"/>
  <c r="BE134" i="3" s="1"/>
  <c r="AE134" i="3"/>
  <c r="AD134" i="3"/>
  <c r="AC134" i="3"/>
  <c r="BD134" i="3" s="1"/>
  <c r="AB134" i="3"/>
  <c r="AA134" i="3"/>
  <c r="Z134" i="3"/>
  <c r="Y134" i="3"/>
  <c r="X134" i="3"/>
  <c r="T134" i="3"/>
  <c r="FH133" i="3"/>
  <c r="FD133" i="3"/>
  <c r="FA133" i="3"/>
  <c r="EW133" i="3"/>
  <c r="EV133" i="3"/>
  <c r="ER133" i="3"/>
  <c r="EQ133" i="3"/>
  <c r="EO133" i="3"/>
  <c r="EL133" i="3"/>
  <c r="EK133" i="3"/>
  <c r="EJ133" i="3"/>
  <c r="EG133" i="3"/>
  <c r="EF133" i="3"/>
  <c r="EE133" i="3"/>
  <c r="EC133" i="3"/>
  <c r="DY133" i="3"/>
  <c r="DX133" i="3"/>
  <c r="DR133" i="3"/>
  <c r="DQ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U133" i="3"/>
  <c r="CS133" i="3"/>
  <c r="CN133" i="3"/>
  <c r="CJ133" i="3"/>
  <c r="CI133" i="3"/>
  <c r="CG133" i="3"/>
  <c r="CD133" i="3"/>
  <c r="CC133" i="3"/>
  <c r="CB133" i="3"/>
  <c r="BY133" i="3"/>
  <c r="BX133" i="3"/>
  <c r="BW133" i="3"/>
  <c r="BU133" i="3"/>
  <c r="BQ133" i="3"/>
  <c r="BP133" i="3"/>
  <c r="BJ133" i="3"/>
  <c r="BI133" i="3"/>
  <c r="BD133" i="3"/>
  <c r="BB133" i="3"/>
  <c r="CY133" i="3" s="1"/>
  <c r="BA133" i="3"/>
  <c r="FG133" i="3" s="1"/>
  <c r="AZ133" i="3"/>
  <c r="FF133" i="3" s="1"/>
  <c r="AY133" i="3"/>
  <c r="FE133" i="3" s="1"/>
  <c r="AX133" i="3"/>
  <c r="EN133" i="3" s="1"/>
  <c r="AW133" i="3"/>
  <c r="AV133" i="3"/>
  <c r="DW133" i="3" s="1"/>
  <c r="AU133" i="3"/>
  <c r="DV133" i="3" s="1"/>
  <c r="AT133" i="3"/>
  <c r="DU133" i="3" s="1"/>
  <c r="AS133" i="3"/>
  <c r="EI133" i="3" s="1"/>
  <c r="AR133" i="3"/>
  <c r="AQ133" i="3"/>
  <c r="AP133" i="3"/>
  <c r="CM133" i="3" s="1"/>
  <c r="AO133" i="3"/>
  <c r="EU133" i="3" s="1"/>
  <c r="AN133" i="3"/>
  <c r="ET133" i="3" s="1"/>
  <c r="AL133" i="3"/>
  <c r="AK133" i="3"/>
  <c r="BF133" i="3" s="1"/>
  <c r="AJ133" i="3"/>
  <c r="AI133" i="3"/>
  <c r="AH133" i="3"/>
  <c r="AG133" i="3"/>
  <c r="AF133" i="3"/>
  <c r="BE133" i="3" s="1"/>
  <c r="AE133" i="3"/>
  <c r="AD133" i="3"/>
  <c r="AC133" i="3"/>
  <c r="AB133" i="3"/>
  <c r="AA133" i="3"/>
  <c r="Z133" i="3"/>
  <c r="Y133" i="3"/>
  <c r="AM133" i="3" s="1"/>
  <c r="X133" i="3"/>
  <c r="T133" i="3"/>
  <c r="FG132" i="3"/>
  <c r="FE132" i="3"/>
  <c r="FD132" i="3"/>
  <c r="EZ132" i="3"/>
  <c r="EY132" i="3"/>
  <c r="EU132" i="3"/>
  <c r="ER132" i="3"/>
  <c r="EO132" i="3"/>
  <c r="EN132" i="3"/>
  <c r="EM132" i="3"/>
  <c r="EJ132" i="3"/>
  <c r="EI132" i="3"/>
  <c r="EH132" i="3"/>
  <c r="EF132" i="3"/>
  <c r="EB132" i="3"/>
  <c r="EA132" i="3"/>
  <c r="DU132" i="3"/>
  <c r="DT132" i="3"/>
  <c r="DP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X132" i="3"/>
  <c r="CV132" i="3"/>
  <c r="CQ132" i="3"/>
  <c r="CL132" i="3"/>
  <c r="CJ132" i="3"/>
  <c r="CG132" i="3"/>
  <c r="CF132" i="3"/>
  <c r="CE132" i="3"/>
  <c r="CB132" i="3"/>
  <c r="CA132" i="3"/>
  <c r="BZ132" i="3"/>
  <c r="BX132" i="3"/>
  <c r="BT132" i="3"/>
  <c r="BS132" i="3"/>
  <c r="BM132" i="3"/>
  <c r="BL132" i="3"/>
  <c r="BH132" i="3"/>
  <c r="BB132" i="3"/>
  <c r="FH132" i="3" s="1"/>
  <c r="BA132" i="3"/>
  <c r="EQ132" i="3" s="1"/>
  <c r="AZ132" i="3"/>
  <c r="AY132" i="3"/>
  <c r="DZ132" i="3" s="1"/>
  <c r="AX132" i="3"/>
  <c r="DY132" i="3" s="1"/>
  <c r="AW132" i="3"/>
  <c r="DX132" i="3" s="1"/>
  <c r="AV132" i="3"/>
  <c r="EL132" i="3" s="1"/>
  <c r="AU132" i="3"/>
  <c r="AT132" i="3"/>
  <c r="AS132" i="3"/>
  <c r="CP132" i="3" s="1"/>
  <c r="AR132" i="3"/>
  <c r="EX132" i="3" s="1"/>
  <c r="AQ132" i="3"/>
  <c r="EW132" i="3" s="1"/>
  <c r="AP132" i="3"/>
  <c r="EV132" i="3" s="1"/>
  <c r="AO132" i="3"/>
  <c r="EE132" i="3" s="1"/>
  <c r="AN132" i="3"/>
  <c r="BG132" i="3" s="1"/>
  <c r="AL132" i="3"/>
  <c r="AK132" i="3"/>
  <c r="AJ132" i="3"/>
  <c r="AI132" i="3"/>
  <c r="BF132" i="3" s="1"/>
  <c r="AH132" i="3"/>
  <c r="AG132" i="3"/>
  <c r="AF132" i="3"/>
  <c r="BE132" i="3" s="1"/>
  <c r="AE132" i="3"/>
  <c r="AD132" i="3"/>
  <c r="AC132" i="3"/>
  <c r="AB132" i="3"/>
  <c r="BD132" i="3" s="1"/>
  <c r="AA132" i="3"/>
  <c r="Z132" i="3"/>
  <c r="Y132" i="3"/>
  <c r="X132" i="3"/>
  <c r="BC132" i="3" s="1"/>
  <c r="T132" i="3"/>
  <c r="FH131" i="3"/>
  <c r="FG131" i="3"/>
  <c r="FC131" i="3"/>
  <c r="FB131" i="3"/>
  <c r="EX131" i="3"/>
  <c r="EV131" i="3"/>
  <c r="EU131" i="3"/>
  <c r="ER131" i="3"/>
  <c r="EQ131" i="3"/>
  <c r="EP131" i="3"/>
  <c r="EM131" i="3"/>
  <c r="EL131" i="3"/>
  <c r="EK131" i="3"/>
  <c r="EI131" i="3"/>
  <c r="EF131" i="3"/>
  <c r="EE131" i="3"/>
  <c r="ED131" i="3"/>
  <c r="DX131" i="3"/>
  <c r="DW131" i="3"/>
  <c r="DS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T131" i="3"/>
  <c r="CO131" i="3"/>
  <c r="CM131" i="3"/>
  <c r="CJ131" i="3"/>
  <c r="CI131" i="3"/>
  <c r="CH131" i="3"/>
  <c r="CE131" i="3"/>
  <c r="CD131" i="3"/>
  <c r="CC131" i="3"/>
  <c r="CA131" i="3"/>
  <c r="BX131" i="3"/>
  <c r="BW131" i="3"/>
  <c r="BV131" i="3"/>
  <c r="BP131" i="3"/>
  <c r="BO131" i="3"/>
  <c r="BK131" i="3"/>
  <c r="BC131" i="3"/>
  <c r="BB131" i="3"/>
  <c r="EC131" i="3" s="1"/>
  <c r="BA131" i="3"/>
  <c r="EB131" i="3" s="1"/>
  <c r="AZ131" i="3"/>
  <c r="EA131" i="3" s="1"/>
  <c r="AY131" i="3"/>
  <c r="EO131" i="3" s="1"/>
  <c r="AX131" i="3"/>
  <c r="AW131" i="3"/>
  <c r="AV131" i="3"/>
  <c r="CS131" i="3" s="1"/>
  <c r="AU131" i="3"/>
  <c r="FA131" i="3" s="1"/>
  <c r="AT131" i="3"/>
  <c r="EZ131" i="3" s="1"/>
  <c r="AS131" i="3"/>
  <c r="EY131" i="3" s="1"/>
  <c r="AR131" i="3"/>
  <c r="EH131" i="3" s="1"/>
  <c r="AQ131" i="3"/>
  <c r="DR131" i="3" s="1"/>
  <c r="AP131" i="3"/>
  <c r="DQ131" i="3" s="1"/>
  <c r="AO131" i="3"/>
  <c r="DP131" i="3" s="1"/>
  <c r="AN131" i="3"/>
  <c r="DO131" i="3" s="1"/>
  <c r="AL131" i="3"/>
  <c r="BF131" i="3" s="1"/>
  <c r="AK131" i="3"/>
  <c r="AJ131" i="3"/>
  <c r="AI131" i="3"/>
  <c r="AH131" i="3"/>
  <c r="AG131" i="3"/>
  <c r="BE131" i="3" s="1"/>
  <c r="AF131" i="3"/>
  <c r="AE131" i="3"/>
  <c r="AD131" i="3"/>
  <c r="AC131" i="3"/>
  <c r="AB131" i="3"/>
  <c r="AA131" i="3"/>
  <c r="BD131" i="3" s="1"/>
  <c r="Z131" i="3"/>
  <c r="AM131" i="3" s="1"/>
  <c r="Y131" i="3"/>
  <c r="X131" i="3"/>
  <c r="T131" i="3"/>
  <c r="FF130" i="3"/>
  <c r="FE130" i="3"/>
  <c r="FA130" i="3"/>
  <c r="EY130" i="3"/>
  <c r="EX130" i="3"/>
  <c r="ET130" i="3"/>
  <c r="EP130" i="3"/>
  <c r="EO130" i="3"/>
  <c r="EN130" i="3"/>
  <c r="EI130" i="3"/>
  <c r="EH130" i="3"/>
  <c r="EG130" i="3"/>
  <c r="ED130" i="3"/>
  <c r="EB130" i="3"/>
  <c r="EA130" i="3"/>
  <c r="DZ130" i="3"/>
  <c r="DV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W130" i="3"/>
  <c r="CR130" i="3"/>
  <c r="CP130" i="3"/>
  <c r="CK130" i="3"/>
  <c r="CH130" i="3"/>
  <c r="CG130" i="3"/>
  <c r="CF130" i="3"/>
  <c r="CA130" i="3"/>
  <c r="BZ130" i="3"/>
  <c r="BY130" i="3"/>
  <c r="BV130" i="3"/>
  <c r="BS130" i="3"/>
  <c r="BR130" i="3"/>
  <c r="BN130" i="3"/>
  <c r="BG130" i="3"/>
  <c r="BF130" i="3"/>
  <c r="BB130" i="3"/>
  <c r="BA130" i="3"/>
  <c r="AZ130" i="3"/>
  <c r="AY130" i="3"/>
  <c r="CV130" i="3" s="1"/>
  <c r="AX130" i="3"/>
  <c r="FD130" i="3" s="1"/>
  <c r="AW130" i="3"/>
  <c r="FC130" i="3" s="1"/>
  <c r="AV130" i="3"/>
  <c r="AU130" i="3"/>
  <c r="EK130" i="3" s="1"/>
  <c r="AT130" i="3"/>
  <c r="DU130" i="3" s="1"/>
  <c r="AS130" i="3"/>
  <c r="DT130" i="3" s="1"/>
  <c r="AR130" i="3"/>
  <c r="DS130" i="3" s="1"/>
  <c r="AQ130" i="3"/>
  <c r="DR130" i="3" s="1"/>
  <c r="AP130" i="3"/>
  <c r="AO130" i="3"/>
  <c r="AN130" i="3"/>
  <c r="AL130" i="3"/>
  <c r="AK130" i="3"/>
  <c r="AJ130" i="3"/>
  <c r="AI130" i="3"/>
  <c r="AH130" i="3"/>
  <c r="AG130" i="3"/>
  <c r="AF130" i="3"/>
  <c r="BE130" i="3" s="1"/>
  <c r="AE130" i="3"/>
  <c r="AD130" i="3"/>
  <c r="AC130" i="3"/>
  <c r="BD130" i="3" s="1"/>
  <c r="AB130" i="3"/>
  <c r="AA130" i="3"/>
  <c r="Z130" i="3"/>
  <c r="Y130" i="3"/>
  <c r="X130" i="3"/>
  <c r="T130" i="3"/>
  <c r="FH129" i="3"/>
  <c r="FD129" i="3"/>
  <c r="FC129" i="3"/>
  <c r="FB129" i="3"/>
  <c r="FA129" i="3"/>
  <c r="EW129" i="3"/>
  <c r="EV129" i="3"/>
  <c r="ER129" i="3"/>
  <c r="EQ129" i="3"/>
  <c r="EO129" i="3"/>
  <c r="EL129" i="3"/>
  <c r="EK129" i="3"/>
  <c r="EJ129" i="3"/>
  <c r="EG129" i="3"/>
  <c r="EF129" i="3"/>
  <c r="EE129" i="3"/>
  <c r="EC129" i="3"/>
  <c r="DY129" i="3"/>
  <c r="DX129" i="3"/>
  <c r="DR129" i="3"/>
  <c r="DQ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V129" i="3"/>
  <c r="CU129" i="3"/>
  <c r="CS129" i="3"/>
  <c r="CO129" i="3"/>
  <c r="CN129" i="3"/>
  <c r="CJ129" i="3"/>
  <c r="CI129" i="3"/>
  <c r="CD129" i="3"/>
  <c r="CC129" i="3"/>
  <c r="CB129" i="3"/>
  <c r="BY129" i="3"/>
  <c r="BX129" i="3"/>
  <c r="BW129" i="3"/>
  <c r="BU129" i="3"/>
  <c r="BQ129" i="3"/>
  <c r="BJ129" i="3"/>
  <c r="BI129" i="3"/>
  <c r="BD129" i="3"/>
  <c r="BB129" i="3"/>
  <c r="CY129" i="3" s="1"/>
  <c r="BA129" i="3"/>
  <c r="FG129" i="3" s="1"/>
  <c r="AZ129" i="3"/>
  <c r="AY129" i="3"/>
  <c r="AX129" i="3"/>
  <c r="EN129" i="3" s="1"/>
  <c r="AW129" i="3"/>
  <c r="AV129" i="3"/>
  <c r="DW129" i="3" s="1"/>
  <c r="AU129" i="3"/>
  <c r="DV129" i="3" s="1"/>
  <c r="AT129" i="3"/>
  <c r="DU129" i="3" s="1"/>
  <c r="AS129" i="3"/>
  <c r="AR129" i="3"/>
  <c r="AQ129" i="3"/>
  <c r="AP129" i="3"/>
  <c r="CM129" i="3" s="1"/>
  <c r="AO129" i="3"/>
  <c r="EU129" i="3" s="1"/>
  <c r="AN129" i="3"/>
  <c r="AL129" i="3"/>
  <c r="AK129" i="3"/>
  <c r="BF129" i="3" s="1"/>
  <c r="AJ129" i="3"/>
  <c r="AI129" i="3"/>
  <c r="AH129" i="3"/>
  <c r="AG129" i="3"/>
  <c r="AF129" i="3"/>
  <c r="BE129" i="3" s="1"/>
  <c r="AE129" i="3"/>
  <c r="AD129" i="3"/>
  <c r="AC129" i="3"/>
  <c r="AB129" i="3"/>
  <c r="AA129" i="3"/>
  <c r="AM129" i="3" s="1"/>
  <c r="Z129" i="3"/>
  <c r="Y129" i="3"/>
  <c r="X129" i="3"/>
  <c r="BC129" i="3" s="1"/>
  <c r="T129" i="3"/>
  <c r="FG128" i="3"/>
  <c r="FE128" i="3"/>
  <c r="FD128" i="3"/>
  <c r="EZ128" i="3"/>
  <c r="EY128" i="3"/>
  <c r="EU128" i="3"/>
  <c r="ET128" i="3"/>
  <c r="ER128" i="3"/>
  <c r="EO128" i="3"/>
  <c r="EN128" i="3"/>
  <c r="EM128" i="3"/>
  <c r="EJ128" i="3"/>
  <c r="EI128" i="3"/>
  <c r="EH128" i="3"/>
  <c r="EB128" i="3"/>
  <c r="DV128" i="3"/>
  <c r="DU128" i="3"/>
  <c r="DT128" i="3"/>
  <c r="DP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X128" i="3"/>
  <c r="CV128" i="3"/>
  <c r="CR128" i="3"/>
  <c r="CQ128" i="3"/>
  <c r="CM128" i="3"/>
  <c r="CL128" i="3"/>
  <c r="CG128" i="3"/>
  <c r="CF128" i="3"/>
  <c r="CE128" i="3"/>
  <c r="CB128" i="3"/>
  <c r="CA128" i="3"/>
  <c r="BZ128" i="3"/>
  <c r="BX128" i="3"/>
  <c r="BT128" i="3"/>
  <c r="BS128" i="3"/>
  <c r="BN128" i="3"/>
  <c r="BM128" i="3"/>
  <c r="BL128" i="3"/>
  <c r="BH128" i="3"/>
  <c r="BC128" i="3"/>
  <c r="BB128" i="3"/>
  <c r="BA128" i="3"/>
  <c r="EQ128" i="3" s="1"/>
  <c r="AZ128" i="3"/>
  <c r="AY128" i="3"/>
  <c r="DZ128" i="3" s="1"/>
  <c r="AX128" i="3"/>
  <c r="DY128" i="3" s="1"/>
  <c r="AW128" i="3"/>
  <c r="DX128" i="3" s="1"/>
  <c r="AV128" i="3"/>
  <c r="AU128" i="3"/>
  <c r="AT128" i="3"/>
  <c r="AS128" i="3"/>
  <c r="CP128" i="3" s="1"/>
  <c r="AR128" i="3"/>
  <c r="EX128" i="3" s="1"/>
  <c r="AQ128" i="3"/>
  <c r="AP128" i="3"/>
  <c r="AO128" i="3"/>
  <c r="EE128" i="3" s="1"/>
  <c r="AN128" i="3"/>
  <c r="AL128" i="3"/>
  <c r="AK128" i="3"/>
  <c r="AJ128" i="3"/>
  <c r="AI128" i="3"/>
  <c r="BF128" i="3" s="1"/>
  <c r="AH128" i="3"/>
  <c r="AG128" i="3"/>
  <c r="AF128" i="3"/>
  <c r="BE128" i="3" s="1"/>
  <c r="AE128" i="3"/>
  <c r="AD128" i="3"/>
  <c r="AC128" i="3"/>
  <c r="AB128" i="3"/>
  <c r="AA128" i="3"/>
  <c r="Z128" i="3"/>
  <c r="Y128" i="3"/>
  <c r="X128" i="3"/>
  <c r="T128" i="3"/>
  <c r="FH127" i="3"/>
  <c r="FG127" i="3"/>
  <c r="FC127" i="3"/>
  <c r="FB127" i="3"/>
  <c r="EX127" i="3"/>
  <c r="EV127" i="3"/>
  <c r="EU127" i="3"/>
  <c r="ER127" i="3"/>
  <c r="EQ127" i="3"/>
  <c r="EM127" i="3"/>
  <c r="EL127" i="3"/>
  <c r="EK127" i="3"/>
  <c r="EF127" i="3"/>
  <c r="EE127" i="3"/>
  <c r="DZ127" i="3"/>
  <c r="DX127" i="3"/>
  <c r="DW127" i="3"/>
  <c r="DS127" i="3"/>
  <c r="DR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V127" i="3"/>
  <c r="CU127" i="3"/>
  <c r="CT127" i="3"/>
  <c r="CO127" i="3"/>
  <c r="CM127" i="3"/>
  <c r="CJ127" i="3"/>
  <c r="CI127" i="3"/>
  <c r="CE127" i="3"/>
  <c r="CD127" i="3"/>
  <c r="CC127" i="3"/>
  <c r="BX127" i="3"/>
  <c r="BW127" i="3"/>
  <c r="BR127" i="3"/>
  <c r="BP127" i="3"/>
  <c r="BO127" i="3"/>
  <c r="BK127" i="3"/>
  <c r="BF127" i="3"/>
  <c r="BC127" i="3"/>
  <c r="BB127" i="3"/>
  <c r="EC127" i="3" s="1"/>
  <c r="BA127" i="3"/>
  <c r="EB127" i="3" s="1"/>
  <c r="AZ127" i="3"/>
  <c r="AY127" i="3"/>
  <c r="AX127" i="3"/>
  <c r="DY127" i="3" s="1"/>
  <c r="AW127" i="3"/>
  <c r="AV127" i="3"/>
  <c r="CS127" i="3" s="1"/>
  <c r="AU127" i="3"/>
  <c r="FA127" i="3" s="1"/>
  <c r="AT127" i="3"/>
  <c r="AS127" i="3"/>
  <c r="CA127" i="3" s="1"/>
  <c r="AR127" i="3"/>
  <c r="EH127" i="3" s="1"/>
  <c r="AQ127" i="3"/>
  <c r="AP127" i="3"/>
  <c r="DQ127" i="3" s="1"/>
  <c r="AO127" i="3"/>
  <c r="DP127" i="3" s="1"/>
  <c r="AN127" i="3"/>
  <c r="AL127" i="3"/>
  <c r="AK127" i="3"/>
  <c r="AJ127" i="3"/>
  <c r="AI127" i="3"/>
  <c r="AH127" i="3"/>
  <c r="AG127" i="3"/>
  <c r="BE127" i="3" s="1"/>
  <c r="AF127" i="3"/>
  <c r="AE127" i="3"/>
  <c r="AD127" i="3"/>
  <c r="AC127" i="3"/>
  <c r="AB127" i="3"/>
  <c r="AA127" i="3"/>
  <c r="Z127" i="3"/>
  <c r="Y127" i="3"/>
  <c r="X127" i="3"/>
  <c r="T127" i="3"/>
  <c r="FF126" i="3"/>
  <c r="FE126" i="3"/>
  <c r="FA126" i="3"/>
  <c r="EZ126" i="3"/>
  <c r="EY126" i="3"/>
  <c r="EX126" i="3"/>
  <c r="ET126" i="3"/>
  <c r="EP126" i="3"/>
  <c r="EO126" i="3"/>
  <c r="EI126" i="3"/>
  <c r="EH126" i="3"/>
  <c r="EG126" i="3"/>
  <c r="ED126" i="3"/>
  <c r="EB126" i="3"/>
  <c r="EA126" i="3"/>
  <c r="DZ126" i="3"/>
  <c r="DV126" i="3"/>
  <c r="DQ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X126" i="3"/>
  <c r="CW126" i="3"/>
  <c r="CT126" i="3"/>
  <c r="CR126" i="3"/>
  <c r="CP126" i="3"/>
  <c r="CL126" i="3"/>
  <c r="CK126" i="3"/>
  <c r="CH126" i="3"/>
  <c r="CG126" i="3"/>
  <c r="CA126" i="3"/>
  <c r="BZ126" i="3"/>
  <c r="BV126" i="3"/>
  <c r="BU126" i="3"/>
  <c r="BS126" i="3"/>
  <c r="BR126" i="3"/>
  <c r="BN126" i="3"/>
  <c r="BJ126" i="3"/>
  <c r="BG126" i="3"/>
  <c r="BB126" i="3"/>
  <c r="BA126" i="3"/>
  <c r="AZ126" i="3"/>
  <c r="AY126" i="3"/>
  <c r="CV126" i="3" s="1"/>
  <c r="AX126" i="3"/>
  <c r="AW126" i="3"/>
  <c r="AV126" i="3"/>
  <c r="AU126" i="3"/>
  <c r="EK126" i="3" s="1"/>
  <c r="AT126" i="3"/>
  <c r="DU126" i="3" s="1"/>
  <c r="AS126" i="3"/>
  <c r="DT126" i="3" s="1"/>
  <c r="AR126" i="3"/>
  <c r="DS126" i="3" s="1"/>
  <c r="AQ126" i="3"/>
  <c r="AP126" i="3"/>
  <c r="AO126" i="3"/>
  <c r="AN126" i="3"/>
  <c r="AL126" i="3"/>
  <c r="AK126" i="3"/>
  <c r="BF126" i="3" s="1"/>
  <c r="AJ126" i="3"/>
  <c r="AI126" i="3"/>
  <c r="AH126" i="3"/>
  <c r="AG126" i="3"/>
  <c r="AF126" i="3"/>
  <c r="BE126" i="3" s="1"/>
  <c r="AE126" i="3"/>
  <c r="AD126" i="3"/>
  <c r="AC126" i="3"/>
  <c r="AB126" i="3"/>
  <c r="AA126" i="3"/>
  <c r="Z126" i="3"/>
  <c r="Y126" i="3"/>
  <c r="BC126" i="3" s="1"/>
  <c r="X126" i="3"/>
  <c r="T126" i="3"/>
  <c r="FH125" i="3"/>
  <c r="FE125" i="3"/>
  <c r="FB125" i="3"/>
  <c r="FA125" i="3"/>
  <c r="EW125" i="3"/>
  <c r="EV125" i="3"/>
  <c r="ER125" i="3"/>
  <c r="EQ125" i="3"/>
  <c r="EO125" i="3"/>
  <c r="EL125" i="3"/>
  <c r="EK125" i="3"/>
  <c r="EG125" i="3"/>
  <c r="EF125" i="3"/>
  <c r="EE125" i="3"/>
  <c r="EC125" i="3"/>
  <c r="DZ125" i="3"/>
  <c r="DX125" i="3"/>
  <c r="DR125" i="3"/>
  <c r="DQ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V125" i="3"/>
  <c r="CT125" i="3"/>
  <c r="CS125" i="3"/>
  <c r="CN125" i="3"/>
  <c r="CJ125" i="3"/>
  <c r="CI125" i="3"/>
  <c r="CG125" i="3"/>
  <c r="CD125" i="3"/>
  <c r="CC125" i="3"/>
  <c r="CB125" i="3"/>
  <c r="BY125" i="3"/>
  <c r="BX125" i="3"/>
  <c r="BW125" i="3"/>
  <c r="BU125" i="3"/>
  <c r="BM125" i="3"/>
  <c r="BK125" i="3"/>
  <c r="BJ125" i="3"/>
  <c r="BI125" i="3"/>
  <c r="BF125" i="3"/>
  <c r="BB125" i="3"/>
  <c r="CY125" i="3" s="1"/>
  <c r="BA125" i="3"/>
  <c r="AZ125" i="3"/>
  <c r="AY125" i="3"/>
  <c r="BR125" i="3" s="1"/>
  <c r="AX125" i="3"/>
  <c r="AW125" i="3"/>
  <c r="AV125" i="3"/>
  <c r="DW125" i="3" s="1"/>
  <c r="AU125" i="3"/>
  <c r="DV125" i="3" s="1"/>
  <c r="AT125" i="3"/>
  <c r="AS125" i="3"/>
  <c r="AR125" i="3"/>
  <c r="EX125" i="3" s="1"/>
  <c r="AQ125" i="3"/>
  <c r="AP125" i="3"/>
  <c r="CM125" i="3" s="1"/>
  <c r="AO125" i="3"/>
  <c r="AN125" i="3"/>
  <c r="AL125" i="3"/>
  <c r="AK125" i="3"/>
  <c r="AJ125" i="3"/>
  <c r="AI125" i="3"/>
  <c r="AH125" i="3"/>
  <c r="AG125" i="3"/>
  <c r="AF125" i="3"/>
  <c r="BE125" i="3" s="1"/>
  <c r="AE125" i="3"/>
  <c r="AD125" i="3"/>
  <c r="AC125" i="3"/>
  <c r="AB125" i="3"/>
  <c r="BD125" i="3" s="1"/>
  <c r="AA125" i="3"/>
  <c r="Z125" i="3"/>
  <c r="Y125" i="3"/>
  <c r="AM125" i="3" s="1"/>
  <c r="X125" i="3"/>
  <c r="T125" i="3"/>
  <c r="FF124" i="3"/>
  <c r="FE124" i="3"/>
  <c r="FD124" i="3"/>
  <c r="EZ124" i="3"/>
  <c r="EY124" i="3"/>
  <c r="EU124" i="3"/>
  <c r="EO124" i="3"/>
  <c r="EN124" i="3"/>
  <c r="EJ124" i="3"/>
  <c r="EI124" i="3"/>
  <c r="EH124" i="3"/>
  <c r="EA124" i="3"/>
  <c r="DW124" i="3"/>
  <c r="DU124" i="3"/>
  <c r="DT124" i="3"/>
  <c r="DP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V124" i="3"/>
  <c r="CQ124" i="3"/>
  <c r="CN124" i="3"/>
  <c r="CL124" i="3"/>
  <c r="CK124" i="3"/>
  <c r="CH124" i="3"/>
  <c r="CG124" i="3"/>
  <c r="CF124" i="3"/>
  <c r="CE124" i="3"/>
  <c r="CB124" i="3"/>
  <c r="CA124" i="3"/>
  <c r="BY124" i="3"/>
  <c r="BT124" i="3"/>
  <c r="BS124" i="3"/>
  <c r="BO124" i="3"/>
  <c r="BM124" i="3"/>
  <c r="BL124" i="3"/>
  <c r="BH124" i="3"/>
  <c r="BB124" i="3"/>
  <c r="BA124" i="3"/>
  <c r="FG124" i="3" s="1"/>
  <c r="AZ124" i="3"/>
  <c r="EP124" i="3" s="1"/>
  <c r="AY124" i="3"/>
  <c r="DZ124" i="3" s="1"/>
  <c r="AX124" i="3"/>
  <c r="AW124" i="3"/>
  <c r="AV124" i="3"/>
  <c r="AU124" i="3"/>
  <c r="AT124" i="3"/>
  <c r="AS124" i="3"/>
  <c r="CP124" i="3" s="1"/>
  <c r="AR124" i="3"/>
  <c r="AQ124" i="3"/>
  <c r="AP124" i="3"/>
  <c r="AO124" i="3"/>
  <c r="AN124" i="3"/>
  <c r="ED124" i="3" s="1"/>
  <c r="AL124" i="3"/>
  <c r="AK124" i="3"/>
  <c r="AJ124" i="3"/>
  <c r="AI124" i="3"/>
  <c r="AH124" i="3"/>
  <c r="AG124" i="3"/>
  <c r="AF124" i="3"/>
  <c r="BE124" i="3" s="1"/>
  <c r="AE124" i="3"/>
  <c r="AD124" i="3"/>
  <c r="AC124" i="3"/>
  <c r="BD124" i="3" s="1"/>
  <c r="AB124" i="3"/>
  <c r="AA124" i="3"/>
  <c r="Z124" i="3"/>
  <c r="Y124" i="3"/>
  <c r="X124" i="3"/>
  <c r="T124" i="3"/>
  <c r="FH123" i="3"/>
  <c r="FG123" i="3"/>
  <c r="FC123" i="3"/>
  <c r="FB123" i="3"/>
  <c r="EY123" i="3"/>
  <c r="EV123" i="3"/>
  <c r="ER123" i="3"/>
  <c r="EQ123" i="3"/>
  <c r="EM123" i="3"/>
  <c r="EL123" i="3"/>
  <c r="EJ123" i="3"/>
  <c r="EF123" i="3"/>
  <c r="DZ123" i="3"/>
  <c r="DX123" i="3"/>
  <c r="DW123" i="3"/>
  <c r="DT123" i="3"/>
  <c r="DR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V123" i="3"/>
  <c r="CU123" i="3"/>
  <c r="CT123" i="3"/>
  <c r="CQ123" i="3"/>
  <c r="CO123" i="3"/>
  <c r="CM123" i="3"/>
  <c r="CJ123" i="3"/>
  <c r="CI123" i="3"/>
  <c r="CE123" i="3"/>
  <c r="CD123" i="3"/>
  <c r="CB123" i="3"/>
  <c r="BX123" i="3"/>
  <c r="BR123" i="3"/>
  <c r="BP123" i="3"/>
  <c r="BO123" i="3"/>
  <c r="BL123" i="3"/>
  <c r="BJ123" i="3"/>
  <c r="BB123" i="3"/>
  <c r="EC123" i="3" s="1"/>
  <c r="BA123" i="3"/>
  <c r="AZ123" i="3"/>
  <c r="AY123" i="3"/>
  <c r="AX123" i="3"/>
  <c r="AW123" i="3"/>
  <c r="AV123" i="3"/>
  <c r="CS123" i="3" s="1"/>
  <c r="AU123" i="3"/>
  <c r="AT123" i="3"/>
  <c r="EZ123" i="3" s="1"/>
  <c r="AS123" i="3"/>
  <c r="EI123" i="3" s="1"/>
  <c r="AR123" i="3"/>
  <c r="AQ123" i="3"/>
  <c r="CN123" i="3" s="1"/>
  <c r="AP123" i="3"/>
  <c r="DQ123" i="3" s="1"/>
  <c r="AO123" i="3"/>
  <c r="EU123" i="3" s="1"/>
  <c r="AN123" i="3"/>
  <c r="AL123" i="3"/>
  <c r="AK123" i="3"/>
  <c r="AJ123" i="3"/>
  <c r="BF123" i="3" s="1"/>
  <c r="AI123" i="3"/>
  <c r="AH123" i="3"/>
  <c r="AG123" i="3"/>
  <c r="BE123" i="3" s="1"/>
  <c r="AF123" i="3"/>
  <c r="AE123" i="3"/>
  <c r="AD123" i="3"/>
  <c r="AC123" i="3"/>
  <c r="AB123" i="3"/>
  <c r="AA123" i="3"/>
  <c r="Z123" i="3"/>
  <c r="Y123" i="3"/>
  <c r="X123" i="3"/>
  <c r="BC123" i="3" s="1"/>
  <c r="T123" i="3"/>
  <c r="FF122" i="3"/>
  <c r="FC122" i="3"/>
  <c r="FA122" i="3"/>
  <c r="EY122" i="3"/>
  <c r="EU122" i="3"/>
  <c r="EQ122" i="3"/>
  <c r="EM122" i="3"/>
  <c r="EI122" i="3"/>
  <c r="EG122" i="3"/>
  <c r="ED122" i="3"/>
  <c r="EC122" i="3"/>
  <c r="EA122" i="3"/>
  <c r="DY122" i="3"/>
  <c r="DV122" i="3"/>
  <c r="DS122" i="3"/>
  <c r="DP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W122" i="3"/>
  <c r="CU122" i="3"/>
  <c r="CR122" i="3"/>
  <c r="CP122" i="3"/>
  <c r="CN122" i="3"/>
  <c r="CK122" i="3"/>
  <c r="CI122" i="3"/>
  <c r="CF122" i="3"/>
  <c r="CA122" i="3"/>
  <c r="BY122" i="3"/>
  <c r="BW122" i="3"/>
  <c r="BU122" i="3"/>
  <c r="BT122" i="3"/>
  <c r="BP122" i="3"/>
  <c r="BN122" i="3"/>
  <c r="BL122" i="3"/>
  <c r="BK122" i="3"/>
  <c r="BI122" i="3"/>
  <c r="BH122" i="3"/>
  <c r="BB122" i="3"/>
  <c r="ER122" i="3" s="1"/>
  <c r="BA122" i="3"/>
  <c r="FG122" i="3" s="1"/>
  <c r="AZ122" i="3"/>
  <c r="CH122" i="3" s="1"/>
  <c r="AY122" i="3"/>
  <c r="AX122" i="3"/>
  <c r="FD122" i="3" s="1"/>
  <c r="AW122" i="3"/>
  <c r="CT122" i="3" s="1"/>
  <c r="AV122" i="3"/>
  <c r="CD122" i="3" s="1"/>
  <c r="AU122" i="3"/>
  <c r="EK122" i="3" s="1"/>
  <c r="AT122" i="3"/>
  <c r="AS122" i="3"/>
  <c r="DT122" i="3" s="1"/>
  <c r="AR122" i="3"/>
  <c r="AQ122" i="3"/>
  <c r="EW122" i="3" s="1"/>
  <c r="AP122" i="3"/>
  <c r="EF122" i="3" s="1"/>
  <c r="AO122" i="3"/>
  <c r="EE122" i="3" s="1"/>
  <c r="AN122" i="3"/>
  <c r="ET122" i="3" s="1"/>
  <c r="AL122" i="3"/>
  <c r="AK122" i="3"/>
  <c r="AJ122" i="3"/>
  <c r="BF122" i="3" s="1"/>
  <c r="AI122" i="3"/>
  <c r="AH122" i="3"/>
  <c r="AG122" i="3"/>
  <c r="AF122" i="3"/>
  <c r="AE122" i="3"/>
  <c r="AD122" i="3"/>
  <c r="AC122" i="3"/>
  <c r="AB122" i="3"/>
  <c r="AA122" i="3"/>
  <c r="BD122" i="3" s="1"/>
  <c r="Z122" i="3"/>
  <c r="Y122" i="3"/>
  <c r="X122" i="3"/>
  <c r="T122" i="3"/>
  <c r="FG121" i="3"/>
  <c r="FF121" i="3"/>
  <c r="FD121" i="3"/>
  <c r="EY121" i="3"/>
  <c r="EV121" i="3"/>
  <c r="EU121" i="3"/>
  <c r="ET121" i="3"/>
  <c r="EQ121" i="3"/>
  <c r="EO121" i="3"/>
  <c r="EL121" i="3"/>
  <c r="EJ121" i="3"/>
  <c r="EE121" i="3"/>
  <c r="EA121" i="3"/>
  <c r="DY121" i="3"/>
  <c r="DW121" i="3"/>
  <c r="DS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X121" i="3"/>
  <c r="CU121" i="3"/>
  <c r="CS121" i="3"/>
  <c r="CQ121" i="3"/>
  <c r="CN121" i="3"/>
  <c r="CL121" i="3"/>
  <c r="CI121" i="3"/>
  <c r="CD121" i="3"/>
  <c r="CB121" i="3"/>
  <c r="BZ121" i="3"/>
  <c r="BW121" i="3"/>
  <c r="BU121" i="3"/>
  <c r="BS121" i="3"/>
  <c r="BQ121" i="3"/>
  <c r="BP121" i="3"/>
  <c r="BO121" i="3"/>
  <c r="BG121" i="3"/>
  <c r="BB121" i="3"/>
  <c r="EC121" i="3" s="1"/>
  <c r="BA121" i="3"/>
  <c r="EB121" i="3" s="1"/>
  <c r="AZ121" i="3"/>
  <c r="CW121" i="3" s="1"/>
  <c r="AY121" i="3"/>
  <c r="AX121" i="3"/>
  <c r="EN121" i="3" s="1"/>
  <c r="AW121" i="3"/>
  <c r="AV121" i="3"/>
  <c r="FB121" i="3" s="1"/>
  <c r="AU121" i="3"/>
  <c r="BN121" i="3" s="1"/>
  <c r="AT121" i="3"/>
  <c r="DU121" i="3" s="1"/>
  <c r="AS121" i="3"/>
  <c r="DT121" i="3" s="1"/>
  <c r="AR121" i="3"/>
  <c r="EH121" i="3" s="1"/>
  <c r="AQ121" i="3"/>
  <c r="EG121" i="3" s="1"/>
  <c r="AP121" i="3"/>
  <c r="AO121" i="3"/>
  <c r="DP121" i="3" s="1"/>
  <c r="AN121" i="3"/>
  <c r="CK121" i="3" s="1"/>
  <c r="AL121" i="3"/>
  <c r="AK121" i="3"/>
  <c r="AJ121" i="3"/>
  <c r="AI121" i="3"/>
  <c r="AH121" i="3"/>
  <c r="AG121" i="3"/>
  <c r="AF121" i="3"/>
  <c r="BE121" i="3" s="1"/>
  <c r="AE121" i="3"/>
  <c r="AD121" i="3"/>
  <c r="AC121" i="3"/>
  <c r="AB121" i="3"/>
  <c r="AA121" i="3"/>
  <c r="BD121" i="3" s="1"/>
  <c r="Z121" i="3"/>
  <c r="Y121" i="3"/>
  <c r="X121" i="3"/>
  <c r="T121" i="3"/>
  <c r="FG120" i="3"/>
  <c r="FF120" i="3"/>
  <c r="FD120" i="3"/>
  <c r="FB120" i="3"/>
  <c r="EY120" i="3"/>
  <c r="EX120" i="3"/>
  <c r="EW120" i="3"/>
  <c r="EU120" i="3"/>
  <c r="ET120" i="3"/>
  <c r="EO120" i="3"/>
  <c r="EM120" i="3"/>
  <c r="EK120" i="3"/>
  <c r="EH120" i="3"/>
  <c r="EF120" i="3"/>
  <c r="ED120" i="3"/>
  <c r="EB120" i="3"/>
  <c r="EA120" i="3"/>
  <c r="DZ120" i="3"/>
  <c r="DY120" i="3"/>
  <c r="DR120" i="3"/>
  <c r="DP120" i="3"/>
  <c r="DO120" i="3"/>
  <c r="DN120" i="3"/>
  <c r="DM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X120" i="3"/>
  <c r="CV120" i="3"/>
  <c r="CT120" i="3"/>
  <c r="CQ120" i="3"/>
  <c r="CO120" i="3"/>
  <c r="CL120" i="3"/>
  <c r="CJ120" i="3"/>
  <c r="CG120" i="3"/>
  <c r="CE120" i="3"/>
  <c r="CC120" i="3"/>
  <c r="BZ120" i="3"/>
  <c r="BV120" i="3"/>
  <c r="BT120" i="3"/>
  <c r="BS120" i="3"/>
  <c r="BR120" i="3"/>
  <c r="BQ120" i="3"/>
  <c r="BN120" i="3"/>
  <c r="BJ120" i="3"/>
  <c r="BH120" i="3"/>
  <c r="BG120" i="3"/>
  <c r="BE120" i="3"/>
  <c r="BB120" i="3"/>
  <c r="BA120" i="3"/>
  <c r="EQ120" i="3" s="1"/>
  <c r="AZ120" i="3"/>
  <c r="CW120" i="3" s="1"/>
  <c r="AY120" i="3"/>
  <c r="FE120" i="3" s="1"/>
  <c r="AX120" i="3"/>
  <c r="AW120" i="3"/>
  <c r="DX120" i="3" s="1"/>
  <c r="AV120" i="3"/>
  <c r="DW120" i="3" s="1"/>
  <c r="AU120" i="3"/>
  <c r="AT120" i="3"/>
  <c r="EJ120" i="3" s="1"/>
  <c r="AS120" i="3"/>
  <c r="AR120" i="3"/>
  <c r="DS120" i="3" s="1"/>
  <c r="AQ120" i="3"/>
  <c r="CN120" i="3" s="1"/>
  <c r="AP120" i="3"/>
  <c r="AO120" i="3"/>
  <c r="EE120" i="3" s="1"/>
  <c r="AN120" i="3"/>
  <c r="CK120" i="3" s="1"/>
  <c r="AL120" i="3"/>
  <c r="AK120" i="3"/>
  <c r="AJ120" i="3"/>
  <c r="AI120" i="3"/>
  <c r="AH120" i="3"/>
  <c r="AG120" i="3"/>
  <c r="AF120" i="3"/>
  <c r="AE120" i="3"/>
  <c r="AD120" i="3"/>
  <c r="AC120" i="3"/>
  <c r="AB120" i="3"/>
  <c r="BD120" i="3" s="1"/>
  <c r="AA120" i="3"/>
  <c r="Z120" i="3"/>
  <c r="Y120" i="3"/>
  <c r="X120" i="3"/>
  <c r="T120" i="3"/>
  <c r="FE119" i="3"/>
  <c r="FC119" i="3"/>
  <c r="FA119" i="3"/>
  <c r="EX119" i="3"/>
  <c r="ER119" i="3"/>
  <c r="EP119" i="3"/>
  <c r="EL119" i="3"/>
  <c r="EK119" i="3"/>
  <c r="EF119" i="3"/>
  <c r="ED119" i="3"/>
  <c r="EC119" i="3"/>
  <c r="DS119" i="3"/>
  <c r="DQ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W119" i="3"/>
  <c r="CT119" i="3"/>
  <c r="CR119" i="3"/>
  <c r="CP119" i="3"/>
  <c r="CO119" i="3"/>
  <c r="CM119" i="3"/>
  <c r="CK119" i="3"/>
  <c r="CJ119" i="3"/>
  <c r="CH119" i="3"/>
  <c r="CC119" i="3"/>
  <c r="BX119" i="3"/>
  <c r="BV119" i="3"/>
  <c r="BU119" i="3"/>
  <c r="BR119" i="3"/>
  <c r="BK119" i="3"/>
  <c r="BI119" i="3"/>
  <c r="BF119" i="3"/>
  <c r="BC119" i="3"/>
  <c r="BB119" i="3"/>
  <c r="FH119" i="3" s="1"/>
  <c r="BA119" i="3"/>
  <c r="AZ119" i="3"/>
  <c r="EA119" i="3" s="1"/>
  <c r="AY119" i="3"/>
  <c r="DZ119" i="3" s="1"/>
  <c r="AX119" i="3"/>
  <c r="FD119" i="3" s="1"/>
  <c r="AW119" i="3"/>
  <c r="EM119" i="3" s="1"/>
  <c r="AV119" i="3"/>
  <c r="CS119" i="3" s="1"/>
  <c r="AU119" i="3"/>
  <c r="DV119" i="3" s="1"/>
  <c r="AT119" i="3"/>
  <c r="EZ119" i="3" s="1"/>
  <c r="AS119" i="3"/>
  <c r="EI119" i="3" s="1"/>
  <c r="AR119" i="3"/>
  <c r="EH119" i="3" s="1"/>
  <c r="AQ119" i="3"/>
  <c r="AP119" i="3"/>
  <c r="EV119" i="3" s="1"/>
  <c r="AO119" i="3"/>
  <c r="AN119" i="3"/>
  <c r="DO119" i="3" s="1"/>
  <c r="AL119" i="3"/>
  <c r="AK119" i="3"/>
  <c r="AJ119" i="3"/>
  <c r="AI119" i="3"/>
  <c r="AH119" i="3"/>
  <c r="AG119" i="3"/>
  <c r="BE119" i="3" s="1"/>
  <c r="AF119" i="3"/>
  <c r="AE119" i="3"/>
  <c r="AD119" i="3"/>
  <c r="AC119" i="3"/>
  <c r="AB119" i="3"/>
  <c r="AA119" i="3"/>
  <c r="Z119" i="3"/>
  <c r="Y119" i="3"/>
  <c r="X119" i="3"/>
  <c r="AM119" i="3" s="1"/>
  <c r="T119" i="3"/>
  <c r="FF118" i="3"/>
  <c r="FD118" i="3"/>
  <c r="FA118" i="3"/>
  <c r="EN118" i="3"/>
  <c r="EL118" i="3"/>
  <c r="EJ118" i="3"/>
  <c r="EI118" i="3"/>
  <c r="EG118" i="3"/>
  <c r="DV118" i="3"/>
  <c r="DU118" i="3"/>
  <c r="DT118" i="3"/>
  <c r="DS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X118" i="3"/>
  <c r="CW118" i="3"/>
  <c r="CU118" i="3"/>
  <c r="CS118" i="3"/>
  <c r="CR118" i="3"/>
  <c r="CP118" i="3"/>
  <c r="CN118" i="3"/>
  <c r="CK118" i="3"/>
  <c r="CI118" i="3"/>
  <c r="CF118" i="3"/>
  <c r="CD118" i="3"/>
  <c r="CA118" i="3"/>
  <c r="BY118" i="3"/>
  <c r="BO118" i="3"/>
  <c r="BN118" i="3"/>
  <c r="BL118" i="3"/>
  <c r="BB118" i="3"/>
  <c r="ER118" i="3" s="1"/>
  <c r="BA118" i="3"/>
  <c r="FG118" i="3" s="1"/>
  <c r="AZ118" i="3"/>
  <c r="AY118" i="3"/>
  <c r="AX118" i="3"/>
  <c r="DY118" i="3" s="1"/>
  <c r="AW118" i="3"/>
  <c r="AV118" i="3"/>
  <c r="AU118" i="3"/>
  <c r="EK118" i="3" s="1"/>
  <c r="AT118" i="3"/>
  <c r="CQ118" i="3" s="1"/>
  <c r="AS118" i="3"/>
  <c r="EY118" i="3" s="1"/>
  <c r="AR118" i="3"/>
  <c r="CO118" i="3" s="1"/>
  <c r="AQ118" i="3"/>
  <c r="AP118" i="3"/>
  <c r="EF118" i="3" s="1"/>
  <c r="AO118" i="3"/>
  <c r="EU118" i="3" s="1"/>
  <c r="AN118" i="3"/>
  <c r="AL118" i="3"/>
  <c r="AK118" i="3"/>
  <c r="BF118" i="3" s="1"/>
  <c r="AJ118" i="3"/>
  <c r="AI118" i="3"/>
  <c r="AH118" i="3"/>
  <c r="AG118" i="3"/>
  <c r="AF118" i="3"/>
  <c r="BE118" i="3" s="1"/>
  <c r="AE118" i="3"/>
  <c r="AD118" i="3"/>
  <c r="AC118" i="3"/>
  <c r="AB118" i="3"/>
  <c r="AA118" i="3"/>
  <c r="BD118" i="3" s="1"/>
  <c r="Z118" i="3"/>
  <c r="Y118" i="3"/>
  <c r="BC118" i="3" s="1"/>
  <c r="X118" i="3"/>
  <c r="T118" i="3"/>
  <c r="FH117" i="3"/>
  <c r="FG117" i="3"/>
  <c r="FD117" i="3"/>
  <c r="FA117" i="3"/>
  <c r="EV117" i="3"/>
  <c r="EU117" i="3"/>
  <c r="ER117" i="3"/>
  <c r="EQ117" i="3"/>
  <c r="EM117" i="3"/>
  <c r="EL117" i="3"/>
  <c r="EK117" i="3"/>
  <c r="EI117" i="3"/>
  <c r="EF117" i="3"/>
  <c r="EE117" i="3"/>
  <c r="EA117" i="3"/>
  <c r="DY117" i="3"/>
  <c r="DX117" i="3"/>
  <c r="DW117" i="3"/>
  <c r="DV117" i="3"/>
  <c r="DQ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V117" i="3"/>
  <c r="CU117" i="3"/>
  <c r="CS117" i="3"/>
  <c r="CP117" i="3"/>
  <c r="CM117" i="3"/>
  <c r="CL117" i="3"/>
  <c r="CJ117" i="3"/>
  <c r="CI117" i="3"/>
  <c r="CE117" i="3"/>
  <c r="CD117" i="3"/>
  <c r="CC117" i="3"/>
  <c r="CA117" i="3"/>
  <c r="BX117" i="3"/>
  <c r="BW117" i="3"/>
  <c r="BS117" i="3"/>
  <c r="BQ117" i="3"/>
  <c r="BP117" i="3"/>
  <c r="BO117" i="3"/>
  <c r="BN117" i="3"/>
  <c r="BI117" i="3"/>
  <c r="BF117" i="3"/>
  <c r="BC117" i="3"/>
  <c r="BB117" i="3"/>
  <c r="EC117" i="3" s="1"/>
  <c r="BA117" i="3"/>
  <c r="EB117" i="3" s="1"/>
  <c r="AZ117" i="3"/>
  <c r="AY117" i="3"/>
  <c r="AX117" i="3"/>
  <c r="EN117" i="3" s="1"/>
  <c r="AW117" i="3"/>
  <c r="CT117" i="3" s="1"/>
  <c r="AV117" i="3"/>
  <c r="FB117" i="3" s="1"/>
  <c r="AU117" i="3"/>
  <c r="CR117" i="3" s="1"/>
  <c r="AT117" i="3"/>
  <c r="AS117" i="3"/>
  <c r="EY117" i="3" s="1"/>
  <c r="AR117" i="3"/>
  <c r="EX117" i="3" s="1"/>
  <c r="AQ117" i="3"/>
  <c r="AP117" i="3"/>
  <c r="AO117" i="3"/>
  <c r="DP117" i="3" s="1"/>
  <c r="AN117" i="3"/>
  <c r="AL117" i="3"/>
  <c r="AK117" i="3"/>
  <c r="AJ117" i="3"/>
  <c r="AI117" i="3"/>
  <c r="AH117" i="3"/>
  <c r="AG117" i="3"/>
  <c r="AF117" i="3"/>
  <c r="BE117" i="3" s="1"/>
  <c r="AE117" i="3"/>
  <c r="AD117" i="3"/>
  <c r="AC117" i="3"/>
  <c r="AB117" i="3"/>
  <c r="AA117" i="3"/>
  <c r="BD117" i="3" s="1"/>
  <c r="Z117" i="3"/>
  <c r="Y117" i="3"/>
  <c r="X117" i="3"/>
  <c r="T117" i="3"/>
  <c r="FG116" i="3"/>
  <c r="FD116" i="3"/>
  <c r="FA116" i="3"/>
  <c r="EY116" i="3"/>
  <c r="ET116" i="3"/>
  <c r="EP116" i="3"/>
  <c r="EN116" i="3"/>
  <c r="EK116" i="3"/>
  <c r="EI116" i="3"/>
  <c r="EF116" i="3"/>
  <c r="ED116" i="3"/>
  <c r="DT116" i="3"/>
  <c r="DQ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S116" i="3"/>
  <c r="CQ116" i="3"/>
  <c r="CP116" i="3"/>
  <c r="CN116" i="3"/>
  <c r="CM116" i="3"/>
  <c r="CH116" i="3"/>
  <c r="CF116" i="3"/>
  <c r="CD116" i="3"/>
  <c r="CC116" i="3"/>
  <c r="CA116" i="3"/>
  <c r="BX116" i="3"/>
  <c r="BV116" i="3"/>
  <c r="BU116" i="3"/>
  <c r="BS116" i="3"/>
  <c r="BQ116" i="3"/>
  <c r="BP116" i="3"/>
  <c r="BN116" i="3"/>
  <c r="BL116" i="3"/>
  <c r="BK116" i="3"/>
  <c r="BI116" i="3"/>
  <c r="BF116" i="3"/>
  <c r="BC116" i="3"/>
  <c r="BB116" i="3"/>
  <c r="FH116" i="3" s="1"/>
  <c r="BA116" i="3"/>
  <c r="AZ116" i="3"/>
  <c r="CW116" i="3" s="1"/>
  <c r="AY116" i="3"/>
  <c r="AX116" i="3"/>
  <c r="CU116" i="3" s="1"/>
  <c r="AW116" i="3"/>
  <c r="FC116" i="3" s="1"/>
  <c r="AV116" i="3"/>
  <c r="FB116" i="3" s="1"/>
  <c r="AU116" i="3"/>
  <c r="DV116" i="3" s="1"/>
  <c r="AT116" i="3"/>
  <c r="CB116" i="3" s="1"/>
  <c r="AS116" i="3"/>
  <c r="AR116" i="3"/>
  <c r="DS116" i="3" s="1"/>
  <c r="AQ116" i="3"/>
  <c r="AP116" i="3"/>
  <c r="EV116" i="3" s="1"/>
  <c r="AO116" i="3"/>
  <c r="AN116" i="3"/>
  <c r="CK116" i="3" s="1"/>
  <c r="AL116" i="3"/>
  <c r="AK116" i="3"/>
  <c r="AJ116" i="3"/>
  <c r="AI116" i="3"/>
  <c r="AH116" i="3"/>
  <c r="AG116" i="3"/>
  <c r="AF116" i="3"/>
  <c r="BE116" i="3" s="1"/>
  <c r="AE116" i="3"/>
  <c r="AD116" i="3"/>
  <c r="AC116" i="3"/>
  <c r="AB116" i="3"/>
  <c r="AA116" i="3"/>
  <c r="BD116" i="3" s="1"/>
  <c r="Z116" i="3"/>
  <c r="Y116" i="3"/>
  <c r="X116" i="3"/>
  <c r="T116" i="3"/>
  <c r="FG115" i="3"/>
  <c r="FF115" i="3"/>
  <c r="FD115" i="3"/>
  <c r="EY115" i="3"/>
  <c r="EV115" i="3"/>
  <c r="EU115" i="3"/>
  <c r="ET115" i="3"/>
  <c r="EQ115" i="3"/>
  <c r="EO115" i="3"/>
  <c r="EM115" i="3"/>
  <c r="EL115" i="3"/>
  <c r="EJ115" i="3"/>
  <c r="EI115" i="3"/>
  <c r="EE115" i="3"/>
  <c r="EB115" i="3"/>
  <c r="EA115" i="3"/>
  <c r="DZ115" i="3"/>
  <c r="DX115" i="3"/>
  <c r="DV115" i="3"/>
  <c r="DT115" i="3"/>
  <c r="DP115" i="3"/>
  <c r="DO115" i="3"/>
  <c r="DN115" i="3"/>
  <c r="DM115" i="3"/>
  <c r="DL115" i="3"/>
  <c r="DK115" i="3"/>
  <c r="DJ115" i="3"/>
  <c r="DI115" i="3"/>
  <c r="DH115" i="3"/>
  <c r="DG115" i="3"/>
  <c r="DF115" i="3"/>
  <c r="DE115" i="3"/>
  <c r="DD115" i="3"/>
  <c r="DC115" i="3"/>
  <c r="DB115" i="3"/>
  <c r="DA115" i="3"/>
  <c r="CZ115" i="3"/>
  <c r="CX115" i="3"/>
  <c r="CU115" i="3"/>
  <c r="CS115" i="3"/>
  <c r="CQ115" i="3"/>
  <c r="CP115" i="3"/>
  <c r="CN115" i="3"/>
  <c r="CL115" i="3"/>
  <c r="CI115" i="3"/>
  <c r="CG115" i="3"/>
  <c r="CE115" i="3"/>
  <c r="CD115" i="3"/>
  <c r="CB115" i="3"/>
  <c r="CA115" i="3"/>
  <c r="BW115" i="3"/>
  <c r="BT115" i="3"/>
  <c r="BS115" i="3"/>
  <c r="BR115" i="3"/>
  <c r="BP115" i="3"/>
  <c r="BO115" i="3"/>
  <c r="BN115" i="3"/>
  <c r="BL115" i="3"/>
  <c r="BH115" i="3"/>
  <c r="BG115" i="3"/>
  <c r="BB115" i="3"/>
  <c r="BA115" i="3"/>
  <c r="AZ115" i="3"/>
  <c r="CW115" i="3" s="1"/>
  <c r="AY115" i="3"/>
  <c r="FE115" i="3" s="1"/>
  <c r="AX115" i="3"/>
  <c r="EN115" i="3" s="1"/>
  <c r="AW115" i="3"/>
  <c r="FC115" i="3" s="1"/>
  <c r="AV115" i="3"/>
  <c r="FB115" i="3" s="1"/>
  <c r="AU115" i="3"/>
  <c r="FA115" i="3" s="1"/>
  <c r="AT115" i="3"/>
  <c r="DU115" i="3" s="1"/>
  <c r="AS115" i="3"/>
  <c r="AR115" i="3"/>
  <c r="BZ115" i="3" s="1"/>
  <c r="AQ115" i="3"/>
  <c r="EG115" i="3" s="1"/>
  <c r="AP115" i="3"/>
  <c r="AO115" i="3"/>
  <c r="AN115" i="3"/>
  <c r="CK115" i="3" s="1"/>
  <c r="AL115" i="3"/>
  <c r="AK115" i="3"/>
  <c r="AJ115" i="3"/>
  <c r="AI115" i="3"/>
  <c r="BF115" i="3" s="1"/>
  <c r="AH115" i="3"/>
  <c r="AG115" i="3"/>
  <c r="AF115" i="3"/>
  <c r="BE115" i="3" s="1"/>
  <c r="AE115" i="3"/>
  <c r="AD115" i="3"/>
  <c r="BD115" i="3" s="1"/>
  <c r="AC115" i="3"/>
  <c r="AB115" i="3"/>
  <c r="AA115" i="3"/>
  <c r="Z115" i="3"/>
  <c r="Y115" i="3"/>
  <c r="X115" i="3"/>
  <c r="T115" i="3"/>
  <c r="FG114" i="3"/>
  <c r="FB114" i="3"/>
  <c r="EX114" i="3"/>
  <c r="EW114" i="3"/>
  <c r="EU114" i="3"/>
  <c r="ER114" i="3"/>
  <c r="EP114" i="3"/>
  <c r="EO114" i="3"/>
  <c r="EM114" i="3"/>
  <c r="EL114" i="3"/>
  <c r="EH114" i="3"/>
  <c r="EF114" i="3"/>
  <c r="ED114" i="3"/>
  <c r="EC114" i="3"/>
  <c r="EA114" i="3"/>
  <c r="DZ114" i="3"/>
  <c r="DY114" i="3"/>
  <c r="DW114" i="3"/>
  <c r="DS114" i="3"/>
  <c r="DR114" i="3"/>
  <c r="DQ114" i="3"/>
  <c r="DO114" i="3"/>
  <c r="DN114" i="3"/>
  <c r="DM114" i="3"/>
  <c r="DL114" i="3"/>
  <c r="DK114" i="3"/>
  <c r="DJ114" i="3"/>
  <c r="DI114" i="3"/>
  <c r="DH114" i="3"/>
  <c r="DG114" i="3"/>
  <c r="DF114" i="3"/>
  <c r="DE114" i="3"/>
  <c r="DD114" i="3"/>
  <c r="DC114" i="3"/>
  <c r="DB114" i="3"/>
  <c r="DA114" i="3"/>
  <c r="CZ114" i="3"/>
  <c r="CX114" i="3"/>
  <c r="CV114" i="3"/>
  <c r="CT114" i="3"/>
  <c r="CS114" i="3"/>
  <c r="CQ114" i="3"/>
  <c r="CO114" i="3"/>
  <c r="CL114" i="3"/>
  <c r="CJ114" i="3"/>
  <c r="CH114" i="3"/>
  <c r="CG114" i="3"/>
  <c r="CE114" i="3"/>
  <c r="CD114" i="3"/>
  <c r="CC114" i="3"/>
  <c r="BZ114" i="3"/>
  <c r="BX114" i="3"/>
  <c r="BV114" i="3"/>
  <c r="BU114" i="3"/>
  <c r="BS114" i="3"/>
  <c r="BR114" i="3"/>
  <c r="BQ114" i="3"/>
  <c r="BO114" i="3"/>
  <c r="BK114" i="3"/>
  <c r="BJ114" i="3"/>
  <c r="BI114" i="3"/>
  <c r="BG114" i="3"/>
  <c r="BE114" i="3"/>
  <c r="BB114" i="3"/>
  <c r="FH114" i="3" s="1"/>
  <c r="BA114" i="3"/>
  <c r="EQ114" i="3" s="1"/>
  <c r="AZ114" i="3"/>
  <c r="FF114" i="3" s="1"/>
  <c r="AY114" i="3"/>
  <c r="FE114" i="3" s="1"/>
  <c r="AX114" i="3"/>
  <c r="FD114" i="3" s="1"/>
  <c r="AW114" i="3"/>
  <c r="DX114" i="3" s="1"/>
  <c r="AV114" i="3"/>
  <c r="AU114" i="3"/>
  <c r="AT114" i="3"/>
  <c r="EJ114" i="3" s="1"/>
  <c r="AS114" i="3"/>
  <c r="AR114" i="3"/>
  <c r="AQ114" i="3"/>
  <c r="CN114" i="3" s="1"/>
  <c r="AP114" i="3"/>
  <c r="EV114" i="3" s="1"/>
  <c r="AO114" i="3"/>
  <c r="EE114" i="3" s="1"/>
  <c r="AN114" i="3"/>
  <c r="ET114" i="3" s="1"/>
  <c r="AL114" i="3"/>
  <c r="AK114" i="3"/>
  <c r="AJ114" i="3"/>
  <c r="AI114" i="3"/>
  <c r="BF114" i="3" s="1"/>
  <c r="AH114" i="3"/>
  <c r="AG114" i="3"/>
  <c r="AF114" i="3"/>
  <c r="AE114" i="3"/>
  <c r="AD114" i="3"/>
  <c r="AC114" i="3"/>
  <c r="AB114" i="3"/>
  <c r="AA114" i="3"/>
  <c r="BD114" i="3" s="1"/>
  <c r="Z114" i="3"/>
  <c r="Y114" i="3"/>
  <c r="BC114" i="3" s="1"/>
  <c r="X114" i="3"/>
  <c r="T114" i="3"/>
  <c r="FE113" i="3"/>
  <c r="FA113" i="3"/>
  <c r="EZ113" i="3"/>
  <c r="EX113" i="3"/>
  <c r="ER113" i="3"/>
  <c r="EP113" i="3"/>
  <c r="EO113" i="3"/>
  <c r="EK113" i="3"/>
  <c r="EI113" i="3"/>
  <c r="EG113" i="3"/>
  <c r="EF113" i="3"/>
  <c r="ED113" i="3"/>
  <c r="EC113" i="3"/>
  <c r="EB113" i="3"/>
  <c r="DZ113" i="3"/>
  <c r="DV113" i="3"/>
  <c r="DU113" i="3"/>
  <c r="DT113" i="3"/>
  <c r="DR113" i="3"/>
  <c r="DQ113" i="3"/>
  <c r="DP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W113" i="3"/>
  <c r="CV113" i="3"/>
  <c r="CT113" i="3"/>
  <c r="CR113" i="3"/>
  <c r="CO113" i="3"/>
  <c r="CM113" i="3"/>
  <c r="CK113" i="3"/>
  <c r="CJ113" i="3"/>
  <c r="CH113" i="3"/>
  <c r="CG113" i="3"/>
  <c r="CF113" i="3"/>
  <c r="CC113" i="3"/>
  <c r="CA113" i="3"/>
  <c r="BY113" i="3"/>
  <c r="BX113" i="3"/>
  <c r="BV113" i="3"/>
  <c r="BU113" i="3"/>
  <c r="BT113" i="3"/>
  <c r="BR113" i="3"/>
  <c r="BN113" i="3"/>
  <c r="BM113" i="3"/>
  <c r="BL113" i="3"/>
  <c r="BJ113" i="3"/>
  <c r="BI113" i="3"/>
  <c r="BH113" i="3"/>
  <c r="BB113" i="3"/>
  <c r="FH113" i="3" s="1"/>
  <c r="BA113" i="3"/>
  <c r="FG113" i="3" s="1"/>
  <c r="AZ113" i="3"/>
  <c r="EA113" i="3" s="1"/>
  <c r="AY113" i="3"/>
  <c r="AX113" i="3"/>
  <c r="AW113" i="3"/>
  <c r="EM113" i="3" s="1"/>
  <c r="AV113" i="3"/>
  <c r="FB113" i="3" s="1"/>
  <c r="AU113" i="3"/>
  <c r="AT113" i="3"/>
  <c r="CQ113" i="3" s="1"/>
  <c r="AS113" i="3"/>
  <c r="EY113" i="3" s="1"/>
  <c r="AR113" i="3"/>
  <c r="EH113" i="3" s="1"/>
  <c r="AQ113" i="3"/>
  <c r="EW113" i="3" s="1"/>
  <c r="AP113" i="3"/>
  <c r="EV113" i="3" s="1"/>
  <c r="AO113" i="3"/>
  <c r="EU113" i="3" s="1"/>
  <c r="AN113" i="3"/>
  <c r="DO113" i="3" s="1"/>
  <c r="AL113" i="3"/>
  <c r="AK113" i="3"/>
  <c r="AJ113" i="3"/>
  <c r="BF113" i="3" s="1"/>
  <c r="AI113" i="3"/>
  <c r="AH113" i="3"/>
  <c r="AG113" i="3"/>
  <c r="BE113" i="3" s="1"/>
  <c r="AF113" i="3"/>
  <c r="AE113" i="3"/>
  <c r="AD113" i="3"/>
  <c r="AC113" i="3"/>
  <c r="AB113" i="3"/>
  <c r="BD113" i="3" s="1"/>
  <c r="AA113" i="3"/>
  <c r="Z113" i="3"/>
  <c r="Y113" i="3"/>
  <c r="X113" i="3"/>
  <c r="T113" i="3"/>
  <c r="FH112" i="3"/>
  <c r="FD112" i="3"/>
  <c r="FC112" i="3"/>
  <c r="FA112" i="3"/>
  <c r="EV112" i="3"/>
  <c r="ER112" i="3"/>
  <c r="EN112" i="3"/>
  <c r="EL112" i="3"/>
  <c r="EJ112" i="3"/>
  <c r="EI112" i="3"/>
  <c r="EG112" i="3"/>
  <c r="EF112" i="3"/>
  <c r="EE112" i="3"/>
  <c r="EC112" i="3"/>
  <c r="DY112" i="3"/>
  <c r="DX112" i="3"/>
  <c r="DW112" i="3"/>
  <c r="DU112" i="3"/>
  <c r="DT112" i="3"/>
  <c r="DS112" i="3"/>
  <c r="DQ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W112" i="3"/>
  <c r="CU112" i="3"/>
  <c r="CR112" i="3"/>
  <c r="CP112" i="3"/>
  <c r="CN112" i="3"/>
  <c r="CM112" i="3"/>
  <c r="CK112" i="3"/>
  <c r="CJ112" i="3"/>
  <c r="CI112" i="3"/>
  <c r="CF112" i="3"/>
  <c r="CD112" i="3"/>
  <c r="CB112" i="3"/>
  <c r="CA112" i="3"/>
  <c r="BY112" i="3"/>
  <c r="BX112" i="3"/>
  <c r="BW112" i="3"/>
  <c r="BU112" i="3"/>
  <c r="BQ112" i="3"/>
  <c r="BP112" i="3"/>
  <c r="BO112" i="3"/>
  <c r="BM112" i="3"/>
  <c r="BL112" i="3"/>
  <c r="BK112" i="3"/>
  <c r="BI112" i="3"/>
  <c r="BF112" i="3"/>
  <c r="BC112" i="3"/>
  <c r="BB112" i="3"/>
  <c r="BA112" i="3"/>
  <c r="AZ112" i="3"/>
  <c r="EP112" i="3" s="1"/>
  <c r="AY112" i="3"/>
  <c r="FE112" i="3" s="1"/>
  <c r="AX112" i="3"/>
  <c r="AW112" i="3"/>
  <c r="CT112" i="3" s="1"/>
  <c r="AV112" i="3"/>
  <c r="FB112" i="3" s="1"/>
  <c r="AU112" i="3"/>
  <c r="EK112" i="3" s="1"/>
  <c r="AT112" i="3"/>
  <c r="EZ112" i="3" s="1"/>
  <c r="AS112" i="3"/>
  <c r="EY112" i="3" s="1"/>
  <c r="AR112" i="3"/>
  <c r="AQ112" i="3"/>
  <c r="DR112" i="3" s="1"/>
  <c r="AP112" i="3"/>
  <c r="AO112" i="3"/>
  <c r="AN112" i="3"/>
  <c r="ED112" i="3" s="1"/>
  <c r="AL112" i="3"/>
  <c r="AK112" i="3"/>
  <c r="AJ112" i="3"/>
  <c r="AI112" i="3"/>
  <c r="AH112" i="3"/>
  <c r="AG112" i="3"/>
  <c r="AF112" i="3"/>
  <c r="BE112" i="3" s="1"/>
  <c r="AE112" i="3"/>
  <c r="AD112" i="3"/>
  <c r="AC112" i="3"/>
  <c r="AB112" i="3"/>
  <c r="AA112" i="3"/>
  <c r="AM112" i="3" s="1"/>
  <c r="Z112" i="3"/>
  <c r="Y112" i="3"/>
  <c r="X112" i="3"/>
  <c r="T112" i="3"/>
  <c r="FH111" i="3"/>
  <c r="FG111" i="3"/>
  <c r="FF111" i="3"/>
  <c r="FD111" i="3"/>
  <c r="EY111" i="3"/>
  <c r="EU111" i="3"/>
  <c r="ET111" i="3"/>
  <c r="EQ111" i="3"/>
  <c r="EO111" i="3"/>
  <c r="EM111" i="3"/>
  <c r="EL111" i="3"/>
  <c r="EJ111" i="3"/>
  <c r="EI111" i="3"/>
  <c r="EH111" i="3"/>
  <c r="EE111" i="3"/>
  <c r="EB111" i="3"/>
  <c r="EA111" i="3"/>
  <c r="DZ111" i="3"/>
  <c r="DX111" i="3"/>
  <c r="DW111" i="3"/>
  <c r="DT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X111" i="3"/>
  <c r="CU111" i="3"/>
  <c r="CS111" i="3"/>
  <c r="CQ111" i="3"/>
  <c r="CP111" i="3"/>
  <c r="CN111" i="3"/>
  <c r="CL111" i="3"/>
  <c r="CI111" i="3"/>
  <c r="CG111" i="3"/>
  <c r="CE111" i="3"/>
  <c r="CD111" i="3"/>
  <c r="CB111" i="3"/>
  <c r="CA111" i="3"/>
  <c r="BZ111" i="3"/>
  <c r="BW111" i="3"/>
  <c r="BT111" i="3"/>
  <c r="BS111" i="3"/>
  <c r="BR111" i="3"/>
  <c r="BP111" i="3"/>
  <c r="BO111" i="3"/>
  <c r="BL111" i="3"/>
  <c r="BH111" i="3"/>
  <c r="BG111" i="3"/>
  <c r="BB111" i="3"/>
  <c r="BA111" i="3"/>
  <c r="AZ111" i="3"/>
  <c r="CW111" i="3" s="1"/>
  <c r="AY111" i="3"/>
  <c r="FE111" i="3" s="1"/>
  <c r="AX111" i="3"/>
  <c r="EN111" i="3" s="1"/>
  <c r="AW111" i="3"/>
  <c r="FC111" i="3" s="1"/>
  <c r="AV111" i="3"/>
  <c r="FB111" i="3" s="1"/>
  <c r="AU111" i="3"/>
  <c r="AT111" i="3"/>
  <c r="DU111" i="3" s="1"/>
  <c r="AS111" i="3"/>
  <c r="AR111" i="3"/>
  <c r="AQ111" i="3"/>
  <c r="EG111" i="3" s="1"/>
  <c r="AP111" i="3"/>
  <c r="AO111" i="3"/>
  <c r="AN111" i="3"/>
  <c r="CK111" i="3" s="1"/>
  <c r="AL111" i="3"/>
  <c r="AK111" i="3"/>
  <c r="AJ111" i="3"/>
  <c r="AI111" i="3"/>
  <c r="BF111" i="3" s="1"/>
  <c r="AH111" i="3"/>
  <c r="AG111" i="3"/>
  <c r="AF111" i="3"/>
  <c r="BE111" i="3" s="1"/>
  <c r="AE111" i="3"/>
  <c r="AD111" i="3"/>
  <c r="BD111" i="3" s="1"/>
  <c r="AC111" i="3"/>
  <c r="AB111" i="3"/>
  <c r="AA111" i="3"/>
  <c r="Z111" i="3"/>
  <c r="Y111" i="3"/>
  <c r="X111" i="3"/>
  <c r="T111" i="3"/>
  <c r="FG110" i="3"/>
  <c r="FB110" i="3"/>
  <c r="EX110" i="3"/>
  <c r="EW110" i="3"/>
  <c r="EU110" i="3"/>
  <c r="ER110" i="3"/>
  <c r="EP110" i="3"/>
  <c r="EO110" i="3"/>
  <c r="EM110" i="3"/>
  <c r="EL110" i="3"/>
  <c r="EK110" i="3"/>
  <c r="EH110" i="3"/>
  <c r="EF110" i="3"/>
  <c r="ED110" i="3"/>
  <c r="EC110" i="3"/>
  <c r="EA110" i="3"/>
  <c r="DZ110" i="3"/>
  <c r="DW110" i="3"/>
  <c r="DS110" i="3"/>
  <c r="DR110" i="3"/>
  <c r="DQ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X110" i="3"/>
  <c r="CV110" i="3"/>
  <c r="CT110" i="3"/>
  <c r="CS110" i="3"/>
  <c r="CQ110" i="3"/>
  <c r="CO110" i="3"/>
  <c r="CL110" i="3"/>
  <c r="CJ110" i="3"/>
  <c r="CH110" i="3"/>
  <c r="CG110" i="3"/>
  <c r="CE110" i="3"/>
  <c r="CD110" i="3"/>
  <c r="CC110" i="3"/>
  <c r="BZ110" i="3"/>
  <c r="BX110" i="3"/>
  <c r="BV110" i="3"/>
  <c r="BU110" i="3"/>
  <c r="BS110" i="3"/>
  <c r="BR110" i="3"/>
  <c r="BO110" i="3"/>
  <c r="BK110" i="3"/>
  <c r="BJ110" i="3"/>
  <c r="BI110" i="3"/>
  <c r="BG110" i="3"/>
  <c r="BE110" i="3"/>
  <c r="BB110" i="3"/>
  <c r="FH110" i="3" s="1"/>
  <c r="BA110" i="3"/>
  <c r="EQ110" i="3" s="1"/>
  <c r="AZ110" i="3"/>
  <c r="FF110" i="3" s="1"/>
  <c r="AY110" i="3"/>
  <c r="FE110" i="3" s="1"/>
  <c r="AX110" i="3"/>
  <c r="BQ110" i="3" s="1"/>
  <c r="AW110" i="3"/>
  <c r="DX110" i="3" s="1"/>
  <c r="AV110" i="3"/>
  <c r="AU110" i="3"/>
  <c r="AT110" i="3"/>
  <c r="EJ110" i="3" s="1"/>
  <c r="AS110" i="3"/>
  <c r="AR110" i="3"/>
  <c r="AQ110" i="3"/>
  <c r="CN110" i="3" s="1"/>
  <c r="AP110" i="3"/>
  <c r="EV110" i="3" s="1"/>
  <c r="AO110" i="3"/>
  <c r="EE110" i="3" s="1"/>
  <c r="AN110" i="3"/>
  <c r="ET110" i="3" s="1"/>
  <c r="AL110" i="3"/>
  <c r="AK110" i="3"/>
  <c r="AJ110" i="3"/>
  <c r="AI110" i="3"/>
  <c r="BF110" i="3" s="1"/>
  <c r="AH110" i="3"/>
  <c r="AG110" i="3"/>
  <c r="AF110" i="3"/>
  <c r="AE110" i="3"/>
  <c r="AD110" i="3"/>
  <c r="AC110" i="3"/>
  <c r="AB110" i="3"/>
  <c r="AA110" i="3"/>
  <c r="BD110" i="3" s="1"/>
  <c r="Z110" i="3"/>
  <c r="Y110" i="3"/>
  <c r="BC110" i="3" s="1"/>
  <c r="X110" i="3"/>
  <c r="T110" i="3"/>
  <c r="FE109" i="3"/>
  <c r="FB109" i="3"/>
  <c r="FA109" i="3"/>
  <c r="EZ109" i="3"/>
  <c r="EX109" i="3"/>
  <c r="ER109" i="3"/>
  <c r="EP109" i="3"/>
  <c r="EO109" i="3"/>
  <c r="EK109" i="3"/>
  <c r="EI109" i="3"/>
  <c r="EG109" i="3"/>
  <c r="EF109" i="3"/>
  <c r="ED109" i="3"/>
  <c r="EC109" i="3"/>
  <c r="DZ109" i="3"/>
  <c r="DV109" i="3"/>
  <c r="DU109" i="3"/>
  <c r="DT109" i="3"/>
  <c r="DR109" i="3"/>
  <c r="DQ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W109" i="3"/>
  <c r="CV109" i="3"/>
  <c r="CT109" i="3"/>
  <c r="CR109" i="3"/>
  <c r="CO109" i="3"/>
  <c r="CM109" i="3"/>
  <c r="CK109" i="3"/>
  <c r="CJ109" i="3"/>
  <c r="CH109" i="3"/>
  <c r="CG109" i="3"/>
  <c r="CF109" i="3"/>
  <c r="CC109" i="3"/>
  <c r="CA109" i="3"/>
  <c r="BY109" i="3"/>
  <c r="BX109" i="3"/>
  <c r="BV109" i="3"/>
  <c r="BU109" i="3"/>
  <c r="BR109" i="3"/>
  <c r="BN109" i="3"/>
  <c r="BM109" i="3"/>
  <c r="BL109" i="3"/>
  <c r="BJ109" i="3"/>
  <c r="BI109" i="3"/>
  <c r="BB109" i="3"/>
  <c r="FH109" i="3" s="1"/>
  <c r="BA109" i="3"/>
  <c r="BT109" i="3" s="1"/>
  <c r="AZ109" i="3"/>
  <c r="EA109" i="3" s="1"/>
  <c r="AY109" i="3"/>
  <c r="AX109" i="3"/>
  <c r="AW109" i="3"/>
  <c r="EM109" i="3" s="1"/>
  <c r="AV109" i="3"/>
  <c r="AU109" i="3"/>
  <c r="AT109" i="3"/>
  <c r="CQ109" i="3" s="1"/>
  <c r="AS109" i="3"/>
  <c r="EY109" i="3" s="1"/>
  <c r="AR109" i="3"/>
  <c r="EH109" i="3" s="1"/>
  <c r="AQ109" i="3"/>
  <c r="EW109" i="3" s="1"/>
  <c r="AP109" i="3"/>
  <c r="EV109" i="3" s="1"/>
  <c r="AO109" i="3"/>
  <c r="AN109" i="3"/>
  <c r="DO109" i="3" s="1"/>
  <c r="AL109" i="3"/>
  <c r="AK109" i="3"/>
  <c r="AJ109" i="3"/>
  <c r="BF109" i="3" s="1"/>
  <c r="AI109" i="3"/>
  <c r="AH109" i="3"/>
  <c r="AG109" i="3"/>
  <c r="BE109" i="3" s="1"/>
  <c r="AF109" i="3"/>
  <c r="AE109" i="3"/>
  <c r="AD109" i="3"/>
  <c r="AC109" i="3"/>
  <c r="AB109" i="3"/>
  <c r="AA109" i="3"/>
  <c r="Z109" i="3"/>
  <c r="Y109" i="3"/>
  <c r="X109" i="3"/>
  <c r="T109" i="3"/>
  <c r="FH108" i="3"/>
  <c r="FD108" i="3"/>
  <c r="FC108" i="3"/>
  <c r="FA108" i="3"/>
  <c r="EV108" i="3"/>
  <c r="ER108" i="3"/>
  <c r="EN108" i="3"/>
  <c r="EL108" i="3"/>
  <c r="EI108" i="3"/>
  <c r="EG108" i="3"/>
  <c r="EF108" i="3"/>
  <c r="EC108" i="3"/>
  <c r="DY108" i="3"/>
  <c r="DX108" i="3"/>
  <c r="DW108" i="3"/>
  <c r="DU108" i="3"/>
  <c r="DT108" i="3"/>
  <c r="DS108" i="3"/>
  <c r="DQ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W108" i="3"/>
  <c r="CU108" i="3"/>
  <c r="CR108" i="3"/>
  <c r="CP108" i="3"/>
  <c r="CN108" i="3"/>
  <c r="CM108" i="3"/>
  <c r="CK108" i="3"/>
  <c r="CJ108" i="3"/>
  <c r="CF108" i="3"/>
  <c r="CD108" i="3"/>
  <c r="CA108" i="3"/>
  <c r="BY108" i="3"/>
  <c r="BX108" i="3"/>
  <c r="BU108" i="3"/>
  <c r="BQ108" i="3"/>
  <c r="BP108" i="3"/>
  <c r="BO108" i="3"/>
  <c r="BL108" i="3"/>
  <c r="BK108" i="3"/>
  <c r="BI108" i="3"/>
  <c r="BF108" i="3"/>
  <c r="BC108" i="3"/>
  <c r="BB108" i="3"/>
  <c r="BA108" i="3"/>
  <c r="AZ108" i="3"/>
  <c r="EP108" i="3" s="1"/>
  <c r="AY108" i="3"/>
  <c r="AX108" i="3"/>
  <c r="AW108" i="3"/>
  <c r="CT108" i="3" s="1"/>
  <c r="AV108" i="3"/>
  <c r="FB108" i="3" s="1"/>
  <c r="AU108" i="3"/>
  <c r="EK108" i="3" s="1"/>
  <c r="AT108" i="3"/>
  <c r="AS108" i="3"/>
  <c r="EY108" i="3" s="1"/>
  <c r="AR108" i="3"/>
  <c r="AQ108" i="3"/>
  <c r="DR108" i="3" s="1"/>
  <c r="AP108" i="3"/>
  <c r="AO108" i="3"/>
  <c r="AN108" i="3"/>
  <c r="ED108" i="3" s="1"/>
  <c r="AL108" i="3"/>
  <c r="AK108" i="3"/>
  <c r="AJ108" i="3"/>
  <c r="AI108" i="3"/>
  <c r="AH108" i="3"/>
  <c r="AG108" i="3"/>
  <c r="AF108" i="3"/>
  <c r="BE108" i="3" s="1"/>
  <c r="AE108" i="3"/>
  <c r="AD108" i="3"/>
  <c r="AC108" i="3"/>
  <c r="AB108" i="3"/>
  <c r="AA108" i="3"/>
  <c r="BD108" i="3" s="1"/>
  <c r="Z108" i="3"/>
  <c r="Y108" i="3"/>
  <c r="X108" i="3"/>
  <c r="T108" i="3"/>
  <c r="FG107" i="3"/>
  <c r="FF107" i="3"/>
  <c r="FD107" i="3"/>
  <c r="FA107" i="3"/>
  <c r="EY107" i="3"/>
  <c r="EU107" i="3"/>
  <c r="ET107" i="3"/>
  <c r="EQ107" i="3"/>
  <c r="EO107" i="3"/>
  <c r="EL107" i="3"/>
  <c r="EJ107" i="3"/>
  <c r="EI107" i="3"/>
  <c r="EH107" i="3"/>
  <c r="EE107" i="3"/>
  <c r="EC107" i="3"/>
  <c r="EB107" i="3"/>
  <c r="EA107" i="3"/>
  <c r="DZ107" i="3"/>
  <c r="DW107" i="3"/>
  <c r="DV107" i="3"/>
  <c r="DT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X107" i="3"/>
  <c r="CU107" i="3"/>
  <c r="CS107" i="3"/>
  <c r="CQ107" i="3"/>
  <c r="CP107" i="3"/>
  <c r="CN107" i="3"/>
  <c r="CL107" i="3"/>
  <c r="CI107" i="3"/>
  <c r="CG107" i="3"/>
  <c r="CF107" i="3"/>
  <c r="CE107" i="3"/>
  <c r="CD107" i="3"/>
  <c r="CA107" i="3"/>
  <c r="BZ107" i="3"/>
  <c r="BW107" i="3"/>
  <c r="BT107" i="3"/>
  <c r="BS107" i="3"/>
  <c r="BR107" i="3"/>
  <c r="BO107" i="3"/>
  <c r="BN107" i="3"/>
  <c r="BL107" i="3"/>
  <c r="BH107" i="3"/>
  <c r="BG107" i="3"/>
  <c r="BF107" i="3"/>
  <c r="BB107" i="3"/>
  <c r="BA107" i="3"/>
  <c r="AZ107" i="3"/>
  <c r="CW107" i="3" s="1"/>
  <c r="AY107" i="3"/>
  <c r="FE107" i="3" s="1"/>
  <c r="AX107" i="3"/>
  <c r="EN107" i="3" s="1"/>
  <c r="AW107" i="3"/>
  <c r="AV107" i="3"/>
  <c r="FB107" i="3" s="1"/>
  <c r="AU107" i="3"/>
  <c r="AT107" i="3"/>
  <c r="AS107" i="3"/>
  <c r="AR107" i="3"/>
  <c r="AQ107" i="3"/>
  <c r="EG107" i="3" s="1"/>
  <c r="AP107" i="3"/>
  <c r="DQ107" i="3" s="1"/>
  <c r="AO107" i="3"/>
  <c r="AN107" i="3"/>
  <c r="CK107" i="3" s="1"/>
  <c r="AL107" i="3"/>
  <c r="AK107" i="3"/>
  <c r="AJ107" i="3"/>
  <c r="AI107" i="3"/>
  <c r="AH107" i="3"/>
  <c r="AG107" i="3"/>
  <c r="AF107" i="3"/>
  <c r="BE107" i="3" s="1"/>
  <c r="AE107" i="3"/>
  <c r="AD107" i="3"/>
  <c r="BD107" i="3" s="1"/>
  <c r="AC107" i="3"/>
  <c r="AB107" i="3"/>
  <c r="AA107" i="3"/>
  <c r="Z107" i="3"/>
  <c r="Y107" i="3"/>
  <c r="X107" i="3"/>
  <c r="T107" i="3"/>
  <c r="FG106" i="3"/>
  <c r="FD106" i="3"/>
  <c r="FB106" i="3"/>
  <c r="FA106" i="3"/>
  <c r="EY106" i="3"/>
  <c r="EX106" i="3"/>
  <c r="EW106" i="3"/>
  <c r="EU106" i="3"/>
  <c r="ER106" i="3"/>
  <c r="EQ106" i="3"/>
  <c r="EP106" i="3"/>
  <c r="EO106" i="3"/>
  <c r="EM106" i="3"/>
  <c r="EL106" i="3"/>
  <c r="EK106" i="3"/>
  <c r="EH106" i="3"/>
  <c r="EF106" i="3"/>
  <c r="EC106" i="3"/>
  <c r="DZ106" i="3"/>
  <c r="DW106" i="3"/>
  <c r="DT106" i="3"/>
  <c r="DS106" i="3"/>
  <c r="DR106" i="3"/>
  <c r="DQ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X106" i="3"/>
  <c r="CV106" i="3"/>
  <c r="CS106" i="3"/>
  <c r="CQ106" i="3"/>
  <c r="CO106" i="3"/>
  <c r="CL106" i="3"/>
  <c r="CJ106" i="3"/>
  <c r="CI106" i="3"/>
  <c r="CH106" i="3"/>
  <c r="CG106" i="3"/>
  <c r="CE106" i="3"/>
  <c r="CD106" i="3"/>
  <c r="BZ106" i="3"/>
  <c r="BX106" i="3"/>
  <c r="BW106" i="3"/>
  <c r="BU106" i="3"/>
  <c r="BR106" i="3"/>
  <c r="BO106" i="3"/>
  <c r="BL106" i="3"/>
  <c r="BK106" i="3"/>
  <c r="BJ106" i="3"/>
  <c r="BI106" i="3"/>
  <c r="BG106" i="3"/>
  <c r="BE106" i="3"/>
  <c r="BB106" i="3"/>
  <c r="FH106" i="3" s="1"/>
  <c r="BA106" i="3"/>
  <c r="EB106" i="3" s="1"/>
  <c r="AZ106" i="3"/>
  <c r="AY106" i="3"/>
  <c r="FE106" i="3" s="1"/>
  <c r="AX106" i="3"/>
  <c r="AW106" i="3"/>
  <c r="AV106" i="3"/>
  <c r="AU106" i="3"/>
  <c r="CC106" i="3" s="1"/>
  <c r="AT106" i="3"/>
  <c r="EJ106" i="3" s="1"/>
  <c r="AS106" i="3"/>
  <c r="AR106" i="3"/>
  <c r="AQ106" i="3"/>
  <c r="CN106" i="3" s="1"/>
  <c r="AP106" i="3"/>
  <c r="EV106" i="3" s="1"/>
  <c r="AO106" i="3"/>
  <c r="EE106" i="3" s="1"/>
  <c r="AN106" i="3"/>
  <c r="DO106" i="3" s="1"/>
  <c r="AL106" i="3"/>
  <c r="AK106" i="3"/>
  <c r="AJ106" i="3"/>
  <c r="AI106" i="3"/>
  <c r="BF106" i="3" s="1"/>
  <c r="AH106" i="3"/>
  <c r="AG106" i="3"/>
  <c r="AF106" i="3"/>
  <c r="AE106" i="3"/>
  <c r="AD106" i="3"/>
  <c r="AC106" i="3"/>
  <c r="AB106" i="3"/>
  <c r="AA106" i="3"/>
  <c r="Z106" i="3"/>
  <c r="Y106" i="3"/>
  <c r="X106" i="3"/>
  <c r="T106" i="3"/>
  <c r="FE105" i="3"/>
  <c r="FD105" i="3"/>
  <c r="FB105" i="3"/>
  <c r="FA105" i="3"/>
  <c r="EZ105" i="3"/>
  <c r="EX105" i="3"/>
  <c r="EU105" i="3"/>
  <c r="ER105" i="3"/>
  <c r="EP105" i="3"/>
  <c r="EO105" i="3"/>
  <c r="EK105" i="3"/>
  <c r="EI105" i="3"/>
  <c r="EH105" i="3"/>
  <c r="EF105" i="3"/>
  <c r="EC105" i="3"/>
  <c r="EB105" i="3"/>
  <c r="DZ105" i="3"/>
  <c r="DW105" i="3"/>
  <c r="DV105" i="3"/>
  <c r="DU105" i="3"/>
  <c r="DT105" i="3"/>
  <c r="DQ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V105" i="3"/>
  <c r="CT105" i="3"/>
  <c r="CR105" i="3"/>
  <c r="CO105" i="3"/>
  <c r="CM105" i="3"/>
  <c r="CJ105" i="3"/>
  <c r="CG105" i="3"/>
  <c r="CC105" i="3"/>
  <c r="CA105" i="3"/>
  <c r="BZ105" i="3"/>
  <c r="BX105" i="3"/>
  <c r="BU105" i="3"/>
  <c r="BT105" i="3"/>
  <c r="BR105" i="3"/>
  <c r="BQ105" i="3"/>
  <c r="BO105" i="3"/>
  <c r="BN105" i="3"/>
  <c r="BM105" i="3"/>
  <c r="BL105" i="3"/>
  <c r="BJ105" i="3"/>
  <c r="BI105" i="3"/>
  <c r="BE105" i="3"/>
  <c r="BC105" i="3"/>
  <c r="BB105" i="3"/>
  <c r="FH105" i="3" s="1"/>
  <c r="BA105" i="3"/>
  <c r="AZ105" i="3"/>
  <c r="CW105" i="3" s="1"/>
  <c r="AY105" i="3"/>
  <c r="AX105" i="3"/>
  <c r="AW105" i="3"/>
  <c r="EM105" i="3" s="1"/>
  <c r="AV105" i="3"/>
  <c r="AU105" i="3"/>
  <c r="AT105" i="3"/>
  <c r="CQ105" i="3" s="1"/>
  <c r="AS105" i="3"/>
  <c r="AR105" i="3"/>
  <c r="DS105" i="3" s="1"/>
  <c r="AQ105" i="3"/>
  <c r="EG105" i="3" s="1"/>
  <c r="AP105" i="3"/>
  <c r="EV105" i="3" s="1"/>
  <c r="AO105" i="3"/>
  <c r="AN105" i="3"/>
  <c r="ED105" i="3" s="1"/>
  <c r="AL105" i="3"/>
  <c r="AK105" i="3"/>
  <c r="AJ105" i="3"/>
  <c r="BF105" i="3" s="1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AM105" i="3" s="1"/>
  <c r="T105" i="3"/>
  <c r="FH104" i="3"/>
  <c r="FE104" i="3"/>
  <c r="FD104" i="3"/>
  <c r="FA104" i="3"/>
  <c r="EV104" i="3"/>
  <c r="ER104" i="3"/>
  <c r="EN104" i="3"/>
  <c r="EK104" i="3"/>
  <c r="EI104" i="3"/>
  <c r="EG104" i="3"/>
  <c r="EF104" i="3"/>
  <c r="EC104" i="3"/>
  <c r="DZ104" i="3"/>
  <c r="DY104" i="3"/>
  <c r="DU104" i="3"/>
  <c r="DT104" i="3"/>
  <c r="DQ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U104" i="3"/>
  <c r="CS104" i="3"/>
  <c r="CR104" i="3"/>
  <c r="CP104" i="3"/>
  <c r="CN104" i="3"/>
  <c r="CM104" i="3"/>
  <c r="CK104" i="3"/>
  <c r="CJ104" i="3"/>
  <c r="CG104" i="3"/>
  <c r="CF104" i="3"/>
  <c r="CC104" i="3"/>
  <c r="CB104" i="3"/>
  <c r="CA104" i="3"/>
  <c r="BX104" i="3"/>
  <c r="BU104" i="3"/>
  <c r="BR104" i="3"/>
  <c r="BQ104" i="3"/>
  <c r="BL104" i="3"/>
  <c r="BI104" i="3"/>
  <c r="BB104" i="3"/>
  <c r="BA104" i="3"/>
  <c r="AZ104" i="3"/>
  <c r="AY104" i="3"/>
  <c r="EO104" i="3" s="1"/>
  <c r="AX104" i="3"/>
  <c r="AW104" i="3"/>
  <c r="FC104" i="3" s="1"/>
  <c r="AV104" i="3"/>
  <c r="FB104" i="3" s="1"/>
  <c r="AU104" i="3"/>
  <c r="DV104" i="3" s="1"/>
  <c r="AT104" i="3"/>
  <c r="CQ104" i="3" s="1"/>
  <c r="AS104" i="3"/>
  <c r="EY104" i="3" s="1"/>
  <c r="AR104" i="3"/>
  <c r="AQ104" i="3"/>
  <c r="AP104" i="3"/>
  <c r="AO104" i="3"/>
  <c r="AN104" i="3"/>
  <c r="AL104" i="3"/>
  <c r="AK104" i="3"/>
  <c r="BF104" i="3" s="1"/>
  <c r="AJ104" i="3"/>
  <c r="AI104" i="3"/>
  <c r="AH104" i="3"/>
  <c r="AG104" i="3"/>
  <c r="AF104" i="3"/>
  <c r="AE104" i="3"/>
  <c r="AD104" i="3"/>
  <c r="AC104" i="3"/>
  <c r="BD104" i="3" s="1"/>
  <c r="AB104" i="3"/>
  <c r="AA104" i="3"/>
  <c r="Z104" i="3"/>
  <c r="Y104" i="3"/>
  <c r="BC104" i="3" s="1"/>
  <c r="X104" i="3"/>
  <c r="AM104" i="3" s="1"/>
  <c r="T104" i="3"/>
  <c r="FH103" i="3"/>
  <c r="FG103" i="3"/>
  <c r="FF103" i="3"/>
  <c r="FD103" i="3"/>
  <c r="EY103" i="3"/>
  <c r="EV103" i="3"/>
  <c r="EU103" i="3"/>
  <c r="ET103" i="3"/>
  <c r="ER103" i="3"/>
  <c r="EQ103" i="3"/>
  <c r="EN103" i="3"/>
  <c r="EL103" i="3"/>
  <c r="EI103" i="3"/>
  <c r="EF103" i="3"/>
  <c r="EE103" i="3"/>
  <c r="EC103" i="3"/>
  <c r="EB103" i="3"/>
  <c r="EA103" i="3"/>
  <c r="DX103" i="3"/>
  <c r="DW103" i="3"/>
  <c r="DT103" i="3"/>
  <c r="DS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X103" i="3"/>
  <c r="CU103" i="3"/>
  <c r="CS103" i="3"/>
  <c r="CQ103" i="3"/>
  <c r="CP103" i="3"/>
  <c r="CM103" i="3"/>
  <c r="CL103" i="3"/>
  <c r="CJ103" i="3"/>
  <c r="CI103" i="3"/>
  <c r="CF103" i="3"/>
  <c r="CD103" i="3"/>
  <c r="CA103" i="3"/>
  <c r="BX103" i="3"/>
  <c r="BW103" i="3"/>
  <c r="BU103" i="3"/>
  <c r="BT103" i="3"/>
  <c r="BS103" i="3"/>
  <c r="BP103" i="3"/>
  <c r="BO103" i="3"/>
  <c r="BL103" i="3"/>
  <c r="BK103" i="3"/>
  <c r="BI103" i="3"/>
  <c r="BH103" i="3"/>
  <c r="BG103" i="3"/>
  <c r="BB103" i="3"/>
  <c r="CY103" i="3" s="1"/>
  <c r="BA103" i="3"/>
  <c r="AZ103" i="3"/>
  <c r="AY103" i="3"/>
  <c r="FE103" i="3" s="1"/>
  <c r="AX103" i="3"/>
  <c r="DY103" i="3" s="1"/>
  <c r="AW103" i="3"/>
  <c r="CT103" i="3" s="1"/>
  <c r="AV103" i="3"/>
  <c r="FB103" i="3" s="1"/>
  <c r="AU103" i="3"/>
  <c r="AT103" i="3"/>
  <c r="AS103" i="3"/>
  <c r="AR103" i="3"/>
  <c r="CO103" i="3" s="1"/>
  <c r="AQ103" i="3"/>
  <c r="AP103" i="3"/>
  <c r="AO103" i="3"/>
  <c r="AN103" i="3"/>
  <c r="AL103" i="3"/>
  <c r="AK103" i="3"/>
  <c r="BF103" i="3" s="1"/>
  <c r="AJ103" i="3"/>
  <c r="AI103" i="3"/>
  <c r="AH103" i="3"/>
  <c r="AG103" i="3"/>
  <c r="AF103" i="3"/>
  <c r="AE103" i="3"/>
  <c r="BD103" i="3" s="1"/>
  <c r="AD103" i="3"/>
  <c r="AC103" i="3"/>
  <c r="AB103" i="3"/>
  <c r="AA103" i="3"/>
  <c r="Z103" i="3"/>
  <c r="Y103" i="3"/>
  <c r="BC103" i="3" s="1"/>
  <c r="X103" i="3"/>
  <c r="AM103" i="3" s="1"/>
  <c r="T103" i="3"/>
  <c r="FG102" i="3"/>
  <c r="FB102" i="3"/>
  <c r="EX102" i="3"/>
  <c r="EW102" i="3"/>
  <c r="EU102" i="3"/>
  <c r="EQ102" i="3"/>
  <c r="EL102" i="3"/>
  <c r="EH102" i="3"/>
  <c r="EF102" i="3"/>
  <c r="EE102" i="3"/>
  <c r="EA102" i="3"/>
  <c r="DW102" i="3"/>
  <c r="DV102" i="3"/>
  <c r="DT102" i="3"/>
  <c r="DS102" i="3"/>
  <c r="DR102" i="3"/>
  <c r="DQ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X102" i="3"/>
  <c r="CU102" i="3"/>
  <c r="CS102" i="3"/>
  <c r="CQ102" i="3"/>
  <c r="CP102" i="3"/>
  <c r="CO102" i="3"/>
  <c r="CM102" i="3"/>
  <c r="CL102" i="3"/>
  <c r="CJ102" i="3"/>
  <c r="CI102" i="3"/>
  <c r="CE102" i="3"/>
  <c r="CD102" i="3"/>
  <c r="CA102" i="3"/>
  <c r="BZ102" i="3"/>
  <c r="BX102" i="3"/>
  <c r="BW102" i="3"/>
  <c r="BU102" i="3"/>
  <c r="BQ102" i="3"/>
  <c r="BO102" i="3"/>
  <c r="BL102" i="3"/>
  <c r="BK102" i="3"/>
  <c r="BJ102" i="3"/>
  <c r="BI102" i="3"/>
  <c r="BE102" i="3"/>
  <c r="BB102" i="3"/>
  <c r="FH102" i="3" s="1"/>
  <c r="BA102" i="3"/>
  <c r="EB102" i="3" s="1"/>
  <c r="AZ102" i="3"/>
  <c r="CW102" i="3" s="1"/>
  <c r="AY102" i="3"/>
  <c r="FE102" i="3" s="1"/>
  <c r="AX102" i="3"/>
  <c r="AW102" i="3"/>
  <c r="AV102" i="3"/>
  <c r="AU102" i="3"/>
  <c r="CR102" i="3" s="1"/>
  <c r="AT102" i="3"/>
  <c r="AS102" i="3"/>
  <c r="EY102" i="3" s="1"/>
  <c r="AR102" i="3"/>
  <c r="AQ102" i="3"/>
  <c r="AP102" i="3"/>
  <c r="EV102" i="3" s="1"/>
  <c r="AO102" i="3"/>
  <c r="DP102" i="3" s="1"/>
  <c r="AN102" i="3"/>
  <c r="CK102" i="3" s="1"/>
  <c r="AL102" i="3"/>
  <c r="AK102" i="3"/>
  <c r="AJ102" i="3"/>
  <c r="AI102" i="3"/>
  <c r="BF102" i="3" s="1"/>
  <c r="AH102" i="3"/>
  <c r="AG102" i="3"/>
  <c r="AF102" i="3"/>
  <c r="AE102" i="3"/>
  <c r="AD102" i="3"/>
  <c r="AC102" i="3"/>
  <c r="AB102" i="3"/>
  <c r="AA102" i="3"/>
  <c r="Z102" i="3"/>
  <c r="Y102" i="3"/>
  <c r="BC102" i="3" s="1"/>
  <c r="X102" i="3"/>
  <c r="T102" i="3"/>
  <c r="FE101" i="3"/>
  <c r="FA101" i="3"/>
  <c r="EX101" i="3"/>
  <c r="EW101" i="3"/>
  <c r="ET101" i="3"/>
  <c r="EP101" i="3"/>
  <c r="EO101" i="3"/>
  <c r="EK101" i="3"/>
  <c r="EI101" i="3"/>
  <c r="EH101" i="3"/>
  <c r="EG101" i="3"/>
  <c r="ED101" i="3"/>
  <c r="DZ101" i="3"/>
  <c r="DY101" i="3"/>
  <c r="DV101" i="3"/>
  <c r="DT101" i="3"/>
  <c r="DR101" i="3"/>
  <c r="DN101" i="3"/>
  <c r="DM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X101" i="3"/>
  <c r="CW101" i="3"/>
  <c r="CV101" i="3"/>
  <c r="CT101" i="3"/>
  <c r="CR101" i="3"/>
  <c r="CP101" i="3"/>
  <c r="CM101" i="3"/>
  <c r="CH101" i="3"/>
  <c r="CG101" i="3"/>
  <c r="CD101" i="3"/>
  <c r="CC101" i="3"/>
  <c r="CA101" i="3"/>
  <c r="BZ101" i="3"/>
  <c r="BR101" i="3"/>
  <c r="BN101" i="3"/>
  <c r="BL101" i="3"/>
  <c r="BJ101" i="3"/>
  <c r="BH101" i="3"/>
  <c r="BB101" i="3"/>
  <c r="BA101" i="3"/>
  <c r="AZ101" i="3"/>
  <c r="AY101" i="3"/>
  <c r="AX101" i="3"/>
  <c r="CU101" i="3" s="1"/>
  <c r="AW101" i="3"/>
  <c r="AV101" i="3"/>
  <c r="DW101" i="3" s="1"/>
  <c r="AU101" i="3"/>
  <c r="AT101" i="3"/>
  <c r="AS101" i="3"/>
  <c r="EY101" i="3" s="1"/>
  <c r="AR101" i="3"/>
  <c r="CO101" i="3" s="1"/>
  <c r="AQ101" i="3"/>
  <c r="CN101" i="3" s="1"/>
  <c r="AP101" i="3"/>
  <c r="AO101" i="3"/>
  <c r="EU101" i="3" s="1"/>
  <c r="AN101" i="3"/>
  <c r="AL101" i="3"/>
  <c r="AK101" i="3"/>
  <c r="AJ101" i="3"/>
  <c r="BF101" i="3" s="1"/>
  <c r="AI101" i="3"/>
  <c r="AH101" i="3"/>
  <c r="AG101" i="3"/>
  <c r="BE101" i="3" s="1"/>
  <c r="AF101" i="3"/>
  <c r="AE101" i="3"/>
  <c r="AD101" i="3"/>
  <c r="AC101" i="3"/>
  <c r="AB101" i="3"/>
  <c r="AA101" i="3"/>
  <c r="Z101" i="3"/>
  <c r="Y101" i="3"/>
  <c r="X101" i="3"/>
  <c r="T101" i="3"/>
  <c r="FH100" i="3"/>
  <c r="FG100" i="3"/>
  <c r="FD100" i="3"/>
  <c r="FC100" i="3"/>
  <c r="EV100" i="3"/>
  <c r="ER100" i="3"/>
  <c r="EQ100" i="3"/>
  <c r="EN100" i="3"/>
  <c r="EM100" i="3"/>
  <c r="EK100" i="3"/>
  <c r="EI100" i="3"/>
  <c r="EF100" i="3"/>
  <c r="EC100" i="3"/>
  <c r="EB100" i="3"/>
  <c r="DY100" i="3"/>
  <c r="DX100" i="3"/>
  <c r="DT100" i="3"/>
  <c r="DQ100" i="3"/>
  <c r="DO100" i="3"/>
  <c r="DN100" i="3"/>
  <c r="DM100" i="3"/>
  <c r="DL100" i="3"/>
  <c r="DK100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W100" i="3"/>
  <c r="CU100" i="3"/>
  <c r="CS100" i="3"/>
  <c r="CO100" i="3"/>
  <c r="CM100" i="3"/>
  <c r="CK100" i="3"/>
  <c r="CJ100" i="3"/>
  <c r="CI100" i="3"/>
  <c r="CF100" i="3"/>
  <c r="CE100" i="3"/>
  <c r="CA100" i="3"/>
  <c r="BX100" i="3"/>
  <c r="BW100" i="3"/>
  <c r="BU100" i="3"/>
  <c r="BT100" i="3"/>
  <c r="BS100" i="3"/>
  <c r="BQ100" i="3"/>
  <c r="BL100" i="3"/>
  <c r="BK100" i="3"/>
  <c r="BI100" i="3"/>
  <c r="BH100" i="3"/>
  <c r="BG100" i="3"/>
  <c r="BC100" i="3"/>
  <c r="BB100" i="3"/>
  <c r="BA100" i="3"/>
  <c r="CX100" i="3" s="1"/>
  <c r="AZ100" i="3"/>
  <c r="EA100" i="3" s="1"/>
  <c r="AY100" i="3"/>
  <c r="AX100" i="3"/>
  <c r="AW100" i="3"/>
  <c r="CT100" i="3" s="1"/>
  <c r="AV100" i="3"/>
  <c r="FB100" i="3" s="1"/>
  <c r="AU100" i="3"/>
  <c r="AT100" i="3"/>
  <c r="CQ100" i="3" s="1"/>
  <c r="AS100" i="3"/>
  <c r="CP100" i="3" s="1"/>
  <c r="AR100" i="3"/>
  <c r="AQ100" i="3"/>
  <c r="EW100" i="3" s="1"/>
  <c r="AP100" i="3"/>
  <c r="AO100" i="3"/>
  <c r="CL100" i="3" s="1"/>
  <c r="AN100" i="3"/>
  <c r="AL100" i="3"/>
  <c r="AK100" i="3"/>
  <c r="AJ100" i="3"/>
  <c r="BF100" i="3" s="1"/>
  <c r="AI100" i="3"/>
  <c r="AH100" i="3"/>
  <c r="AG100" i="3"/>
  <c r="BE100" i="3" s="1"/>
  <c r="AF100" i="3"/>
  <c r="AE100" i="3"/>
  <c r="AD100" i="3"/>
  <c r="AC100" i="3"/>
  <c r="AB100" i="3"/>
  <c r="AA100" i="3"/>
  <c r="Z100" i="3"/>
  <c r="Y100" i="3"/>
  <c r="X100" i="3"/>
  <c r="T100" i="3"/>
  <c r="FG99" i="3"/>
  <c r="EY99" i="3"/>
  <c r="EU99" i="3"/>
  <c r="EQ99" i="3"/>
  <c r="EP99" i="3"/>
  <c r="EO99" i="3"/>
  <c r="EM99" i="3"/>
  <c r="EL99" i="3"/>
  <c r="EI99" i="3"/>
  <c r="EF99" i="3"/>
  <c r="EE99" i="3"/>
  <c r="EB99" i="3"/>
  <c r="EA99" i="3"/>
  <c r="DX99" i="3"/>
  <c r="DW99" i="3"/>
  <c r="DT99" i="3"/>
  <c r="DR99" i="3"/>
  <c r="DP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X99" i="3"/>
  <c r="CV99" i="3"/>
  <c r="CS99" i="3"/>
  <c r="CP99" i="3"/>
  <c r="CN99" i="3"/>
  <c r="CL99" i="3"/>
  <c r="CI99" i="3"/>
  <c r="CH99" i="3"/>
  <c r="CG99" i="3"/>
  <c r="CE99" i="3"/>
  <c r="CA99" i="3"/>
  <c r="BZ99" i="3"/>
  <c r="BW99" i="3"/>
  <c r="BV99" i="3"/>
  <c r="BT99" i="3"/>
  <c r="BS99" i="3"/>
  <c r="BP99" i="3"/>
  <c r="BL99" i="3"/>
  <c r="BK99" i="3"/>
  <c r="BJ99" i="3"/>
  <c r="BH99" i="3"/>
  <c r="BG99" i="3"/>
  <c r="BB99" i="3"/>
  <c r="BA99" i="3"/>
  <c r="AZ99" i="3"/>
  <c r="CW99" i="3" s="1"/>
  <c r="AY99" i="3"/>
  <c r="FE99" i="3" s="1"/>
  <c r="AX99" i="3"/>
  <c r="AW99" i="3"/>
  <c r="FC99" i="3" s="1"/>
  <c r="AV99" i="3"/>
  <c r="CD99" i="3" s="1"/>
  <c r="AU99" i="3"/>
  <c r="DV99" i="3" s="1"/>
  <c r="AT99" i="3"/>
  <c r="EJ99" i="3" s="1"/>
  <c r="AS99" i="3"/>
  <c r="AR99" i="3"/>
  <c r="CO99" i="3" s="1"/>
  <c r="AQ99" i="3"/>
  <c r="AP99" i="3"/>
  <c r="AO99" i="3"/>
  <c r="AN99" i="3"/>
  <c r="CK99" i="3" s="1"/>
  <c r="AL99" i="3"/>
  <c r="AK99" i="3"/>
  <c r="AJ99" i="3"/>
  <c r="AI99" i="3"/>
  <c r="BF99" i="3" s="1"/>
  <c r="AH99" i="3"/>
  <c r="AG99" i="3"/>
  <c r="AF99" i="3"/>
  <c r="BE99" i="3" s="1"/>
  <c r="AE99" i="3"/>
  <c r="AD99" i="3"/>
  <c r="BD99" i="3" s="1"/>
  <c r="AC99" i="3"/>
  <c r="AB99" i="3"/>
  <c r="AA99" i="3"/>
  <c r="Z99" i="3"/>
  <c r="Y99" i="3"/>
  <c r="AM99" i="3" s="1"/>
  <c r="X99" i="3"/>
  <c r="T99" i="3"/>
  <c r="FF98" i="3"/>
  <c r="FD98" i="3"/>
  <c r="FA98" i="3"/>
  <c r="EX98" i="3"/>
  <c r="ET98" i="3"/>
  <c r="ER98" i="3"/>
  <c r="EP98" i="3"/>
  <c r="EO98" i="3"/>
  <c r="EL98" i="3"/>
  <c r="EK98" i="3"/>
  <c r="EH98" i="3"/>
  <c r="EF98" i="3"/>
  <c r="ED98" i="3"/>
  <c r="EC98" i="3"/>
  <c r="EA98" i="3"/>
  <c r="DZ98" i="3"/>
  <c r="DW98" i="3"/>
  <c r="DV98" i="3"/>
  <c r="DT98" i="3"/>
  <c r="DS98" i="3"/>
  <c r="DR98" i="3"/>
  <c r="DO98" i="3"/>
  <c r="DN98" i="3"/>
  <c r="DM98" i="3"/>
  <c r="DL98" i="3"/>
  <c r="DK98" i="3"/>
  <c r="DJ98" i="3"/>
  <c r="DI98" i="3"/>
  <c r="DH98" i="3"/>
  <c r="DG98" i="3"/>
  <c r="DF98" i="3"/>
  <c r="DE98" i="3"/>
  <c r="DD98" i="3"/>
  <c r="DC98" i="3"/>
  <c r="DB98" i="3"/>
  <c r="DA98" i="3"/>
  <c r="CZ98" i="3"/>
  <c r="CW98" i="3"/>
  <c r="CV98" i="3"/>
  <c r="CU98" i="3"/>
  <c r="CS98" i="3"/>
  <c r="CO98" i="3"/>
  <c r="CM98" i="3"/>
  <c r="CK98" i="3"/>
  <c r="CJ98" i="3"/>
  <c r="CH98" i="3"/>
  <c r="CG98" i="3"/>
  <c r="CD98" i="3"/>
  <c r="BZ98" i="3"/>
  <c r="BY98" i="3"/>
  <c r="BX98" i="3"/>
  <c r="BV98" i="3"/>
  <c r="BU98" i="3"/>
  <c r="BS98" i="3"/>
  <c r="BR98" i="3"/>
  <c r="BO98" i="3"/>
  <c r="BK98" i="3"/>
  <c r="BI98" i="3"/>
  <c r="BG98" i="3"/>
  <c r="BB98" i="3"/>
  <c r="FH98" i="3" s="1"/>
  <c r="BA98" i="3"/>
  <c r="AZ98" i="3"/>
  <c r="AY98" i="3"/>
  <c r="FE98" i="3" s="1"/>
  <c r="AX98" i="3"/>
  <c r="DY98" i="3" s="1"/>
  <c r="AW98" i="3"/>
  <c r="AV98" i="3"/>
  <c r="FB98" i="3" s="1"/>
  <c r="AU98" i="3"/>
  <c r="CR98" i="3" s="1"/>
  <c r="AT98" i="3"/>
  <c r="DU98" i="3" s="1"/>
  <c r="AS98" i="3"/>
  <c r="CP98" i="3" s="1"/>
  <c r="AR98" i="3"/>
  <c r="AQ98" i="3"/>
  <c r="CN98" i="3" s="1"/>
  <c r="AP98" i="3"/>
  <c r="EV98" i="3" s="1"/>
  <c r="AO98" i="3"/>
  <c r="AN98" i="3"/>
  <c r="AL98" i="3"/>
  <c r="AK98" i="3"/>
  <c r="BF98" i="3" s="1"/>
  <c r="AJ98" i="3"/>
  <c r="AI98" i="3"/>
  <c r="AH98" i="3"/>
  <c r="BE98" i="3" s="1"/>
  <c r="AG98" i="3"/>
  <c r="AF98" i="3"/>
  <c r="AE98" i="3"/>
  <c r="AD98" i="3"/>
  <c r="AC98" i="3"/>
  <c r="AB98" i="3"/>
  <c r="AA98" i="3"/>
  <c r="Z98" i="3"/>
  <c r="Y98" i="3"/>
  <c r="BC98" i="3" s="1"/>
  <c r="X98" i="3"/>
  <c r="T98" i="3"/>
  <c r="FH97" i="3"/>
  <c r="FG97" i="3"/>
  <c r="FC97" i="3"/>
  <c r="EZ97" i="3"/>
  <c r="EX97" i="3"/>
  <c r="EV97" i="3"/>
  <c r="EU97" i="3"/>
  <c r="ER97" i="3"/>
  <c r="EQ97" i="3"/>
  <c r="EN97" i="3"/>
  <c r="EM97" i="3"/>
  <c r="EK97" i="3"/>
  <c r="EI97" i="3"/>
  <c r="EF97" i="3"/>
  <c r="EE97" i="3"/>
  <c r="EC97" i="3"/>
  <c r="EB97" i="3"/>
  <c r="EA97" i="3"/>
  <c r="DY97" i="3"/>
  <c r="DW97" i="3"/>
  <c r="DS97" i="3"/>
  <c r="DQ97" i="3"/>
  <c r="DP97" i="3"/>
  <c r="DO97" i="3"/>
  <c r="DN97" i="3"/>
  <c r="DM97" i="3"/>
  <c r="DL97" i="3"/>
  <c r="DK97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U97" i="3"/>
  <c r="CT97" i="3"/>
  <c r="CR97" i="3"/>
  <c r="CO97" i="3"/>
  <c r="CM97" i="3"/>
  <c r="CJ97" i="3"/>
  <c r="CI97" i="3"/>
  <c r="CH97" i="3"/>
  <c r="CF97" i="3"/>
  <c r="CE97" i="3"/>
  <c r="CC97" i="3"/>
  <c r="CA97" i="3"/>
  <c r="BX97" i="3"/>
  <c r="BW97" i="3"/>
  <c r="BV97" i="3"/>
  <c r="BU97" i="3"/>
  <c r="BT97" i="3"/>
  <c r="BS97" i="3"/>
  <c r="BQ97" i="3"/>
  <c r="BO97" i="3"/>
  <c r="BK97" i="3"/>
  <c r="BI97" i="3"/>
  <c r="BH97" i="3"/>
  <c r="BG97" i="3"/>
  <c r="BC97" i="3"/>
  <c r="BB97" i="3"/>
  <c r="BA97" i="3"/>
  <c r="CX97" i="3" s="1"/>
  <c r="AZ97" i="3"/>
  <c r="FF97" i="3" s="1"/>
  <c r="AY97" i="3"/>
  <c r="AX97" i="3"/>
  <c r="FD97" i="3" s="1"/>
  <c r="AW97" i="3"/>
  <c r="DX97" i="3" s="1"/>
  <c r="AV97" i="3"/>
  <c r="FB97" i="3" s="1"/>
  <c r="AU97" i="3"/>
  <c r="DV97" i="3" s="1"/>
  <c r="AT97" i="3"/>
  <c r="DU97" i="3" s="1"/>
  <c r="AS97" i="3"/>
  <c r="DT97" i="3" s="1"/>
  <c r="AR97" i="3"/>
  <c r="EH97" i="3" s="1"/>
  <c r="AQ97" i="3"/>
  <c r="AP97" i="3"/>
  <c r="AO97" i="3"/>
  <c r="CL97" i="3" s="1"/>
  <c r="AN97" i="3"/>
  <c r="ET97" i="3" s="1"/>
  <c r="AL97" i="3"/>
  <c r="AK97" i="3"/>
  <c r="AJ97" i="3"/>
  <c r="AI97" i="3"/>
  <c r="BF97" i="3" s="1"/>
  <c r="AH97" i="3"/>
  <c r="AG97" i="3"/>
  <c r="BE97" i="3" s="1"/>
  <c r="AF97" i="3"/>
  <c r="AE97" i="3"/>
  <c r="AD97" i="3"/>
  <c r="AC97" i="3"/>
  <c r="AB97" i="3"/>
  <c r="AA97" i="3"/>
  <c r="Z97" i="3"/>
  <c r="Y97" i="3"/>
  <c r="X97" i="3"/>
  <c r="T97" i="3"/>
  <c r="FF96" i="3"/>
  <c r="FC96" i="3"/>
  <c r="FA96" i="3"/>
  <c r="EY96" i="3"/>
  <c r="EX96" i="3"/>
  <c r="ET96" i="3"/>
  <c r="EQ96" i="3"/>
  <c r="EP96" i="3"/>
  <c r="EN96" i="3"/>
  <c r="EL96" i="3"/>
  <c r="EI96" i="3"/>
  <c r="EH96" i="3"/>
  <c r="EG96" i="3"/>
  <c r="EE96" i="3"/>
  <c r="ED96" i="3"/>
  <c r="EB96" i="3"/>
  <c r="DZ96" i="3"/>
  <c r="DV96" i="3"/>
  <c r="DT96" i="3"/>
  <c r="DS96" i="3"/>
  <c r="DR96" i="3"/>
  <c r="DP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X96" i="3"/>
  <c r="CW96" i="3"/>
  <c r="CU96" i="3"/>
  <c r="CR96" i="3"/>
  <c r="CP96" i="3"/>
  <c r="CL96" i="3"/>
  <c r="CK96" i="3"/>
  <c r="CI96" i="3"/>
  <c r="CH96" i="3"/>
  <c r="CF96" i="3"/>
  <c r="CD96" i="3"/>
  <c r="CA96" i="3"/>
  <c r="BZ96" i="3"/>
  <c r="BY96" i="3"/>
  <c r="BW96" i="3"/>
  <c r="BV96" i="3"/>
  <c r="BT96" i="3"/>
  <c r="BR96" i="3"/>
  <c r="BN96" i="3"/>
  <c r="BL96" i="3"/>
  <c r="BK96" i="3"/>
  <c r="BJ96" i="3"/>
  <c r="BH96" i="3"/>
  <c r="BF96" i="3"/>
  <c r="BB96" i="3"/>
  <c r="BA96" i="3"/>
  <c r="FG96" i="3" s="1"/>
  <c r="AZ96" i="3"/>
  <c r="EA96" i="3" s="1"/>
  <c r="AY96" i="3"/>
  <c r="FE96" i="3" s="1"/>
  <c r="AX96" i="3"/>
  <c r="DY96" i="3" s="1"/>
  <c r="AW96" i="3"/>
  <c r="DX96" i="3" s="1"/>
  <c r="AV96" i="3"/>
  <c r="DW96" i="3" s="1"/>
  <c r="AU96" i="3"/>
  <c r="EK96" i="3" s="1"/>
  <c r="AT96" i="3"/>
  <c r="AS96" i="3"/>
  <c r="AR96" i="3"/>
  <c r="CO96" i="3" s="1"/>
  <c r="AQ96" i="3"/>
  <c r="EW96" i="3" s="1"/>
  <c r="AP96" i="3"/>
  <c r="AO96" i="3"/>
  <c r="EU96" i="3" s="1"/>
  <c r="AN96" i="3"/>
  <c r="DO96" i="3" s="1"/>
  <c r="AL96" i="3"/>
  <c r="AK96" i="3"/>
  <c r="AJ96" i="3"/>
  <c r="AI96" i="3"/>
  <c r="AH96" i="3"/>
  <c r="AG96" i="3"/>
  <c r="AF96" i="3"/>
  <c r="BE96" i="3" s="1"/>
  <c r="AE96" i="3"/>
  <c r="AD96" i="3"/>
  <c r="AC96" i="3"/>
  <c r="AB96" i="3"/>
  <c r="AA96" i="3"/>
  <c r="Z96" i="3"/>
  <c r="Y96" i="3"/>
  <c r="X96" i="3"/>
  <c r="BC96" i="3" s="1"/>
  <c r="T96" i="3"/>
  <c r="FF95" i="3"/>
  <c r="FD95" i="3"/>
  <c r="FB95" i="3"/>
  <c r="FA95" i="3"/>
  <c r="EW95" i="3"/>
  <c r="ET95" i="3"/>
  <c r="EQ95" i="3"/>
  <c r="EO95" i="3"/>
  <c r="EL95" i="3"/>
  <c r="EK95" i="3"/>
  <c r="EH95" i="3"/>
  <c r="EG95" i="3"/>
  <c r="EE95" i="3"/>
  <c r="EC95" i="3"/>
  <c r="DY95" i="3"/>
  <c r="DW95" i="3"/>
  <c r="DV95" i="3"/>
  <c r="DU95" i="3"/>
  <c r="DS95" i="3"/>
  <c r="DQ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X95" i="3"/>
  <c r="CW95" i="3"/>
  <c r="CU95" i="3"/>
  <c r="CS95" i="3"/>
  <c r="CO95" i="3"/>
  <c r="CN95" i="3"/>
  <c r="CL95" i="3"/>
  <c r="CK95" i="3"/>
  <c r="CI95" i="3"/>
  <c r="CG95" i="3"/>
  <c r="CD95" i="3"/>
  <c r="CC95" i="3"/>
  <c r="CB95" i="3"/>
  <c r="BZ95" i="3"/>
  <c r="BY95" i="3"/>
  <c r="BW95" i="3"/>
  <c r="BU95" i="3"/>
  <c r="BQ95" i="3"/>
  <c r="BO95" i="3"/>
  <c r="BN95" i="3"/>
  <c r="BM95" i="3"/>
  <c r="BK95" i="3"/>
  <c r="BI95" i="3"/>
  <c r="BE95" i="3"/>
  <c r="BB95" i="3"/>
  <c r="FH95" i="3" s="1"/>
  <c r="BA95" i="3"/>
  <c r="EB95" i="3" s="1"/>
  <c r="AZ95" i="3"/>
  <c r="EA95" i="3" s="1"/>
  <c r="AY95" i="3"/>
  <c r="DZ95" i="3" s="1"/>
  <c r="AX95" i="3"/>
  <c r="EN95" i="3" s="1"/>
  <c r="AW95" i="3"/>
  <c r="AV95" i="3"/>
  <c r="AU95" i="3"/>
  <c r="CR95" i="3" s="1"/>
  <c r="AT95" i="3"/>
  <c r="EZ95" i="3" s="1"/>
  <c r="AS95" i="3"/>
  <c r="AR95" i="3"/>
  <c r="EX95" i="3" s="1"/>
  <c r="AQ95" i="3"/>
  <c r="DR95" i="3" s="1"/>
  <c r="AP95" i="3"/>
  <c r="EV95" i="3" s="1"/>
  <c r="AO95" i="3"/>
  <c r="DP95" i="3" s="1"/>
  <c r="AN95" i="3"/>
  <c r="DO95" i="3" s="1"/>
  <c r="AL95" i="3"/>
  <c r="AK95" i="3"/>
  <c r="AJ95" i="3"/>
  <c r="AI95" i="3"/>
  <c r="BF95" i="3" s="1"/>
  <c r="AH95" i="3"/>
  <c r="AG95" i="3"/>
  <c r="AF95" i="3"/>
  <c r="AE95" i="3"/>
  <c r="AD95" i="3"/>
  <c r="AC95" i="3"/>
  <c r="AB95" i="3"/>
  <c r="AA95" i="3"/>
  <c r="BD95" i="3" s="1"/>
  <c r="Z95" i="3"/>
  <c r="Y95" i="3"/>
  <c r="X95" i="3"/>
  <c r="T95" i="3"/>
  <c r="FG94" i="3"/>
  <c r="FE94" i="3"/>
  <c r="FD94" i="3"/>
  <c r="EZ94" i="3"/>
  <c r="EW94" i="3"/>
  <c r="EU94" i="3"/>
  <c r="ER94" i="3"/>
  <c r="EO94" i="3"/>
  <c r="EN94" i="3"/>
  <c r="EM94" i="3"/>
  <c r="EK94" i="3"/>
  <c r="EJ94" i="3"/>
  <c r="EH94" i="3"/>
  <c r="EF94" i="3"/>
  <c r="EB94" i="3"/>
  <c r="DZ94" i="3"/>
  <c r="DY94" i="3"/>
  <c r="DX94" i="3"/>
  <c r="DV94" i="3"/>
  <c r="DT94" i="3"/>
  <c r="DP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X94" i="3"/>
  <c r="CV94" i="3"/>
  <c r="CR94" i="3"/>
  <c r="CQ94" i="3"/>
  <c r="CO94" i="3"/>
  <c r="CN94" i="3"/>
  <c r="CL94" i="3"/>
  <c r="CJ94" i="3"/>
  <c r="CG94" i="3"/>
  <c r="CF94" i="3"/>
  <c r="CE94" i="3"/>
  <c r="CC94" i="3"/>
  <c r="CB94" i="3"/>
  <c r="BZ94" i="3"/>
  <c r="BX94" i="3"/>
  <c r="BT94" i="3"/>
  <c r="BR94" i="3"/>
  <c r="BQ94" i="3"/>
  <c r="BP94" i="3"/>
  <c r="BN94" i="3"/>
  <c r="BH94" i="3"/>
  <c r="BE94" i="3"/>
  <c r="BB94" i="3"/>
  <c r="EC94" i="3" s="1"/>
  <c r="BA94" i="3"/>
  <c r="EQ94" i="3" s="1"/>
  <c r="AZ94" i="3"/>
  <c r="AY94" i="3"/>
  <c r="AX94" i="3"/>
  <c r="CU94" i="3" s="1"/>
  <c r="AW94" i="3"/>
  <c r="FC94" i="3" s="1"/>
  <c r="AV94" i="3"/>
  <c r="AU94" i="3"/>
  <c r="FA94" i="3" s="1"/>
  <c r="AT94" i="3"/>
  <c r="DU94" i="3" s="1"/>
  <c r="AS94" i="3"/>
  <c r="AR94" i="3"/>
  <c r="DS94" i="3" s="1"/>
  <c r="AQ94" i="3"/>
  <c r="DR94" i="3" s="1"/>
  <c r="AP94" i="3"/>
  <c r="DQ94" i="3" s="1"/>
  <c r="AO94" i="3"/>
  <c r="EE94" i="3" s="1"/>
  <c r="AN94" i="3"/>
  <c r="AL94" i="3"/>
  <c r="AK94" i="3"/>
  <c r="AJ94" i="3"/>
  <c r="AI94" i="3"/>
  <c r="BF94" i="3" s="1"/>
  <c r="AH94" i="3"/>
  <c r="AG94" i="3"/>
  <c r="AF94" i="3"/>
  <c r="AE94" i="3"/>
  <c r="AD94" i="3"/>
  <c r="AC94" i="3"/>
  <c r="AB94" i="3"/>
  <c r="BD94" i="3" s="1"/>
  <c r="AA94" i="3"/>
  <c r="Z94" i="3"/>
  <c r="Y94" i="3"/>
  <c r="X94" i="3"/>
  <c r="T94" i="3"/>
  <c r="FH93" i="3"/>
  <c r="FG93" i="3"/>
  <c r="FC93" i="3"/>
  <c r="EZ93" i="3"/>
  <c r="EX93" i="3"/>
  <c r="EV93" i="3"/>
  <c r="EU93" i="3"/>
  <c r="ER93" i="3"/>
  <c r="EQ93" i="3"/>
  <c r="EP93" i="3"/>
  <c r="EN93" i="3"/>
  <c r="EM93" i="3"/>
  <c r="EK93" i="3"/>
  <c r="EI93" i="3"/>
  <c r="EF93" i="3"/>
  <c r="EE93" i="3"/>
  <c r="ED93" i="3"/>
  <c r="EC93" i="3"/>
  <c r="EB93" i="3"/>
  <c r="EA93" i="3"/>
  <c r="DY93" i="3"/>
  <c r="DW93" i="3"/>
  <c r="DS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U93" i="3"/>
  <c r="CT93" i="3"/>
  <c r="CR93" i="3"/>
  <c r="CQ93" i="3"/>
  <c r="CO93" i="3"/>
  <c r="CM93" i="3"/>
  <c r="CJ93" i="3"/>
  <c r="CI93" i="3"/>
  <c r="CH93" i="3"/>
  <c r="CF93" i="3"/>
  <c r="CE93" i="3"/>
  <c r="CC93" i="3"/>
  <c r="CA93" i="3"/>
  <c r="BX93" i="3"/>
  <c r="BW93" i="3"/>
  <c r="BV93" i="3"/>
  <c r="BU93" i="3"/>
  <c r="BT93" i="3"/>
  <c r="BS93" i="3"/>
  <c r="BQ93" i="3"/>
  <c r="BK93" i="3"/>
  <c r="BI93" i="3"/>
  <c r="BH93" i="3"/>
  <c r="BG93" i="3"/>
  <c r="BB93" i="3"/>
  <c r="BA93" i="3"/>
  <c r="CX93" i="3" s="1"/>
  <c r="AZ93" i="3"/>
  <c r="FF93" i="3" s="1"/>
  <c r="AY93" i="3"/>
  <c r="AX93" i="3"/>
  <c r="FD93" i="3" s="1"/>
  <c r="AW93" i="3"/>
  <c r="DX93" i="3" s="1"/>
  <c r="AV93" i="3"/>
  <c r="AU93" i="3"/>
  <c r="DV93" i="3" s="1"/>
  <c r="AT93" i="3"/>
  <c r="DU93" i="3" s="1"/>
  <c r="AS93" i="3"/>
  <c r="DT93" i="3" s="1"/>
  <c r="AR93" i="3"/>
  <c r="EH93" i="3" s="1"/>
  <c r="AQ93" i="3"/>
  <c r="AP93" i="3"/>
  <c r="AO93" i="3"/>
  <c r="CL93" i="3" s="1"/>
  <c r="AN93" i="3"/>
  <c r="ET93" i="3" s="1"/>
  <c r="AL93" i="3"/>
  <c r="AK93" i="3"/>
  <c r="AJ93" i="3"/>
  <c r="AI93" i="3"/>
  <c r="BF93" i="3" s="1"/>
  <c r="AH93" i="3"/>
  <c r="AG93" i="3"/>
  <c r="BE93" i="3" s="1"/>
  <c r="AF93" i="3"/>
  <c r="AE93" i="3"/>
  <c r="AD93" i="3"/>
  <c r="AC93" i="3"/>
  <c r="AB93" i="3"/>
  <c r="AA93" i="3"/>
  <c r="BD93" i="3" s="1"/>
  <c r="Z93" i="3"/>
  <c r="Y93" i="3"/>
  <c r="X93" i="3"/>
  <c r="BC93" i="3" s="1"/>
  <c r="T93" i="3"/>
  <c r="FF92" i="3"/>
  <c r="FC92" i="3"/>
  <c r="FA92" i="3"/>
  <c r="EY92" i="3"/>
  <c r="EX92" i="3"/>
  <c r="ET92" i="3"/>
  <c r="EQ92" i="3"/>
  <c r="EP92" i="3"/>
  <c r="EN92" i="3"/>
  <c r="EL92" i="3"/>
  <c r="EI92" i="3"/>
  <c r="EH92" i="3"/>
  <c r="EG92" i="3"/>
  <c r="EE92" i="3"/>
  <c r="ED92" i="3"/>
  <c r="EB92" i="3"/>
  <c r="DV92" i="3"/>
  <c r="DT92" i="3"/>
  <c r="DS92" i="3"/>
  <c r="DR92" i="3"/>
  <c r="DP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X92" i="3"/>
  <c r="CW92" i="3"/>
  <c r="CU92" i="3"/>
  <c r="CT92" i="3"/>
  <c r="CR92" i="3"/>
  <c r="CP92" i="3"/>
  <c r="CL92" i="3"/>
  <c r="CK92" i="3"/>
  <c r="CI92" i="3"/>
  <c r="CH92" i="3"/>
  <c r="CF92" i="3"/>
  <c r="CD92" i="3"/>
  <c r="CA92" i="3"/>
  <c r="BZ92" i="3"/>
  <c r="BY92" i="3"/>
  <c r="BW92" i="3"/>
  <c r="BV92" i="3"/>
  <c r="BT92" i="3"/>
  <c r="BN92" i="3"/>
  <c r="BL92" i="3"/>
  <c r="BK92" i="3"/>
  <c r="BJ92" i="3"/>
  <c r="BH92" i="3"/>
  <c r="BF92" i="3"/>
  <c r="BB92" i="3"/>
  <c r="BA92" i="3"/>
  <c r="FG92" i="3" s="1"/>
  <c r="AZ92" i="3"/>
  <c r="EA92" i="3" s="1"/>
  <c r="AY92" i="3"/>
  <c r="BR92" i="3" s="1"/>
  <c r="AX92" i="3"/>
  <c r="DY92" i="3" s="1"/>
  <c r="AW92" i="3"/>
  <c r="DX92" i="3" s="1"/>
  <c r="AV92" i="3"/>
  <c r="DW92" i="3" s="1"/>
  <c r="AU92" i="3"/>
  <c r="EK92" i="3" s="1"/>
  <c r="AT92" i="3"/>
  <c r="AS92" i="3"/>
  <c r="AR92" i="3"/>
  <c r="CO92" i="3" s="1"/>
  <c r="AQ92" i="3"/>
  <c r="EW92" i="3" s="1"/>
  <c r="AP92" i="3"/>
  <c r="AO92" i="3"/>
  <c r="EU92" i="3" s="1"/>
  <c r="AN92" i="3"/>
  <c r="DO92" i="3" s="1"/>
  <c r="AL92" i="3"/>
  <c r="AK92" i="3"/>
  <c r="AJ92" i="3"/>
  <c r="AI92" i="3"/>
  <c r="AH92" i="3"/>
  <c r="AG92" i="3"/>
  <c r="AF92" i="3"/>
  <c r="AE92" i="3"/>
  <c r="AD92" i="3"/>
  <c r="AC92" i="3"/>
  <c r="AB92" i="3"/>
  <c r="AA92" i="3"/>
  <c r="BD92" i="3" s="1"/>
  <c r="Z92" i="3"/>
  <c r="Y92" i="3"/>
  <c r="X92" i="3"/>
  <c r="BC92" i="3" s="1"/>
  <c r="T92" i="3"/>
  <c r="FF91" i="3"/>
  <c r="FD91" i="3"/>
  <c r="FB91" i="3"/>
  <c r="FA91" i="3"/>
  <c r="EW91" i="3"/>
  <c r="ET91" i="3"/>
  <c r="EQ91" i="3"/>
  <c r="EO91" i="3"/>
  <c r="EL91" i="3"/>
  <c r="EK91" i="3"/>
  <c r="EJ91" i="3"/>
  <c r="EH91" i="3"/>
  <c r="EG91" i="3"/>
  <c r="EE91" i="3"/>
  <c r="EC91" i="3"/>
  <c r="DY91" i="3"/>
  <c r="DW91" i="3"/>
  <c r="DV91" i="3"/>
  <c r="DU91" i="3"/>
  <c r="DS91" i="3"/>
  <c r="DQ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X91" i="3"/>
  <c r="CW91" i="3"/>
  <c r="CU91" i="3"/>
  <c r="CS91" i="3"/>
  <c r="CO91" i="3"/>
  <c r="CN91" i="3"/>
  <c r="CL91" i="3"/>
  <c r="CK91" i="3"/>
  <c r="CI91" i="3"/>
  <c r="CG91" i="3"/>
  <c r="CD91" i="3"/>
  <c r="CC91" i="3"/>
  <c r="CB91" i="3"/>
  <c r="BZ91" i="3"/>
  <c r="BY91" i="3"/>
  <c r="BW91" i="3"/>
  <c r="BU91" i="3"/>
  <c r="BQ91" i="3"/>
  <c r="BO91" i="3"/>
  <c r="BN91" i="3"/>
  <c r="BM91" i="3"/>
  <c r="BK91" i="3"/>
  <c r="BI91" i="3"/>
  <c r="BE91" i="3"/>
  <c r="BB91" i="3"/>
  <c r="BA91" i="3"/>
  <c r="EB91" i="3" s="1"/>
  <c r="AZ91" i="3"/>
  <c r="EA91" i="3" s="1"/>
  <c r="AY91" i="3"/>
  <c r="DZ91" i="3" s="1"/>
  <c r="AX91" i="3"/>
  <c r="EN91" i="3" s="1"/>
  <c r="AW91" i="3"/>
  <c r="AV91" i="3"/>
  <c r="AU91" i="3"/>
  <c r="CR91" i="3" s="1"/>
  <c r="AT91" i="3"/>
  <c r="EZ91" i="3" s="1"/>
  <c r="AS91" i="3"/>
  <c r="AR91" i="3"/>
  <c r="EX91" i="3" s="1"/>
  <c r="AQ91" i="3"/>
  <c r="DR91" i="3" s="1"/>
  <c r="AP91" i="3"/>
  <c r="AO91" i="3"/>
  <c r="DP91" i="3" s="1"/>
  <c r="AN91" i="3"/>
  <c r="DO91" i="3" s="1"/>
  <c r="AL91" i="3"/>
  <c r="AK91" i="3"/>
  <c r="BF91" i="3" s="1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T91" i="3"/>
  <c r="FG90" i="3"/>
  <c r="FE90" i="3"/>
  <c r="FD90" i="3"/>
  <c r="EZ90" i="3"/>
  <c r="EW90" i="3"/>
  <c r="EU90" i="3"/>
  <c r="ER90" i="3"/>
  <c r="EO90" i="3"/>
  <c r="EN90" i="3"/>
  <c r="EM90" i="3"/>
  <c r="EK90" i="3"/>
  <c r="EJ90" i="3"/>
  <c r="EH90" i="3"/>
  <c r="EB90" i="3"/>
  <c r="DZ90" i="3"/>
  <c r="DY90" i="3"/>
  <c r="DX90" i="3"/>
  <c r="DV90" i="3"/>
  <c r="DT90" i="3"/>
  <c r="DP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X90" i="3"/>
  <c r="CV90" i="3"/>
  <c r="CR90" i="3"/>
  <c r="CQ90" i="3"/>
  <c r="CO90" i="3"/>
  <c r="CN90" i="3"/>
  <c r="CL90" i="3"/>
  <c r="CJ90" i="3"/>
  <c r="CG90" i="3"/>
  <c r="CF90" i="3"/>
  <c r="CE90" i="3"/>
  <c r="CC90" i="3"/>
  <c r="CB90" i="3"/>
  <c r="BZ90" i="3"/>
  <c r="BX90" i="3"/>
  <c r="BT90" i="3"/>
  <c r="BR90" i="3"/>
  <c r="BQ90" i="3"/>
  <c r="BP90" i="3"/>
  <c r="BN90" i="3"/>
  <c r="BH90" i="3"/>
  <c r="BB90" i="3"/>
  <c r="EC90" i="3" s="1"/>
  <c r="BA90" i="3"/>
  <c r="EQ90" i="3" s="1"/>
  <c r="AZ90" i="3"/>
  <c r="AY90" i="3"/>
  <c r="AX90" i="3"/>
  <c r="CU90" i="3" s="1"/>
  <c r="AW90" i="3"/>
  <c r="FC90" i="3" s="1"/>
  <c r="AV90" i="3"/>
  <c r="AU90" i="3"/>
  <c r="FA90" i="3" s="1"/>
  <c r="AT90" i="3"/>
  <c r="DU90" i="3" s="1"/>
  <c r="AS90" i="3"/>
  <c r="AR90" i="3"/>
  <c r="DS90" i="3" s="1"/>
  <c r="AQ90" i="3"/>
  <c r="DR90" i="3" s="1"/>
  <c r="AP90" i="3"/>
  <c r="AO90" i="3"/>
  <c r="EE90" i="3" s="1"/>
  <c r="AN90" i="3"/>
  <c r="AL90" i="3"/>
  <c r="AK90" i="3"/>
  <c r="AJ90" i="3"/>
  <c r="AI90" i="3"/>
  <c r="BF90" i="3" s="1"/>
  <c r="AH90" i="3"/>
  <c r="AG90" i="3"/>
  <c r="BE90" i="3" s="1"/>
  <c r="AF90" i="3"/>
  <c r="AE90" i="3"/>
  <c r="AD90" i="3"/>
  <c r="AC90" i="3"/>
  <c r="AB90" i="3"/>
  <c r="BD90" i="3" s="1"/>
  <c r="AA90" i="3"/>
  <c r="Z90" i="3"/>
  <c r="Y90" i="3"/>
  <c r="X90" i="3"/>
  <c r="T90" i="3"/>
  <c r="FH89" i="3"/>
  <c r="FG89" i="3"/>
  <c r="FC89" i="3"/>
  <c r="EZ89" i="3"/>
  <c r="EX89" i="3"/>
  <c r="EW89" i="3"/>
  <c r="EV89" i="3"/>
  <c r="EU89" i="3"/>
  <c r="ER89" i="3"/>
  <c r="EQ89" i="3"/>
  <c r="EP89" i="3"/>
  <c r="EN89" i="3"/>
  <c r="EM89" i="3"/>
  <c r="EK89" i="3"/>
  <c r="EI89" i="3"/>
  <c r="EF89" i="3"/>
  <c r="EE89" i="3"/>
  <c r="ED89" i="3"/>
  <c r="EC89" i="3"/>
  <c r="EB89" i="3"/>
  <c r="EA89" i="3"/>
  <c r="DY89" i="3"/>
  <c r="DS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U89" i="3"/>
  <c r="CT89" i="3"/>
  <c r="CR89" i="3"/>
  <c r="CQ89" i="3"/>
  <c r="CO89" i="3"/>
  <c r="CM89" i="3"/>
  <c r="CJ89" i="3"/>
  <c r="CI89" i="3"/>
  <c r="CH89" i="3"/>
  <c r="CF89" i="3"/>
  <c r="CE89" i="3"/>
  <c r="CC89" i="3"/>
  <c r="BX89" i="3"/>
  <c r="BW89" i="3"/>
  <c r="BV89" i="3"/>
  <c r="BU89" i="3"/>
  <c r="BT89" i="3"/>
  <c r="BS89" i="3"/>
  <c r="BQ89" i="3"/>
  <c r="BO89" i="3"/>
  <c r="BK89" i="3"/>
  <c r="BI89" i="3"/>
  <c r="BH89" i="3"/>
  <c r="BG89" i="3"/>
  <c r="BE89" i="3"/>
  <c r="BB89" i="3"/>
  <c r="BA89" i="3"/>
  <c r="CX89" i="3" s="1"/>
  <c r="AZ89" i="3"/>
  <c r="FF89" i="3" s="1"/>
  <c r="AY89" i="3"/>
  <c r="AX89" i="3"/>
  <c r="FD89" i="3" s="1"/>
  <c r="AW89" i="3"/>
  <c r="DX89" i="3" s="1"/>
  <c r="AV89" i="3"/>
  <c r="AU89" i="3"/>
  <c r="DV89" i="3" s="1"/>
  <c r="AT89" i="3"/>
  <c r="DU89" i="3" s="1"/>
  <c r="AS89" i="3"/>
  <c r="AR89" i="3"/>
  <c r="EH89" i="3" s="1"/>
  <c r="AQ89" i="3"/>
  <c r="AP89" i="3"/>
  <c r="AO89" i="3"/>
  <c r="CL89" i="3" s="1"/>
  <c r="AN89" i="3"/>
  <c r="ET89" i="3" s="1"/>
  <c r="AL89" i="3"/>
  <c r="AK89" i="3"/>
  <c r="AJ89" i="3"/>
  <c r="AI89" i="3"/>
  <c r="BF89" i="3" s="1"/>
  <c r="AH89" i="3"/>
  <c r="AG89" i="3"/>
  <c r="AF89" i="3"/>
  <c r="AE89" i="3"/>
  <c r="AD89" i="3"/>
  <c r="AC89" i="3"/>
  <c r="AB89" i="3"/>
  <c r="AA89" i="3"/>
  <c r="BD89" i="3" s="1"/>
  <c r="Z89" i="3"/>
  <c r="Y89" i="3"/>
  <c r="X89" i="3"/>
  <c r="BC89" i="3" s="1"/>
  <c r="T89" i="3"/>
  <c r="FF88" i="3"/>
  <c r="FC88" i="3"/>
  <c r="FA88" i="3"/>
  <c r="EX88" i="3"/>
  <c r="ET88" i="3"/>
  <c r="EQ88" i="3"/>
  <c r="EP88" i="3"/>
  <c r="EN88" i="3"/>
  <c r="EI88" i="3"/>
  <c r="EH88" i="3"/>
  <c r="EG88" i="3"/>
  <c r="EE88" i="3"/>
  <c r="ED88" i="3"/>
  <c r="EB88" i="3"/>
  <c r="DV88" i="3"/>
  <c r="DS88" i="3"/>
  <c r="DR88" i="3"/>
  <c r="DP88" i="3"/>
  <c r="DN88" i="3"/>
  <c r="DM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X88" i="3"/>
  <c r="CW88" i="3"/>
  <c r="CU88" i="3"/>
  <c r="CT88" i="3"/>
  <c r="CR88" i="3"/>
  <c r="CP88" i="3"/>
  <c r="CL88" i="3"/>
  <c r="CK88" i="3"/>
  <c r="CI88" i="3"/>
  <c r="CH88" i="3"/>
  <c r="CF88" i="3"/>
  <c r="CA88" i="3"/>
  <c r="BZ88" i="3"/>
  <c r="BY88" i="3"/>
  <c r="BW88" i="3"/>
  <c r="BV88" i="3"/>
  <c r="BT88" i="3"/>
  <c r="BN88" i="3"/>
  <c r="BK88" i="3"/>
  <c r="BJ88" i="3"/>
  <c r="BH88" i="3"/>
  <c r="BB88" i="3"/>
  <c r="BA88" i="3"/>
  <c r="FG88" i="3" s="1"/>
  <c r="AZ88" i="3"/>
  <c r="EA88" i="3" s="1"/>
  <c r="AY88" i="3"/>
  <c r="DZ88" i="3" s="1"/>
  <c r="AX88" i="3"/>
  <c r="AW88" i="3"/>
  <c r="DX88" i="3" s="1"/>
  <c r="AV88" i="3"/>
  <c r="EL88" i="3" s="1"/>
  <c r="AU88" i="3"/>
  <c r="EK88" i="3" s="1"/>
  <c r="AT88" i="3"/>
  <c r="AS88" i="3"/>
  <c r="DT88" i="3" s="1"/>
  <c r="AR88" i="3"/>
  <c r="CO88" i="3" s="1"/>
  <c r="AQ88" i="3"/>
  <c r="EW88" i="3" s="1"/>
  <c r="AP88" i="3"/>
  <c r="AO88" i="3"/>
  <c r="EU88" i="3" s="1"/>
  <c r="AN88" i="3"/>
  <c r="DO88" i="3" s="1"/>
  <c r="AL88" i="3"/>
  <c r="AK88" i="3"/>
  <c r="AJ88" i="3"/>
  <c r="BF88" i="3" s="1"/>
  <c r="AI88" i="3"/>
  <c r="AH88" i="3"/>
  <c r="AG88" i="3"/>
  <c r="AF88" i="3"/>
  <c r="BE88" i="3" s="1"/>
  <c r="AE88" i="3"/>
  <c r="AD88" i="3"/>
  <c r="AC88" i="3"/>
  <c r="AB88" i="3"/>
  <c r="AA88" i="3"/>
  <c r="BD88" i="3" s="1"/>
  <c r="Z88" i="3"/>
  <c r="Y88" i="3"/>
  <c r="X88" i="3"/>
  <c r="BC88" i="3" s="1"/>
  <c r="T88" i="3"/>
  <c r="FF87" i="3"/>
  <c r="FD87" i="3"/>
  <c r="FC87" i="3"/>
  <c r="FA87" i="3"/>
  <c r="EW87" i="3"/>
  <c r="ET87" i="3"/>
  <c r="EQ87" i="3"/>
  <c r="EL87" i="3"/>
  <c r="EK87" i="3"/>
  <c r="EJ87" i="3"/>
  <c r="EG87" i="3"/>
  <c r="EE87" i="3"/>
  <c r="DY87" i="3"/>
  <c r="DV87" i="3"/>
  <c r="DU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W87" i="3"/>
  <c r="CU87" i="3"/>
  <c r="CS87" i="3"/>
  <c r="CN87" i="3"/>
  <c r="CL87" i="3"/>
  <c r="CK87" i="3"/>
  <c r="CI87" i="3"/>
  <c r="CD87" i="3"/>
  <c r="CC87" i="3"/>
  <c r="CB87" i="3"/>
  <c r="BY87" i="3"/>
  <c r="BQ87" i="3"/>
  <c r="BN87" i="3"/>
  <c r="BM87" i="3"/>
  <c r="BB87" i="3"/>
  <c r="BA87" i="3"/>
  <c r="AZ87" i="3"/>
  <c r="EA87" i="3" s="1"/>
  <c r="AY87" i="3"/>
  <c r="AX87" i="3"/>
  <c r="EN87" i="3" s="1"/>
  <c r="AW87" i="3"/>
  <c r="AV87" i="3"/>
  <c r="DW87" i="3" s="1"/>
  <c r="AU87" i="3"/>
  <c r="CR87" i="3" s="1"/>
  <c r="AT87" i="3"/>
  <c r="EZ87" i="3" s="1"/>
  <c r="AS87" i="3"/>
  <c r="AR87" i="3"/>
  <c r="EX87" i="3" s="1"/>
  <c r="AQ87" i="3"/>
  <c r="DR87" i="3" s="1"/>
  <c r="AP87" i="3"/>
  <c r="AO87" i="3"/>
  <c r="BW87" i="3" s="1"/>
  <c r="AN87" i="3"/>
  <c r="DO87" i="3" s="1"/>
  <c r="AL87" i="3"/>
  <c r="AK87" i="3"/>
  <c r="BF87" i="3" s="1"/>
  <c r="AJ87" i="3"/>
  <c r="AI87" i="3"/>
  <c r="AH87" i="3"/>
  <c r="AG87" i="3"/>
  <c r="AF87" i="3"/>
  <c r="BE87" i="3" s="1"/>
  <c r="AE87" i="3"/>
  <c r="AD87" i="3"/>
  <c r="AC87" i="3"/>
  <c r="AB87" i="3"/>
  <c r="AA87" i="3"/>
  <c r="Z87" i="3"/>
  <c r="Y87" i="3"/>
  <c r="X87" i="3"/>
  <c r="T87" i="3"/>
  <c r="FH86" i="3"/>
  <c r="FG86" i="3"/>
  <c r="FF86" i="3"/>
  <c r="FD86" i="3"/>
  <c r="EZ86" i="3"/>
  <c r="EY86" i="3"/>
  <c r="EW86" i="3"/>
  <c r="EV86" i="3"/>
  <c r="EU86" i="3"/>
  <c r="ET86" i="3"/>
  <c r="ER86" i="3"/>
  <c r="EO86" i="3"/>
  <c r="EN86" i="3"/>
  <c r="EM86" i="3"/>
  <c r="EK86" i="3"/>
  <c r="EJ86" i="3"/>
  <c r="EF86" i="3"/>
  <c r="EB86" i="3"/>
  <c r="EA86" i="3"/>
  <c r="DY86" i="3"/>
  <c r="DX86" i="3"/>
  <c r="DV86" i="3"/>
  <c r="DT86" i="3"/>
  <c r="DP86" i="3"/>
  <c r="DO86" i="3"/>
  <c r="DN86" i="3"/>
  <c r="DM86" i="3"/>
  <c r="DL86" i="3"/>
  <c r="DK86" i="3"/>
  <c r="DJ86" i="3"/>
  <c r="DI86" i="3"/>
  <c r="DH86" i="3"/>
  <c r="DG86" i="3"/>
  <c r="DF86" i="3"/>
  <c r="DE86" i="3"/>
  <c r="DD86" i="3"/>
  <c r="DC86" i="3"/>
  <c r="DB86" i="3"/>
  <c r="DA86" i="3"/>
  <c r="CZ86" i="3"/>
  <c r="CX86" i="3"/>
  <c r="CV86" i="3"/>
  <c r="CR86" i="3"/>
  <c r="CQ86" i="3"/>
  <c r="CO86" i="3"/>
  <c r="CN86" i="3"/>
  <c r="CL86" i="3"/>
  <c r="CJ86" i="3"/>
  <c r="CG86" i="3"/>
  <c r="CF86" i="3"/>
  <c r="CE86" i="3"/>
  <c r="CB86" i="3"/>
  <c r="BX86" i="3"/>
  <c r="BT86" i="3"/>
  <c r="BS86" i="3"/>
  <c r="BQ86" i="3"/>
  <c r="BP86" i="3"/>
  <c r="BN86" i="3"/>
  <c r="BL86" i="3"/>
  <c r="BH86" i="3"/>
  <c r="BB86" i="3"/>
  <c r="BA86" i="3"/>
  <c r="EQ86" i="3" s="1"/>
  <c r="AZ86" i="3"/>
  <c r="AY86" i="3"/>
  <c r="DZ86" i="3" s="1"/>
  <c r="AX86" i="3"/>
  <c r="CU86" i="3" s="1"/>
  <c r="AW86" i="3"/>
  <c r="FC86" i="3" s="1"/>
  <c r="AV86" i="3"/>
  <c r="AU86" i="3"/>
  <c r="FA86" i="3" s="1"/>
  <c r="AT86" i="3"/>
  <c r="DU86" i="3" s="1"/>
  <c r="AS86" i="3"/>
  <c r="AR86" i="3"/>
  <c r="BZ86" i="3" s="1"/>
  <c r="AQ86" i="3"/>
  <c r="DR86" i="3" s="1"/>
  <c r="AP86" i="3"/>
  <c r="AO86" i="3"/>
  <c r="EE86" i="3" s="1"/>
  <c r="AN86" i="3"/>
  <c r="AL86" i="3"/>
  <c r="AK86" i="3"/>
  <c r="AJ86" i="3"/>
  <c r="AI86" i="3"/>
  <c r="BF86" i="3" s="1"/>
  <c r="AH86" i="3"/>
  <c r="AG86" i="3"/>
  <c r="BE86" i="3" s="1"/>
  <c r="AF86" i="3"/>
  <c r="AE86" i="3"/>
  <c r="AD86" i="3"/>
  <c r="BD86" i="3" s="1"/>
  <c r="AC86" i="3"/>
  <c r="AB86" i="3"/>
  <c r="AA86" i="3"/>
  <c r="Z86" i="3"/>
  <c r="Y86" i="3"/>
  <c r="X86" i="3"/>
  <c r="T86" i="3"/>
  <c r="FG85" i="3"/>
  <c r="FC85" i="3"/>
  <c r="EZ85" i="3"/>
  <c r="EX85" i="3"/>
  <c r="EU85" i="3"/>
  <c r="ER85" i="3"/>
  <c r="EQ85" i="3"/>
  <c r="EP85" i="3"/>
  <c r="EM85" i="3"/>
  <c r="EK85" i="3"/>
  <c r="EF85" i="3"/>
  <c r="EE85" i="3"/>
  <c r="ED85" i="3"/>
  <c r="EB85" i="3"/>
  <c r="EA85" i="3"/>
  <c r="DS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T85" i="3"/>
  <c r="CR85" i="3"/>
  <c r="CQ85" i="3"/>
  <c r="CO85" i="3"/>
  <c r="CM85" i="3"/>
  <c r="CJ85" i="3"/>
  <c r="CI85" i="3"/>
  <c r="CH85" i="3"/>
  <c r="CE85" i="3"/>
  <c r="CC85" i="3"/>
  <c r="BX85" i="3"/>
  <c r="BW85" i="3"/>
  <c r="BV85" i="3"/>
  <c r="BT85" i="3"/>
  <c r="BS85" i="3"/>
  <c r="BP85" i="3"/>
  <c r="BK85" i="3"/>
  <c r="BH85" i="3"/>
  <c r="BG85" i="3"/>
  <c r="BE85" i="3"/>
  <c r="BB85" i="3"/>
  <c r="EC85" i="3" s="1"/>
  <c r="BA85" i="3"/>
  <c r="CX85" i="3" s="1"/>
  <c r="AZ85" i="3"/>
  <c r="FF85" i="3" s="1"/>
  <c r="AY85" i="3"/>
  <c r="AX85" i="3"/>
  <c r="AW85" i="3"/>
  <c r="DX85" i="3" s="1"/>
  <c r="AV85" i="3"/>
  <c r="DW85" i="3" s="1"/>
  <c r="AU85" i="3"/>
  <c r="AT85" i="3"/>
  <c r="DU85" i="3" s="1"/>
  <c r="AS85" i="3"/>
  <c r="AR85" i="3"/>
  <c r="EH85" i="3" s="1"/>
  <c r="AQ85" i="3"/>
  <c r="AP85" i="3"/>
  <c r="DQ85" i="3" s="1"/>
  <c r="AO85" i="3"/>
  <c r="CL85" i="3" s="1"/>
  <c r="AN85" i="3"/>
  <c r="ET85" i="3" s="1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BC85" i="3" s="1"/>
  <c r="Y85" i="3"/>
  <c r="X85" i="3"/>
  <c r="T85" i="3"/>
  <c r="FF84" i="3"/>
  <c r="FC84" i="3"/>
  <c r="FA84" i="3"/>
  <c r="EZ84" i="3"/>
  <c r="EX84" i="3"/>
  <c r="ET84" i="3"/>
  <c r="EP84" i="3"/>
  <c r="EO84" i="3"/>
  <c r="EI84" i="3"/>
  <c r="EH84" i="3"/>
  <c r="EG84" i="3"/>
  <c r="ED84" i="3"/>
  <c r="DV84" i="3"/>
  <c r="DS84" i="3"/>
  <c r="DQ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W84" i="3"/>
  <c r="CR84" i="3"/>
  <c r="CP84" i="3"/>
  <c r="CM84" i="3"/>
  <c r="CK84" i="3"/>
  <c r="CH84" i="3"/>
  <c r="CA84" i="3"/>
  <c r="BZ84" i="3"/>
  <c r="BV84" i="3"/>
  <c r="BS84" i="3"/>
  <c r="BR84" i="3"/>
  <c r="BN84" i="3"/>
  <c r="BM84" i="3"/>
  <c r="BK84" i="3"/>
  <c r="BJ84" i="3"/>
  <c r="BI84" i="3"/>
  <c r="BG84" i="3"/>
  <c r="BB84" i="3"/>
  <c r="BA84" i="3"/>
  <c r="AZ84" i="3"/>
  <c r="EA84" i="3" s="1"/>
  <c r="AY84" i="3"/>
  <c r="CV84" i="3" s="1"/>
  <c r="AX84" i="3"/>
  <c r="EN84" i="3" s="1"/>
  <c r="AW84" i="3"/>
  <c r="AV84" i="3"/>
  <c r="CS84" i="3" s="1"/>
  <c r="AU84" i="3"/>
  <c r="EK84" i="3" s="1"/>
  <c r="AT84" i="3"/>
  <c r="DU84" i="3" s="1"/>
  <c r="AS84" i="3"/>
  <c r="DT84" i="3" s="1"/>
  <c r="AR84" i="3"/>
  <c r="CO84" i="3" s="1"/>
  <c r="AQ84" i="3"/>
  <c r="AP84" i="3"/>
  <c r="AO84" i="3"/>
  <c r="AN84" i="3"/>
  <c r="DO84" i="3" s="1"/>
  <c r="AL84" i="3"/>
  <c r="AK84" i="3"/>
  <c r="AJ84" i="3"/>
  <c r="BF84" i="3" s="1"/>
  <c r="AI84" i="3"/>
  <c r="AH84" i="3"/>
  <c r="AG84" i="3"/>
  <c r="AF84" i="3"/>
  <c r="AE84" i="3"/>
  <c r="AD84" i="3"/>
  <c r="AC84" i="3"/>
  <c r="AB84" i="3"/>
  <c r="AA84" i="3"/>
  <c r="Z84" i="3"/>
  <c r="Y84" i="3"/>
  <c r="X84" i="3"/>
  <c r="T84" i="3"/>
  <c r="FH83" i="3"/>
  <c r="FE83" i="3"/>
  <c r="FD83" i="3"/>
  <c r="FC83" i="3"/>
  <c r="EX83" i="3"/>
  <c r="EW83" i="3"/>
  <c r="ET83" i="3"/>
  <c r="ER83" i="3"/>
  <c r="EO83" i="3"/>
  <c r="EM83" i="3"/>
  <c r="EL83" i="3"/>
  <c r="EJ83" i="3"/>
  <c r="EH83" i="3"/>
  <c r="EG83" i="3"/>
  <c r="EE83" i="3"/>
  <c r="DY83" i="3"/>
  <c r="DX83" i="3"/>
  <c r="DU83" i="3"/>
  <c r="DS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W83" i="3"/>
  <c r="CV83" i="3"/>
  <c r="CU83" i="3"/>
  <c r="CS83" i="3"/>
  <c r="CQ83" i="3"/>
  <c r="CP83" i="3"/>
  <c r="CO83" i="3"/>
  <c r="CN83" i="3"/>
  <c r="CL83" i="3"/>
  <c r="CJ83" i="3"/>
  <c r="CG83" i="3"/>
  <c r="CF83" i="3"/>
  <c r="CE83" i="3"/>
  <c r="CD83" i="3"/>
  <c r="CB83" i="3"/>
  <c r="BZ83" i="3"/>
  <c r="BY83" i="3"/>
  <c r="BX83" i="3"/>
  <c r="BU83" i="3"/>
  <c r="BR83" i="3"/>
  <c r="BQ83" i="3"/>
  <c r="BP83" i="3"/>
  <c r="BM83" i="3"/>
  <c r="BL83" i="3"/>
  <c r="BK83" i="3"/>
  <c r="BH83" i="3"/>
  <c r="BD83" i="3"/>
  <c r="BB83" i="3"/>
  <c r="CY83" i="3" s="1"/>
  <c r="BA83" i="3"/>
  <c r="AZ83" i="3"/>
  <c r="AY83" i="3"/>
  <c r="DZ83" i="3" s="1"/>
  <c r="AX83" i="3"/>
  <c r="EN83" i="3" s="1"/>
  <c r="AW83" i="3"/>
  <c r="CT83" i="3" s="1"/>
  <c r="AV83" i="3"/>
  <c r="AU83" i="3"/>
  <c r="AT83" i="3"/>
  <c r="EZ83" i="3" s="1"/>
  <c r="AS83" i="3"/>
  <c r="EY83" i="3" s="1"/>
  <c r="AR83" i="3"/>
  <c r="AQ83" i="3"/>
  <c r="DR83" i="3" s="1"/>
  <c r="AP83" i="3"/>
  <c r="CM83" i="3" s="1"/>
  <c r="AO83" i="3"/>
  <c r="AN83" i="3"/>
  <c r="AL83" i="3"/>
  <c r="AK83" i="3"/>
  <c r="AJ83" i="3"/>
  <c r="AI83" i="3"/>
  <c r="BF83" i="3" s="1"/>
  <c r="AH83" i="3"/>
  <c r="AG83" i="3"/>
  <c r="AF83" i="3"/>
  <c r="BE83" i="3" s="1"/>
  <c r="AE83" i="3"/>
  <c r="AD83" i="3"/>
  <c r="AC83" i="3"/>
  <c r="AB83" i="3"/>
  <c r="AA83" i="3"/>
  <c r="Z83" i="3"/>
  <c r="Y83" i="3"/>
  <c r="X83" i="3"/>
  <c r="BC83" i="3" s="1"/>
  <c r="T83" i="3"/>
  <c r="FH82" i="3"/>
  <c r="FG82" i="3"/>
  <c r="FC82" i="3"/>
  <c r="EZ82" i="3"/>
  <c r="EU82" i="3"/>
  <c r="ER82" i="3"/>
  <c r="EQ82" i="3"/>
  <c r="EO82" i="3"/>
  <c r="EM82" i="3"/>
  <c r="EK82" i="3"/>
  <c r="EF82" i="3"/>
  <c r="EC82" i="3"/>
  <c r="DX82" i="3"/>
  <c r="DQ82" i="3"/>
  <c r="DP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V82" i="3"/>
  <c r="CT82" i="3"/>
  <c r="CR82" i="3"/>
  <c r="CI82" i="3"/>
  <c r="CG82" i="3"/>
  <c r="CE82" i="3"/>
  <c r="CC82" i="3"/>
  <c r="CA82" i="3"/>
  <c r="BX82" i="3"/>
  <c r="BT82" i="3"/>
  <c r="BR82" i="3"/>
  <c r="BP82" i="3"/>
  <c r="BL82" i="3"/>
  <c r="BH82" i="3"/>
  <c r="BC82" i="3"/>
  <c r="BB82" i="3"/>
  <c r="CJ82" i="3" s="1"/>
  <c r="BA82" i="3"/>
  <c r="EB82" i="3" s="1"/>
  <c r="AZ82" i="3"/>
  <c r="AY82" i="3"/>
  <c r="AX82" i="3"/>
  <c r="EN82" i="3" s="1"/>
  <c r="AW82" i="3"/>
  <c r="AV82" i="3"/>
  <c r="BO82" i="3" s="1"/>
  <c r="AU82" i="3"/>
  <c r="BN82" i="3" s="1"/>
  <c r="AT82" i="3"/>
  <c r="DU82" i="3" s="1"/>
  <c r="AS82" i="3"/>
  <c r="CP82" i="3" s="1"/>
  <c r="AR82" i="3"/>
  <c r="EX82" i="3" s="1"/>
  <c r="AQ82" i="3"/>
  <c r="AP82" i="3"/>
  <c r="CM82" i="3" s="1"/>
  <c r="AO82" i="3"/>
  <c r="CL82" i="3" s="1"/>
  <c r="AN82" i="3"/>
  <c r="AL82" i="3"/>
  <c r="AK82" i="3"/>
  <c r="AJ82" i="3"/>
  <c r="BF82" i="3" s="1"/>
  <c r="AI82" i="3"/>
  <c r="AH82" i="3"/>
  <c r="AG82" i="3"/>
  <c r="BE82" i="3" s="1"/>
  <c r="AF82" i="3"/>
  <c r="AE82" i="3"/>
  <c r="AD82" i="3"/>
  <c r="AC82" i="3"/>
  <c r="AB82" i="3"/>
  <c r="BD82" i="3" s="1"/>
  <c r="AA82" i="3"/>
  <c r="Z82" i="3"/>
  <c r="Y82" i="3"/>
  <c r="X82" i="3"/>
  <c r="T82" i="3"/>
  <c r="FH81" i="3"/>
  <c r="FG81" i="3"/>
  <c r="FC81" i="3"/>
  <c r="FA81" i="3"/>
  <c r="EY81" i="3"/>
  <c r="EX81" i="3"/>
  <c r="EV81" i="3"/>
  <c r="EU81" i="3"/>
  <c r="EQ81" i="3"/>
  <c r="EP81" i="3"/>
  <c r="EN81" i="3"/>
  <c r="EL81" i="3"/>
  <c r="EI81" i="3"/>
  <c r="EE81" i="3"/>
  <c r="ED81" i="3"/>
  <c r="EC81" i="3"/>
  <c r="EA81" i="3"/>
  <c r="DW81" i="3"/>
  <c r="DS81" i="3"/>
  <c r="DQ81" i="3"/>
  <c r="DO81" i="3"/>
  <c r="DN81" i="3"/>
  <c r="DM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W81" i="3"/>
  <c r="CU81" i="3"/>
  <c r="CR81" i="3"/>
  <c r="CP81" i="3"/>
  <c r="CM81" i="3"/>
  <c r="CK81" i="3"/>
  <c r="CI81" i="3"/>
  <c r="CH81" i="3"/>
  <c r="CF81" i="3"/>
  <c r="CD81" i="3"/>
  <c r="CA81" i="3"/>
  <c r="BW81" i="3"/>
  <c r="BV81" i="3"/>
  <c r="BU81" i="3"/>
  <c r="BS81" i="3"/>
  <c r="BO81" i="3"/>
  <c r="BK81" i="3"/>
  <c r="BI81" i="3"/>
  <c r="BG81" i="3"/>
  <c r="BF81" i="3"/>
  <c r="BC81" i="3"/>
  <c r="BB81" i="3"/>
  <c r="ER81" i="3" s="1"/>
  <c r="BA81" i="3"/>
  <c r="CX81" i="3" s="1"/>
  <c r="AZ81" i="3"/>
  <c r="FF81" i="3" s="1"/>
  <c r="AY81" i="3"/>
  <c r="DZ81" i="3" s="1"/>
  <c r="AX81" i="3"/>
  <c r="DY81" i="3" s="1"/>
  <c r="AW81" i="3"/>
  <c r="DX81" i="3" s="1"/>
  <c r="AV81" i="3"/>
  <c r="FB81" i="3" s="1"/>
  <c r="AU81" i="3"/>
  <c r="EK81" i="3" s="1"/>
  <c r="AT81" i="3"/>
  <c r="AS81" i="3"/>
  <c r="DT81" i="3" s="1"/>
  <c r="AR81" i="3"/>
  <c r="CO81" i="3" s="1"/>
  <c r="AQ81" i="3"/>
  <c r="AP81" i="3"/>
  <c r="EF81" i="3" s="1"/>
  <c r="AO81" i="3"/>
  <c r="CL81" i="3" s="1"/>
  <c r="AN81" i="3"/>
  <c r="ET81" i="3" s="1"/>
  <c r="AL81" i="3"/>
  <c r="AK81" i="3"/>
  <c r="AJ81" i="3"/>
  <c r="AI81" i="3"/>
  <c r="AH81" i="3"/>
  <c r="AG81" i="3"/>
  <c r="AF81" i="3"/>
  <c r="AE81" i="3"/>
  <c r="AD81" i="3"/>
  <c r="AC81" i="3"/>
  <c r="AB81" i="3"/>
  <c r="AA81" i="3"/>
  <c r="BD81" i="3" s="1"/>
  <c r="Z81" i="3"/>
  <c r="Y81" i="3"/>
  <c r="X81" i="3"/>
  <c r="T81" i="3"/>
  <c r="FF80" i="3"/>
  <c r="FD80" i="3"/>
  <c r="FB80" i="3"/>
  <c r="FA80" i="3"/>
  <c r="EY80" i="3"/>
  <c r="EX80" i="3"/>
  <c r="ET80" i="3"/>
  <c r="EQ80" i="3"/>
  <c r="EO80" i="3"/>
  <c r="EL80" i="3"/>
  <c r="EH80" i="3"/>
  <c r="EG80" i="3"/>
  <c r="EE80" i="3"/>
  <c r="DZ80" i="3"/>
  <c r="DV80" i="3"/>
  <c r="DT80" i="3"/>
  <c r="DR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X80" i="3"/>
  <c r="CU80" i="3"/>
  <c r="CS80" i="3"/>
  <c r="CP80" i="3"/>
  <c r="CN80" i="3"/>
  <c r="CL80" i="3"/>
  <c r="CI80" i="3"/>
  <c r="CG80" i="3"/>
  <c r="CD80" i="3"/>
  <c r="BZ80" i="3"/>
  <c r="BY80" i="3"/>
  <c r="BW80" i="3"/>
  <c r="BU80" i="3"/>
  <c r="BR80" i="3"/>
  <c r="BN80" i="3"/>
  <c r="BL80" i="3"/>
  <c r="BJ80" i="3"/>
  <c r="BB80" i="3"/>
  <c r="BA80" i="3"/>
  <c r="EB80" i="3" s="1"/>
  <c r="AZ80" i="3"/>
  <c r="EA80" i="3" s="1"/>
  <c r="AY80" i="3"/>
  <c r="FE80" i="3" s="1"/>
  <c r="AX80" i="3"/>
  <c r="EN80" i="3" s="1"/>
  <c r="AW80" i="3"/>
  <c r="AV80" i="3"/>
  <c r="DW80" i="3" s="1"/>
  <c r="AU80" i="3"/>
  <c r="CR80" i="3" s="1"/>
  <c r="AT80" i="3"/>
  <c r="AS80" i="3"/>
  <c r="EI80" i="3" s="1"/>
  <c r="AR80" i="3"/>
  <c r="CO80" i="3" s="1"/>
  <c r="AQ80" i="3"/>
  <c r="EW80" i="3" s="1"/>
  <c r="AP80" i="3"/>
  <c r="DQ80" i="3" s="1"/>
  <c r="AO80" i="3"/>
  <c r="DP80" i="3" s="1"/>
  <c r="AN80" i="3"/>
  <c r="DO80" i="3" s="1"/>
  <c r="AL80" i="3"/>
  <c r="AK80" i="3"/>
  <c r="BF80" i="3" s="1"/>
  <c r="AJ80" i="3"/>
  <c r="AI80" i="3"/>
  <c r="AH80" i="3"/>
  <c r="AG80" i="3"/>
  <c r="AF80" i="3"/>
  <c r="AE80" i="3"/>
  <c r="AD80" i="3"/>
  <c r="BD80" i="3" s="1"/>
  <c r="AC80" i="3"/>
  <c r="AB80" i="3"/>
  <c r="AA80" i="3"/>
  <c r="Z80" i="3"/>
  <c r="Y80" i="3"/>
  <c r="AM80" i="3" s="1"/>
  <c r="X80" i="3"/>
  <c r="BC80" i="3" s="1"/>
  <c r="T80" i="3"/>
  <c r="FG79" i="3"/>
  <c r="FE79" i="3"/>
  <c r="FD79" i="3"/>
  <c r="FB79" i="3"/>
  <c r="FA79" i="3"/>
  <c r="EW79" i="3"/>
  <c r="EU79" i="3"/>
  <c r="ER79" i="3"/>
  <c r="EO79" i="3"/>
  <c r="EK79" i="3"/>
  <c r="EJ79" i="3"/>
  <c r="EH79" i="3"/>
  <c r="EF79" i="3"/>
  <c r="EC79" i="3"/>
  <c r="DY79" i="3"/>
  <c r="DW79" i="3"/>
  <c r="DU79" i="3"/>
  <c r="DQ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X79" i="3"/>
  <c r="CV79" i="3"/>
  <c r="CS79" i="3"/>
  <c r="CQ79" i="3"/>
  <c r="CO79" i="3"/>
  <c r="CL79" i="3"/>
  <c r="CJ79" i="3"/>
  <c r="CG79" i="3"/>
  <c r="CC79" i="3"/>
  <c r="CB79" i="3"/>
  <c r="BZ79" i="3"/>
  <c r="BX79" i="3"/>
  <c r="BU79" i="3"/>
  <c r="BQ79" i="3"/>
  <c r="BO79" i="3"/>
  <c r="BM79" i="3"/>
  <c r="BI79" i="3"/>
  <c r="BB79" i="3"/>
  <c r="FH79" i="3" s="1"/>
  <c r="BA79" i="3"/>
  <c r="EQ79" i="3" s="1"/>
  <c r="AZ79" i="3"/>
  <c r="AY79" i="3"/>
  <c r="DZ79" i="3" s="1"/>
  <c r="AX79" i="3"/>
  <c r="CU79" i="3" s="1"/>
  <c r="AW79" i="3"/>
  <c r="AV79" i="3"/>
  <c r="EL79" i="3" s="1"/>
  <c r="AU79" i="3"/>
  <c r="CR79" i="3" s="1"/>
  <c r="AT79" i="3"/>
  <c r="EZ79" i="3" s="1"/>
  <c r="AS79" i="3"/>
  <c r="DT79" i="3" s="1"/>
  <c r="AR79" i="3"/>
  <c r="DS79" i="3" s="1"/>
  <c r="AQ79" i="3"/>
  <c r="DR79" i="3" s="1"/>
  <c r="AP79" i="3"/>
  <c r="EV79" i="3" s="1"/>
  <c r="AO79" i="3"/>
  <c r="EE79" i="3" s="1"/>
  <c r="AN79" i="3"/>
  <c r="AL79" i="3"/>
  <c r="AK79" i="3"/>
  <c r="AJ79" i="3"/>
  <c r="AI79" i="3"/>
  <c r="BF79" i="3" s="1"/>
  <c r="AH79" i="3"/>
  <c r="AG79" i="3"/>
  <c r="BE79" i="3" s="1"/>
  <c r="AF79" i="3"/>
  <c r="AE79" i="3"/>
  <c r="AD79" i="3"/>
  <c r="AC79" i="3"/>
  <c r="AB79" i="3"/>
  <c r="BD79" i="3" s="1"/>
  <c r="AA79" i="3"/>
  <c r="Z79" i="3"/>
  <c r="Y79" i="3"/>
  <c r="X79" i="3"/>
  <c r="T79" i="3"/>
  <c r="FH78" i="3"/>
  <c r="FG78" i="3"/>
  <c r="FE78" i="3"/>
  <c r="EZ78" i="3"/>
  <c r="EX78" i="3"/>
  <c r="EV78" i="3"/>
  <c r="EU78" i="3"/>
  <c r="ER78" i="3"/>
  <c r="EP78" i="3"/>
  <c r="EM78" i="3"/>
  <c r="EK78" i="3"/>
  <c r="EI78" i="3"/>
  <c r="EF78" i="3"/>
  <c r="ED78" i="3"/>
  <c r="EB78" i="3"/>
  <c r="DZ78" i="3"/>
  <c r="DX78" i="3"/>
  <c r="DT78" i="3"/>
  <c r="DR78" i="3"/>
  <c r="DP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V78" i="3"/>
  <c r="CT78" i="3"/>
  <c r="CR78" i="3"/>
  <c r="CO78" i="3"/>
  <c r="CM78" i="3"/>
  <c r="CJ78" i="3"/>
  <c r="CH78" i="3"/>
  <c r="CE78" i="3"/>
  <c r="CC78" i="3"/>
  <c r="CA78" i="3"/>
  <c r="BX78" i="3"/>
  <c r="BV78" i="3"/>
  <c r="BT78" i="3"/>
  <c r="BR78" i="3"/>
  <c r="BP78" i="3"/>
  <c r="BL78" i="3"/>
  <c r="BJ78" i="3"/>
  <c r="BH78" i="3"/>
  <c r="BB78" i="3"/>
  <c r="EC78" i="3" s="1"/>
  <c r="BA78" i="3"/>
  <c r="CX78" i="3" s="1"/>
  <c r="AZ78" i="3"/>
  <c r="AY78" i="3"/>
  <c r="EO78" i="3" s="1"/>
  <c r="AX78" i="3"/>
  <c r="AW78" i="3"/>
  <c r="FC78" i="3" s="1"/>
  <c r="AV78" i="3"/>
  <c r="AU78" i="3"/>
  <c r="DV78" i="3" s="1"/>
  <c r="AT78" i="3"/>
  <c r="DU78" i="3" s="1"/>
  <c r="AS78" i="3"/>
  <c r="EY78" i="3" s="1"/>
  <c r="AR78" i="3"/>
  <c r="EH78" i="3" s="1"/>
  <c r="AQ78" i="3"/>
  <c r="AP78" i="3"/>
  <c r="DQ78" i="3" s="1"/>
  <c r="AO78" i="3"/>
  <c r="CL78" i="3" s="1"/>
  <c r="AN78" i="3"/>
  <c r="AL78" i="3"/>
  <c r="AK78" i="3"/>
  <c r="AJ78" i="3"/>
  <c r="BF78" i="3" s="1"/>
  <c r="AI78" i="3"/>
  <c r="AH78" i="3"/>
  <c r="AG78" i="3"/>
  <c r="BE78" i="3" s="1"/>
  <c r="AF78" i="3"/>
  <c r="AE78" i="3"/>
  <c r="AD78" i="3"/>
  <c r="AC78" i="3"/>
  <c r="AB78" i="3"/>
  <c r="BD78" i="3" s="1"/>
  <c r="AA78" i="3"/>
  <c r="Z78" i="3"/>
  <c r="Y78" i="3"/>
  <c r="X78" i="3"/>
  <c r="T78" i="3"/>
  <c r="FH77" i="3"/>
  <c r="FC77" i="3"/>
  <c r="FA77" i="3"/>
  <c r="EY77" i="3"/>
  <c r="EX77" i="3"/>
  <c r="EV77" i="3"/>
  <c r="EQ77" i="3"/>
  <c r="EP77" i="3"/>
  <c r="EN77" i="3"/>
  <c r="EL77" i="3"/>
  <c r="EI77" i="3"/>
  <c r="ED77" i="3"/>
  <c r="EC77" i="3"/>
  <c r="EA77" i="3"/>
  <c r="DW77" i="3"/>
  <c r="DU77" i="3"/>
  <c r="DS77" i="3"/>
  <c r="DQ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W77" i="3"/>
  <c r="CU77" i="3"/>
  <c r="CR77" i="3"/>
  <c r="CP77" i="3"/>
  <c r="CM77" i="3"/>
  <c r="CK77" i="3"/>
  <c r="CH77" i="3"/>
  <c r="CF77" i="3"/>
  <c r="CD77" i="3"/>
  <c r="CA77" i="3"/>
  <c r="BV77" i="3"/>
  <c r="BU77" i="3"/>
  <c r="BS77" i="3"/>
  <c r="BO77" i="3"/>
  <c r="BM77" i="3"/>
  <c r="BK77" i="3"/>
  <c r="BI77" i="3"/>
  <c r="BG77" i="3"/>
  <c r="BF77" i="3"/>
  <c r="BC77" i="3"/>
  <c r="BB77" i="3"/>
  <c r="ER77" i="3" s="1"/>
  <c r="BA77" i="3"/>
  <c r="AZ77" i="3"/>
  <c r="FF77" i="3" s="1"/>
  <c r="AY77" i="3"/>
  <c r="BR77" i="3" s="1"/>
  <c r="AX77" i="3"/>
  <c r="DY77" i="3" s="1"/>
  <c r="AW77" i="3"/>
  <c r="DX77" i="3" s="1"/>
  <c r="AV77" i="3"/>
  <c r="FB77" i="3" s="1"/>
  <c r="AU77" i="3"/>
  <c r="EK77" i="3" s="1"/>
  <c r="AT77" i="3"/>
  <c r="AS77" i="3"/>
  <c r="DT77" i="3" s="1"/>
  <c r="AR77" i="3"/>
  <c r="CO77" i="3" s="1"/>
  <c r="AQ77" i="3"/>
  <c r="AP77" i="3"/>
  <c r="EF77" i="3" s="1"/>
  <c r="AO77" i="3"/>
  <c r="EU77" i="3" s="1"/>
  <c r="AN77" i="3"/>
  <c r="ET77" i="3" s="1"/>
  <c r="AL77" i="3"/>
  <c r="AK77" i="3"/>
  <c r="AJ77" i="3"/>
  <c r="AI77" i="3"/>
  <c r="AH77" i="3"/>
  <c r="AG77" i="3"/>
  <c r="AF77" i="3"/>
  <c r="BE77" i="3" s="1"/>
  <c r="AE77" i="3"/>
  <c r="AD77" i="3"/>
  <c r="AC77" i="3"/>
  <c r="AB77" i="3"/>
  <c r="AA77" i="3"/>
  <c r="BD77" i="3" s="1"/>
  <c r="Z77" i="3"/>
  <c r="Y77" i="3"/>
  <c r="X77" i="3"/>
  <c r="T77" i="3"/>
  <c r="FF76" i="3"/>
  <c r="FD76" i="3"/>
  <c r="FB76" i="3"/>
  <c r="FA76" i="3"/>
  <c r="EY76" i="3"/>
  <c r="EX76" i="3"/>
  <c r="EQ76" i="3"/>
  <c r="EL76" i="3"/>
  <c r="EJ76" i="3"/>
  <c r="EH76" i="3"/>
  <c r="EG76" i="3"/>
  <c r="EE76" i="3"/>
  <c r="DZ76" i="3"/>
  <c r="DV76" i="3"/>
  <c r="DT76" i="3"/>
  <c r="DR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X76" i="3"/>
  <c r="CU76" i="3"/>
  <c r="CS76" i="3"/>
  <c r="CP76" i="3"/>
  <c r="CN76" i="3"/>
  <c r="CL76" i="3"/>
  <c r="CI76" i="3"/>
  <c r="CD76" i="3"/>
  <c r="BZ76" i="3"/>
  <c r="BY76" i="3"/>
  <c r="BW76" i="3"/>
  <c r="BP76" i="3"/>
  <c r="BN76" i="3"/>
  <c r="BL76" i="3"/>
  <c r="BJ76" i="3"/>
  <c r="BB76" i="3"/>
  <c r="BU76" i="3" s="1"/>
  <c r="BA76" i="3"/>
  <c r="EB76" i="3" s="1"/>
  <c r="AZ76" i="3"/>
  <c r="AY76" i="3"/>
  <c r="AX76" i="3"/>
  <c r="EN76" i="3" s="1"/>
  <c r="AW76" i="3"/>
  <c r="AV76" i="3"/>
  <c r="DW76" i="3" s="1"/>
  <c r="AU76" i="3"/>
  <c r="CR76" i="3" s="1"/>
  <c r="AT76" i="3"/>
  <c r="CB76" i="3" s="1"/>
  <c r="AS76" i="3"/>
  <c r="EI76" i="3" s="1"/>
  <c r="AR76" i="3"/>
  <c r="AQ76" i="3"/>
  <c r="EW76" i="3" s="1"/>
  <c r="AP76" i="3"/>
  <c r="AO76" i="3"/>
  <c r="DP76" i="3" s="1"/>
  <c r="AN76" i="3"/>
  <c r="AL76" i="3"/>
  <c r="AK76" i="3"/>
  <c r="BF76" i="3" s="1"/>
  <c r="AJ76" i="3"/>
  <c r="AI76" i="3"/>
  <c r="AH76" i="3"/>
  <c r="AG76" i="3"/>
  <c r="AF76" i="3"/>
  <c r="BE76" i="3" s="1"/>
  <c r="AE76" i="3"/>
  <c r="AD76" i="3"/>
  <c r="AC76" i="3"/>
  <c r="AB76" i="3"/>
  <c r="AA76" i="3"/>
  <c r="BD76" i="3" s="1"/>
  <c r="Z76" i="3"/>
  <c r="Y76" i="3"/>
  <c r="AM76" i="3" s="1"/>
  <c r="X76" i="3"/>
  <c r="T76" i="3"/>
  <c r="FG75" i="3"/>
  <c r="FF75" i="3"/>
  <c r="FE75" i="3"/>
  <c r="FD75" i="3"/>
  <c r="FB75" i="3"/>
  <c r="FA75" i="3"/>
  <c r="EY75" i="3"/>
  <c r="EW75" i="3"/>
  <c r="EU75" i="3"/>
  <c r="EO75" i="3"/>
  <c r="EM75" i="3"/>
  <c r="EK75" i="3"/>
  <c r="EJ75" i="3"/>
  <c r="EH75" i="3"/>
  <c r="EF75" i="3"/>
  <c r="EC75" i="3"/>
  <c r="EA75" i="3"/>
  <c r="DY75" i="3"/>
  <c r="DW75" i="3"/>
  <c r="DU75" i="3"/>
  <c r="DQ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V75" i="3"/>
  <c r="CS75" i="3"/>
  <c r="CQ75" i="3"/>
  <c r="CO75" i="3"/>
  <c r="CM75" i="3"/>
  <c r="CL75" i="3"/>
  <c r="CG75" i="3"/>
  <c r="CE75" i="3"/>
  <c r="CC75" i="3"/>
  <c r="CB75" i="3"/>
  <c r="BZ75" i="3"/>
  <c r="BQ75" i="3"/>
  <c r="BO75" i="3"/>
  <c r="BM75" i="3"/>
  <c r="BI75" i="3"/>
  <c r="BG75" i="3"/>
  <c r="BB75" i="3"/>
  <c r="FH75" i="3" s="1"/>
  <c r="BA75" i="3"/>
  <c r="EQ75" i="3" s="1"/>
  <c r="AZ75" i="3"/>
  <c r="AY75" i="3"/>
  <c r="DZ75" i="3" s="1"/>
  <c r="AX75" i="3"/>
  <c r="CU75" i="3" s="1"/>
  <c r="AW75" i="3"/>
  <c r="AV75" i="3"/>
  <c r="EL75" i="3" s="1"/>
  <c r="AU75" i="3"/>
  <c r="CR75" i="3" s="1"/>
  <c r="AT75" i="3"/>
  <c r="EZ75" i="3" s="1"/>
  <c r="AS75" i="3"/>
  <c r="AR75" i="3"/>
  <c r="DS75" i="3" s="1"/>
  <c r="AQ75" i="3"/>
  <c r="AP75" i="3"/>
  <c r="EV75" i="3" s="1"/>
  <c r="AO75" i="3"/>
  <c r="EE75" i="3" s="1"/>
  <c r="AN75" i="3"/>
  <c r="DO75" i="3" s="1"/>
  <c r="AL75" i="3"/>
  <c r="AK75" i="3"/>
  <c r="AJ75" i="3"/>
  <c r="AI75" i="3"/>
  <c r="AH75" i="3"/>
  <c r="AG75" i="3"/>
  <c r="BE75" i="3" s="1"/>
  <c r="AF75" i="3"/>
  <c r="AE75" i="3"/>
  <c r="AD75" i="3"/>
  <c r="AC75" i="3"/>
  <c r="AB75" i="3"/>
  <c r="AA75" i="3"/>
  <c r="Z75" i="3"/>
  <c r="Y75" i="3"/>
  <c r="X75" i="3"/>
  <c r="T75" i="3"/>
  <c r="FH74" i="3"/>
  <c r="FG74" i="3"/>
  <c r="FE74" i="3"/>
  <c r="EX74" i="3"/>
  <c r="EV74" i="3"/>
  <c r="EU74" i="3"/>
  <c r="ER74" i="3"/>
  <c r="EP74" i="3"/>
  <c r="EN74" i="3"/>
  <c r="EM74" i="3"/>
  <c r="EK74" i="3"/>
  <c r="EF74" i="3"/>
  <c r="ED74" i="3"/>
  <c r="EB74" i="3"/>
  <c r="DZ74" i="3"/>
  <c r="DY74" i="3"/>
  <c r="DX74" i="3"/>
  <c r="DW74" i="3"/>
  <c r="DT74" i="3"/>
  <c r="DP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V74" i="3"/>
  <c r="CT74" i="3"/>
  <c r="CR74" i="3"/>
  <c r="CP74" i="3"/>
  <c r="CO74" i="3"/>
  <c r="CM74" i="3"/>
  <c r="CJ74" i="3"/>
  <c r="CG74" i="3"/>
  <c r="CF74" i="3"/>
  <c r="CE74" i="3"/>
  <c r="CD74" i="3"/>
  <c r="CC74" i="3"/>
  <c r="CA74" i="3"/>
  <c r="BX74" i="3"/>
  <c r="BV74" i="3"/>
  <c r="BT74" i="3"/>
  <c r="BR74" i="3"/>
  <c r="BQ74" i="3"/>
  <c r="BP74" i="3"/>
  <c r="BL74" i="3"/>
  <c r="BH74" i="3"/>
  <c r="BC74" i="3"/>
  <c r="BB74" i="3"/>
  <c r="EC74" i="3" s="1"/>
  <c r="BA74" i="3"/>
  <c r="CX74" i="3" s="1"/>
  <c r="AZ74" i="3"/>
  <c r="CH74" i="3" s="1"/>
  <c r="AY74" i="3"/>
  <c r="EO74" i="3" s="1"/>
  <c r="AX74" i="3"/>
  <c r="CU74" i="3" s="1"/>
  <c r="AW74" i="3"/>
  <c r="FC74" i="3" s="1"/>
  <c r="AV74" i="3"/>
  <c r="CS74" i="3" s="1"/>
  <c r="AU74" i="3"/>
  <c r="DV74" i="3" s="1"/>
  <c r="AT74" i="3"/>
  <c r="AS74" i="3"/>
  <c r="EY74" i="3" s="1"/>
  <c r="AR74" i="3"/>
  <c r="EH74" i="3" s="1"/>
  <c r="AQ74" i="3"/>
  <c r="AP74" i="3"/>
  <c r="DQ74" i="3" s="1"/>
  <c r="AO74" i="3"/>
  <c r="CL74" i="3" s="1"/>
  <c r="AN74" i="3"/>
  <c r="AL74" i="3"/>
  <c r="BF74" i="3" s="1"/>
  <c r="AK74" i="3"/>
  <c r="AJ74" i="3"/>
  <c r="AI74" i="3"/>
  <c r="AH74" i="3"/>
  <c r="AG74" i="3"/>
  <c r="BE74" i="3" s="1"/>
  <c r="AF74" i="3"/>
  <c r="AE74" i="3"/>
  <c r="AD74" i="3"/>
  <c r="AC74" i="3"/>
  <c r="AB74" i="3"/>
  <c r="BD74" i="3" s="1"/>
  <c r="AA74" i="3"/>
  <c r="Z74" i="3"/>
  <c r="Y74" i="3"/>
  <c r="X74" i="3"/>
  <c r="T74" i="3"/>
  <c r="FH73" i="3"/>
  <c r="FG73" i="3"/>
  <c r="FE73" i="3"/>
  <c r="FC73" i="3"/>
  <c r="EY73" i="3"/>
  <c r="EV73" i="3"/>
  <c r="EU73" i="3"/>
  <c r="EQ73" i="3"/>
  <c r="EP73" i="3"/>
  <c r="EO73" i="3"/>
  <c r="EN73" i="3"/>
  <c r="EM73" i="3"/>
  <c r="EI73" i="3"/>
  <c r="ED73" i="3"/>
  <c r="EC73" i="3"/>
  <c r="EB73" i="3"/>
  <c r="EA73" i="3"/>
  <c r="DZ73" i="3"/>
  <c r="DX73" i="3"/>
  <c r="DQ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W73" i="3"/>
  <c r="CU73" i="3"/>
  <c r="CQ73" i="3"/>
  <c r="CP73" i="3"/>
  <c r="CM73" i="3"/>
  <c r="CK73" i="3"/>
  <c r="CI73" i="3"/>
  <c r="CH73" i="3"/>
  <c r="CG73" i="3"/>
  <c r="CF73" i="3"/>
  <c r="CA73" i="3"/>
  <c r="BW73" i="3"/>
  <c r="BV73" i="3"/>
  <c r="BU73" i="3"/>
  <c r="BT73" i="3"/>
  <c r="BS73" i="3"/>
  <c r="BR73" i="3"/>
  <c r="BP73" i="3"/>
  <c r="BI73" i="3"/>
  <c r="BH73" i="3"/>
  <c r="BG73" i="3"/>
  <c r="BC73" i="3"/>
  <c r="BB73" i="3"/>
  <c r="ER73" i="3" s="1"/>
  <c r="BA73" i="3"/>
  <c r="CX73" i="3" s="1"/>
  <c r="AZ73" i="3"/>
  <c r="FF73" i="3" s="1"/>
  <c r="AY73" i="3"/>
  <c r="CV73" i="3" s="1"/>
  <c r="AX73" i="3"/>
  <c r="AW73" i="3"/>
  <c r="CT73" i="3" s="1"/>
  <c r="AV73" i="3"/>
  <c r="FB73" i="3" s="1"/>
  <c r="AU73" i="3"/>
  <c r="AT73" i="3"/>
  <c r="DU73" i="3" s="1"/>
  <c r="AS73" i="3"/>
  <c r="DT73" i="3" s="1"/>
  <c r="AR73" i="3"/>
  <c r="AQ73" i="3"/>
  <c r="AP73" i="3"/>
  <c r="EF73" i="3" s="1"/>
  <c r="AO73" i="3"/>
  <c r="CL73" i="3" s="1"/>
  <c r="AN73" i="3"/>
  <c r="ET73" i="3" s="1"/>
  <c r="AL73" i="3"/>
  <c r="AK73" i="3"/>
  <c r="AJ73" i="3"/>
  <c r="AI73" i="3"/>
  <c r="BF73" i="3" s="1"/>
  <c r="AH73" i="3"/>
  <c r="AG73" i="3"/>
  <c r="AF73" i="3"/>
  <c r="BE73" i="3" s="1"/>
  <c r="AE73" i="3"/>
  <c r="BD73" i="3" s="1"/>
  <c r="AD73" i="3"/>
  <c r="AC73" i="3"/>
  <c r="AB73" i="3"/>
  <c r="AA73" i="3"/>
  <c r="Z73" i="3"/>
  <c r="Y73" i="3"/>
  <c r="X73" i="3"/>
  <c r="AM73" i="3" s="1"/>
  <c r="T73" i="3"/>
  <c r="FH72" i="3"/>
  <c r="FF72" i="3"/>
  <c r="FB72" i="3"/>
  <c r="EY72" i="3"/>
  <c r="EV72" i="3"/>
  <c r="ET72" i="3"/>
  <c r="ER72" i="3"/>
  <c r="EQ72" i="3"/>
  <c r="EL72" i="3"/>
  <c r="EG72" i="3"/>
  <c r="EF72" i="3"/>
  <c r="EE72" i="3"/>
  <c r="ED72" i="3"/>
  <c r="EC72" i="3"/>
  <c r="EA72" i="3"/>
  <c r="DT72" i="3"/>
  <c r="DR72" i="3"/>
  <c r="DQ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S72" i="3"/>
  <c r="CP72" i="3"/>
  <c r="CN72" i="3"/>
  <c r="CL72" i="3"/>
  <c r="CK72" i="3"/>
  <c r="CJ72" i="3"/>
  <c r="CD72" i="3"/>
  <c r="CB72" i="3"/>
  <c r="BY72" i="3"/>
  <c r="BX72" i="3"/>
  <c r="BW72" i="3"/>
  <c r="BV72" i="3"/>
  <c r="BU72" i="3"/>
  <c r="BL72" i="3"/>
  <c r="BJ72" i="3"/>
  <c r="BI72" i="3"/>
  <c r="BG72" i="3"/>
  <c r="BF72" i="3"/>
  <c r="BD72" i="3"/>
  <c r="BB72" i="3"/>
  <c r="CY72" i="3" s="1"/>
  <c r="BA72" i="3"/>
  <c r="AZ72" i="3"/>
  <c r="EP72" i="3" s="1"/>
  <c r="AY72" i="3"/>
  <c r="FE72" i="3" s="1"/>
  <c r="AX72" i="3"/>
  <c r="AW72" i="3"/>
  <c r="DX72" i="3" s="1"/>
  <c r="AV72" i="3"/>
  <c r="DW72" i="3" s="1"/>
  <c r="AU72" i="3"/>
  <c r="AT72" i="3"/>
  <c r="EZ72" i="3" s="1"/>
  <c r="AS72" i="3"/>
  <c r="EI72" i="3" s="1"/>
  <c r="AR72" i="3"/>
  <c r="AQ72" i="3"/>
  <c r="EW72" i="3" s="1"/>
  <c r="AP72" i="3"/>
  <c r="CM72" i="3" s="1"/>
  <c r="AO72" i="3"/>
  <c r="AN72" i="3"/>
  <c r="AL72" i="3"/>
  <c r="AK72" i="3"/>
  <c r="AJ72" i="3"/>
  <c r="AI72" i="3"/>
  <c r="AH72" i="3"/>
  <c r="AG72" i="3"/>
  <c r="AF72" i="3"/>
  <c r="BE72" i="3" s="1"/>
  <c r="AE72" i="3"/>
  <c r="AD72" i="3"/>
  <c r="AC72" i="3"/>
  <c r="AB72" i="3"/>
  <c r="AA72" i="3"/>
  <c r="Z72" i="3"/>
  <c r="Y72" i="3"/>
  <c r="X72" i="3"/>
  <c r="T72" i="3"/>
  <c r="FE71" i="3"/>
  <c r="FB71" i="3"/>
  <c r="EY71" i="3"/>
  <c r="EW71" i="3"/>
  <c r="EV71" i="3"/>
  <c r="EU71" i="3"/>
  <c r="EO71" i="3"/>
  <c r="EJ71" i="3"/>
  <c r="EI71" i="3"/>
  <c r="EH71" i="3"/>
  <c r="EG71" i="3"/>
  <c r="EF71" i="3"/>
  <c r="DW71" i="3"/>
  <c r="DU71" i="3"/>
  <c r="DT71" i="3"/>
  <c r="DR71" i="3"/>
  <c r="DQ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V71" i="3"/>
  <c r="CS71" i="3"/>
  <c r="CQ71" i="3"/>
  <c r="CO71" i="3"/>
  <c r="CN71" i="3"/>
  <c r="CM71" i="3"/>
  <c r="CG71" i="3"/>
  <c r="CE71" i="3"/>
  <c r="CB71" i="3"/>
  <c r="CA71" i="3"/>
  <c r="BZ71" i="3"/>
  <c r="BY71" i="3"/>
  <c r="BX71" i="3"/>
  <c r="BO71" i="3"/>
  <c r="BM71" i="3"/>
  <c r="BL71" i="3"/>
  <c r="BJ71" i="3"/>
  <c r="BI71" i="3"/>
  <c r="BB71" i="3"/>
  <c r="FH71" i="3" s="1"/>
  <c r="BA71" i="3"/>
  <c r="AZ71" i="3"/>
  <c r="EA71" i="3" s="1"/>
  <c r="AY71" i="3"/>
  <c r="DZ71" i="3" s="1"/>
  <c r="AX71" i="3"/>
  <c r="AW71" i="3"/>
  <c r="FC71" i="3" s="1"/>
  <c r="AV71" i="3"/>
  <c r="EL71" i="3" s="1"/>
  <c r="AU71" i="3"/>
  <c r="AT71" i="3"/>
  <c r="EZ71" i="3" s="1"/>
  <c r="AS71" i="3"/>
  <c r="CP71" i="3" s="1"/>
  <c r="AR71" i="3"/>
  <c r="AQ71" i="3"/>
  <c r="AP71" i="3"/>
  <c r="AO71" i="3"/>
  <c r="AN71" i="3"/>
  <c r="ET71" i="3" s="1"/>
  <c r="AL71" i="3"/>
  <c r="AK71" i="3"/>
  <c r="AJ71" i="3"/>
  <c r="AI71" i="3"/>
  <c r="BF71" i="3" s="1"/>
  <c r="AH71" i="3"/>
  <c r="AG71" i="3"/>
  <c r="AF71" i="3"/>
  <c r="BE71" i="3" s="1"/>
  <c r="AE71" i="3"/>
  <c r="AD71" i="3"/>
  <c r="AC71" i="3"/>
  <c r="AB71" i="3"/>
  <c r="BD71" i="3" s="1"/>
  <c r="AA71" i="3"/>
  <c r="Z71" i="3"/>
  <c r="Y71" i="3"/>
  <c r="X71" i="3"/>
  <c r="T71" i="3"/>
  <c r="FH70" i="3"/>
  <c r="FE70" i="3"/>
  <c r="FD70" i="3"/>
  <c r="EZ70" i="3"/>
  <c r="EY70" i="3"/>
  <c r="EX70" i="3"/>
  <c r="EW70" i="3"/>
  <c r="EV70" i="3"/>
  <c r="ER70" i="3"/>
  <c r="EM70" i="3"/>
  <c r="EK70" i="3"/>
  <c r="EJ70" i="3"/>
  <c r="EI70" i="3"/>
  <c r="EG70" i="3"/>
  <c r="EF70" i="3"/>
  <c r="DZ70" i="3"/>
  <c r="DX70" i="3"/>
  <c r="DU70" i="3"/>
  <c r="DT70" i="3"/>
  <c r="DR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W70" i="3"/>
  <c r="CV70" i="3"/>
  <c r="CT70" i="3"/>
  <c r="CR70" i="3"/>
  <c r="CQ70" i="3"/>
  <c r="CP70" i="3"/>
  <c r="CO70" i="3"/>
  <c r="CN70" i="3"/>
  <c r="CM70" i="3"/>
  <c r="CJ70" i="3"/>
  <c r="CE70" i="3"/>
  <c r="CC70" i="3"/>
  <c r="CB70" i="3"/>
  <c r="CA70" i="3"/>
  <c r="BY70" i="3"/>
  <c r="BX70" i="3"/>
  <c r="BR70" i="3"/>
  <c r="BP70" i="3"/>
  <c r="BM70" i="3"/>
  <c r="BL70" i="3"/>
  <c r="BJ70" i="3"/>
  <c r="BH70" i="3"/>
  <c r="BG70" i="3"/>
  <c r="BB70" i="3"/>
  <c r="EC70" i="3" s="1"/>
  <c r="BA70" i="3"/>
  <c r="AZ70" i="3"/>
  <c r="FF70" i="3" s="1"/>
  <c r="AY70" i="3"/>
  <c r="EO70" i="3" s="1"/>
  <c r="AX70" i="3"/>
  <c r="CU70" i="3" s="1"/>
  <c r="AW70" i="3"/>
  <c r="FC70" i="3" s="1"/>
  <c r="AV70" i="3"/>
  <c r="AU70" i="3"/>
  <c r="AT70" i="3"/>
  <c r="AS70" i="3"/>
  <c r="AR70" i="3"/>
  <c r="AQ70" i="3"/>
  <c r="AP70" i="3"/>
  <c r="DQ70" i="3" s="1"/>
  <c r="AO70" i="3"/>
  <c r="AN70" i="3"/>
  <c r="ET70" i="3" s="1"/>
  <c r="AL70" i="3"/>
  <c r="AK70" i="3"/>
  <c r="AJ70" i="3"/>
  <c r="AI70" i="3"/>
  <c r="BF70" i="3" s="1"/>
  <c r="AH70" i="3"/>
  <c r="AG70" i="3"/>
  <c r="AF70" i="3"/>
  <c r="BE70" i="3" s="1"/>
  <c r="AE70" i="3"/>
  <c r="AD70" i="3"/>
  <c r="AC70" i="3"/>
  <c r="AB70" i="3"/>
  <c r="BD70" i="3" s="1"/>
  <c r="AA70" i="3"/>
  <c r="Z70" i="3"/>
  <c r="Y70" i="3"/>
  <c r="X70" i="3"/>
  <c r="T70" i="3"/>
  <c r="FH69" i="3"/>
  <c r="FB69" i="3"/>
  <c r="FA69" i="3"/>
  <c r="EZ69" i="3"/>
  <c r="EY69" i="3"/>
  <c r="EV69" i="3"/>
  <c r="EP69" i="3"/>
  <c r="EM69" i="3"/>
  <c r="EL69" i="3"/>
  <c r="EJ69" i="3"/>
  <c r="EI69" i="3"/>
  <c r="ED69" i="3"/>
  <c r="EC69" i="3"/>
  <c r="EA69" i="3"/>
  <c r="DW69" i="3"/>
  <c r="DU69" i="3"/>
  <c r="DS69" i="3"/>
  <c r="DR69" i="3"/>
  <c r="DQ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W69" i="3"/>
  <c r="CT69" i="3"/>
  <c r="CS69" i="3"/>
  <c r="CR69" i="3"/>
  <c r="CQ69" i="3"/>
  <c r="CM69" i="3"/>
  <c r="CK69" i="3"/>
  <c r="CH69" i="3"/>
  <c r="CE69" i="3"/>
  <c r="CD69" i="3"/>
  <c r="CB69" i="3"/>
  <c r="CA69" i="3"/>
  <c r="BV69" i="3"/>
  <c r="BU69" i="3"/>
  <c r="BS69" i="3"/>
  <c r="BP69" i="3"/>
  <c r="BO69" i="3"/>
  <c r="BM69" i="3"/>
  <c r="BK69" i="3"/>
  <c r="BI69" i="3"/>
  <c r="BG69" i="3"/>
  <c r="BB69" i="3"/>
  <c r="ER69" i="3" s="1"/>
  <c r="BA69" i="3"/>
  <c r="CX69" i="3" s="1"/>
  <c r="AZ69" i="3"/>
  <c r="FF69" i="3" s="1"/>
  <c r="AY69" i="3"/>
  <c r="AX69" i="3"/>
  <c r="AW69" i="3"/>
  <c r="FC69" i="3" s="1"/>
  <c r="AV69" i="3"/>
  <c r="AU69" i="3"/>
  <c r="AT69" i="3"/>
  <c r="AS69" i="3"/>
  <c r="AR69" i="3"/>
  <c r="AQ69" i="3"/>
  <c r="EW69" i="3" s="1"/>
  <c r="AP69" i="3"/>
  <c r="EF69" i="3" s="1"/>
  <c r="AO69" i="3"/>
  <c r="CL69" i="3" s="1"/>
  <c r="AN69" i="3"/>
  <c r="ET69" i="3" s="1"/>
  <c r="AL69" i="3"/>
  <c r="AK69" i="3"/>
  <c r="AJ69" i="3"/>
  <c r="AI69" i="3"/>
  <c r="AH69" i="3"/>
  <c r="AG69" i="3"/>
  <c r="AF69" i="3"/>
  <c r="BE69" i="3" s="1"/>
  <c r="AE69" i="3"/>
  <c r="AD69" i="3"/>
  <c r="AC69" i="3"/>
  <c r="AB69" i="3"/>
  <c r="AA69" i="3"/>
  <c r="BD69" i="3" s="1"/>
  <c r="Z69" i="3"/>
  <c r="BC69" i="3" s="1"/>
  <c r="Y69" i="3"/>
  <c r="X69" i="3"/>
  <c r="T69" i="3"/>
  <c r="FF68" i="3"/>
  <c r="FE68" i="3"/>
  <c r="FD68" i="3"/>
  <c r="EY68" i="3"/>
  <c r="EX68" i="3"/>
  <c r="ET68" i="3"/>
  <c r="ER68" i="3"/>
  <c r="EP68" i="3"/>
  <c r="EO68" i="3"/>
  <c r="EH68" i="3"/>
  <c r="EG68" i="3"/>
  <c r="EF68" i="3"/>
  <c r="ED68" i="3"/>
  <c r="EC68" i="3"/>
  <c r="EB68" i="3"/>
  <c r="EA68" i="3"/>
  <c r="DT68" i="3"/>
  <c r="DS68" i="3"/>
  <c r="DR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Q68" i="3"/>
  <c r="CP68" i="3"/>
  <c r="CN68" i="3"/>
  <c r="CL68" i="3"/>
  <c r="CK68" i="3"/>
  <c r="CB68" i="3"/>
  <c r="BZ68" i="3"/>
  <c r="BY68" i="3"/>
  <c r="BX68" i="3"/>
  <c r="BS68" i="3"/>
  <c r="BM68" i="3"/>
  <c r="BL68" i="3"/>
  <c r="BK68" i="3"/>
  <c r="BJ68" i="3"/>
  <c r="BB68" i="3"/>
  <c r="CY68" i="3" s="1"/>
  <c r="BA68" i="3"/>
  <c r="FG68" i="3" s="1"/>
  <c r="AZ68" i="3"/>
  <c r="CW68" i="3" s="1"/>
  <c r="AY68" i="3"/>
  <c r="DZ68" i="3" s="1"/>
  <c r="AX68" i="3"/>
  <c r="AW68" i="3"/>
  <c r="AV68" i="3"/>
  <c r="AU68" i="3"/>
  <c r="FA68" i="3" s="1"/>
  <c r="AT68" i="3"/>
  <c r="EZ68" i="3" s="1"/>
  <c r="AS68" i="3"/>
  <c r="EI68" i="3" s="1"/>
  <c r="AR68" i="3"/>
  <c r="CO68" i="3" s="1"/>
  <c r="AQ68" i="3"/>
  <c r="EW68" i="3" s="1"/>
  <c r="AP68" i="3"/>
  <c r="CM68" i="3" s="1"/>
  <c r="AO68" i="3"/>
  <c r="EU68" i="3" s="1"/>
  <c r="AN68" i="3"/>
  <c r="BV68" i="3" s="1"/>
  <c r="AL68" i="3"/>
  <c r="AK68" i="3"/>
  <c r="AJ68" i="3"/>
  <c r="AI68" i="3"/>
  <c r="AH68" i="3"/>
  <c r="AG68" i="3"/>
  <c r="AF68" i="3"/>
  <c r="BE68" i="3" s="1"/>
  <c r="AE68" i="3"/>
  <c r="AD68" i="3"/>
  <c r="AC68" i="3"/>
  <c r="AB68" i="3"/>
  <c r="AA68" i="3"/>
  <c r="BD68" i="3" s="1"/>
  <c r="Z68" i="3"/>
  <c r="Y68" i="3"/>
  <c r="X68" i="3"/>
  <c r="T68" i="3"/>
  <c r="FH67" i="3"/>
  <c r="FG67" i="3"/>
  <c r="FE67" i="3"/>
  <c r="FC67" i="3"/>
  <c r="FB67" i="3"/>
  <c r="EQ67" i="3"/>
  <c r="EO67" i="3"/>
  <c r="EM67" i="3"/>
  <c r="EJ67" i="3"/>
  <c r="EH67" i="3"/>
  <c r="EF67" i="3"/>
  <c r="EE67" i="3"/>
  <c r="EC67" i="3"/>
  <c r="DY67" i="3"/>
  <c r="DX67" i="3"/>
  <c r="DW67" i="3"/>
  <c r="DU67" i="3"/>
  <c r="DT67" i="3"/>
  <c r="DS67" i="3"/>
  <c r="DR67" i="3"/>
  <c r="DQ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S67" i="3"/>
  <c r="CQ67" i="3"/>
  <c r="CO67" i="3"/>
  <c r="CN67" i="3"/>
  <c r="CM67" i="3"/>
  <c r="CL67" i="3"/>
  <c r="CJ67" i="3"/>
  <c r="CG67" i="3"/>
  <c r="CB67" i="3"/>
  <c r="CA67" i="3"/>
  <c r="BZ67" i="3"/>
  <c r="BY67" i="3"/>
  <c r="BX67" i="3"/>
  <c r="BW67" i="3"/>
  <c r="BO67" i="3"/>
  <c r="BM67" i="3"/>
  <c r="BL67" i="3"/>
  <c r="BK67" i="3"/>
  <c r="BJ67" i="3"/>
  <c r="BI67" i="3"/>
  <c r="BB67" i="3"/>
  <c r="BU67" i="3" s="1"/>
  <c r="BA67" i="3"/>
  <c r="AZ67" i="3"/>
  <c r="CW67" i="3" s="1"/>
  <c r="AY67" i="3"/>
  <c r="AX67" i="3"/>
  <c r="FD67" i="3" s="1"/>
  <c r="AW67" i="3"/>
  <c r="CT67" i="3" s="1"/>
  <c r="AV67" i="3"/>
  <c r="EL67" i="3" s="1"/>
  <c r="AU67" i="3"/>
  <c r="AT67" i="3"/>
  <c r="EZ67" i="3" s="1"/>
  <c r="AS67" i="3"/>
  <c r="CP67" i="3" s="1"/>
  <c r="AR67" i="3"/>
  <c r="EX67" i="3" s="1"/>
  <c r="AQ67" i="3"/>
  <c r="EW67" i="3" s="1"/>
  <c r="AP67" i="3"/>
  <c r="EV67" i="3" s="1"/>
  <c r="AO67" i="3"/>
  <c r="AN67" i="3"/>
  <c r="AL67" i="3"/>
  <c r="AK67" i="3"/>
  <c r="AJ67" i="3"/>
  <c r="AI67" i="3"/>
  <c r="BF67" i="3" s="1"/>
  <c r="AH67" i="3"/>
  <c r="AG67" i="3"/>
  <c r="BE67" i="3" s="1"/>
  <c r="AF67" i="3"/>
  <c r="AE67" i="3"/>
  <c r="AD67" i="3"/>
  <c r="AC67" i="3"/>
  <c r="AB67" i="3"/>
  <c r="AA67" i="3"/>
  <c r="Z67" i="3"/>
  <c r="Y67" i="3"/>
  <c r="BC67" i="3" s="1"/>
  <c r="X67" i="3"/>
  <c r="T67" i="3"/>
  <c r="FF66" i="3"/>
  <c r="EZ66" i="3"/>
  <c r="EY66" i="3"/>
  <c r="EX66" i="3"/>
  <c r="ER66" i="3"/>
  <c r="EL66" i="3"/>
  <c r="EK66" i="3"/>
  <c r="EJ66" i="3"/>
  <c r="ED66" i="3"/>
  <c r="EB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R66" i="3"/>
  <c r="CQ66" i="3"/>
  <c r="CO66" i="3"/>
  <c r="CN66" i="3"/>
  <c r="CK66" i="3"/>
  <c r="CJ66" i="3"/>
  <c r="CH66" i="3"/>
  <c r="CB66" i="3"/>
  <c r="BZ66" i="3"/>
  <c r="BX66" i="3"/>
  <c r="BV66" i="3"/>
  <c r="BU66" i="3"/>
  <c r="BT66" i="3"/>
  <c r="BS66" i="3"/>
  <c r="BQ66" i="3"/>
  <c r="BN66" i="3"/>
  <c r="BM66" i="3"/>
  <c r="BK66" i="3"/>
  <c r="BJ66" i="3"/>
  <c r="BI66" i="3"/>
  <c r="BG66" i="3"/>
  <c r="BB66" i="3"/>
  <c r="EC66" i="3" s="1"/>
  <c r="BA66" i="3"/>
  <c r="AZ66" i="3"/>
  <c r="EP66" i="3" s="1"/>
  <c r="AY66" i="3"/>
  <c r="AX66" i="3"/>
  <c r="CU66" i="3" s="1"/>
  <c r="AW66" i="3"/>
  <c r="AV66" i="3"/>
  <c r="AU66" i="3"/>
  <c r="FA66" i="3" s="1"/>
  <c r="AT66" i="3"/>
  <c r="DU66" i="3" s="1"/>
  <c r="AS66" i="3"/>
  <c r="EI66" i="3" s="1"/>
  <c r="AR66" i="3"/>
  <c r="DS66" i="3" s="1"/>
  <c r="AQ66" i="3"/>
  <c r="EW66" i="3" s="1"/>
  <c r="AP66" i="3"/>
  <c r="DQ66" i="3" s="1"/>
  <c r="AO66" i="3"/>
  <c r="AN66" i="3"/>
  <c r="ET66" i="3" s="1"/>
  <c r="AL66" i="3"/>
  <c r="AK66" i="3"/>
  <c r="AJ66" i="3"/>
  <c r="AI66" i="3"/>
  <c r="AH66" i="3"/>
  <c r="AG66" i="3"/>
  <c r="BE66" i="3" s="1"/>
  <c r="AF66" i="3"/>
  <c r="AE66" i="3"/>
  <c r="AD66" i="3"/>
  <c r="AC66" i="3"/>
  <c r="AB66" i="3"/>
  <c r="AA66" i="3"/>
  <c r="Z66" i="3"/>
  <c r="Y66" i="3"/>
  <c r="X66" i="3"/>
  <c r="T66" i="3"/>
  <c r="FH65" i="3"/>
  <c r="FD65" i="3"/>
  <c r="FC65" i="3"/>
  <c r="EZ65" i="3"/>
  <c r="EW65" i="3"/>
  <c r="EV65" i="3"/>
  <c r="ER65" i="3"/>
  <c r="EQ65" i="3"/>
  <c r="EN65" i="3"/>
  <c r="EM65" i="3"/>
  <c r="EK65" i="3"/>
  <c r="EJ65" i="3"/>
  <c r="EG65" i="3"/>
  <c r="EF65" i="3"/>
  <c r="EE65" i="3"/>
  <c r="EB65" i="3"/>
  <c r="DY65" i="3"/>
  <c r="DX65" i="3"/>
  <c r="DV65" i="3"/>
  <c r="DU65" i="3"/>
  <c r="DT65" i="3"/>
  <c r="DS65" i="3"/>
  <c r="DR65" i="3"/>
  <c r="DP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U65" i="3"/>
  <c r="CT65" i="3"/>
  <c r="CR65" i="3"/>
  <c r="CN65" i="3"/>
  <c r="CJ65" i="3"/>
  <c r="CI65" i="3"/>
  <c r="CF65" i="3"/>
  <c r="CE65" i="3"/>
  <c r="CC65" i="3"/>
  <c r="CB65" i="3"/>
  <c r="BY65" i="3"/>
  <c r="BX65" i="3"/>
  <c r="BW65" i="3"/>
  <c r="BT65" i="3"/>
  <c r="BQ65" i="3"/>
  <c r="BP65" i="3"/>
  <c r="BN65" i="3"/>
  <c r="BM65" i="3"/>
  <c r="BL65" i="3"/>
  <c r="BJ65" i="3"/>
  <c r="BH65" i="3"/>
  <c r="BB65" i="3"/>
  <c r="EC65" i="3" s="1"/>
  <c r="BA65" i="3"/>
  <c r="FG65" i="3" s="1"/>
  <c r="AZ65" i="3"/>
  <c r="AY65" i="3"/>
  <c r="AX65" i="3"/>
  <c r="AW65" i="3"/>
  <c r="AV65" i="3"/>
  <c r="FB65" i="3" s="1"/>
  <c r="AU65" i="3"/>
  <c r="FA65" i="3" s="1"/>
  <c r="AT65" i="3"/>
  <c r="CQ65" i="3" s="1"/>
  <c r="AS65" i="3"/>
  <c r="EY65" i="3" s="1"/>
  <c r="AR65" i="3"/>
  <c r="AQ65" i="3"/>
  <c r="AP65" i="3"/>
  <c r="DQ65" i="3" s="1"/>
  <c r="AO65" i="3"/>
  <c r="EU65" i="3" s="1"/>
  <c r="AN65" i="3"/>
  <c r="AL65" i="3"/>
  <c r="AK65" i="3"/>
  <c r="AJ65" i="3"/>
  <c r="AI65" i="3"/>
  <c r="BF65" i="3" s="1"/>
  <c r="AH65" i="3"/>
  <c r="AG65" i="3"/>
  <c r="AF65" i="3"/>
  <c r="BE65" i="3" s="1"/>
  <c r="AE65" i="3"/>
  <c r="AD65" i="3"/>
  <c r="AC65" i="3"/>
  <c r="AB65" i="3"/>
  <c r="AA65" i="3"/>
  <c r="BD65" i="3" s="1"/>
  <c r="Z65" i="3"/>
  <c r="Y65" i="3"/>
  <c r="X65" i="3"/>
  <c r="BC65" i="3" s="1"/>
  <c r="T65" i="3"/>
  <c r="FG64" i="3"/>
  <c r="FF64" i="3"/>
  <c r="FC64" i="3"/>
  <c r="EZ64" i="3"/>
  <c r="EY64" i="3"/>
  <c r="EU64" i="3"/>
  <c r="ET64" i="3"/>
  <c r="EQ64" i="3"/>
  <c r="EP64" i="3"/>
  <c r="EN64" i="3"/>
  <c r="EM64" i="3"/>
  <c r="EJ64" i="3"/>
  <c r="EI64" i="3"/>
  <c r="EH64" i="3"/>
  <c r="EE64" i="3"/>
  <c r="ED64" i="3"/>
  <c r="EB64" i="3"/>
  <c r="EA64" i="3"/>
  <c r="DY64" i="3"/>
  <c r="DX64" i="3"/>
  <c r="DW64" i="3"/>
  <c r="DV64" i="3"/>
  <c r="DU64" i="3"/>
  <c r="DS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X64" i="3"/>
  <c r="CW64" i="3"/>
  <c r="CU64" i="3"/>
  <c r="CQ64" i="3"/>
  <c r="CL64" i="3"/>
  <c r="CK64" i="3"/>
  <c r="CI64" i="3"/>
  <c r="CH64" i="3"/>
  <c r="CF64" i="3"/>
  <c r="CE64" i="3"/>
  <c r="CB64" i="3"/>
  <c r="CA64" i="3"/>
  <c r="BZ64" i="3"/>
  <c r="BW64" i="3"/>
  <c r="BV64" i="3"/>
  <c r="BT64" i="3"/>
  <c r="BS64" i="3"/>
  <c r="BQ64" i="3"/>
  <c r="BP64" i="3"/>
  <c r="BO64" i="3"/>
  <c r="BM64" i="3"/>
  <c r="BK64" i="3"/>
  <c r="BH64" i="3"/>
  <c r="BG64" i="3"/>
  <c r="BC64" i="3"/>
  <c r="BB64" i="3"/>
  <c r="BA64" i="3"/>
  <c r="AZ64" i="3"/>
  <c r="AY64" i="3"/>
  <c r="FE64" i="3" s="1"/>
  <c r="AX64" i="3"/>
  <c r="FD64" i="3" s="1"/>
  <c r="AW64" i="3"/>
  <c r="CT64" i="3" s="1"/>
  <c r="AV64" i="3"/>
  <c r="FB64" i="3" s="1"/>
  <c r="AU64" i="3"/>
  <c r="AT64" i="3"/>
  <c r="AS64" i="3"/>
  <c r="DT64" i="3" s="1"/>
  <c r="AR64" i="3"/>
  <c r="EX64" i="3" s="1"/>
  <c r="AQ64" i="3"/>
  <c r="AP64" i="3"/>
  <c r="AO64" i="3"/>
  <c r="AN64" i="3"/>
  <c r="AL64" i="3"/>
  <c r="AK64" i="3"/>
  <c r="AJ64" i="3"/>
  <c r="AI64" i="3"/>
  <c r="BF64" i="3" s="1"/>
  <c r="AH64" i="3"/>
  <c r="AG64" i="3"/>
  <c r="AF64" i="3"/>
  <c r="BE64" i="3" s="1"/>
  <c r="AE64" i="3"/>
  <c r="AD64" i="3"/>
  <c r="AC64" i="3"/>
  <c r="AB64" i="3"/>
  <c r="AA64" i="3"/>
  <c r="Z64" i="3"/>
  <c r="Y64" i="3"/>
  <c r="X64" i="3"/>
  <c r="T64" i="3"/>
  <c r="FF63" i="3"/>
  <c r="FC63" i="3"/>
  <c r="FB63" i="3"/>
  <c r="EX63" i="3"/>
  <c r="EW63" i="3"/>
  <c r="ET63" i="3"/>
  <c r="EQ63" i="3"/>
  <c r="EP63" i="3"/>
  <c r="EM63" i="3"/>
  <c r="EL63" i="3"/>
  <c r="EK63" i="3"/>
  <c r="EH63" i="3"/>
  <c r="EG63" i="3"/>
  <c r="EE63" i="3"/>
  <c r="ED63" i="3"/>
  <c r="EB63" i="3"/>
  <c r="EA63" i="3"/>
  <c r="DZ63" i="3"/>
  <c r="DX63" i="3"/>
  <c r="DV63" i="3"/>
  <c r="DS63" i="3"/>
  <c r="DR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X63" i="3"/>
  <c r="CW63" i="3"/>
  <c r="CT63" i="3"/>
  <c r="CP63" i="3"/>
  <c r="CO63" i="3"/>
  <c r="CN63" i="3"/>
  <c r="CL63" i="3"/>
  <c r="CI63" i="3"/>
  <c r="CH63" i="3"/>
  <c r="CE63" i="3"/>
  <c r="CD63" i="3"/>
  <c r="CC63" i="3"/>
  <c r="BZ63" i="3"/>
  <c r="BY63" i="3"/>
  <c r="BW63" i="3"/>
  <c r="BV63" i="3"/>
  <c r="BT63" i="3"/>
  <c r="BS63" i="3"/>
  <c r="BR63" i="3"/>
  <c r="BP63" i="3"/>
  <c r="BN63" i="3"/>
  <c r="BK63" i="3"/>
  <c r="BJ63" i="3"/>
  <c r="BH63" i="3"/>
  <c r="BG63" i="3"/>
  <c r="BE63" i="3"/>
  <c r="BB63" i="3"/>
  <c r="BA63" i="3"/>
  <c r="FG63" i="3" s="1"/>
  <c r="AZ63" i="3"/>
  <c r="AY63" i="3"/>
  <c r="FE63" i="3" s="1"/>
  <c r="AX63" i="3"/>
  <c r="AW63" i="3"/>
  <c r="AV63" i="3"/>
  <c r="DW63" i="3" s="1"/>
  <c r="AU63" i="3"/>
  <c r="FA63" i="3" s="1"/>
  <c r="AT63" i="3"/>
  <c r="AS63" i="3"/>
  <c r="AR63" i="3"/>
  <c r="AQ63" i="3"/>
  <c r="AP63" i="3"/>
  <c r="AO63" i="3"/>
  <c r="EU63" i="3" s="1"/>
  <c r="AN63" i="3"/>
  <c r="CK63" i="3" s="1"/>
  <c r="AL63" i="3"/>
  <c r="BF63" i="3" s="1"/>
  <c r="AK63" i="3"/>
  <c r="AJ63" i="3"/>
  <c r="AI63" i="3"/>
  <c r="AH63" i="3"/>
  <c r="AG63" i="3"/>
  <c r="AF63" i="3"/>
  <c r="AE63" i="3"/>
  <c r="AD63" i="3"/>
  <c r="AC63" i="3"/>
  <c r="AB63" i="3"/>
  <c r="AA63" i="3"/>
  <c r="BD63" i="3" s="1"/>
  <c r="Z63" i="3"/>
  <c r="Y63" i="3"/>
  <c r="X63" i="3"/>
  <c r="T63" i="3"/>
  <c r="FF62" i="3"/>
  <c r="FE62" i="3"/>
  <c r="FA62" i="3"/>
  <c r="EZ62" i="3"/>
  <c r="EW62" i="3"/>
  <c r="ET62" i="3"/>
  <c r="EP62" i="3"/>
  <c r="EO62" i="3"/>
  <c r="EN62" i="3"/>
  <c r="EK62" i="3"/>
  <c r="EJ62" i="3"/>
  <c r="EH62" i="3"/>
  <c r="EG62" i="3"/>
  <c r="ED62" i="3"/>
  <c r="EC62" i="3"/>
  <c r="EA62" i="3"/>
  <c r="DY62" i="3"/>
  <c r="DV62" i="3"/>
  <c r="DU62" i="3"/>
  <c r="DS62" i="3"/>
  <c r="DR62" i="3"/>
  <c r="DQ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W62" i="3"/>
  <c r="CS62" i="3"/>
  <c r="CR62" i="3"/>
  <c r="CQ62" i="3"/>
  <c r="CO62" i="3"/>
  <c r="CN62" i="3"/>
  <c r="CK62" i="3"/>
  <c r="CH62" i="3"/>
  <c r="CG62" i="3"/>
  <c r="CF62" i="3"/>
  <c r="CC62" i="3"/>
  <c r="CB62" i="3"/>
  <c r="BZ62" i="3"/>
  <c r="BY62" i="3"/>
  <c r="BV62" i="3"/>
  <c r="BU62" i="3"/>
  <c r="BT62" i="3"/>
  <c r="BS62" i="3"/>
  <c r="BQ62" i="3"/>
  <c r="BN62" i="3"/>
  <c r="BM62" i="3"/>
  <c r="BK62" i="3"/>
  <c r="BJ62" i="3"/>
  <c r="BI62" i="3"/>
  <c r="BG62" i="3"/>
  <c r="BB62" i="3"/>
  <c r="FH62" i="3" s="1"/>
  <c r="BA62" i="3"/>
  <c r="AZ62" i="3"/>
  <c r="AY62" i="3"/>
  <c r="DZ62" i="3" s="1"/>
  <c r="AX62" i="3"/>
  <c r="FD62" i="3" s="1"/>
  <c r="AW62" i="3"/>
  <c r="AV62" i="3"/>
  <c r="AU62" i="3"/>
  <c r="AT62" i="3"/>
  <c r="AS62" i="3"/>
  <c r="AR62" i="3"/>
  <c r="EX62" i="3" s="1"/>
  <c r="AQ62" i="3"/>
  <c r="AP62" i="3"/>
  <c r="EV62" i="3" s="1"/>
  <c r="AO62" i="3"/>
  <c r="AN62" i="3"/>
  <c r="AL62" i="3"/>
  <c r="AK62" i="3"/>
  <c r="AJ62" i="3"/>
  <c r="AI62" i="3"/>
  <c r="AH62" i="3"/>
  <c r="AG62" i="3"/>
  <c r="BE62" i="3" s="1"/>
  <c r="AF62" i="3"/>
  <c r="AE62" i="3"/>
  <c r="AD62" i="3"/>
  <c r="AC62" i="3"/>
  <c r="AB62" i="3"/>
  <c r="AA62" i="3"/>
  <c r="Z62" i="3"/>
  <c r="Y62" i="3"/>
  <c r="X62" i="3"/>
  <c r="T62" i="3"/>
  <c r="FH61" i="3"/>
  <c r="FD61" i="3"/>
  <c r="FC61" i="3"/>
  <c r="EZ61" i="3"/>
  <c r="EW61" i="3"/>
  <c r="EV61" i="3"/>
  <c r="ER61" i="3"/>
  <c r="EQ61" i="3"/>
  <c r="EN61" i="3"/>
  <c r="EM61" i="3"/>
  <c r="EK61" i="3"/>
  <c r="EJ61" i="3"/>
  <c r="EG61" i="3"/>
  <c r="EF61" i="3"/>
  <c r="EE61" i="3"/>
  <c r="EB61" i="3"/>
  <c r="DY61" i="3"/>
  <c r="DX61" i="3"/>
  <c r="DV61" i="3"/>
  <c r="DU61" i="3"/>
  <c r="DT61" i="3"/>
  <c r="DR61" i="3"/>
  <c r="DP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V61" i="3"/>
  <c r="CU61" i="3"/>
  <c r="CT61" i="3"/>
  <c r="CR61" i="3"/>
  <c r="CQ61" i="3"/>
  <c r="CN61" i="3"/>
  <c r="CJ61" i="3"/>
  <c r="CI61" i="3"/>
  <c r="CF61" i="3"/>
  <c r="CE61" i="3"/>
  <c r="CC61" i="3"/>
  <c r="CB61" i="3"/>
  <c r="BY61" i="3"/>
  <c r="BX61" i="3"/>
  <c r="BW61" i="3"/>
  <c r="BT61" i="3"/>
  <c r="BQ61" i="3"/>
  <c r="BP61" i="3"/>
  <c r="BN61" i="3"/>
  <c r="BM61" i="3"/>
  <c r="BL61" i="3"/>
  <c r="BJ61" i="3"/>
  <c r="BH61" i="3"/>
  <c r="BB61" i="3"/>
  <c r="EC61" i="3" s="1"/>
  <c r="BA61" i="3"/>
  <c r="FG61" i="3" s="1"/>
  <c r="AZ61" i="3"/>
  <c r="AY61" i="3"/>
  <c r="AX61" i="3"/>
  <c r="AW61" i="3"/>
  <c r="AV61" i="3"/>
  <c r="AU61" i="3"/>
  <c r="FA61" i="3" s="1"/>
  <c r="AT61" i="3"/>
  <c r="AS61" i="3"/>
  <c r="EY61" i="3" s="1"/>
  <c r="AR61" i="3"/>
  <c r="AQ61" i="3"/>
  <c r="AP61" i="3"/>
  <c r="DQ61" i="3" s="1"/>
  <c r="AO61" i="3"/>
  <c r="EU61" i="3" s="1"/>
  <c r="AN61" i="3"/>
  <c r="AL61" i="3"/>
  <c r="AK61" i="3"/>
  <c r="AJ61" i="3"/>
  <c r="AI61" i="3"/>
  <c r="AH61" i="3"/>
  <c r="AG61" i="3"/>
  <c r="AF61" i="3"/>
  <c r="BE61" i="3" s="1"/>
  <c r="AE61" i="3"/>
  <c r="AD61" i="3"/>
  <c r="AC61" i="3"/>
  <c r="AB61" i="3"/>
  <c r="BD61" i="3" s="1"/>
  <c r="AA61" i="3"/>
  <c r="Z61" i="3"/>
  <c r="Y61" i="3"/>
  <c r="X61" i="3"/>
  <c r="BC61" i="3" s="1"/>
  <c r="T61" i="3"/>
  <c r="FG60" i="3"/>
  <c r="FF60" i="3"/>
  <c r="FC60" i="3"/>
  <c r="EZ60" i="3"/>
  <c r="EY60" i="3"/>
  <c r="EU60" i="3"/>
  <c r="ET60" i="3"/>
  <c r="EQ60" i="3"/>
  <c r="EP60" i="3"/>
  <c r="EN60" i="3"/>
  <c r="EM60" i="3"/>
  <c r="EJ60" i="3"/>
  <c r="EI60" i="3"/>
  <c r="EH60" i="3"/>
  <c r="EE60" i="3"/>
  <c r="ED60" i="3"/>
  <c r="EB60" i="3"/>
  <c r="EA60" i="3"/>
  <c r="DY60" i="3"/>
  <c r="DX60" i="3"/>
  <c r="DW60" i="3"/>
  <c r="DU60" i="3"/>
  <c r="DS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U60" i="3"/>
  <c r="CT60" i="3"/>
  <c r="CQ60" i="3"/>
  <c r="CL60" i="3"/>
  <c r="CK60" i="3"/>
  <c r="CI60" i="3"/>
  <c r="CH60" i="3"/>
  <c r="CF60" i="3"/>
  <c r="CE60" i="3"/>
  <c r="CB60" i="3"/>
  <c r="CA60" i="3"/>
  <c r="BZ60" i="3"/>
  <c r="BW60" i="3"/>
  <c r="BV60" i="3"/>
  <c r="BT60" i="3"/>
  <c r="BS60" i="3"/>
  <c r="BQ60" i="3"/>
  <c r="BP60" i="3"/>
  <c r="BO60" i="3"/>
  <c r="BM60" i="3"/>
  <c r="BK60" i="3"/>
  <c r="BH60" i="3"/>
  <c r="BG60" i="3"/>
  <c r="BC60" i="3"/>
  <c r="BB60" i="3"/>
  <c r="BA60" i="3"/>
  <c r="AZ60" i="3"/>
  <c r="AY60" i="3"/>
  <c r="AX60" i="3"/>
  <c r="FD60" i="3" s="1"/>
  <c r="AW60" i="3"/>
  <c r="AV60" i="3"/>
  <c r="FB60" i="3" s="1"/>
  <c r="AU60" i="3"/>
  <c r="AT60" i="3"/>
  <c r="AS60" i="3"/>
  <c r="DT60" i="3" s="1"/>
  <c r="AR60" i="3"/>
  <c r="EX60" i="3" s="1"/>
  <c r="AQ60" i="3"/>
  <c r="AP60" i="3"/>
  <c r="CM60" i="3" s="1"/>
  <c r="AO60" i="3"/>
  <c r="AN60" i="3"/>
  <c r="AL60" i="3"/>
  <c r="AK60" i="3"/>
  <c r="AJ60" i="3"/>
  <c r="AI60" i="3"/>
  <c r="BF60" i="3" s="1"/>
  <c r="AH60" i="3"/>
  <c r="AG60" i="3"/>
  <c r="AF60" i="3"/>
  <c r="BE60" i="3" s="1"/>
  <c r="AE60" i="3"/>
  <c r="AD60" i="3"/>
  <c r="AC60" i="3"/>
  <c r="AB60" i="3"/>
  <c r="AA60" i="3"/>
  <c r="BD60" i="3" s="1"/>
  <c r="Z60" i="3"/>
  <c r="Y60" i="3"/>
  <c r="X60" i="3"/>
  <c r="T60" i="3"/>
  <c r="FF59" i="3"/>
  <c r="FC59" i="3"/>
  <c r="FB59" i="3"/>
  <c r="EX59" i="3"/>
  <c r="EW59" i="3"/>
  <c r="ET59" i="3"/>
  <c r="EQ59" i="3"/>
  <c r="EP59" i="3"/>
  <c r="EM59" i="3"/>
  <c r="EL59" i="3"/>
  <c r="EH59" i="3"/>
  <c r="EG59" i="3"/>
  <c r="EE59" i="3"/>
  <c r="ED59" i="3"/>
  <c r="EB59" i="3"/>
  <c r="EA59" i="3"/>
  <c r="DZ59" i="3"/>
  <c r="DY59" i="3"/>
  <c r="DX59" i="3"/>
  <c r="DV59" i="3"/>
  <c r="DS59" i="3"/>
  <c r="DR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X59" i="3"/>
  <c r="CW59" i="3"/>
  <c r="CT59" i="3"/>
  <c r="CO59" i="3"/>
  <c r="CN59" i="3"/>
  <c r="CL59" i="3"/>
  <c r="CK59" i="3"/>
  <c r="CI59" i="3"/>
  <c r="CH59" i="3"/>
  <c r="CE59" i="3"/>
  <c r="CD59" i="3"/>
  <c r="BZ59" i="3"/>
  <c r="BY59" i="3"/>
  <c r="BW59" i="3"/>
  <c r="BV59" i="3"/>
  <c r="BT59" i="3"/>
  <c r="BS59" i="3"/>
  <c r="BR59" i="3"/>
  <c r="BQ59" i="3"/>
  <c r="BP59" i="3"/>
  <c r="BK59" i="3"/>
  <c r="BJ59" i="3"/>
  <c r="BH59" i="3"/>
  <c r="BG59" i="3"/>
  <c r="BE59" i="3"/>
  <c r="BB59" i="3"/>
  <c r="BA59" i="3"/>
  <c r="FG59" i="3" s="1"/>
  <c r="AZ59" i="3"/>
  <c r="AY59" i="3"/>
  <c r="FE59" i="3" s="1"/>
  <c r="AX59" i="3"/>
  <c r="AW59" i="3"/>
  <c r="AV59" i="3"/>
  <c r="DW59" i="3" s="1"/>
  <c r="AU59" i="3"/>
  <c r="AT59" i="3"/>
  <c r="AS59" i="3"/>
  <c r="CP59" i="3" s="1"/>
  <c r="AR59" i="3"/>
  <c r="AQ59" i="3"/>
  <c r="AP59" i="3"/>
  <c r="AO59" i="3"/>
  <c r="EU59" i="3" s="1"/>
  <c r="AN59" i="3"/>
  <c r="AL59" i="3"/>
  <c r="AK59" i="3"/>
  <c r="AJ59" i="3"/>
  <c r="AI59" i="3"/>
  <c r="BF59" i="3" s="1"/>
  <c r="AH59" i="3"/>
  <c r="AG59" i="3"/>
  <c r="AF59" i="3"/>
  <c r="AE59" i="3"/>
  <c r="AD59" i="3"/>
  <c r="AC59" i="3"/>
  <c r="AB59" i="3"/>
  <c r="AA59" i="3"/>
  <c r="Z59" i="3"/>
  <c r="Y59" i="3"/>
  <c r="X59" i="3"/>
  <c r="T59" i="3"/>
  <c r="FF58" i="3"/>
  <c r="FE58" i="3"/>
  <c r="FB58" i="3"/>
  <c r="FA58" i="3"/>
  <c r="EZ58" i="3"/>
  <c r="EW58" i="3"/>
  <c r="ET58" i="3"/>
  <c r="EP58" i="3"/>
  <c r="EO58" i="3"/>
  <c r="EN58" i="3"/>
  <c r="EK58" i="3"/>
  <c r="EJ58" i="3"/>
  <c r="EH58" i="3"/>
  <c r="EG58" i="3"/>
  <c r="ED58" i="3"/>
  <c r="EC58" i="3"/>
  <c r="EA58" i="3"/>
  <c r="DY58" i="3"/>
  <c r="DV58" i="3"/>
  <c r="DU58" i="3"/>
  <c r="DS58" i="3"/>
  <c r="DR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W58" i="3"/>
  <c r="CS58" i="3"/>
  <c r="CR58" i="3"/>
  <c r="CQ58" i="3"/>
  <c r="CO58" i="3"/>
  <c r="CN58" i="3"/>
  <c r="CK58" i="3"/>
  <c r="CH58" i="3"/>
  <c r="CG58" i="3"/>
  <c r="CC58" i="3"/>
  <c r="CB58" i="3"/>
  <c r="BZ58" i="3"/>
  <c r="BY58" i="3"/>
  <c r="BV58" i="3"/>
  <c r="BU58" i="3"/>
  <c r="BS58" i="3"/>
  <c r="BQ58" i="3"/>
  <c r="BN58" i="3"/>
  <c r="BM58" i="3"/>
  <c r="BK58" i="3"/>
  <c r="BJ58" i="3"/>
  <c r="BG58" i="3"/>
  <c r="BE58" i="3"/>
  <c r="BB58" i="3"/>
  <c r="FH58" i="3" s="1"/>
  <c r="BA58" i="3"/>
  <c r="AZ58" i="3"/>
  <c r="AY58" i="3"/>
  <c r="DZ58" i="3" s="1"/>
  <c r="AX58" i="3"/>
  <c r="CF58" i="3" s="1"/>
  <c r="AW58" i="3"/>
  <c r="CT58" i="3" s="1"/>
  <c r="AV58" i="3"/>
  <c r="AU58" i="3"/>
  <c r="AT58" i="3"/>
  <c r="AS58" i="3"/>
  <c r="AR58" i="3"/>
  <c r="EX58" i="3" s="1"/>
  <c r="AQ58" i="3"/>
  <c r="AP58" i="3"/>
  <c r="DQ58" i="3" s="1"/>
  <c r="AO58" i="3"/>
  <c r="AN58" i="3"/>
  <c r="AL58" i="3"/>
  <c r="AK58" i="3"/>
  <c r="AJ58" i="3"/>
  <c r="AI58" i="3"/>
  <c r="BF58" i="3" s="1"/>
  <c r="AH58" i="3"/>
  <c r="AG58" i="3"/>
  <c r="AF58" i="3"/>
  <c r="AE58" i="3"/>
  <c r="AD58" i="3"/>
  <c r="AC58" i="3"/>
  <c r="AB58" i="3"/>
  <c r="AA58" i="3"/>
  <c r="BD58" i="3" s="1"/>
  <c r="Z58" i="3"/>
  <c r="Y58" i="3"/>
  <c r="X58" i="3"/>
  <c r="T58" i="3"/>
  <c r="FE57" i="3"/>
  <c r="FD57" i="3"/>
  <c r="FC57" i="3"/>
  <c r="EZ57" i="3"/>
  <c r="EW57" i="3"/>
  <c r="EQ57" i="3"/>
  <c r="EN57" i="3"/>
  <c r="EM57" i="3"/>
  <c r="EK57" i="3"/>
  <c r="EJ57" i="3"/>
  <c r="EG57" i="3"/>
  <c r="EF57" i="3"/>
  <c r="EB57" i="3"/>
  <c r="DY57" i="3"/>
  <c r="DX57" i="3"/>
  <c r="DV57" i="3"/>
  <c r="DU57" i="3"/>
  <c r="DR57" i="3"/>
  <c r="DP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X57" i="3"/>
  <c r="CV57" i="3"/>
  <c r="CU57" i="3"/>
  <c r="CT57" i="3"/>
  <c r="CR57" i="3"/>
  <c r="CQ57" i="3"/>
  <c r="CN57" i="3"/>
  <c r="CK57" i="3"/>
  <c r="CI57" i="3"/>
  <c r="CF57" i="3"/>
  <c r="CE57" i="3"/>
  <c r="CC57" i="3"/>
  <c r="CB57" i="3"/>
  <c r="BZ57" i="3"/>
  <c r="BY57" i="3"/>
  <c r="BW57" i="3"/>
  <c r="BQ57" i="3"/>
  <c r="BP57" i="3"/>
  <c r="BN57" i="3"/>
  <c r="BM57" i="3"/>
  <c r="BJ57" i="3"/>
  <c r="BH57" i="3"/>
  <c r="BB57" i="3"/>
  <c r="BA57" i="3"/>
  <c r="FG57" i="3" s="1"/>
  <c r="AZ57" i="3"/>
  <c r="AY57" i="3"/>
  <c r="AX57" i="3"/>
  <c r="AW57" i="3"/>
  <c r="AV57" i="3"/>
  <c r="AU57" i="3"/>
  <c r="FA57" i="3" s="1"/>
  <c r="AT57" i="3"/>
  <c r="AS57" i="3"/>
  <c r="AR57" i="3"/>
  <c r="EX57" i="3" s="1"/>
  <c r="AQ57" i="3"/>
  <c r="AP57" i="3"/>
  <c r="AO57" i="3"/>
  <c r="EU57" i="3" s="1"/>
  <c r="AN57" i="3"/>
  <c r="AL57" i="3"/>
  <c r="AK57" i="3"/>
  <c r="AJ57" i="3"/>
  <c r="AI57" i="3"/>
  <c r="AH57" i="3"/>
  <c r="AG57" i="3"/>
  <c r="AF57" i="3"/>
  <c r="BE57" i="3" s="1"/>
  <c r="AE57" i="3"/>
  <c r="AD57" i="3"/>
  <c r="AC57" i="3"/>
  <c r="AB57" i="3"/>
  <c r="BD57" i="3" s="1"/>
  <c r="AA57" i="3"/>
  <c r="Z57" i="3"/>
  <c r="Y57" i="3"/>
  <c r="X57" i="3"/>
  <c r="BC57" i="3" s="1"/>
  <c r="T57" i="3"/>
  <c r="FH56" i="3"/>
  <c r="FG56" i="3"/>
  <c r="FF56" i="3"/>
  <c r="FC56" i="3"/>
  <c r="EZ56" i="3"/>
  <c r="EU56" i="3"/>
  <c r="ET56" i="3"/>
  <c r="EQ56" i="3"/>
  <c r="EP56" i="3"/>
  <c r="EN56" i="3"/>
  <c r="EM56" i="3"/>
  <c r="EK56" i="3"/>
  <c r="EJ56" i="3"/>
  <c r="EI56" i="3"/>
  <c r="EE56" i="3"/>
  <c r="ED56" i="3"/>
  <c r="EB56" i="3"/>
  <c r="EA56" i="3"/>
  <c r="DY56" i="3"/>
  <c r="DX56" i="3"/>
  <c r="DW56" i="3"/>
  <c r="DV56" i="3"/>
  <c r="DU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X56" i="3"/>
  <c r="CW56" i="3"/>
  <c r="CU56" i="3"/>
  <c r="CT56" i="3"/>
  <c r="CR56" i="3"/>
  <c r="CQ56" i="3"/>
  <c r="CO56" i="3"/>
  <c r="CL56" i="3"/>
  <c r="CK56" i="3"/>
  <c r="CI56" i="3"/>
  <c r="CH56" i="3"/>
  <c r="CF56" i="3"/>
  <c r="CE56" i="3"/>
  <c r="CC56" i="3"/>
  <c r="CB56" i="3"/>
  <c r="BZ56" i="3"/>
  <c r="BW56" i="3"/>
  <c r="BV56" i="3"/>
  <c r="BT56" i="3"/>
  <c r="BS56" i="3"/>
  <c r="BQ56" i="3"/>
  <c r="BP56" i="3"/>
  <c r="BO56" i="3"/>
  <c r="BN56" i="3"/>
  <c r="BM56" i="3"/>
  <c r="BK56" i="3"/>
  <c r="BH56" i="3"/>
  <c r="BG56" i="3"/>
  <c r="BB56" i="3"/>
  <c r="CY56" i="3" s="1"/>
  <c r="BA56" i="3"/>
  <c r="AZ56" i="3"/>
  <c r="AY56" i="3"/>
  <c r="AX56" i="3"/>
  <c r="FD56" i="3" s="1"/>
  <c r="AW56" i="3"/>
  <c r="AV56" i="3"/>
  <c r="AU56" i="3"/>
  <c r="FA56" i="3" s="1"/>
  <c r="AT56" i="3"/>
  <c r="AS56" i="3"/>
  <c r="CA56" i="3" s="1"/>
  <c r="AR56" i="3"/>
  <c r="EX56" i="3" s="1"/>
  <c r="AQ56" i="3"/>
  <c r="AP56" i="3"/>
  <c r="AO56" i="3"/>
  <c r="AN56" i="3"/>
  <c r="AL56" i="3"/>
  <c r="AK56" i="3"/>
  <c r="AJ56" i="3"/>
  <c r="AI56" i="3"/>
  <c r="AH56" i="3"/>
  <c r="AG56" i="3"/>
  <c r="AF56" i="3"/>
  <c r="BE56" i="3" s="1"/>
  <c r="AE56" i="3"/>
  <c r="AD56" i="3"/>
  <c r="AC56" i="3"/>
  <c r="AB56" i="3"/>
  <c r="AA56" i="3"/>
  <c r="BD56" i="3" s="1"/>
  <c r="Z56" i="3"/>
  <c r="Y56" i="3"/>
  <c r="X56" i="3"/>
  <c r="BC56" i="3" s="1"/>
  <c r="T56" i="3"/>
  <c r="FF55" i="3"/>
  <c r="FC55" i="3"/>
  <c r="EZ55" i="3"/>
  <c r="EY55" i="3"/>
  <c r="EW55" i="3"/>
  <c r="ET55" i="3"/>
  <c r="EQ55" i="3"/>
  <c r="EP55" i="3"/>
  <c r="EM55" i="3"/>
  <c r="EL55" i="3"/>
  <c r="EG55" i="3"/>
  <c r="EE55" i="3"/>
  <c r="ED55" i="3"/>
  <c r="EB55" i="3"/>
  <c r="EA55" i="3"/>
  <c r="DZ55" i="3"/>
  <c r="DX55" i="3"/>
  <c r="DR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X55" i="3"/>
  <c r="CW55" i="3"/>
  <c r="CT55" i="3"/>
  <c r="CO55" i="3"/>
  <c r="CN55" i="3"/>
  <c r="CL55" i="3"/>
  <c r="CK55" i="3"/>
  <c r="CH55" i="3"/>
  <c r="CE55" i="3"/>
  <c r="BY55" i="3"/>
  <c r="BW55" i="3"/>
  <c r="BV55" i="3"/>
  <c r="BT55" i="3"/>
  <c r="BS55" i="3"/>
  <c r="BR55" i="3"/>
  <c r="BP55" i="3"/>
  <c r="BJ55" i="3"/>
  <c r="BH55" i="3"/>
  <c r="BG55" i="3"/>
  <c r="BB55" i="3"/>
  <c r="BA55" i="3"/>
  <c r="FG55" i="3" s="1"/>
  <c r="AZ55" i="3"/>
  <c r="AY55" i="3"/>
  <c r="AX55" i="3"/>
  <c r="FD55" i="3" s="1"/>
  <c r="AW55" i="3"/>
  <c r="AV55" i="3"/>
  <c r="AU55" i="3"/>
  <c r="FA55" i="3" s="1"/>
  <c r="AT55" i="3"/>
  <c r="EJ55" i="3" s="1"/>
  <c r="AS55" i="3"/>
  <c r="AR55" i="3"/>
  <c r="DS55" i="3" s="1"/>
  <c r="AQ55" i="3"/>
  <c r="AP55" i="3"/>
  <c r="AO55" i="3"/>
  <c r="EU55" i="3" s="1"/>
  <c r="AN55" i="3"/>
  <c r="AL55" i="3"/>
  <c r="AK55" i="3"/>
  <c r="AJ55" i="3"/>
  <c r="AI55" i="3"/>
  <c r="BF55" i="3" s="1"/>
  <c r="AH55" i="3"/>
  <c r="AG55" i="3"/>
  <c r="AF55" i="3"/>
  <c r="BE55" i="3" s="1"/>
  <c r="AE55" i="3"/>
  <c r="AD55" i="3"/>
  <c r="AC55" i="3"/>
  <c r="AB55" i="3"/>
  <c r="AA55" i="3"/>
  <c r="Z55" i="3"/>
  <c r="Y55" i="3"/>
  <c r="X55" i="3"/>
  <c r="T55" i="3"/>
  <c r="FH54" i="3"/>
  <c r="FF54" i="3"/>
  <c r="EZ54" i="3"/>
  <c r="EY54" i="3"/>
  <c r="EW54" i="3"/>
  <c r="EV54" i="3"/>
  <c r="ET54" i="3"/>
  <c r="EQ54" i="3"/>
  <c r="EP54" i="3"/>
  <c r="EJ54" i="3"/>
  <c r="EG54" i="3"/>
  <c r="EE54" i="3"/>
  <c r="ED54" i="3"/>
  <c r="EB54" i="3"/>
  <c r="EA54" i="3"/>
  <c r="DU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W54" i="3"/>
  <c r="CU54" i="3"/>
  <c r="CR54" i="3"/>
  <c r="CQ54" i="3"/>
  <c r="CN54" i="3"/>
  <c r="CK54" i="3"/>
  <c r="CH54" i="3"/>
  <c r="CF54" i="3"/>
  <c r="CB54" i="3"/>
  <c r="BY54" i="3"/>
  <c r="BW54" i="3"/>
  <c r="BV54" i="3"/>
  <c r="BU54" i="3"/>
  <c r="BS54" i="3"/>
  <c r="BM54" i="3"/>
  <c r="BJ54" i="3"/>
  <c r="BI54" i="3"/>
  <c r="BH54" i="3"/>
  <c r="BG54" i="3"/>
  <c r="BB54" i="3"/>
  <c r="EC54" i="3" s="1"/>
  <c r="BA54" i="3"/>
  <c r="FG54" i="3" s="1"/>
  <c r="AZ54" i="3"/>
  <c r="AY54" i="3"/>
  <c r="AX54" i="3"/>
  <c r="FD54" i="3" s="1"/>
  <c r="AW54" i="3"/>
  <c r="FC54" i="3" s="1"/>
  <c r="AV54" i="3"/>
  <c r="AU54" i="3"/>
  <c r="DV54" i="3" s="1"/>
  <c r="AT54" i="3"/>
  <c r="AS54" i="3"/>
  <c r="AR54" i="3"/>
  <c r="AQ54" i="3"/>
  <c r="AP54" i="3"/>
  <c r="AO54" i="3"/>
  <c r="EU54" i="3" s="1"/>
  <c r="AN54" i="3"/>
  <c r="AL54" i="3"/>
  <c r="AK54" i="3"/>
  <c r="AJ54" i="3"/>
  <c r="AI54" i="3"/>
  <c r="AH54" i="3"/>
  <c r="AG54" i="3"/>
  <c r="AF54" i="3"/>
  <c r="BE54" i="3" s="1"/>
  <c r="AE54" i="3"/>
  <c r="AD54" i="3"/>
  <c r="AC54" i="3"/>
  <c r="AB54" i="3"/>
  <c r="AA54" i="3"/>
  <c r="BD54" i="3" s="1"/>
  <c r="Z54" i="3"/>
  <c r="Y54" i="3"/>
  <c r="X54" i="3"/>
  <c r="T54" i="3"/>
  <c r="FC53" i="3"/>
  <c r="EZ53" i="3"/>
  <c r="EW53" i="3"/>
  <c r="EV53" i="3"/>
  <c r="EM53" i="3"/>
  <c r="EJ53" i="3"/>
  <c r="EH53" i="3"/>
  <c r="EG53" i="3"/>
  <c r="EF53" i="3"/>
  <c r="ED53" i="3"/>
  <c r="DX53" i="3"/>
  <c r="DU53" i="3"/>
  <c r="DS53" i="3"/>
  <c r="DR53" i="3"/>
  <c r="DP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W53" i="3"/>
  <c r="CV53" i="3"/>
  <c r="CT53" i="3"/>
  <c r="CR53" i="3"/>
  <c r="CQ53" i="3"/>
  <c r="CO53" i="3"/>
  <c r="CN53" i="3"/>
  <c r="CL53" i="3"/>
  <c r="CJ53" i="3"/>
  <c r="CH53" i="3"/>
  <c r="CE53" i="3"/>
  <c r="CC53" i="3"/>
  <c r="CB53" i="3"/>
  <c r="BZ53" i="3"/>
  <c r="BY53" i="3"/>
  <c r="BW53" i="3"/>
  <c r="BP53" i="3"/>
  <c r="BM53" i="3"/>
  <c r="BK53" i="3"/>
  <c r="BJ53" i="3"/>
  <c r="BG53" i="3"/>
  <c r="BB53" i="3"/>
  <c r="BA53" i="3"/>
  <c r="FG53" i="3" s="1"/>
  <c r="AZ53" i="3"/>
  <c r="FF53" i="3" s="1"/>
  <c r="AY53" i="3"/>
  <c r="AX53" i="3"/>
  <c r="DY53" i="3" s="1"/>
  <c r="AW53" i="3"/>
  <c r="AV53" i="3"/>
  <c r="AU53" i="3"/>
  <c r="FA53" i="3" s="1"/>
  <c r="AT53" i="3"/>
  <c r="AS53" i="3"/>
  <c r="AR53" i="3"/>
  <c r="EX53" i="3" s="1"/>
  <c r="AQ53" i="3"/>
  <c r="AP53" i="3"/>
  <c r="BX53" i="3" s="1"/>
  <c r="AO53" i="3"/>
  <c r="EU53" i="3" s="1"/>
  <c r="AN53" i="3"/>
  <c r="CK53" i="3" s="1"/>
  <c r="AL53" i="3"/>
  <c r="AK53" i="3"/>
  <c r="AJ53" i="3"/>
  <c r="AI53" i="3"/>
  <c r="AH53" i="3"/>
  <c r="AG53" i="3"/>
  <c r="AF53" i="3"/>
  <c r="BE53" i="3" s="1"/>
  <c r="AE53" i="3"/>
  <c r="AD53" i="3"/>
  <c r="AC53" i="3"/>
  <c r="AB53" i="3"/>
  <c r="AA53" i="3"/>
  <c r="BD53" i="3" s="1"/>
  <c r="Z53" i="3"/>
  <c r="Y53" i="3"/>
  <c r="X53" i="3"/>
  <c r="T53" i="3"/>
  <c r="FF52" i="3"/>
  <c r="FB52" i="3"/>
  <c r="EZ52" i="3"/>
  <c r="EY52" i="3"/>
  <c r="EW52" i="3"/>
  <c r="EU52" i="3"/>
  <c r="ET52" i="3"/>
  <c r="EP52" i="3"/>
  <c r="EJ52" i="3"/>
  <c r="EI52" i="3"/>
  <c r="EH52" i="3"/>
  <c r="EE52" i="3"/>
  <c r="ED52" i="3"/>
  <c r="EA52" i="3"/>
  <c r="DW52" i="3"/>
  <c r="DU52" i="3"/>
  <c r="DS52" i="3"/>
  <c r="DR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W52" i="3"/>
  <c r="CU52" i="3"/>
  <c r="CT52" i="3"/>
  <c r="CQ52" i="3"/>
  <c r="CN52" i="3"/>
  <c r="CK52" i="3"/>
  <c r="CI52" i="3"/>
  <c r="CH52" i="3"/>
  <c r="CE52" i="3"/>
  <c r="CB52" i="3"/>
  <c r="CA52" i="3"/>
  <c r="BY52" i="3"/>
  <c r="BV52" i="3"/>
  <c r="BS52" i="3"/>
  <c r="BO52" i="3"/>
  <c r="BM52" i="3"/>
  <c r="BK52" i="3"/>
  <c r="BH52" i="3"/>
  <c r="BG52" i="3"/>
  <c r="BB52" i="3"/>
  <c r="BA52" i="3"/>
  <c r="EB52" i="3" s="1"/>
  <c r="AZ52" i="3"/>
  <c r="AY52" i="3"/>
  <c r="AX52" i="3"/>
  <c r="FD52" i="3" s="1"/>
  <c r="AW52" i="3"/>
  <c r="DX52" i="3" s="1"/>
  <c r="AV52" i="3"/>
  <c r="AU52" i="3"/>
  <c r="AT52" i="3"/>
  <c r="AS52" i="3"/>
  <c r="AR52" i="3"/>
  <c r="EX52" i="3" s="1"/>
  <c r="AQ52" i="3"/>
  <c r="EG52" i="3" s="1"/>
  <c r="AP52" i="3"/>
  <c r="EV52" i="3" s="1"/>
  <c r="AO52" i="3"/>
  <c r="BW52" i="3" s="1"/>
  <c r="AN52" i="3"/>
  <c r="AL52" i="3"/>
  <c r="AK52" i="3"/>
  <c r="AJ52" i="3"/>
  <c r="AI52" i="3"/>
  <c r="BF52" i="3" s="1"/>
  <c r="AH52" i="3"/>
  <c r="AG52" i="3"/>
  <c r="AF52" i="3"/>
  <c r="BE52" i="3" s="1"/>
  <c r="AE52" i="3"/>
  <c r="AD52" i="3"/>
  <c r="AC52" i="3"/>
  <c r="AB52" i="3"/>
  <c r="AA52" i="3"/>
  <c r="BD52" i="3" s="1"/>
  <c r="Z52" i="3"/>
  <c r="Y52" i="3"/>
  <c r="BC52" i="3" s="1"/>
  <c r="X52" i="3"/>
  <c r="T52" i="3"/>
  <c r="FE51" i="3"/>
  <c r="FD51" i="3"/>
  <c r="FC51" i="3"/>
  <c r="FB51" i="3"/>
  <c r="EY51" i="3"/>
  <c r="EQ51" i="3"/>
  <c r="EN51" i="3"/>
  <c r="EM51" i="3"/>
  <c r="EK51" i="3"/>
  <c r="EE51" i="3"/>
  <c r="EB51" i="3"/>
  <c r="DZ51" i="3"/>
  <c r="DY51" i="3"/>
  <c r="DV51" i="3"/>
  <c r="DP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R51" i="3"/>
  <c r="CO51" i="3"/>
  <c r="CN51" i="3"/>
  <c r="CL51" i="3"/>
  <c r="CJ51" i="3"/>
  <c r="CI51" i="3"/>
  <c r="CF51" i="3"/>
  <c r="CE51" i="3"/>
  <c r="CC51" i="3"/>
  <c r="CB51" i="3"/>
  <c r="BX51" i="3"/>
  <c r="BW51" i="3"/>
  <c r="BT51" i="3"/>
  <c r="BR51" i="3"/>
  <c r="BQ51" i="3"/>
  <c r="BP51" i="3"/>
  <c r="BO51" i="3"/>
  <c r="BN51" i="3"/>
  <c r="BL51" i="3"/>
  <c r="BH51" i="3"/>
  <c r="BC51" i="3"/>
  <c r="BB51" i="3"/>
  <c r="EC51" i="3" s="1"/>
  <c r="BA51" i="3"/>
  <c r="FG51" i="3" s="1"/>
  <c r="AZ51" i="3"/>
  <c r="AY51" i="3"/>
  <c r="EO51" i="3" s="1"/>
  <c r="AX51" i="3"/>
  <c r="CU51" i="3" s="1"/>
  <c r="AW51" i="3"/>
  <c r="CT51" i="3" s="1"/>
  <c r="AV51" i="3"/>
  <c r="CD51" i="3" s="1"/>
  <c r="AU51" i="3"/>
  <c r="FA51" i="3" s="1"/>
  <c r="AT51" i="3"/>
  <c r="EJ51" i="3" s="1"/>
  <c r="AS51" i="3"/>
  <c r="EI51" i="3" s="1"/>
  <c r="AR51" i="3"/>
  <c r="EX51" i="3" s="1"/>
  <c r="AQ51" i="3"/>
  <c r="EW51" i="3" s="1"/>
  <c r="AP51" i="3"/>
  <c r="DQ51" i="3" s="1"/>
  <c r="AO51" i="3"/>
  <c r="EU51" i="3" s="1"/>
  <c r="AN51" i="3"/>
  <c r="AL51" i="3"/>
  <c r="AK51" i="3"/>
  <c r="AJ51" i="3"/>
  <c r="AI51" i="3"/>
  <c r="BF51" i="3" s="1"/>
  <c r="AH51" i="3"/>
  <c r="AG51" i="3"/>
  <c r="BE51" i="3" s="1"/>
  <c r="AF51" i="3"/>
  <c r="AE51" i="3"/>
  <c r="AD51" i="3"/>
  <c r="AC51" i="3"/>
  <c r="AB51" i="3"/>
  <c r="BD51" i="3" s="1"/>
  <c r="AA51" i="3"/>
  <c r="Z51" i="3"/>
  <c r="Y51" i="3"/>
  <c r="X51" i="3"/>
  <c r="T51" i="3"/>
  <c r="FG50" i="3"/>
  <c r="FC50" i="3"/>
  <c r="EZ50" i="3"/>
  <c r="EY50" i="3"/>
  <c r="EX50" i="3"/>
  <c r="EU50" i="3"/>
  <c r="EQ50" i="3"/>
  <c r="EP50" i="3"/>
  <c r="EN50" i="3"/>
  <c r="EM50" i="3"/>
  <c r="EI50" i="3"/>
  <c r="EH50" i="3"/>
  <c r="EE50" i="3"/>
  <c r="ED50" i="3"/>
  <c r="EC50" i="3"/>
  <c r="EB50" i="3"/>
  <c r="EA50" i="3"/>
  <c r="DZ50" i="3"/>
  <c r="DY50" i="3"/>
  <c r="DW50" i="3"/>
  <c r="DS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W50" i="3"/>
  <c r="CU50" i="3"/>
  <c r="CT50" i="3"/>
  <c r="CR50" i="3"/>
  <c r="CQ50" i="3"/>
  <c r="CO50" i="3"/>
  <c r="CM50" i="3"/>
  <c r="CK50" i="3"/>
  <c r="CI50" i="3"/>
  <c r="CH50" i="3"/>
  <c r="CF50" i="3"/>
  <c r="CE50" i="3"/>
  <c r="CA50" i="3"/>
  <c r="BZ50" i="3"/>
  <c r="BW50" i="3"/>
  <c r="BV50" i="3"/>
  <c r="BU50" i="3"/>
  <c r="BT50" i="3"/>
  <c r="BS50" i="3"/>
  <c r="BR50" i="3"/>
  <c r="BQ50" i="3"/>
  <c r="BO50" i="3"/>
  <c r="BK50" i="3"/>
  <c r="BI50" i="3"/>
  <c r="BH50" i="3"/>
  <c r="BG50" i="3"/>
  <c r="BC50" i="3"/>
  <c r="BB50" i="3"/>
  <c r="ER50" i="3" s="1"/>
  <c r="BA50" i="3"/>
  <c r="CX50" i="3" s="1"/>
  <c r="AZ50" i="3"/>
  <c r="FF50" i="3" s="1"/>
  <c r="AY50" i="3"/>
  <c r="FE50" i="3" s="1"/>
  <c r="AX50" i="3"/>
  <c r="FD50" i="3" s="1"/>
  <c r="AW50" i="3"/>
  <c r="DX50" i="3" s="1"/>
  <c r="AV50" i="3"/>
  <c r="FB50" i="3" s="1"/>
  <c r="AU50" i="3"/>
  <c r="DV50" i="3" s="1"/>
  <c r="AT50" i="3"/>
  <c r="DU50" i="3" s="1"/>
  <c r="AS50" i="3"/>
  <c r="DT50" i="3" s="1"/>
  <c r="AR50" i="3"/>
  <c r="AQ50" i="3"/>
  <c r="AP50" i="3"/>
  <c r="EF50" i="3" s="1"/>
  <c r="AO50" i="3"/>
  <c r="CL50" i="3" s="1"/>
  <c r="AN50" i="3"/>
  <c r="ET50" i="3" s="1"/>
  <c r="AL50" i="3"/>
  <c r="AK50" i="3"/>
  <c r="AJ50" i="3"/>
  <c r="AI50" i="3"/>
  <c r="BF50" i="3" s="1"/>
  <c r="AH50" i="3"/>
  <c r="AG50" i="3"/>
  <c r="BE50" i="3" s="1"/>
  <c r="AF50" i="3"/>
  <c r="AE50" i="3"/>
  <c r="AD50" i="3"/>
  <c r="AC50" i="3"/>
  <c r="AB50" i="3"/>
  <c r="AA50" i="3"/>
  <c r="Z50" i="3"/>
  <c r="Y50" i="3"/>
  <c r="X50" i="3"/>
  <c r="AM50" i="3" s="1"/>
  <c r="T50" i="3"/>
  <c r="FF49" i="3"/>
  <c r="FC49" i="3"/>
  <c r="FB49" i="3"/>
  <c r="FA49" i="3"/>
  <c r="EX49" i="3"/>
  <c r="ET49" i="3"/>
  <c r="EQ49" i="3"/>
  <c r="EP49" i="3"/>
  <c r="EL49" i="3"/>
  <c r="EK49" i="3"/>
  <c r="EH49" i="3"/>
  <c r="EG49" i="3"/>
  <c r="EE49" i="3"/>
  <c r="ED49" i="3"/>
  <c r="EC49" i="3"/>
  <c r="EB49" i="3"/>
  <c r="DZ49" i="3"/>
  <c r="DV49" i="3"/>
  <c r="DT49" i="3"/>
  <c r="DS49" i="3"/>
  <c r="DR49" i="3"/>
  <c r="DP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X49" i="3"/>
  <c r="CW49" i="3"/>
  <c r="CU49" i="3"/>
  <c r="CT49" i="3"/>
  <c r="CR49" i="3"/>
  <c r="CP49" i="3"/>
  <c r="CN49" i="3"/>
  <c r="CL49" i="3"/>
  <c r="CK49" i="3"/>
  <c r="CI49" i="3"/>
  <c r="CH49" i="3"/>
  <c r="CD49" i="3"/>
  <c r="CC49" i="3"/>
  <c r="BZ49" i="3"/>
  <c r="BY49" i="3"/>
  <c r="BW49" i="3"/>
  <c r="BV49" i="3"/>
  <c r="BU49" i="3"/>
  <c r="BT49" i="3"/>
  <c r="BR49" i="3"/>
  <c r="BN49" i="3"/>
  <c r="BL49" i="3"/>
  <c r="BK49" i="3"/>
  <c r="BJ49" i="3"/>
  <c r="BI49" i="3"/>
  <c r="BH49" i="3"/>
  <c r="BF49" i="3"/>
  <c r="BB49" i="3"/>
  <c r="FH49" i="3" s="1"/>
  <c r="BA49" i="3"/>
  <c r="FG49" i="3" s="1"/>
  <c r="AZ49" i="3"/>
  <c r="EA49" i="3" s="1"/>
  <c r="AY49" i="3"/>
  <c r="FE49" i="3" s="1"/>
  <c r="AX49" i="3"/>
  <c r="DY49" i="3" s="1"/>
  <c r="AW49" i="3"/>
  <c r="DX49" i="3" s="1"/>
  <c r="AV49" i="3"/>
  <c r="DW49" i="3" s="1"/>
  <c r="AU49" i="3"/>
  <c r="AT49" i="3"/>
  <c r="AS49" i="3"/>
  <c r="EI49" i="3" s="1"/>
  <c r="AR49" i="3"/>
  <c r="CO49" i="3" s="1"/>
  <c r="AQ49" i="3"/>
  <c r="EW49" i="3" s="1"/>
  <c r="AP49" i="3"/>
  <c r="EV49" i="3" s="1"/>
  <c r="AO49" i="3"/>
  <c r="EU49" i="3" s="1"/>
  <c r="AN49" i="3"/>
  <c r="DO49" i="3" s="1"/>
  <c r="AL49" i="3"/>
  <c r="AK49" i="3"/>
  <c r="AJ49" i="3"/>
  <c r="AI49" i="3"/>
  <c r="AH49" i="3"/>
  <c r="AG49" i="3"/>
  <c r="AF49" i="3"/>
  <c r="BE49" i="3" s="1"/>
  <c r="AE49" i="3"/>
  <c r="AD49" i="3"/>
  <c r="AC49" i="3"/>
  <c r="AB49" i="3"/>
  <c r="AA49" i="3"/>
  <c r="BD49" i="3" s="1"/>
  <c r="Z49" i="3"/>
  <c r="Y49" i="3"/>
  <c r="X49" i="3"/>
  <c r="BC49" i="3" s="1"/>
  <c r="T49" i="3"/>
  <c r="FF48" i="3"/>
  <c r="FE48" i="3"/>
  <c r="FD48" i="3"/>
  <c r="FA48" i="3"/>
  <c r="EW48" i="3"/>
  <c r="ET48" i="3"/>
  <c r="EO48" i="3"/>
  <c r="EN48" i="3"/>
  <c r="EK48" i="3"/>
  <c r="EJ48" i="3"/>
  <c r="EH48" i="3"/>
  <c r="EG48" i="3"/>
  <c r="EC48" i="3"/>
  <c r="DY48" i="3"/>
  <c r="DV48" i="3"/>
  <c r="DU48" i="3"/>
  <c r="DS48" i="3"/>
  <c r="DQ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X48" i="3"/>
  <c r="CW48" i="3"/>
  <c r="CU48" i="3"/>
  <c r="CS48" i="3"/>
  <c r="CQ48" i="3"/>
  <c r="CO48" i="3"/>
  <c r="CN48" i="3"/>
  <c r="CL48" i="3"/>
  <c r="CK48" i="3"/>
  <c r="CG48" i="3"/>
  <c r="CF48" i="3"/>
  <c r="CC48" i="3"/>
  <c r="CB48" i="3"/>
  <c r="BZ48" i="3"/>
  <c r="BY48" i="3"/>
  <c r="BU48" i="3"/>
  <c r="BQ48" i="3"/>
  <c r="BO48" i="3"/>
  <c r="BN48" i="3"/>
  <c r="BM48" i="3"/>
  <c r="BK48" i="3"/>
  <c r="BI48" i="3"/>
  <c r="BB48" i="3"/>
  <c r="FH48" i="3" s="1"/>
  <c r="BA48" i="3"/>
  <c r="EB48" i="3" s="1"/>
  <c r="AZ48" i="3"/>
  <c r="EA48" i="3" s="1"/>
  <c r="AY48" i="3"/>
  <c r="DZ48" i="3" s="1"/>
  <c r="AX48" i="3"/>
  <c r="AW48" i="3"/>
  <c r="AV48" i="3"/>
  <c r="EL48" i="3" s="1"/>
  <c r="AU48" i="3"/>
  <c r="CR48" i="3" s="1"/>
  <c r="AT48" i="3"/>
  <c r="EZ48" i="3" s="1"/>
  <c r="AS48" i="3"/>
  <c r="EY48" i="3" s="1"/>
  <c r="AR48" i="3"/>
  <c r="EX48" i="3" s="1"/>
  <c r="AQ48" i="3"/>
  <c r="DR48" i="3" s="1"/>
  <c r="AP48" i="3"/>
  <c r="EV48" i="3" s="1"/>
  <c r="AO48" i="3"/>
  <c r="DP48" i="3" s="1"/>
  <c r="AN48" i="3"/>
  <c r="DO48" i="3" s="1"/>
  <c r="AL48" i="3"/>
  <c r="AK48" i="3"/>
  <c r="AJ48" i="3"/>
  <c r="AI48" i="3"/>
  <c r="BF48" i="3" s="1"/>
  <c r="AH48" i="3"/>
  <c r="AG48" i="3"/>
  <c r="BE48" i="3" s="1"/>
  <c r="AF48" i="3"/>
  <c r="AE48" i="3"/>
  <c r="AD48" i="3"/>
  <c r="AC48" i="3"/>
  <c r="AB48" i="3"/>
  <c r="AA48" i="3"/>
  <c r="BD48" i="3" s="1"/>
  <c r="Z48" i="3"/>
  <c r="Y48" i="3"/>
  <c r="X48" i="3"/>
  <c r="T48" i="3"/>
  <c r="FH47" i="3"/>
  <c r="FG47" i="3"/>
  <c r="FD47" i="3"/>
  <c r="FC47" i="3"/>
  <c r="EZ47" i="3"/>
  <c r="EW47" i="3"/>
  <c r="EV47" i="3"/>
  <c r="EU47" i="3"/>
  <c r="ER47" i="3"/>
  <c r="EQ47" i="3"/>
  <c r="EN47" i="3"/>
  <c r="EM47" i="3"/>
  <c r="EK47" i="3"/>
  <c r="EJ47" i="3"/>
  <c r="EF47" i="3"/>
  <c r="EE47" i="3"/>
  <c r="EB47" i="3"/>
  <c r="DY47" i="3"/>
  <c r="DX47" i="3"/>
  <c r="DT47" i="3"/>
  <c r="DP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X47" i="3"/>
  <c r="CV47" i="3"/>
  <c r="CT47" i="3"/>
  <c r="CR47" i="3"/>
  <c r="CQ47" i="3"/>
  <c r="CO47" i="3"/>
  <c r="CN47" i="3"/>
  <c r="CL47" i="3"/>
  <c r="CJ47" i="3"/>
  <c r="CI47" i="3"/>
  <c r="CF47" i="3"/>
  <c r="CE47" i="3"/>
  <c r="CC47" i="3"/>
  <c r="CB47" i="3"/>
  <c r="BX47" i="3"/>
  <c r="BW47" i="3"/>
  <c r="BT47" i="3"/>
  <c r="BR47" i="3"/>
  <c r="BQ47" i="3"/>
  <c r="BP47" i="3"/>
  <c r="BN47" i="3"/>
  <c r="BL47" i="3"/>
  <c r="BH47" i="3"/>
  <c r="BB47" i="3"/>
  <c r="EC47" i="3" s="1"/>
  <c r="BA47" i="3"/>
  <c r="AZ47" i="3"/>
  <c r="AY47" i="3"/>
  <c r="EO47" i="3" s="1"/>
  <c r="AX47" i="3"/>
  <c r="CU47" i="3" s="1"/>
  <c r="AW47" i="3"/>
  <c r="AV47" i="3"/>
  <c r="FB47" i="3" s="1"/>
  <c r="AU47" i="3"/>
  <c r="FA47" i="3" s="1"/>
  <c r="AT47" i="3"/>
  <c r="DU47" i="3" s="1"/>
  <c r="AS47" i="3"/>
  <c r="EY47" i="3" s="1"/>
  <c r="AR47" i="3"/>
  <c r="DS47" i="3" s="1"/>
  <c r="AQ47" i="3"/>
  <c r="DR47" i="3" s="1"/>
  <c r="AP47" i="3"/>
  <c r="DQ47" i="3" s="1"/>
  <c r="AO47" i="3"/>
  <c r="AN47" i="3"/>
  <c r="AL47" i="3"/>
  <c r="AK47" i="3"/>
  <c r="AJ47" i="3"/>
  <c r="AI47" i="3"/>
  <c r="BF47" i="3" s="1"/>
  <c r="AH47" i="3"/>
  <c r="AG47" i="3"/>
  <c r="BE47" i="3" s="1"/>
  <c r="AF47" i="3"/>
  <c r="AE47" i="3"/>
  <c r="AD47" i="3"/>
  <c r="AC47" i="3"/>
  <c r="AB47" i="3"/>
  <c r="BD47" i="3" s="1"/>
  <c r="AA47" i="3"/>
  <c r="Z47" i="3"/>
  <c r="Y47" i="3"/>
  <c r="X47" i="3"/>
  <c r="T47" i="3"/>
  <c r="FG46" i="3"/>
  <c r="FF46" i="3"/>
  <c r="FC46" i="3"/>
  <c r="EZ46" i="3"/>
  <c r="EY46" i="3"/>
  <c r="EX46" i="3"/>
  <c r="EU46" i="3"/>
  <c r="ET46" i="3"/>
  <c r="EQ46" i="3"/>
  <c r="EP46" i="3"/>
  <c r="EN46" i="3"/>
  <c r="EM46" i="3"/>
  <c r="EI46" i="3"/>
  <c r="EH46" i="3"/>
  <c r="EE46" i="3"/>
  <c r="ED46" i="3"/>
  <c r="EB46" i="3"/>
  <c r="EA46" i="3"/>
  <c r="DW46" i="3"/>
  <c r="DS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W46" i="3"/>
  <c r="CU46" i="3"/>
  <c r="CT46" i="3"/>
  <c r="CR46" i="3"/>
  <c r="CQ46" i="3"/>
  <c r="CO46" i="3"/>
  <c r="CM46" i="3"/>
  <c r="CK46" i="3"/>
  <c r="CI46" i="3"/>
  <c r="CH46" i="3"/>
  <c r="CF46" i="3"/>
  <c r="CE46" i="3"/>
  <c r="CA46" i="3"/>
  <c r="BZ46" i="3"/>
  <c r="BW46" i="3"/>
  <c r="BV46" i="3"/>
  <c r="BT46" i="3"/>
  <c r="BS46" i="3"/>
  <c r="BQ46" i="3"/>
  <c r="BO46" i="3"/>
  <c r="BK46" i="3"/>
  <c r="BH46" i="3"/>
  <c r="BG46" i="3"/>
  <c r="BC46" i="3"/>
  <c r="BB46" i="3"/>
  <c r="ER46" i="3" s="1"/>
  <c r="BA46" i="3"/>
  <c r="CX46" i="3" s="1"/>
  <c r="AZ46" i="3"/>
  <c r="AY46" i="3"/>
  <c r="FE46" i="3" s="1"/>
  <c r="AX46" i="3"/>
  <c r="FD46" i="3" s="1"/>
  <c r="AW46" i="3"/>
  <c r="DX46" i="3" s="1"/>
  <c r="AV46" i="3"/>
  <c r="FB46" i="3" s="1"/>
  <c r="AU46" i="3"/>
  <c r="DV46" i="3" s="1"/>
  <c r="AT46" i="3"/>
  <c r="DU46" i="3" s="1"/>
  <c r="AS46" i="3"/>
  <c r="DT46" i="3" s="1"/>
  <c r="AR46" i="3"/>
  <c r="AQ46" i="3"/>
  <c r="AP46" i="3"/>
  <c r="EF46" i="3" s="1"/>
  <c r="AO46" i="3"/>
  <c r="CL46" i="3" s="1"/>
  <c r="AN46" i="3"/>
  <c r="AL46" i="3"/>
  <c r="AK46" i="3"/>
  <c r="AJ46" i="3"/>
  <c r="AI46" i="3"/>
  <c r="BF46" i="3" s="1"/>
  <c r="AH46" i="3"/>
  <c r="AG46" i="3"/>
  <c r="BE46" i="3" s="1"/>
  <c r="AF46" i="3"/>
  <c r="AE46" i="3"/>
  <c r="AD46" i="3"/>
  <c r="AC46" i="3"/>
  <c r="AB46" i="3"/>
  <c r="AA46" i="3"/>
  <c r="BD46" i="3" s="1"/>
  <c r="Z46" i="3"/>
  <c r="Y46" i="3"/>
  <c r="X46" i="3"/>
  <c r="AM46" i="3" s="1"/>
  <c r="T46" i="3"/>
  <c r="FF45" i="3"/>
  <c r="FC45" i="3"/>
  <c r="FB45" i="3"/>
  <c r="FA45" i="3"/>
  <c r="EX45" i="3"/>
  <c r="EW45" i="3"/>
  <c r="ET45" i="3"/>
  <c r="EQ45" i="3"/>
  <c r="EP45" i="3"/>
  <c r="EL45" i="3"/>
  <c r="EK45" i="3"/>
  <c r="EH45" i="3"/>
  <c r="EG45" i="3"/>
  <c r="EE45" i="3"/>
  <c r="ED45" i="3"/>
  <c r="DZ45" i="3"/>
  <c r="DV45" i="3"/>
  <c r="DS45" i="3"/>
  <c r="DR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X45" i="3"/>
  <c r="CW45" i="3"/>
  <c r="CU45" i="3"/>
  <c r="CT45" i="3"/>
  <c r="CR45" i="3"/>
  <c r="CP45" i="3"/>
  <c r="CN45" i="3"/>
  <c r="CL45" i="3"/>
  <c r="CK45" i="3"/>
  <c r="CI45" i="3"/>
  <c r="CH45" i="3"/>
  <c r="CD45" i="3"/>
  <c r="CC45" i="3"/>
  <c r="BZ45" i="3"/>
  <c r="BY45" i="3"/>
  <c r="BW45" i="3"/>
  <c r="BV45" i="3"/>
  <c r="BR45" i="3"/>
  <c r="BN45" i="3"/>
  <c r="BK45" i="3"/>
  <c r="BJ45" i="3"/>
  <c r="BF45" i="3"/>
  <c r="BB45" i="3"/>
  <c r="FH45" i="3" s="1"/>
  <c r="BA45" i="3"/>
  <c r="FG45" i="3" s="1"/>
  <c r="AZ45" i="3"/>
  <c r="EA45" i="3" s="1"/>
  <c r="AY45" i="3"/>
  <c r="FE45" i="3" s="1"/>
  <c r="AX45" i="3"/>
  <c r="DY45" i="3" s="1"/>
  <c r="AW45" i="3"/>
  <c r="DX45" i="3" s="1"/>
  <c r="AV45" i="3"/>
  <c r="DW45" i="3" s="1"/>
  <c r="AU45" i="3"/>
  <c r="AT45" i="3"/>
  <c r="AS45" i="3"/>
  <c r="EI45" i="3" s="1"/>
  <c r="AR45" i="3"/>
  <c r="CO45" i="3" s="1"/>
  <c r="AQ45" i="3"/>
  <c r="AP45" i="3"/>
  <c r="EV45" i="3" s="1"/>
  <c r="AO45" i="3"/>
  <c r="EU45" i="3" s="1"/>
  <c r="AN45" i="3"/>
  <c r="DO45" i="3" s="1"/>
  <c r="AL45" i="3"/>
  <c r="AK45" i="3"/>
  <c r="AJ45" i="3"/>
  <c r="AI45" i="3"/>
  <c r="AH45" i="3"/>
  <c r="AG45" i="3"/>
  <c r="AF45" i="3"/>
  <c r="AE45" i="3"/>
  <c r="AD45" i="3"/>
  <c r="AC45" i="3"/>
  <c r="AB45" i="3"/>
  <c r="AA45" i="3"/>
  <c r="BD45" i="3" s="1"/>
  <c r="Z45" i="3"/>
  <c r="Y45" i="3"/>
  <c r="X45" i="3"/>
  <c r="BC45" i="3" s="1"/>
  <c r="T45" i="3"/>
  <c r="FF44" i="3"/>
  <c r="FE44" i="3"/>
  <c r="FD44" i="3"/>
  <c r="FA44" i="3"/>
  <c r="EZ44" i="3"/>
  <c r="EW44" i="3"/>
  <c r="ET44" i="3"/>
  <c r="EO44" i="3"/>
  <c r="EN44" i="3"/>
  <c r="EK44" i="3"/>
  <c r="EJ44" i="3"/>
  <c r="EH44" i="3"/>
  <c r="EG44" i="3"/>
  <c r="EC44" i="3"/>
  <c r="DY44" i="3"/>
  <c r="DV44" i="3"/>
  <c r="DU44" i="3"/>
  <c r="DQ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X44" i="3"/>
  <c r="CW44" i="3"/>
  <c r="CU44" i="3"/>
  <c r="CS44" i="3"/>
  <c r="CQ44" i="3"/>
  <c r="CO44" i="3"/>
  <c r="CN44" i="3"/>
  <c r="CL44" i="3"/>
  <c r="CK44" i="3"/>
  <c r="CG44" i="3"/>
  <c r="CF44" i="3"/>
  <c r="CC44" i="3"/>
  <c r="CB44" i="3"/>
  <c r="BZ44" i="3"/>
  <c r="BY44" i="3"/>
  <c r="BU44" i="3"/>
  <c r="BQ44" i="3"/>
  <c r="BN44" i="3"/>
  <c r="BM44" i="3"/>
  <c r="BI44" i="3"/>
  <c r="BB44" i="3"/>
  <c r="FH44" i="3" s="1"/>
  <c r="BA44" i="3"/>
  <c r="EB44" i="3" s="1"/>
  <c r="AZ44" i="3"/>
  <c r="EA44" i="3" s="1"/>
  <c r="AY44" i="3"/>
  <c r="DZ44" i="3" s="1"/>
  <c r="AX44" i="3"/>
  <c r="AW44" i="3"/>
  <c r="AV44" i="3"/>
  <c r="EL44" i="3" s="1"/>
  <c r="AU44" i="3"/>
  <c r="CR44" i="3" s="1"/>
  <c r="AT44" i="3"/>
  <c r="AS44" i="3"/>
  <c r="EY44" i="3" s="1"/>
  <c r="AR44" i="3"/>
  <c r="EX44" i="3" s="1"/>
  <c r="AQ44" i="3"/>
  <c r="DR44" i="3" s="1"/>
  <c r="AP44" i="3"/>
  <c r="EV44" i="3" s="1"/>
  <c r="AO44" i="3"/>
  <c r="DP44" i="3" s="1"/>
  <c r="AN44" i="3"/>
  <c r="DO44" i="3" s="1"/>
  <c r="AL44" i="3"/>
  <c r="AK44" i="3"/>
  <c r="AJ44" i="3"/>
  <c r="AI44" i="3"/>
  <c r="BF44" i="3" s="1"/>
  <c r="AH44" i="3"/>
  <c r="AG44" i="3"/>
  <c r="BE44" i="3" s="1"/>
  <c r="AF44" i="3"/>
  <c r="AE44" i="3"/>
  <c r="AD44" i="3"/>
  <c r="AC44" i="3"/>
  <c r="BD44" i="3" s="1"/>
  <c r="AB44" i="3"/>
  <c r="AA44" i="3"/>
  <c r="Z44" i="3"/>
  <c r="Y44" i="3"/>
  <c r="AM44" i="3" s="1"/>
  <c r="X44" i="3"/>
  <c r="T44" i="3"/>
  <c r="FH43" i="3"/>
  <c r="FG43" i="3"/>
  <c r="FD43" i="3"/>
  <c r="FC43" i="3"/>
  <c r="EZ43" i="3"/>
  <c r="EW43" i="3"/>
  <c r="EV43" i="3"/>
  <c r="EU43" i="3"/>
  <c r="ER43" i="3"/>
  <c r="EQ43" i="3"/>
  <c r="EN43" i="3"/>
  <c r="EM43" i="3"/>
  <c r="EK43" i="3"/>
  <c r="EJ43" i="3"/>
  <c r="EF43" i="3"/>
  <c r="EE43" i="3"/>
  <c r="EB43" i="3"/>
  <c r="DY43" i="3"/>
  <c r="DX43" i="3"/>
  <c r="DT43" i="3"/>
  <c r="DP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X43" i="3"/>
  <c r="CV43" i="3"/>
  <c r="CT43" i="3"/>
  <c r="CR43" i="3"/>
  <c r="CQ43" i="3"/>
  <c r="CO43" i="3"/>
  <c r="CN43" i="3"/>
  <c r="CL43" i="3"/>
  <c r="CJ43" i="3"/>
  <c r="CI43" i="3"/>
  <c r="CF43" i="3"/>
  <c r="CE43" i="3"/>
  <c r="CC43" i="3"/>
  <c r="CB43" i="3"/>
  <c r="BX43" i="3"/>
  <c r="BW43" i="3"/>
  <c r="BT43" i="3"/>
  <c r="BQ43" i="3"/>
  <c r="BP43" i="3"/>
  <c r="BL43" i="3"/>
  <c r="BH43" i="3"/>
  <c r="BB43" i="3"/>
  <c r="EC43" i="3" s="1"/>
  <c r="BA43" i="3"/>
  <c r="AZ43" i="3"/>
  <c r="AY43" i="3"/>
  <c r="EO43" i="3" s="1"/>
  <c r="AX43" i="3"/>
  <c r="CU43" i="3" s="1"/>
  <c r="AW43" i="3"/>
  <c r="AV43" i="3"/>
  <c r="FB43" i="3" s="1"/>
  <c r="AU43" i="3"/>
  <c r="FA43" i="3" s="1"/>
  <c r="AT43" i="3"/>
  <c r="DU43" i="3" s="1"/>
  <c r="AS43" i="3"/>
  <c r="EY43" i="3" s="1"/>
  <c r="AR43" i="3"/>
  <c r="DS43" i="3" s="1"/>
  <c r="AQ43" i="3"/>
  <c r="DR43" i="3" s="1"/>
  <c r="AP43" i="3"/>
  <c r="DQ43" i="3" s="1"/>
  <c r="AO43" i="3"/>
  <c r="AN43" i="3"/>
  <c r="AL43" i="3"/>
  <c r="AK43" i="3"/>
  <c r="AJ43" i="3"/>
  <c r="AI43" i="3"/>
  <c r="BF43" i="3" s="1"/>
  <c r="AH43" i="3"/>
  <c r="AG43" i="3"/>
  <c r="BE43" i="3" s="1"/>
  <c r="AF43" i="3"/>
  <c r="AE43" i="3"/>
  <c r="AD43" i="3"/>
  <c r="AC43" i="3"/>
  <c r="AB43" i="3"/>
  <c r="BD43" i="3" s="1"/>
  <c r="AA43" i="3"/>
  <c r="Z43" i="3"/>
  <c r="Y43" i="3"/>
  <c r="X43" i="3"/>
  <c r="AM43" i="3" s="1"/>
  <c r="T43" i="3"/>
  <c r="FG42" i="3"/>
  <c r="FF42" i="3"/>
  <c r="FC42" i="3"/>
  <c r="EZ42" i="3"/>
  <c r="EY42" i="3"/>
  <c r="EX42" i="3"/>
  <c r="EU42" i="3"/>
  <c r="ET42" i="3"/>
  <c r="EQ42" i="3"/>
  <c r="EP42" i="3"/>
  <c r="EN42" i="3"/>
  <c r="EM42" i="3"/>
  <c r="EI42" i="3"/>
  <c r="EH42" i="3"/>
  <c r="EE42" i="3"/>
  <c r="ED42" i="3"/>
  <c r="EB42" i="3"/>
  <c r="EA42" i="3"/>
  <c r="DW42" i="3"/>
  <c r="DS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W42" i="3"/>
  <c r="CU42" i="3"/>
  <c r="CT42" i="3"/>
  <c r="CR42" i="3"/>
  <c r="CQ42" i="3"/>
  <c r="CO42" i="3"/>
  <c r="CM42" i="3"/>
  <c r="CK42" i="3"/>
  <c r="CI42" i="3"/>
  <c r="CH42" i="3"/>
  <c r="CF42" i="3"/>
  <c r="CE42" i="3"/>
  <c r="CA42" i="3"/>
  <c r="BZ42" i="3"/>
  <c r="BW42" i="3"/>
  <c r="BV42" i="3"/>
  <c r="BT42" i="3"/>
  <c r="BS42" i="3"/>
  <c r="BO42" i="3"/>
  <c r="BK42" i="3"/>
  <c r="BH42" i="3"/>
  <c r="BG42" i="3"/>
  <c r="BC42" i="3"/>
  <c r="BB42" i="3"/>
  <c r="ER42" i="3" s="1"/>
  <c r="BA42" i="3"/>
  <c r="CX42" i="3" s="1"/>
  <c r="AZ42" i="3"/>
  <c r="AY42" i="3"/>
  <c r="FE42" i="3" s="1"/>
  <c r="AX42" i="3"/>
  <c r="FD42" i="3" s="1"/>
  <c r="AW42" i="3"/>
  <c r="DX42" i="3" s="1"/>
  <c r="AV42" i="3"/>
  <c r="FB42" i="3" s="1"/>
  <c r="AU42" i="3"/>
  <c r="DV42" i="3" s="1"/>
  <c r="AT42" i="3"/>
  <c r="DU42" i="3" s="1"/>
  <c r="AS42" i="3"/>
  <c r="DT42" i="3" s="1"/>
  <c r="AR42" i="3"/>
  <c r="AQ42" i="3"/>
  <c r="AP42" i="3"/>
  <c r="EF42" i="3" s="1"/>
  <c r="AO42" i="3"/>
  <c r="CL42" i="3" s="1"/>
  <c r="AN42" i="3"/>
  <c r="AL42" i="3"/>
  <c r="AK42" i="3"/>
  <c r="AJ42" i="3"/>
  <c r="AI42" i="3"/>
  <c r="BF42" i="3" s="1"/>
  <c r="AH42" i="3"/>
  <c r="AG42" i="3"/>
  <c r="BE42" i="3" s="1"/>
  <c r="AF42" i="3"/>
  <c r="AE42" i="3"/>
  <c r="AD42" i="3"/>
  <c r="AC42" i="3"/>
  <c r="AB42" i="3"/>
  <c r="AA42" i="3"/>
  <c r="Z42" i="3"/>
  <c r="Y42" i="3"/>
  <c r="X42" i="3"/>
  <c r="T42" i="3"/>
  <c r="FF41" i="3"/>
  <c r="FC41" i="3"/>
  <c r="FB41" i="3"/>
  <c r="FA41" i="3"/>
  <c r="EX41" i="3"/>
  <c r="EW41" i="3"/>
  <c r="ET41" i="3"/>
  <c r="EQ41" i="3"/>
  <c r="EP41" i="3"/>
  <c r="EL41" i="3"/>
  <c r="EK41" i="3"/>
  <c r="EH41" i="3"/>
  <c r="EG41" i="3"/>
  <c r="EE41" i="3"/>
  <c r="ED41" i="3"/>
  <c r="DZ41" i="3"/>
  <c r="DV41" i="3"/>
  <c r="DS41" i="3"/>
  <c r="DR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X41" i="3"/>
  <c r="CW41" i="3"/>
  <c r="CU41" i="3"/>
  <c r="CT41" i="3"/>
  <c r="CR41" i="3"/>
  <c r="CP41" i="3"/>
  <c r="CN41" i="3"/>
  <c r="CL41" i="3"/>
  <c r="CK41" i="3"/>
  <c r="CI41" i="3"/>
  <c r="CH41" i="3"/>
  <c r="CD41" i="3"/>
  <c r="CC41" i="3"/>
  <c r="BZ41" i="3"/>
  <c r="BY41" i="3"/>
  <c r="BW41" i="3"/>
  <c r="BV41" i="3"/>
  <c r="BR41" i="3"/>
  <c r="BN41" i="3"/>
  <c r="BK41" i="3"/>
  <c r="BJ41" i="3"/>
  <c r="BF41" i="3"/>
  <c r="BB41" i="3"/>
  <c r="FH41" i="3" s="1"/>
  <c r="BA41" i="3"/>
  <c r="FG41" i="3" s="1"/>
  <c r="AZ41" i="3"/>
  <c r="EA41" i="3" s="1"/>
  <c r="AY41" i="3"/>
  <c r="AX41" i="3"/>
  <c r="DY41" i="3" s="1"/>
  <c r="AW41" i="3"/>
  <c r="DX41" i="3" s="1"/>
  <c r="AV41" i="3"/>
  <c r="DW41" i="3" s="1"/>
  <c r="AU41" i="3"/>
  <c r="AT41" i="3"/>
  <c r="AS41" i="3"/>
  <c r="EI41" i="3" s="1"/>
  <c r="AR41" i="3"/>
  <c r="CO41" i="3" s="1"/>
  <c r="AQ41" i="3"/>
  <c r="AP41" i="3"/>
  <c r="EV41" i="3" s="1"/>
  <c r="AO41" i="3"/>
  <c r="EU41" i="3" s="1"/>
  <c r="AN41" i="3"/>
  <c r="DO41" i="3" s="1"/>
  <c r="AL41" i="3"/>
  <c r="AK41" i="3"/>
  <c r="AJ41" i="3"/>
  <c r="AI41" i="3"/>
  <c r="AH41" i="3"/>
  <c r="AG41" i="3"/>
  <c r="AF41" i="3"/>
  <c r="AE41" i="3"/>
  <c r="AD41" i="3"/>
  <c r="AC41" i="3"/>
  <c r="AB41" i="3"/>
  <c r="AA41" i="3"/>
  <c r="BD41" i="3" s="1"/>
  <c r="Z41" i="3"/>
  <c r="Y41" i="3"/>
  <c r="X41" i="3"/>
  <c r="BC41" i="3" s="1"/>
  <c r="T41" i="3"/>
  <c r="FF40" i="3"/>
  <c r="FE40" i="3"/>
  <c r="FD40" i="3"/>
  <c r="FA40" i="3"/>
  <c r="EZ40" i="3"/>
  <c r="EW40" i="3"/>
  <c r="ET40" i="3"/>
  <c r="EO40" i="3"/>
  <c r="EN40" i="3"/>
  <c r="EK40" i="3"/>
  <c r="EJ40" i="3"/>
  <c r="EH40" i="3"/>
  <c r="EG40" i="3"/>
  <c r="DY40" i="3"/>
  <c r="DV40" i="3"/>
  <c r="DU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X40" i="3"/>
  <c r="CW40" i="3"/>
  <c r="CU40" i="3"/>
  <c r="CS40" i="3"/>
  <c r="CQ40" i="3"/>
  <c r="CO40" i="3"/>
  <c r="CN40" i="3"/>
  <c r="CL40" i="3"/>
  <c r="CK40" i="3"/>
  <c r="CG40" i="3"/>
  <c r="CF40" i="3"/>
  <c r="CC40" i="3"/>
  <c r="CB40" i="3"/>
  <c r="BZ40" i="3"/>
  <c r="BY40" i="3"/>
  <c r="BQ40" i="3"/>
  <c r="BN40" i="3"/>
  <c r="BM40" i="3"/>
  <c r="BB40" i="3"/>
  <c r="BA40" i="3"/>
  <c r="EB40" i="3" s="1"/>
  <c r="AZ40" i="3"/>
  <c r="EA40" i="3" s="1"/>
  <c r="AY40" i="3"/>
  <c r="DZ40" i="3" s="1"/>
  <c r="AX40" i="3"/>
  <c r="AW40" i="3"/>
  <c r="AV40" i="3"/>
  <c r="EL40" i="3" s="1"/>
  <c r="AU40" i="3"/>
  <c r="CR40" i="3" s="1"/>
  <c r="AT40" i="3"/>
  <c r="AS40" i="3"/>
  <c r="EY40" i="3" s="1"/>
  <c r="AR40" i="3"/>
  <c r="EX40" i="3" s="1"/>
  <c r="AQ40" i="3"/>
  <c r="DR40" i="3" s="1"/>
  <c r="AP40" i="3"/>
  <c r="DQ40" i="3" s="1"/>
  <c r="AO40" i="3"/>
  <c r="DP40" i="3" s="1"/>
  <c r="AN40" i="3"/>
  <c r="DO40" i="3" s="1"/>
  <c r="AL40" i="3"/>
  <c r="AK40" i="3"/>
  <c r="AJ40" i="3"/>
  <c r="AI40" i="3"/>
  <c r="BF40" i="3" s="1"/>
  <c r="AH40" i="3"/>
  <c r="AG40" i="3"/>
  <c r="BE40" i="3" s="1"/>
  <c r="AF40" i="3"/>
  <c r="AE40" i="3"/>
  <c r="AD40" i="3"/>
  <c r="AC40" i="3"/>
  <c r="BD40" i="3" s="1"/>
  <c r="AB40" i="3"/>
  <c r="AA40" i="3"/>
  <c r="Z40" i="3"/>
  <c r="Y40" i="3"/>
  <c r="AM40" i="3" s="1"/>
  <c r="X40" i="3"/>
  <c r="T40" i="3"/>
  <c r="FH39" i="3"/>
  <c r="FG39" i="3"/>
  <c r="FD39" i="3"/>
  <c r="FC39" i="3"/>
  <c r="EZ39" i="3"/>
  <c r="EW39" i="3"/>
  <c r="EV39" i="3"/>
  <c r="EU39" i="3"/>
  <c r="ER39" i="3"/>
  <c r="EQ39" i="3"/>
  <c r="EN39" i="3"/>
  <c r="EM39" i="3"/>
  <c r="EK39" i="3"/>
  <c r="EJ39" i="3"/>
  <c r="EF39" i="3"/>
  <c r="EE39" i="3"/>
  <c r="EB39" i="3"/>
  <c r="DY39" i="3"/>
  <c r="DX39" i="3"/>
  <c r="DP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X39" i="3"/>
  <c r="CV39" i="3"/>
  <c r="CT39" i="3"/>
  <c r="CR39" i="3"/>
  <c r="CQ39" i="3"/>
  <c r="CO39" i="3"/>
  <c r="CN39" i="3"/>
  <c r="CL39" i="3"/>
  <c r="CJ39" i="3"/>
  <c r="CI39" i="3"/>
  <c r="CF39" i="3"/>
  <c r="CE39" i="3"/>
  <c r="CC39" i="3"/>
  <c r="CB39" i="3"/>
  <c r="BX39" i="3"/>
  <c r="BW39" i="3"/>
  <c r="BT39" i="3"/>
  <c r="BQ39" i="3"/>
  <c r="BP39" i="3"/>
  <c r="BH39" i="3"/>
  <c r="BE39" i="3"/>
  <c r="BB39" i="3"/>
  <c r="EC39" i="3" s="1"/>
  <c r="BA39" i="3"/>
  <c r="AZ39" i="3"/>
  <c r="AY39" i="3"/>
  <c r="EO39" i="3" s="1"/>
  <c r="AX39" i="3"/>
  <c r="CU39" i="3" s="1"/>
  <c r="AW39" i="3"/>
  <c r="AV39" i="3"/>
  <c r="FB39" i="3" s="1"/>
  <c r="AU39" i="3"/>
  <c r="FA39" i="3" s="1"/>
  <c r="AT39" i="3"/>
  <c r="DU39" i="3" s="1"/>
  <c r="AS39" i="3"/>
  <c r="AR39" i="3"/>
  <c r="DS39" i="3" s="1"/>
  <c r="AQ39" i="3"/>
  <c r="DR39" i="3" s="1"/>
  <c r="AP39" i="3"/>
  <c r="DQ39" i="3" s="1"/>
  <c r="AO39" i="3"/>
  <c r="AN39" i="3"/>
  <c r="AL39" i="3"/>
  <c r="AK39" i="3"/>
  <c r="AJ39" i="3"/>
  <c r="AI39" i="3"/>
  <c r="BF39" i="3" s="1"/>
  <c r="AH39" i="3"/>
  <c r="AG39" i="3"/>
  <c r="AF39" i="3"/>
  <c r="AE39" i="3"/>
  <c r="AD39" i="3"/>
  <c r="AC39" i="3"/>
  <c r="AB39" i="3"/>
  <c r="BD39" i="3" s="1"/>
  <c r="AA39" i="3"/>
  <c r="Z39" i="3"/>
  <c r="Y39" i="3"/>
  <c r="X39" i="3"/>
  <c r="T39" i="3"/>
  <c r="FG38" i="3"/>
  <c r="FF38" i="3"/>
  <c r="FC38" i="3"/>
  <c r="EZ38" i="3"/>
  <c r="EY38" i="3"/>
  <c r="EX38" i="3"/>
  <c r="EU38" i="3"/>
  <c r="ET38" i="3"/>
  <c r="EQ38" i="3"/>
  <c r="EP38" i="3"/>
  <c r="EN38" i="3"/>
  <c r="EM38" i="3"/>
  <c r="EI38" i="3"/>
  <c r="EH38" i="3"/>
  <c r="EE38" i="3"/>
  <c r="ED38" i="3"/>
  <c r="EB38" i="3"/>
  <c r="EA38" i="3"/>
  <c r="DS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W38" i="3"/>
  <c r="CU38" i="3"/>
  <c r="CT38" i="3"/>
  <c r="CR38" i="3"/>
  <c r="CQ38" i="3"/>
  <c r="CO38" i="3"/>
  <c r="CM38" i="3"/>
  <c r="CK38" i="3"/>
  <c r="CI38" i="3"/>
  <c r="CH38" i="3"/>
  <c r="CF38" i="3"/>
  <c r="CE38" i="3"/>
  <c r="CA38" i="3"/>
  <c r="BZ38" i="3"/>
  <c r="BW38" i="3"/>
  <c r="BV38" i="3"/>
  <c r="BT38" i="3"/>
  <c r="BS38" i="3"/>
  <c r="BK38" i="3"/>
  <c r="BH38" i="3"/>
  <c r="BG38" i="3"/>
  <c r="BC38" i="3"/>
  <c r="BB38" i="3"/>
  <c r="ER38" i="3" s="1"/>
  <c r="BA38" i="3"/>
  <c r="CX38" i="3" s="1"/>
  <c r="AZ38" i="3"/>
  <c r="AY38" i="3"/>
  <c r="FE38" i="3" s="1"/>
  <c r="AX38" i="3"/>
  <c r="FD38" i="3" s="1"/>
  <c r="AW38" i="3"/>
  <c r="DX38" i="3" s="1"/>
  <c r="AV38" i="3"/>
  <c r="BO38" i="3" s="1"/>
  <c r="AU38" i="3"/>
  <c r="AT38" i="3"/>
  <c r="DU38" i="3" s="1"/>
  <c r="AS38" i="3"/>
  <c r="DT38" i="3" s="1"/>
  <c r="AR38" i="3"/>
  <c r="AQ38" i="3"/>
  <c r="AP38" i="3"/>
  <c r="EF38" i="3" s="1"/>
  <c r="AO38" i="3"/>
  <c r="CL38" i="3" s="1"/>
  <c r="AN38" i="3"/>
  <c r="AL38" i="3"/>
  <c r="AK38" i="3"/>
  <c r="AJ38" i="3"/>
  <c r="AI38" i="3"/>
  <c r="BF38" i="3" s="1"/>
  <c r="AH38" i="3"/>
  <c r="AG38" i="3"/>
  <c r="BE38" i="3" s="1"/>
  <c r="AF38" i="3"/>
  <c r="AE38" i="3"/>
  <c r="AD38" i="3"/>
  <c r="AC38" i="3"/>
  <c r="AB38" i="3"/>
  <c r="AA38" i="3"/>
  <c r="Z38" i="3"/>
  <c r="Y38" i="3"/>
  <c r="X38" i="3"/>
  <c r="T38" i="3"/>
  <c r="FF37" i="3"/>
  <c r="FC37" i="3"/>
  <c r="FB37" i="3"/>
  <c r="FA37" i="3"/>
  <c r="EX37" i="3"/>
  <c r="EW37" i="3"/>
  <c r="ET37" i="3"/>
  <c r="EQ37" i="3"/>
  <c r="EP37" i="3"/>
  <c r="EL37" i="3"/>
  <c r="EK37" i="3"/>
  <c r="EH37" i="3"/>
  <c r="EG37" i="3"/>
  <c r="EE37" i="3"/>
  <c r="ED37" i="3"/>
  <c r="DV37" i="3"/>
  <c r="DS37" i="3"/>
  <c r="DR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X37" i="3"/>
  <c r="CW37" i="3"/>
  <c r="CT37" i="3"/>
  <c r="CR37" i="3"/>
  <c r="CP37" i="3"/>
  <c r="CN37" i="3"/>
  <c r="CL37" i="3"/>
  <c r="CK37" i="3"/>
  <c r="CI37" i="3"/>
  <c r="CH37" i="3"/>
  <c r="CD37" i="3"/>
  <c r="CC37" i="3"/>
  <c r="BZ37" i="3"/>
  <c r="BY37" i="3"/>
  <c r="BW37" i="3"/>
  <c r="BV37" i="3"/>
  <c r="BN37" i="3"/>
  <c r="BK37" i="3"/>
  <c r="BJ37" i="3"/>
  <c r="BF37" i="3"/>
  <c r="BB37" i="3"/>
  <c r="FH37" i="3" s="1"/>
  <c r="BA37" i="3"/>
  <c r="FG37" i="3" s="1"/>
  <c r="AZ37" i="3"/>
  <c r="EA37" i="3" s="1"/>
  <c r="AY37" i="3"/>
  <c r="DZ37" i="3" s="1"/>
  <c r="AX37" i="3"/>
  <c r="AW37" i="3"/>
  <c r="DX37" i="3" s="1"/>
  <c r="AV37" i="3"/>
  <c r="DW37" i="3" s="1"/>
  <c r="AU37" i="3"/>
  <c r="AT37" i="3"/>
  <c r="AS37" i="3"/>
  <c r="EI37" i="3" s="1"/>
  <c r="AR37" i="3"/>
  <c r="CO37" i="3" s="1"/>
  <c r="AQ37" i="3"/>
  <c r="AP37" i="3"/>
  <c r="EV37" i="3" s="1"/>
  <c r="AO37" i="3"/>
  <c r="EU37" i="3" s="1"/>
  <c r="AN37" i="3"/>
  <c r="DO37" i="3" s="1"/>
  <c r="AL37" i="3"/>
  <c r="AK37" i="3"/>
  <c r="AJ37" i="3"/>
  <c r="AI37" i="3"/>
  <c r="AH37" i="3"/>
  <c r="AG37" i="3"/>
  <c r="AF37" i="3"/>
  <c r="AE37" i="3"/>
  <c r="AD37" i="3"/>
  <c r="AC37" i="3"/>
  <c r="AB37" i="3"/>
  <c r="AA37" i="3"/>
  <c r="BD37" i="3" s="1"/>
  <c r="Z37" i="3"/>
  <c r="Y37" i="3"/>
  <c r="X37" i="3"/>
  <c r="BC37" i="3" s="1"/>
  <c r="T37" i="3"/>
  <c r="FF36" i="3"/>
  <c r="FE36" i="3"/>
  <c r="FD36" i="3"/>
  <c r="FA36" i="3"/>
  <c r="EZ36" i="3"/>
  <c r="EW36" i="3"/>
  <c r="ET36" i="3"/>
  <c r="EO36" i="3"/>
  <c r="EN36" i="3"/>
  <c r="EK36" i="3"/>
  <c r="EJ36" i="3"/>
  <c r="EH36" i="3"/>
  <c r="EG36" i="3"/>
  <c r="EC36" i="3"/>
  <c r="DY36" i="3"/>
  <c r="DV36" i="3"/>
  <c r="DU36" i="3"/>
  <c r="DQ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W36" i="3"/>
  <c r="CU36" i="3"/>
  <c r="CS36" i="3"/>
  <c r="CQ36" i="3"/>
  <c r="CO36" i="3"/>
  <c r="CN36" i="3"/>
  <c r="CK36" i="3"/>
  <c r="CG36" i="3"/>
  <c r="CF36" i="3"/>
  <c r="CC36" i="3"/>
  <c r="CB36" i="3"/>
  <c r="BZ36" i="3"/>
  <c r="BY36" i="3"/>
  <c r="BU36" i="3"/>
  <c r="BQ36" i="3"/>
  <c r="BN36" i="3"/>
  <c r="BM36" i="3"/>
  <c r="BI36" i="3"/>
  <c r="BE36" i="3"/>
  <c r="BB36" i="3"/>
  <c r="BA36" i="3"/>
  <c r="AZ36" i="3"/>
  <c r="EA36" i="3" s="1"/>
  <c r="AY36" i="3"/>
  <c r="DZ36" i="3" s="1"/>
  <c r="AX36" i="3"/>
  <c r="AW36" i="3"/>
  <c r="AV36" i="3"/>
  <c r="EL36" i="3" s="1"/>
  <c r="AU36" i="3"/>
  <c r="CR36" i="3" s="1"/>
  <c r="AT36" i="3"/>
  <c r="AS36" i="3"/>
  <c r="AR36" i="3"/>
  <c r="EX36" i="3" s="1"/>
  <c r="AQ36" i="3"/>
  <c r="DR36" i="3" s="1"/>
  <c r="AP36" i="3"/>
  <c r="AO36" i="3"/>
  <c r="AN36" i="3"/>
  <c r="DO36" i="3" s="1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AM36" i="3" s="1"/>
  <c r="X36" i="3"/>
  <c r="BC36" i="3" s="1"/>
  <c r="T36" i="3"/>
  <c r="FH35" i="3"/>
  <c r="FG35" i="3"/>
  <c r="FD35" i="3"/>
  <c r="FC35" i="3"/>
  <c r="EZ35" i="3"/>
  <c r="EW35" i="3"/>
  <c r="EV35" i="3"/>
  <c r="EU35" i="3"/>
  <c r="ER35" i="3"/>
  <c r="EQ35" i="3"/>
  <c r="EN35" i="3"/>
  <c r="EM35" i="3"/>
  <c r="EJ35" i="3"/>
  <c r="EF35" i="3"/>
  <c r="EE35" i="3"/>
  <c r="EB35" i="3"/>
  <c r="DY35" i="3"/>
  <c r="DX35" i="3"/>
  <c r="DP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X35" i="3"/>
  <c r="CV35" i="3"/>
  <c r="CT35" i="3"/>
  <c r="CQ35" i="3"/>
  <c r="CN35" i="3"/>
  <c r="CL35" i="3"/>
  <c r="CJ35" i="3"/>
  <c r="CI35" i="3"/>
  <c r="CF35" i="3"/>
  <c r="CE35" i="3"/>
  <c r="CB35" i="3"/>
  <c r="BX35" i="3"/>
  <c r="BW35" i="3"/>
  <c r="BT35" i="3"/>
  <c r="BS35" i="3"/>
  <c r="BQ35" i="3"/>
  <c r="BP35" i="3"/>
  <c r="BL35" i="3"/>
  <c r="BH35" i="3"/>
  <c r="BD35" i="3"/>
  <c r="BB35" i="3"/>
  <c r="EC35" i="3" s="1"/>
  <c r="BA35" i="3"/>
  <c r="AZ35" i="3"/>
  <c r="AY35" i="3"/>
  <c r="EO35" i="3" s="1"/>
  <c r="AX35" i="3"/>
  <c r="CU35" i="3" s="1"/>
  <c r="AW35" i="3"/>
  <c r="AV35" i="3"/>
  <c r="AU35" i="3"/>
  <c r="AT35" i="3"/>
  <c r="DU35" i="3" s="1"/>
  <c r="AS35" i="3"/>
  <c r="DT35" i="3" s="1"/>
  <c r="AR35" i="3"/>
  <c r="AQ35" i="3"/>
  <c r="DR35" i="3" s="1"/>
  <c r="AP35" i="3"/>
  <c r="DQ35" i="3" s="1"/>
  <c r="AO35" i="3"/>
  <c r="AN35" i="3"/>
  <c r="AL35" i="3"/>
  <c r="AK35" i="3"/>
  <c r="AJ35" i="3"/>
  <c r="AI35" i="3"/>
  <c r="AH35" i="3"/>
  <c r="AG35" i="3"/>
  <c r="BE35" i="3" s="1"/>
  <c r="AF35" i="3"/>
  <c r="AE35" i="3"/>
  <c r="AD35" i="3"/>
  <c r="AC35" i="3"/>
  <c r="AB35" i="3"/>
  <c r="AA35" i="3"/>
  <c r="Z35" i="3"/>
  <c r="Y35" i="3"/>
  <c r="X35" i="3"/>
  <c r="T35" i="3"/>
  <c r="FG34" i="3"/>
  <c r="FF34" i="3"/>
  <c r="FC34" i="3"/>
  <c r="EZ34" i="3"/>
  <c r="EY34" i="3"/>
  <c r="EX34" i="3"/>
  <c r="EU34" i="3"/>
  <c r="ET34" i="3"/>
  <c r="EQ34" i="3"/>
  <c r="EP34" i="3"/>
  <c r="EN34" i="3"/>
  <c r="EM34" i="3"/>
  <c r="EI34" i="3"/>
  <c r="EH34" i="3"/>
  <c r="EE34" i="3"/>
  <c r="ED34" i="3"/>
  <c r="EB34" i="3"/>
  <c r="EA34" i="3"/>
  <c r="DW34" i="3"/>
  <c r="DS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W34" i="3"/>
  <c r="CU34" i="3"/>
  <c r="CT34" i="3"/>
  <c r="CQ34" i="3"/>
  <c r="CO34" i="3"/>
  <c r="CM34" i="3"/>
  <c r="CK34" i="3"/>
  <c r="CI34" i="3"/>
  <c r="CH34" i="3"/>
  <c r="CE34" i="3"/>
  <c r="CA34" i="3"/>
  <c r="BZ34" i="3"/>
  <c r="BW34" i="3"/>
  <c r="BV34" i="3"/>
  <c r="BT34" i="3"/>
  <c r="BS34" i="3"/>
  <c r="BK34" i="3"/>
  <c r="BJ34" i="3"/>
  <c r="BH34" i="3"/>
  <c r="BG34" i="3"/>
  <c r="BB34" i="3"/>
  <c r="ER34" i="3" s="1"/>
  <c r="BA34" i="3"/>
  <c r="CX34" i="3" s="1"/>
  <c r="AZ34" i="3"/>
  <c r="AY34" i="3"/>
  <c r="AX34" i="3"/>
  <c r="AW34" i="3"/>
  <c r="DX34" i="3" s="1"/>
  <c r="AV34" i="3"/>
  <c r="AU34" i="3"/>
  <c r="AT34" i="3"/>
  <c r="DU34" i="3" s="1"/>
  <c r="AS34" i="3"/>
  <c r="DT34" i="3" s="1"/>
  <c r="AR34" i="3"/>
  <c r="AQ34" i="3"/>
  <c r="DR34" i="3" s="1"/>
  <c r="AP34" i="3"/>
  <c r="EF34" i="3" s="1"/>
  <c r="AO34" i="3"/>
  <c r="CL34" i="3" s="1"/>
  <c r="AN34" i="3"/>
  <c r="AL34" i="3"/>
  <c r="AK34" i="3"/>
  <c r="AJ34" i="3"/>
  <c r="AI34" i="3"/>
  <c r="BF34" i="3" s="1"/>
  <c r="AH34" i="3"/>
  <c r="AG34" i="3"/>
  <c r="BE34" i="3" s="1"/>
  <c r="AF34" i="3"/>
  <c r="AE34" i="3"/>
  <c r="AD34" i="3"/>
  <c r="AC34" i="3"/>
  <c r="AB34" i="3"/>
  <c r="AA34" i="3"/>
  <c r="BD34" i="3" s="1"/>
  <c r="Z34" i="3"/>
  <c r="Y34" i="3"/>
  <c r="X34" i="3"/>
  <c r="BC34" i="3" s="1"/>
  <c r="T34" i="3"/>
  <c r="FF33" i="3"/>
  <c r="FC33" i="3"/>
  <c r="FB33" i="3"/>
  <c r="FA33" i="3"/>
  <c r="EX33" i="3"/>
  <c r="EW33" i="3"/>
  <c r="ET33" i="3"/>
  <c r="EQ33" i="3"/>
  <c r="EP33" i="3"/>
  <c r="EL33" i="3"/>
  <c r="EK33" i="3"/>
  <c r="EH33" i="3"/>
  <c r="EG33" i="3"/>
  <c r="EE33" i="3"/>
  <c r="ED33" i="3"/>
  <c r="DZ33" i="3"/>
  <c r="DV33" i="3"/>
  <c r="DS33" i="3"/>
  <c r="DR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W33" i="3"/>
  <c r="CU33" i="3"/>
  <c r="CT33" i="3"/>
  <c r="CR33" i="3"/>
  <c r="CP33" i="3"/>
  <c r="CN33" i="3"/>
  <c r="CL33" i="3"/>
  <c r="CK33" i="3"/>
  <c r="CI33" i="3"/>
  <c r="CH33" i="3"/>
  <c r="CD33" i="3"/>
  <c r="CC33" i="3"/>
  <c r="BZ33" i="3"/>
  <c r="BY33" i="3"/>
  <c r="BV33" i="3"/>
  <c r="BN33" i="3"/>
  <c r="BK33" i="3"/>
  <c r="BJ33" i="3"/>
  <c r="BF33" i="3"/>
  <c r="BB33" i="3"/>
  <c r="BA33" i="3"/>
  <c r="AZ33" i="3"/>
  <c r="EA33" i="3" s="1"/>
  <c r="AY33" i="3"/>
  <c r="BR33" i="3" s="1"/>
  <c r="AX33" i="3"/>
  <c r="AW33" i="3"/>
  <c r="DX33" i="3" s="1"/>
  <c r="AV33" i="3"/>
  <c r="DW33" i="3" s="1"/>
  <c r="AU33" i="3"/>
  <c r="AT33" i="3"/>
  <c r="AS33" i="3"/>
  <c r="EI33" i="3" s="1"/>
  <c r="AR33" i="3"/>
  <c r="CO33" i="3" s="1"/>
  <c r="AQ33" i="3"/>
  <c r="AP33" i="3"/>
  <c r="AO33" i="3"/>
  <c r="BW33" i="3" s="1"/>
  <c r="AN33" i="3"/>
  <c r="DO33" i="3" s="1"/>
  <c r="AL33" i="3"/>
  <c r="AK33" i="3"/>
  <c r="AJ33" i="3"/>
  <c r="AI33" i="3"/>
  <c r="AH33" i="3"/>
  <c r="AG33" i="3"/>
  <c r="AF33" i="3"/>
  <c r="AE33" i="3"/>
  <c r="AD33" i="3"/>
  <c r="AC33" i="3"/>
  <c r="AB33" i="3"/>
  <c r="AA33" i="3"/>
  <c r="BD33" i="3" s="1"/>
  <c r="Z33" i="3"/>
  <c r="Y33" i="3"/>
  <c r="X33" i="3"/>
  <c r="BC33" i="3" s="1"/>
  <c r="T33" i="3"/>
  <c r="FH32" i="3"/>
  <c r="FF32" i="3"/>
  <c r="FE32" i="3"/>
  <c r="FD32" i="3"/>
  <c r="FA32" i="3"/>
  <c r="EZ32" i="3"/>
  <c r="EW32" i="3"/>
  <c r="EV32" i="3"/>
  <c r="ET32" i="3"/>
  <c r="EO32" i="3"/>
  <c r="EN32" i="3"/>
  <c r="EK32" i="3"/>
  <c r="EJ32" i="3"/>
  <c r="EG32" i="3"/>
  <c r="EC32" i="3"/>
  <c r="DY32" i="3"/>
  <c r="DV32" i="3"/>
  <c r="DU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X32" i="3"/>
  <c r="CW32" i="3"/>
  <c r="CU32" i="3"/>
  <c r="CS32" i="3"/>
  <c r="CQ32" i="3"/>
  <c r="CN32" i="3"/>
  <c r="CK32" i="3"/>
  <c r="CG32" i="3"/>
  <c r="CF32" i="3"/>
  <c r="CC32" i="3"/>
  <c r="CB32" i="3"/>
  <c r="BY32" i="3"/>
  <c r="BU32" i="3"/>
  <c r="BS32" i="3"/>
  <c r="BQ32" i="3"/>
  <c r="BN32" i="3"/>
  <c r="BM32" i="3"/>
  <c r="BI32" i="3"/>
  <c r="BG32" i="3"/>
  <c r="BB32" i="3"/>
  <c r="BA32" i="3"/>
  <c r="AZ32" i="3"/>
  <c r="EA32" i="3" s="1"/>
  <c r="AY32" i="3"/>
  <c r="DZ32" i="3" s="1"/>
  <c r="AX32" i="3"/>
  <c r="AW32" i="3"/>
  <c r="BP32" i="3" s="1"/>
  <c r="AV32" i="3"/>
  <c r="EL32" i="3" s="1"/>
  <c r="AU32" i="3"/>
  <c r="CR32" i="3" s="1"/>
  <c r="AT32" i="3"/>
  <c r="AS32" i="3"/>
  <c r="AR32" i="3"/>
  <c r="EH32" i="3" s="1"/>
  <c r="AQ32" i="3"/>
  <c r="DR32" i="3" s="1"/>
  <c r="AP32" i="3"/>
  <c r="DQ32" i="3" s="1"/>
  <c r="AO32" i="3"/>
  <c r="CL32" i="3" s="1"/>
  <c r="AN32" i="3"/>
  <c r="DO32" i="3" s="1"/>
  <c r="AL32" i="3"/>
  <c r="AK32" i="3"/>
  <c r="AJ32" i="3"/>
  <c r="AI32" i="3"/>
  <c r="BF32" i="3" s="1"/>
  <c r="AH32" i="3"/>
  <c r="AG32" i="3"/>
  <c r="AF32" i="3"/>
  <c r="BE32" i="3" s="1"/>
  <c r="AE32" i="3"/>
  <c r="AD32" i="3"/>
  <c r="BD32" i="3" s="1"/>
  <c r="AC32" i="3"/>
  <c r="AB32" i="3"/>
  <c r="AA32" i="3"/>
  <c r="Z32" i="3"/>
  <c r="Y32" i="3"/>
  <c r="X32" i="3"/>
  <c r="BC32" i="3" s="1"/>
  <c r="T32" i="3"/>
  <c r="FH31" i="3"/>
  <c r="FG31" i="3"/>
  <c r="FD31" i="3"/>
  <c r="FC31" i="3"/>
  <c r="EZ31" i="3"/>
  <c r="EW31" i="3"/>
  <c r="EV31" i="3"/>
  <c r="EU31" i="3"/>
  <c r="ER31" i="3"/>
  <c r="EQ31" i="3"/>
  <c r="EN31" i="3"/>
  <c r="EM31" i="3"/>
  <c r="EJ31" i="3"/>
  <c r="EF31" i="3"/>
  <c r="EE31" i="3"/>
  <c r="EB31" i="3"/>
  <c r="EA31" i="3"/>
  <c r="DY31" i="3"/>
  <c r="DX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X31" i="3"/>
  <c r="CV31" i="3"/>
  <c r="CT31" i="3"/>
  <c r="CQ31" i="3"/>
  <c r="CO31" i="3"/>
  <c r="CN31" i="3"/>
  <c r="CL31" i="3"/>
  <c r="CJ31" i="3"/>
  <c r="CI31" i="3"/>
  <c r="CF31" i="3"/>
  <c r="CE31" i="3"/>
  <c r="CB31" i="3"/>
  <c r="BX31" i="3"/>
  <c r="BW31" i="3"/>
  <c r="BT31" i="3"/>
  <c r="BS31" i="3"/>
  <c r="BQ31" i="3"/>
  <c r="BP31" i="3"/>
  <c r="BJ31" i="3"/>
  <c r="BH31" i="3"/>
  <c r="BG31" i="3"/>
  <c r="BB31" i="3"/>
  <c r="EC31" i="3" s="1"/>
  <c r="BA31" i="3"/>
  <c r="AZ31" i="3"/>
  <c r="AY31" i="3"/>
  <c r="EO31" i="3" s="1"/>
  <c r="AX31" i="3"/>
  <c r="CU31" i="3" s="1"/>
  <c r="AW31" i="3"/>
  <c r="AV31" i="3"/>
  <c r="AU31" i="3"/>
  <c r="AT31" i="3"/>
  <c r="DU31" i="3" s="1"/>
  <c r="AS31" i="3"/>
  <c r="AR31" i="3"/>
  <c r="AQ31" i="3"/>
  <c r="DR31" i="3" s="1"/>
  <c r="AP31" i="3"/>
  <c r="DQ31" i="3" s="1"/>
  <c r="AO31" i="3"/>
  <c r="AN31" i="3"/>
  <c r="AL31" i="3"/>
  <c r="AK31" i="3"/>
  <c r="AJ31" i="3"/>
  <c r="AI31" i="3"/>
  <c r="BF31" i="3" s="1"/>
  <c r="AH31" i="3"/>
  <c r="AG31" i="3"/>
  <c r="AF31" i="3"/>
  <c r="BE31" i="3" s="1"/>
  <c r="AE31" i="3"/>
  <c r="AD31" i="3"/>
  <c r="AC31" i="3"/>
  <c r="AB31" i="3"/>
  <c r="BD31" i="3" s="1"/>
  <c r="AA31" i="3"/>
  <c r="Z31" i="3"/>
  <c r="Y31" i="3"/>
  <c r="X31" i="3"/>
  <c r="T31" i="3"/>
  <c r="FG30" i="3"/>
  <c r="FF30" i="3"/>
  <c r="FC30" i="3"/>
  <c r="EZ30" i="3"/>
  <c r="EY30" i="3"/>
  <c r="EX30" i="3"/>
  <c r="EU30" i="3"/>
  <c r="ET30" i="3"/>
  <c r="EQ30" i="3"/>
  <c r="EP30" i="3"/>
  <c r="EM30" i="3"/>
  <c r="EI30" i="3"/>
  <c r="EH30" i="3"/>
  <c r="EE30" i="3"/>
  <c r="ED30" i="3"/>
  <c r="EB30" i="3"/>
  <c r="EA30" i="3"/>
  <c r="DS30" i="3"/>
  <c r="DR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U30" i="3"/>
  <c r="CT30" i="3"/>
  <c r="CQ30" i="3"/>
  <c r="CO30" i="3"/>
  <c r="CM30" i="3"/>
  <c r="CK30" i="3"/>
  <c r="CI30" i="3"/>
  <c r="CH30" i="3"/>
  <c r="CE30" i="3"/>
  <c r="CA30" i="3"/>
  <c r="BZ30" i="3"/>
  <c r="BW30" i="3"/>
  <c r="BV30" i="3"/>
  <c r="BT30" i="3"/>
  <c r="BS30" i="3"/>
  <c r="BK30" i="3"/>
  <c r="BH30" i="3"/>
  <c r="BG30" i="3"/>
  <c r="BB30" i="3"/>
  <c r="ER30" i="3" s="1"/>
  <c r="BA30" i="3"/>
  <c r="AZ30" i="3"/>
  <c r="AY30" i="3"/>
  <c r="AX30" i="3"/>
  <c r="AW30" i="3"/>
  <c r="DX30" i="3" s="1"/>
  <c r="AV30" i="3"/>
  <c r="FB30" i="3" s="1"/>
  <c r="AU30" i="3"/>
  <c r="AT30" i="3"/>
  <c r="DU30" i="3" s="1"/>
  <c r="AS30" i="3"/>
  <c r="DT30" i="3" s="1"/>
  <c r="AR30" i="3"/>
  <c r="AQ30" i="3"/>
  <c r="AP30" i="3"/>
  <c r="EF30" i="3" s="1"/>
  <c r="AO30" i="3"/>
  <c r="CL30" i="3" s="1"/>
  <c r="AN30" i="3"/>
  <c r="AL30" i="3"/>
  <c r="AK30" i="3"/>
  <c r="AJ30" i="3"/>
  <c r="AI30" i="3"/>
  <c r="BF30" i="3" s="1"/>
  <c r="AH30" i="3"/>
  <c r="AG30" i="3"/>
  <c r="BE30" i="3" s="1"/>
  <c r="AF30" i="3"/>
  <c r="AE30" i="3"/>
  <c r="AD30" i="3"/>
  <c r="AC30" i="3"/>
  <c r="AB30" i="3"/>
  <c r="AA30" i="3"/>
  <c r="Z30" i="3"/>
  <c r="BC30" i="3" s="1"/>
  <c r="Y30" i="3"/>
  <c r="X30" i="3"/>
  <c r="T30" i="3"/>
  <c r="FF29" i="3"/>
  <c r="FE29" i="3"/>
  <c r="FC29" i="3"/>
  <c r="FB29" i="3"/>
  <c r="FA29" i="3"/>
  <c r="EX29" i="3"/>
  <c r="EW29" i="3"/>
  <c r="ET29" i="3"/>
  <c r="EP29" i="3"/>
  <c r="EL29" i="3"/>
  <c r="EK29" i="3"/>
  <c r="EH29" i="3"/>
  <c r="EG29" i="3"/>
  <c r="ED29" i="3"/>
  <c r="DV29" i="3"/>
  <c r="DU29" i="3"/>
  <c r="DS29" i="3"/>
  <c r="DR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W29" i="3"/>
  <c r="CU29" i="3"/>
  <c r="CT29" i="3"/>
  <c r="CR29" i="3"/>
  <c r="CP29" i="3"/>
  <c r="CO29" i="3"/>
  <c r="CN29" i="3"/>
  <c r="CL29" i="3"/>
  <c r="CK29" i="3"/>
  <c r="CH29" i="3"/>
  <c r="CD29" i="3"/>
  <c r="CC29" i="3"/>
  <c r="BZ29" i="3"/>
  <c r="BY29" i="3"/>
  <c r="BV29" i="3"/>
  <c r="BR29" i="3"/>
  <c r="BP29" i="3"/>
  <c r="BN29" i="3"/>
  <c r="BK29" i="3"/>
  <c r="BJ29" i="3"/>
  <c r="BB29" i="3"/>
  <c r="BA29" i="3"/>
  <c r="AZ29" i="3"/>
  <c r="EA29" i="3" s="1"/>
  <c r="AY29" i="3"/>
  <c r="AX29" i="3"/>
  <c r="AW29" i="3"/>
  <c r="DX29" i="3" s="1"/>
  <c r="AV29" i="3"/>
  <c r="DW29" i="3" s="1"/>
  <c r="AU29" i="3"/>
  <c r="AT29" i="3"/>
  <c r="AS29" i="3"/>
  <c r="EI29" i="3" s="1"/>
  <c r="AR29" i="3"/>
  <c r="AQ29" i="3"/>
  <c r="AP29" i="3"/>
  <c r="AO29" i="3"/>
  <c r="EE29" i="3" s="1"/>
  <c r="AN29" i="3"/>
  <c r="DO29" i="3" s="1"/>
  <c r="AL29" i="3"/>
  <c r="BF29" i="3" s="1"/>
  <c r="AK29" i="3"/>
  <c r="AJ29" i="3"/>
  <c r="AI29" i="3"/>
  <c r="AH29" i="3"/>
  <c r="AG29" i="3"/>
  <c r="BE29" i="3" s="1"/>
  <c r="AF29" i="3"/>
  <c r="AE29" i="3"/>
  <c r="AD29" i="3"/>
  <c r="AC29" i="3"/>
  <c r="AB29" i="3"/>
  <c r="AA29" i="3"/>
  <c r="Z29" i="3"/>
  <c r="AM29" i="3" s="1"/>
  <c r="Y29" i="3"/>
  <c r="X29" i="3"/>
  <c r="T29" i="3"/>
  <c r="FH28" i="3"/>
  <c r="FF28" i="3"/>
  <c r="FD28" i="3"/>
  <c r="FA28" i="3"/>
  <c r="EZ28" i="3"/>
  <c r="EW28" i="3"/>
  <c r="EV28" i="3"/>
  <c r="ET28" i="3"/>
  <c r="EN28" i="3"/>
  <c r="EK28" i="3"/>
  <c r="EJ28" i="3"/>
  <c r="EG28" i="3"/>
  <c r="EC28" i="3"/>
  <c r="EA28" i="3"/>
  <c r="DY28" i="3"/>
  <c r="DX28" i="3"/>
  <c r="DV28" i="3"/>
  <c r="DU28" i="3"/>
  <c r="DQ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X28" i="3"/>
  <c r="CW28" i="3"/>
  <c r="CU28" i="3"/>
  <c r="CS28" i="3"/>
  <c r="CQ28" i="3"/>
  <c r="CN28" i="3"/>
  <c r="CK28" i="3"/>
  <c r="CF28" i="3"/>
  <c r="CC28" i="3"/>
  <c r="CB28" i="3"/>
  <c r="BY28" i="3"/>
  <c r="BU28" i="3"/>
  <c r="BS28" i="3"/>
  <c r="BQ28" i="3"/>
  <c r="BP28" i="3"/>
  <c r="BN28" i="3"/>
  <c r="BM28" i="3"/>
  <c r="BI28" i="3"/>
  <c r="BG28" i="3"/>
  <c r="BE28" i="3"/>
  <c r="BB28" i="3"/>
  <c r="BA28" i="3"/>
  <c r="AZ28" i="3"/>
  <c r="EP28" i="3" s="1"/>
  <c r="AY28" i="3"/>
  <c r="EO28" i="3" s="1"/>
  <c r="AX28" i="3"/>
  <c r="AW28" i="3"/>
  <c r="AV28" i="3"/>
  <c r="EL28" i="3" s="1"/>
  <c r="AU28" i="3"/>
  <c r="CR28" i="3" s="1"/>
  <c r="AT28" i="3"/>
  <c r="AS28" i="3"/>
  <c r="AR28" i="3"/>
  <c r="AQ28" i="3"/>
  <c r="DR28" i="3" s="1"/>
  <c r="AP28" i="3"/>
  <c r="AO28" i="3"/>
  <c r="AN28" i="3"/>
  <c r="ED28" i="3" s="1"/>
  <c r="AL28" i="3"/>
  <c r="AK28" i="3"/>
  <c r="AJ28" i="3"/>
  <c r="AI28" i="3"/>
  <c r="AH28" i="3"/>
  <c r="AG28" i="3"/>
  <c r="AF28" i="3"/>
  <c r="AE28" i="3"/>
  <c r="AD28" i="3"/>
  <c r="AC28" i="3"/>
  <c r="AB28" i="3"/>
  <c r="AA28" i="3"/>
  <c r="AM28" i="3" s="1"/>
  <c r="Z28" i="3"/>
  <c r="Y28" i="3"/>
  <c r="X28" i="3"/>
  <c r="BC28" i="3" s="1"/>
  <c r="T28" i="3"/>
  <c r="FH27" i="3"/>
  <c r="FG27" i="3"/>
  <c r="FF27" i="3"/>
  <c r="FD27" i="3"/>
  <c r="FC27" i="3"/>
  <c r="FB27" i="3"/>
  <c r="EZ27" i="3"/>
  <c r="EW27" i="3"/>
  <c r="EV27" i="3"/>
  <c r="EU27" i="3"/>
  <c r="ET27" i="3"/>
  <c r="ER27" i="3"/>
  <c r="EQ27" i="3"/>
  <c r="EP27" i="3"/>
  <c r="EN27" i="3"/>
  <c r="EM27" i="3"/>
  <c r="EK27" i="3"/>
  <c r="EJ27" i="3"/>
  <c r="EH27" i="3"/>
  <c r="EE27" i="3"/>
  <c r="EB27" i="3"/>
  <c r="EA27" i="3"/>
  <c r="DX27" i="3"/>
  <c r="DV27" i="3"/>
  <c r="DS27" i="3"/>
  <c r="DR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X27" i="3"/>
  <c r="CU27" i="3"/>
  <c r="CT27" i="3"/>
  <c r="CQ27" i="3"/>
  <c r="CN27" i="3"/>
  <c r="CL27" i="3"/>
  <c r="CJ27" i="3"/>
  <c r="CI27" i="3"/>
  <c r="CH27" i="3"/>
  <c r="CE27" i="3"/>
  <c r="CB27" i="3"/>
  <c r="BZ27" i="3"/>
  <c r="BX27" i="3"/>
  <c r="BW27" i="3"/>
  <c r="BV27" i="3"/>
  <c r="BT27" i="3"/>
  <c r="BS27" i="3"/>
  <c r="BP27" i="3"/>
  <c r="BK27" i="3"/>
  <c r="BJ27" i="3"/>
  <c r="BH27" i="3"/>
  <c r="BG27" i="3"/>
  <c r="BB27" i="3"/>
  <c r="BA27" i="3"/>
  <c r="AZ27" i="3"/>
  <c r="CW27" i="3" s="1"/>
  <c r="AY27" i="3"/>
  <c r="AX27" i="3"/>
  <c r="BQ27" i="3" s="1"/>
  <c r="AW27" i="3"/>
  <c r="AV27" i="3"/>
  <c r="AU27" i="3"/>
  <c r="AT27" i="3"/>
  <c r="DU27" i="3" s="1"/>
  <c r="AS27" i="3"/>
  <c r="AR27" i="3"/>
  <c r="EX27" i="3" s="1"/>
  <c r="AQ27" i="3"/>
  <c r="EG27" i="3" s="1"/>
  <c r="AP27" i="3"/>
  <c r="AO27" i="3"/>
  <c r="AN27" i="3"/>
  <c r="CK27" i="3" s="1"/>
  <c r="AL27" i="3"/>
  <c r="AK27" i="3"/>
  <c r="AJ27" i="3"/>
  <c r="AI27" i="3"/>
  <c r="BF27" i="3" s="1"/>
  <c r="AH27" i="3"/>
  <c r="AG27" i="3"/>
  <c r="AF27" i="3"/>
  <c r="BE27" i="3" s="1"/>
  <c r="AE27" i="3"/>
  <c r="AD27" i="3"/>
  <c r="AC27" i="3"/>
  <c r="AB27" i="3"/>
  <c r="AA27" i="3"/>
  <c r="BD27" i="3" s="1"/>
  <c r="Z27" i="3"/>
  <c r="Y27" i="3"/>
  <c r="X27" i="3"/>
  <c r="BC27" i="3" s="1"/>
  <c r="T27" i="3"/>
  <c r="FG26" i="3"/>
  <c r="FF26" i="3"/>
  <c r="FE26" i="3"/>
  <c r="FC26" i="3"/>
  <c r="FB26" i="3"/>
  <c r="EX26" i="3"/>
  <c r="EW26" i="3"/>
  <c r="EU26" i="3"/>
  <c r="ET26" i="3"/>
  <c r="EQ26" i="3"/>
  <c r="EP26" i="3"/>
  <c r="EM26" i="3"/>
  <c r="EK26" i="3"/>
  <c r="EH26" i="3"/>
  <c r="EG26" i="3"/>
  <c r="EE26" i="3"/>
  <c r="ED26" i="3"/>
  <c r="EB26" i="3"/>
  <c r="EA26" i="3"/>
  <c r="DW26" i="3"/>
  <c r="DS26" i="3"/>
  <c r="DR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X26" i="3"/>
  <c r="CW26" i="3"/>
  <c r="CT26" i="3"/>
  <c r="CR26" i="3"/>
  <c r="CO26" i="3"/>
  <c r="CM26" i="3"/>
  <c r="CL26" i="3"/>
  <c r="CK26" i="3"/>
  <c r="CH26" i="3"/>
  <c r="CE26" i="3"/>
  <c r="CD26" i="3"/>
  <c r="CC26" i="3"/>
  <c r="BZ26" i="3"/>
  <c r="BY26" i="3"/>
  <c r="BW26" i="3"/>
  <c r="BV26" i="3"/>
  <c r="BT26" i="3"/>
  <c r="BS26" i="3"/>
  <c r="BR26" i="3"/>
  <c r="BO26" i="3"/>
  <c r="BK26" i="3"/>
  <c r="BH26" i="3"/>
  <c r="BG26" i="3"/>
  <c r="BB26" i="3"/>
  <c r="BA26" i="3"/>
  <c r="CI26" i="3" s="1"/>
  <c r="AZ26" i="3"/>
  <c r="AY26" i="3"/>
  <c r="AX26" i="3"/>
  <c r="AW26" i="3"/>
  <c r="DX26" i="3" s="1"/>
  <c r="AV26" i="3"/>
  <c r="AU26" i="3"/>
  <c r="FA26" i="3" s="1"/>
  <c r="AT26" i="3"/>
  <c r="AS26" i="3"/>
  <c r="EI26" i="3" s="1"/>
  <c r="AR26" i="3"/>
  <c r="AQ26" i="3"/>
  <c r="CN26" i="3" s="1"/>
  <c r="AP26" i="3"/>
  <c r="AO26" i="3"/>
  <c r="DP26" i="3" s="1"/>
  <c r="AN26" i="3"/>
  <c r="AL26" i="3"/>
  <c r="AK26" i="3"/>
  <c r="AJ26" i="3"/>
  <c r="AI26" i="3"/>
  <c r="AH26" i="3"/>
  <c r="BE26" i="3" s="1"/>
  <c r="AG26" i="3"/>
  <c r="AF26" i="3"/>
  <c r="AE26" i="3"/>
  <c r="AD26" i="3"/>
  <c r="AC26" i="3"/>
  <c r="AB26" i="3"/>
  <c r="AA26" i="3"/>
  <c r="Z26" i="3"/>
  <c r="Y26" i="3"/>
  <c r="X26" i="3"/>
  <c r="T26" i="3"/>
  <c r="FH25" i="3"/>
  <c r="FF25" i="3"/>
  <c r="FC25" i="3"/>
  <c r="FB25" i="3"/>
  <c r="FA25" i="3"/>
  <c r="EX25" i="3"/>
  <c r="EW25" i="3"/>
  <c r="EV25" i="3"/>
  <c r="ET25" i="3"/>
  <c r="EP25" i="3"/>
  <c r="EL25" i="3"/>
  <c r="EK25" i="3"/>
  <c r="EH25" i="3"/>
  <c r="EG25" i="3"/>
  <c r="ED25" i="3"/>
  <c r="DY25" i="3"/>
  <c r="DX25" i="3"/>
  <c r="DV25" i="3"/>
  <c r="DR25" i="3"/>
  <c r="DQ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W25" i="3"/>
  <c r="CT25" i="3"/>
  <c r="CR25" i="3"/>
  <c r="CO25" i="3"/>
  <c r="CN25" i="3"/>
  <c r="CL25" i="3"/>
  <c r="CK25" i="3"/>
  <c r="CH25" i="3"/>
  <c r="CD25" i="3"/>
  <c r="CC25" i="3"/>
  <c r="BZ25" i="3"/>
  <c r="BY25" i="3"/>
  <c r="BV25" i="3"/>
  <c r="BU25" i="3"/>
  <c r="BQ25" i="3"/>
  <c r="BP25" i="3"/>
  <c r="BN25" i="3"/>
  <c r="BJ25" i="3"/>
  <c r="BI25" i="3"/>
  <c r="BF25" i="3"/>
  <c r="BB25" i="3"/>
  <c r="BA25" i="3"/>
  <c r="FG25" i="3" s="1"/>
  <c r="AZ25" i="3"/>
  <c r="EA25" i="3" s="1"/>
  <c r="AY25" i="3"/>
  <c r="AX25" i="3"/>
  <c r="FD25" i="3" s="1"/>
  <c r="AW25" i="3"/>
  <c r="AV25" i="3"/>
  <c r="AU25" i="3"/>
  <c r="AT25" i="3"/>
  <c r="CQ25" i="3" s="1"/>
  <c r="AS25" i="3"/>
  <c r="AR25" i="3"/>
  <c r="DS25" i="3" s="1"/>
  <c r="AQ25" i="3"/>
  <c r="AP25" i="3"/>
  <c r="AO25" i="3"/>
  <c r="EU25" i="3" s="1"/>
  <c r="AN25" i="3"/>
  <c r="DO25" i="3" s="1"/>
  <c r="AL25" i="3"/>
  <c r="AK25" i="3"/>
  <c r="AJ25" i="3"/>
  <c r="AI25" i="3"/>
  <c r="AH25" i="3"/>
  <c r="AG25" i="3"/>
  <c r="AF25" i="3"/>
  <c r="BE25" i="3" s="1"/>
  <c r="AE25" i="3"/>
  <c r="AD25" i="3"/>
  <c r="AC25" i="3"/>
  <c r="AB25" i="3"/>
  <c r="AA25" i="3"/>
  <c r="BD25" i="3" s="1"/>
  <c r="Z25" i="3"/>
  <c r="Y25" i="3"/>
  <c r="X25" i="3"/>
  <c r="BC25" i="3" s="1"/>
  <c r="T25" i="3"/>
  <c r="FE24" i="3"/>
  <c r="FD24" i="3"/>
  <c r="FC24" i="3"/>
  <c r="EZ24" i="3"/>
  <c r="EY24" i="3"/>
  <c r="EW24" i="3"/>
  <c r="EO24" i="3"/>
  <c r="EN24" i="3"/>
  <c r="EM24" i="3"/>
  <c r="EJ24" i="3"/>
  <c r="EH24" i="3"/>
  <c r="EG24" i="3"/>
  <c r="EE24" i="3"/>
  <c r="EB24" i="3"/>
  <c r="DY24" i="3"/>
  <c r="DV24" i="3"/>
  <c r="DU24" i="3"/>
  <c r="DS24" i="3"/>
  <c r="DQ24" i="3"/>
  <c r="DP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X24" i="3"/>
  <c r="CV24" i="3"/>
  <c r="CU24" i="3"/>
  <c r="CR24" i="3"/>
  <c r="CQ24" i="3"/>
  <c r="CN24" i="3"/>
  <c r="CL24" i="3"/>
  <c r="CI24" i="3"/>
  <c r="CF24" i="3"/>
  <c r="CB24" i="3"/>
  <c r="BZ24" i="3"/>
  <c r="BY24" i="3"/>
  <c r="BX24" i="3"/>
  <c r="BW24" i="3"/>
  <c r="BT24" i="3"/>
  <c r="BQ24" i="3"/>
  <c r="BP24" i="3"/>
  <c r="BM24" i="3"/>
  <c r="BL24" i="3"/>
  <c r="BK24" i="3"/>
  <c r="BH24" i="3"/>
  <c r="BB24" i="3"/>
  <c r="CY24" i="3" s="1"/>
  <c r="BA24" i="3"/>
  <c r="FG24" i="3" s="1"/>
  <c r="AZ24" i="3"/>
  <c r="AY24" i="3"/>
  <c r="AX24" i="3"/>
  <c r="AW24" i="3"/>
  <c r="CT24" i="3" s="1"/>
  <c r="AV24" i="3"/>
  <c r="AU24" i="3"/>
  <c r="FA24" i="3" s="1"/>
  <c r="AT24" i="3"/>
  <c r="AS24" i="3"/>
  <c r="DT24" i="3" s="1"/>
  <c r="AR24" i="3"/>
  <c r="EX24" i="3" s="1"/>
  <c r="AQ24" i="3"/>
  <c r="DR24" i="3" s="1"/>
  <c r="AP24" i="3"/>
  <c r="CM24" i="3" s="1"/>
  <c r="AO24" i="3"/>
  <c r="EU24" i="3" s="1"/>
  <c r="AN24" i="3"/>
  <c r="AL24" i="3"/>
  <c r="AK24" i="3"/>
  <c r="AJ24" i="3"/>
  <c r="AI24" i="3"/>
  <c r="AH24" i="3"/>
  <c r="AG24" i="3"/>
  <c r="AF24" i="3"/>
  <c r="BE24" i="3" s="1"/>
  <c r="AE24" i="3"/>
  <c r="AD24" i="3"/>
  <c r="AC24" i="3"/>
  <c r="AB24" i="3"/>
  <c r="AA24" i="3"/>
  <c r="BD24" i="3" s="1"/>
  <c r="Z24" i="3"/>
  <c r="Y24" i="3"/>
  <c r="X24" i="3"/>
  <c r="T24" i="3"/>
  <c r="FG23" i="3"/>
  <c r="FD23" i="3"/>
  <c r="FC23" i="3"/>
  <c r="EZ23" i="3"/>
  <c r="EY23" i="3"/>
  <c r="EV23" i="3"/>
  <c r="EU23" i="3"/>
  <c r="EQ23" i="3"/>
  <c r="EN23" i="3"/>
  <c r="EM23" i="3"/>
  <c r="EJ23" i="3"/>
  <c r="EI23" i="3"/>
  <c r="EH23" i="3"/>
  <c r="EF23" i="3"/>
  <c r="EE23" i="3"/>
  <c r="EB23" i="3"/>
  <c r="DX23" i="3"/>
  <c r="DW23" i="3"/>
  <c r="DT23" i="3"/>
  <c r="DS23" i="3"/>
  <c r="DP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X23" i="3"/>
  <c r="CT23" i="3"/>
  <c r="CR23" i="3"/>
  <c r="CQ23" i="3"/>
  <c r="CO23" i="3"/>
  <c r="CM23" i="3"/>
  <c r="CL23" i="3"/>
  <c r="CJ23" i="3"/>
  <c r="CI23" i="3"/>
  <c r="CH23" i="3"/>
  <c r="CE23" i="3"/>
  <c r="CC23" i="3"/>
  <c r="CB23" i="3"/>
  <c r="BZ23" i="3"/>
  <c r="BW23" i="3"/>
  <c r="BT23" i="3"/>
  <c r="BQ23" i="3"/>
  <c r="BP23" i="3"/>
  <c r="BN23" i="3"/>
  <c r="BM23" i="3"/>
  <c r="BK23" i="3"/>
  <c r="BH23" i="3"/>
  <c r="BC23" i="3"/>
  <c r="BB23" i="3"/>
  <c r="BA23" i="3"/>
  <c r="AZ23" i="3"/>
  <c r="CW23" i="3" s="1"/>
  <c r="AY23" i="3"/>
  <c r="AX23" i="3"/>
  <c r="DY23" i="3" s="1"/>
  <c r="AW23" i="3"/>
  <c r="AV23" i="3"/>
  <c r="FB23" i="3" s="1"/>
  <c r="AU23" i="3"/>
  <c r="FA23" i="3" s="1"/>
  <c r="AT23" i="3"/>
  <c r="DU23" i="3" s="1"/>
  <c r="AS23" i="3"/>
  <c r="CP23" i="3" s="1"/>
  <c r="AR23" i="3"/>
  <c r="EX23" i="3" s="1"/>
  <c r="AQ23" i="3"/>
  <c r="AP23" i="3"/>
  <c r="AO23" i="3"/>
  <c r="AN23" i="3"/>
  <c r="CK23" i="3" s="1"/>
  <c r="AL23" i="3"/>
  <c r="AK23" i="3"/>
  <c r="AJ23" i="3"/>
  <c r="AI23" i="3"/>
  <c r="BF23" i="3" s="1"/>
  <c r="AH23" i="3"/>
  <c r="AG23" i="3"/>
  <c r="BE23" i="3" s="1"/>
  <c r="AF23" i="3"/>
  <c r="AE23" i="3"/>
  <c r="AD23" i="3"/>
  <c r="AC23" i="3"/>
  <c r="AB23" i="3"/>
  <c r="AA23" i="3"/>
  <c r="Z23" i="3"/>
  <c r="Y23" i="3"/>
  <c r="X23" i="3"/>
  <c r="T23" i="3"/>
  <c r="FF22" i="3"/>
  <c r="FC22" i="3"/>
  <c r="FB22" i="3"/>
  <c r="EZ22" i="3"/>
  <c r="EX22" i="3"/>
  <c r="EW22" i="3"/>
  <c r="ET22" i="3"/>
  <c r="EP22" i="3"/>
  <c r="EN22" i="3"/>
  <c r="EM22" i="3"/>
  <c r="EL22" i="3"/>
  <c r="EK22" i="3"/>
  <c r="EH22" i="3"/>
  <c r="EG22" i="3"/>
  <c r="ED22" i="3"/>
  <c r="EB22" i="3"/>
  <c r="EA22" i="3"/>
  <c r="DY22" i="3"/>
  <c r="DW22" i="3"/>
  <c r="DU22" i="3"/>
  <c r="DS22" i="3"/>
  <c r="DR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W22" i="3"/>
  <c r="CU22" i="3"/>
  <c r="CT22" i="3"/>
  <c r="CQ22" i="3"/>
  <c r="CO22" i="3"/>
  <c r="CL22" i="3"/>
  <c r="CK22" i="3"/>
  <c r="CH22" i="3"/>
  <c r="CF22" i="3"/>
  <c r="CE22" i="3"/>
  <c r="CD22" i="3"/>
  <c r="BZ22" i="3"/>
  <c r="BY22" i="3"/>
  <c r="BV22" i="3"/>
  <c r="BS22" i="3"/>
  <c r="BQ22" i="3"/>
  <c r="BO22" i="3"/>
  <c r="BN22" i="3"/>
  <c r="BM22" i="3"/>
  <c r="BK22" i="3"/>
  <c r="BJ22" i="3"/>
  <c r="BG22" i="3"/>
  <c r="BF22" i="3"/>
  <c r="BB22" i="3"/>
  <c r="BA22" i="3"/>
  <c r="AZ22" i="3"/>
  <c r="AY22" i="3"/>
  <c r="AX22" i="3"/>
  <c r="FD22" i="3" s="1"/>
  <c r="AW22" i="3"/>
  <c r="DX22" i="3" s="1"/>
  <c r="AV22" i="3"/>
  <c r="CS22" i="3" s="1"/>
  <c r="AU22" i="3"/>
  <c r="FA22" i="3" s="1"/>
  <c r="AT22" i="3"/>
  <c r="AS22" i="3"/>
  <c r="AR22" i="3"/>
  <c r="AQ22" i="3"/>
  <c r="CN22" i="3" s="1"/>
  <c r="AP22" i="3"/>
  <c r="AO22" i="3"/>
  <c r="AN22" i="3"/>
  <c r="AL22" i="3"/>
  <c r="AK22" i="3"/>
  <c r="AJ22" i="3"/>
  <c r="AI22" i="3"/>
  <c r="AH22" i="3"/>
  <c r="AG22" i="3"/>
  <c r="BE22" i="3" s="1"/>
  <c r="AF22" i="3"/>
  <c r="AE22" i="3"/>
  <c r="AD22" i="3"/>
  <c r="AC22" i="3"/>
  <c r="AB22" i="3"/>
  <c r="AA22" i="3"/>
  <c r="BD22" i="3" s="1"/>
  <c r="Z22" i="3"/>
  <c r="Y22" i="3"/>
  <c r="X22" i="3"/>
  <c r="BC22" i="3" s="1"/>
  <c r="T22" i="3"/>
  <c r="FF21" i="3"/>
  <c r="FE21" i="3"/>
  <c r="FC21" i="3"/>
  <c r="FA21" i="3"/>
  <c r="EX21" i="3"/>
  <c r="EW21" i="3"/>
  <c r="ET21" i="3"/>
  <c r="EQ21" i="3"/>
  <c r="EP21" i="3"/>
  <c r="EO21" i="3"/>
  <c r="EN21" i="3"/>
  <c r="EK21" i="3"/>
  <c r="EH21" i="3"/>
  <c r="EG21" i="3"/>
  <c r="EE21" i="3"/>
  <c r="ED21" i="3"/>
  <c r="EB21" i="3"/>
  <c r="DZ21" i="3"/>
  <c r="DX21" i="3"/>
  <c r="DV21" i="3"/>
  <c r="DS21" i="3"/>
  <c r="DR21" i="3"/>
  <c r="DP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X21" i="3"/>
  <c r="CW21" i="3"/>
  <c r="CU21" i="3"/>
  <c r="CR21" i="3"/>
  <c r="CP21" i="3"/>
  <c r="CO21" i="3"/>
  <c r="CN21" i="3"/>
  <c r="CL21" i="3"/>
  <c r="CK21" i="3"/>
  <c r="CI21" i="3"/>
  <c r="CH21" i="3"/>
  <c r="CG21" i="3"/>
  <c r="CF21" i="3"/>
  <c r="CC21" i="3"/>
  <c r="BZ21" i="3"/>
  <c r="BY21" i="3"/>
  <c r="BW21" i="3"/>
  <c r="BV21" i="3"/>
  <c r="BT21" i="3"/>
  <c r="BR21" i="3"/>
  <c r="BP21" i="3"/>
  <c r="BN21" i="3"/>
  <c r="BK21" i="3"/>
  <c r="BJ21" i="3"/>
  <c r="BH21" i="3"/>
  <c r="BB21" i="3"/>
  <c r="BA21" i="3"/>
  <c r="FG21" i="3" s="1"/>
  <c r="AZ21" i="3"/>
  <c r="EA21" i="3" s="1"/>
  <c r="AY21" i="3"/>
  <c r="CV21" i="3" s="1"/>
  <c r="AX21" i="3"/>
  <c r="FD21" i="3" s="1"/>
  <c r="AW21" i="3"/>
  <c r="AV21" i="3"/>
  <c r="AU21" i="3"/>
  <c r="AT21" i="3"/>
  <c r="AS21" i="3"/>
  <c r="AR21" i="3"/>
  <c r="AQ21" i="3"/>
  <c r="AP21" i="3"/>
  <c r="AO21" i="3"/>
  <c r="EU21" i="3" s="1"/>
  <c r="AN21" i="3"/>
  <c r="DO21" i="3" s="1"/>
  <c r="AL21" i="3"/>
  <c r="AK21" i="3"/>
  <c r="AJ21" i="3"/>
  <c r="BF21" i="3" s="1"/>
  <c r="AI21" i="3"/>
  <c r="AH21" i="3"/>
  <c r="AG21" i="3"/>
  <c r="AF21" i="3"/>
  <c r="AE21" i="3"/>
  <c r="AD21" i="3"/>
  <c r="BD21" i="3" s="1"/>
  <c r="AC21" i="3"/>
  <c r="AB21" i="3"/>
  <c r="AA21" i="3"/>
  <c r="Z21" i="3"/>
  <c r="Y21" i="3"/>
  <c r="X21" i="3"/>
  <c r="BC21" i="3" s="1"/>
  <c r="T21" i="3"/>
  <c r="FH20" i="3"/>
  <c r="FF20" i="3"/>
  <c r="FD20" i="3"/>
  <c r="EZ20" i="3"/>
  <c r="EY20" i="3"/>
  <c r="EW20" i="3"/>
  <c r="EV20" i="3"/>
  <c r="ET20" i="3"/>
  <c r="ER20" i="3"/>
  <c r="EQ20" i="3"/>
  <c r="EN20" i="3"/>
  <c r="EJ20" i="3"/>
  <c r="EG20" i="3"/>
  <c r="EF20" i="3"/>
  <c r="EA20" i="3"/>
  <c r="DY20" i="3"/>
  <c r="DX20" i="3"/>
  <c r="DU20" i="3"/>
  <c r="DT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W20" i="3"/>
  <c r="CU20" i="3"/>
  <c r="CS20" i="3"/>
  <c r="CQ20" i="3"/>
  <c r="CO20" i="3"/>
  <c r="CN20" i="3"/>
  <c r="CK20" i="3"/>
  <c r="CJ20" i="3"/>
  <c r="CG20" i="3"/>
  <c r="CF20" i="3"/>
  <c r="CB20" i="3"/>
  <c r="BY20" i="3"/>
  <c r="BX20" i="3"/>
  <c r="BU20" i="3"/>
  <c r="BT20" i="3"/>
  <c r="BS20" i="3"/>
  <c r="BQ20" i="3"/>
  <c r="BM20" i="3"/>
  <c r="BL20" i="3"/>
  <c r="BI20" i="3"/>
  <c r="BD20" i="3"/>
  <c r="BB20" i="3"/>
  <c r="CY20" i="3" s="1"/>
  <c r="BA20" i="3"/>
  <c r="AZ20" i="3"/>
  <c r="AY20" i="3"/>
  <c r="AX20" i="3"/>
  <c r="AW20" i="3"/>
  <c r="CT20" i="3" s="1"/>
  <c r="AV20" i="3"/>
  <c r="AU20" i="3"/>
  <c r="AT20" i="3"/>
  <c r="AS20" i="3"/>
  <c r="AR20" i="3"/>
  <c r="EX20" i="3" s="1"/>
  <c r="AQ20" i="3"/>
  <c r="DR20" i="3" s="1"/>
  <c r="AP20" i="3"/>
  <c r="CM20" i="3" s="1"/>
  <c r="AO20" i="3"/>
  <c r="AN20" i="3"/>
  <c r="BG20" i="3" s="1"/>
  <c r="AL20" i="3"/>
  <c r="AK20" i="3"/>
  <c r="AJ20" i="3"/>
  <c r="AI20" i="3"/>
  <c r="BF20" i="3" s="1"/>
  <c r="AH20" i="3"/>
  <c r="AG20" i="3"/>
  <c r="AF20" i="3"/>
  <c r="BE20" i="3" s="1"/>
  <c r="AE20" i="3"/>
  <c r="AD20" i="3"/>
  <c r="AC20" i="3"/>
  <c r="AB20" i="3"/>
  <c r="AA20" i="3"/>
  <c r="Z20" i="3"/>
  <c r="Y20" i="3"/>
  <c r="X20" i="3"/>
  <c r="T20" i="3"/>
  <c r="FF19" i="3"/>
  <c r="FC19" i="3"/>
  <c r="EZ19" i="3"/>
  <c r="EW19" i="3"/>
  <c r="ET19" i="3"/>
  <c r="EP19" i="3"/>
  <c r="EM19" i="3"/>
  <c r="EJ19" i="3"/>
  <c r="EH19" i="3"/>
  <c r="ED19" i="3"/>
  <c r="EB19" i="3"/>
  <c r="EA19" i="3"/>
  <c r="DT19" i="3"/>
  <c r="DR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T19" i="3"/>
  <c r="CR19" i="3"/>
  <c r="CN19" i="3"/>
  <c r="CH19" i="3"/>
  <c r="CC19" i="3"/>
  <c r="BV19" i="3"/>
  <c r="BS19" i="3"/>
  <c r="BO19" i="3"/>
  <c r="BN19" i="3"/>
  <c r="BJ19" i="3"/>
  <c r="BH19" i="3"/>
  <c r="BG19" i="3"/>
  <c r="BB19" i="3"/>
  <c r="BA19" i="3"/>
  <c r="FG19" i="3" s="1"/>
  <c r="AZ19" i="3"/>
  <c r="CW19" i="3" s="1"/>
  <c r="AY19" i="3"/>
  <c r="AX19" i="3"/>
  <c r="AW19" i="3"/>
  <c r="DX19" i="3" s="1"/>
  <c r="AV19" i="3"/>
  <c r="AU19" i="3"/>
  <c r="FA19" i="3" s="1"/>
  <c r="AT19" i="3"/>
  <c r="CQ19" i="3" s="1"/>
  <c r="AS19" i="3"/>
  <c r="CP19" i="3" s="1"/>
  <c r="AR19" i="3"/>
  <c r="EX19" i="3" s="1"/>
  <c r="AQ19" i="3"/>
  <c r="AP19" i="3"/>
  <c r="AO19" i="3"/>
  <c r="CL19" i="3" s="1"/>
  <c r="AN19" i="3"/>
  <c r="CK19" i="3" s="1"/>
  <c r="AL19" i="3"/>
  <c r="AK19" i="3"/>
  <c r="AJ19" i="3"/>
  <c r="AI19" i="3"/>
  <c r="AH19" i="3"/>
  <c r="AG19" i="3"/>
  <c r="AF19" i="3"/>
  <c r="BE19" i="3" s="1"/>
  <c r="AE19" i="3"/>
  <c r="AD19" i="3"/>
  <c r="AC19" i="3"/>
  <c r="AB19" i="3"/>
  <c r="AA19" i="3"/>
  <c r="BD19" i="3" s="1"/>
  <c r="Z19" i="3"/>
  <c r="Y19" i="3"/>
  <c r="X19" i="3"/>
  <c r="T19" i="3"/>
  <c r="FF18" i="3"/>
  <c r="FE18" i="3"/>
  <c r="FD18" i="3"/>
  <c r="FC18" i="3"/>
  <c r="EZ18" i="3"/>
  <c r="EW18" i="3"/>
  <c r="ET18" i="3"/>
  <c r="EM18" i="3"/>
  <c r="EK18" i="3"/>
  <c r="EJ18" i="3"/>
  <c r="EH18" i="3"/>
  <c r="EG18" i="3"/>
  <c r="EE18" i="3"/>
  <c r="EA18" i="3"/>
  <c r="DY18" i="3"/>
  <c r="DU18" i="3"/>
  <c r="DS18" i="3"/>
  <c r="DR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W18" i="3"/>
  <c r="CU18" i="3"/>
  <c r="CS18" i="3"/>
  <c r="CQ18" i="3"/>
  <c r="CO18" i="3"/>
  <c r="CN18" i="3"/>
  <c r="CK18" i="3"/>
  <c r="CI18" i="3"/>
  <c r="CE18" i="3"/>
  <c r="CC18" i="3"/>
  <c r="CB18" i="3"/>
  <c r="BZ18" i="3"/>
  <c r="BY18" i="3"/>
  <c r="BW18" i="3"/>
  <c r="BS18" i="3"/>
  <c r="BQ18" i="3"/>
  <c r="BM18" i="3"/>
  <c r="BK18" i="3"/>
  <c r="BJ18" i="3"/>
  <c r="BG18" i="3"/>
  <c r="BB18" i="3"/>
  <c r="ER18" i="3" s="1"/>
  <c r="BA18" i="3"/>
  <c r="AZ18" i="3"/>
  <c r="EP18" i="3" s="1"/>
  <c r="AY18" i="3"/>
  <c r="AX18" i="3"/>
  <c r="EN18" i="3" s="1"/>
  <c r="AW18" i="3"/>
  <c r="CT18" i="3" s="1"/>
  <c r="AV18" i="3"/>
  <c r="FB18" i="3" s="1"/>
  <c r="AU18" i="3"/>
  <c r="FA18" i="3" s="1"/>
  <c r="AT18" i="3"/>
  <c r="AS18" i="3"/>
  <c r="AR18" i="3"/>
  <c r="EX18" i="3" s="1"/>
  <c r="AQ18" i="3"/>
  <c r="AP18" i="3"/>
  <c r="EF18" i="3" s="1"/>
  <c r="AO18" i="3"/>
  <c r="AN18" i="3"/>
  <c r="ED18" i="3" s="1"/>
  <c r="AL18" i="3"/>
  <c r="AK18" i="3"/>
  <c r="AJ18" i="3"/>
  <c r="AI18" i="3"/>
  <c r="BF18" i="3" s="1"/>
  <c r="AH18" i="3"/>
  <c r="AG18" i="3"/>
  <c r="BE18" i="3" s="1"/>
  <c r="AF18" i="3"/>
  <c r="AE18" i="3"/>
  <c r="AD18" i="3"/>
  <c r="AC18" i="3"/>
  <c r="AB18" i="3"/>
  <c r="AA18" i="3"/>
  <c r="Z18" i="3"/>
  <c r="Y18" i="3"/>
  <c r="X18" i="3"/>
  <c r="BC18" i="3" s="1"/>
  <c r="T18" i="3"/>
  <c r="AB10" i="2" s="1"/>
  <c r="FG17" i="3"/>
  <c r="FF17" i="3"/>
  <c r="FC17" i="3"/>
  <c r="EZ17" i="3"/>
  <c r="EW17" i="3"/>
  <c r="EV17" i="3"/>
  <c r="EU17" i="3"/>
  <c r="ET17" i="3"/>
  <c r="EP17" i="3"/>
  <c r="EN17" i="3"/>
  <c r="EM17" i="3"/>
  <c r="EK17" i="3"/>
  <c r="EJ17" i="3"/>
  <c r="EH17" i="3"/>
  <c r="ED17" i="3"/>
  <c r="EB17" i="3"/>
  <c r="DX17" i="3"/>
  <c r="DV17" i="3"/>
  <c r="DU17" i="3"/>
  <c r="DR17" i="3"/>
  <c r="DP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X17" i="3"/>
  <c r="CV17" i="3"/>
  <c r="CT17" i="3"/>
  <c r="CR17" i="3"/>
  <c r="CQ17" i="3"/>
  <c r="CN17" i="3"/>
  <c r="CL17" i="3"/>
  <c r="CH17" i="3"/>
  <c r="CF17" i="3"/>
  <c r="CE17" i="3"/>
  <c r="CC17" i="3"/>
  <c r="CB17" i="3"/>
  <c r="BZ17" i="3"/>
  <c r="BV17" i="3"/>
  <c r="BT17" i="3"/>
  <c r="BS17" i="3"/>
  <c r="BP17" i="3"/>
  <c r="BN17" i="3"/>
  <c r="BM17" i="3"/>
  <c r="BJ17" i="3"/>
  <c r="BH17" i="3"/>
  <c r="BG17" i="3"/>
  <c r="BB17" i="3"/>
  <c r="BA17" i="3"/>
  <c r="EQ17" i="3" s="1"/>
  <c r="AZ17" i="3"/>
  <c r="CW17" i="3" s="1"/>
  <c r="AY17" i="3"/>
  <c r="FE17" i="3" s="1"/>
  <c r="AX17" i="3"/>
  <c r="FD17" i="3" s="1"/>
  <c r="AW17" i="3"/>
  <c r="AV17" i="3"/>
  <c r="AU17" i="3"/>
  <c r="FA17" i="3" s="1"/>
  <c r="AT17" i="3"/>
  <c r="AS17" i="3"/>
  <c r="EI17" i="3" s="1"/>
  <c r="AR17" i="3"/>
  <c r="AQ17" i="3"/>
  <c r="EG17" i="3" s="1"/>
  <c r="AP17" i="3"/>
  <c r="AO17" i="3"/>
  <c r="EE17" i="3" s="1"/>
  <c r="AN17" i="3"/>
  <c r="CK17" i="3" s="1"/>
  <c r="AL17" i="3"/>
  <c r="AK17" i="3"/>
  <c r="AJ17" i="3"/>
  <c r="AI17" i="3"/>
  <c r="BF17" i="3" s="1"/>
  <c r="AH17" i="3"/>
  <c r="AG17" i="3"/>
  <c r="AF17" i="3"/>
  <c r="BE17" i="3" s="1"/>
  <c r="AE17" i="3"/>
  <c r="AD17" i="3"/>
  <c r="BD17" i="3" s="1"/>
  <c r="AC17" i="3"/>
  <c r="AB17" i="3"/>
  <c r="AA17" i="3"/>
  <c r="Z17" i="3"/>
  <c r="Y17" i="3"/>
  <c r="X17" i="3"/>
  <c r="T17" i="3"/>
  <c r="FF16" i="3"/>
  <c r="FC16" i="3"/>
  <c r="EZ16" i="3"/>
  <c r="EX16" i="3"/>
  <c r="EW16" i="3"/>
  <c r="ET16" i="3"/>
  <c r="EQ16" i="3"/>
  <c r="EP16" i="3"/>
  <c r="EN16" i="3"/>
  <c r="EM16" i="3"/>
  <c r="EK16" i="3"/>
  <c r="EG16" i="3"/>
  <c r="EE16" i="3"/>
  <c r="ED16" i="3"/>
  <c r="EA16" i="3"/>
  <c r="DY16" i="3"/>
  <c r="DX16" i="3"/>
  <c r="DU16" i="3"/>
  <c r="DS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W16" i="3"/>
  <c r="CU16" i="3"/>
  <c r="CT16" i="3"/>
  <c r="CQ16" i="3"/>
  <c r="CO16" i="3"/>
  <c r="CM16" i="3"/>
  <c r="CK16" i="3"/>
  <c r="CI16" i="3"/>
  <c r="CH16" i="3"/>
  <c r="CF16" i="3"/>
  <c r="CE16" i="3"/>
  <c r="CC16" i="3"/>
  <c r="BY16" i="3"/>
  <c r="BW16" i="3"/>
  <c r="BV16" i="3"/>
  <c r="BS16" i="3"/>
  <c r="BQ16" i="3"/>
  <c r="BP16" i="3"/>
  <c r="BM16" i="3"/>
  <c r="BK16" i="3"/>
  <c r="BG16" i="3"/>
  <c r="BB16" i="3"/>
  <c r="FH16" i="3" s="1"/>
  <c r="BA16" i="3"/>
  <c r="FG16" i="3" s="1"/>
  <c r="AZ16" i="3"/>
  <c r="AY16" i="3"/>
  <c r="AX16" i="3"/>
  <c r="FD16" i="3" s="1"/>
  <c r="AW16" i="3"/>
  <c r="AV16" i="3"/>
  <c r="EL16" i="3" s="1"/>
  <c r="AU16" i="3"/>
  <c r="AT16" i="3"/>
  <c r="EJ16" i="3" s="1"/>
  <c r="AS16" i="3"/>
  <c r="AR16" i="3"/>
  <c r="EH16" i="3" s="1"/>
  <c r="AQ16" i="3"/>
  <c r="CN16" i="3" s="1"/>
  <c r="AP16" i="3"/>
  <c r="EV16" i="3" s="1"/>
  <c r="AO16" i="3"/>
  <c r="EU16" i="3" s="1"/>
  <c r="AN16" i="3"/>
  <c r="AL16" i="3"/>
  <c r="AK16" i="3"/>
  <c r="AJ16" i="3"/>
  <c r="AI16" i="3"/>
  <c r="BF16" i="3" s="1"/>
  <c r="AH16" i="3"/>
  <c r="AG16" i="3"/>
  <c r="BE16" i="3" s="1"/>
  <c r="AF16" i="3"/>
  <c r="AE16" i="3"/>
  <c r="AD16" i="3"/>
  <c r="AC16" i="3"/>
  <c r="AB16" i="3"/>
  <c r="AA16" i="3"/>
  <c r="BD16" i="3" s="1"/>
  <c r="Z16" i="3"/>
  <c r="Y16" i="3"/>
  <c r="X16" i="3"/>
  <c r="BC16" i="3" s="1"/>
  <c r="T16" i="3"/>
  <c r="FF15" i="3"/>
  <c r="FC15" i="3"/>
  <c r="FA15" i="3"/>
  <c r="EZ15" i="3"/>
  <c r="EW15" i="3"/>
  <c r="ET15" i="3"/>
  <c r="EQ15" i="3"/>
  <c r="EP15" i="3"/>
  <c r="EJ15" i="3"/>
  <c r="EG15" i="3"/>
  <c r="EE15" i="3"/>
  <c r="ED15" i="3"/>
  <c r="EB15" i="3"/>
  <c r="EA15" i="3"/>
  <c r="DX15" i="3"/>
  <c r="DV15" i="3"/>
  <c r="DR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X15" i="3"/>
  <c r="CW15" i="3"/>
  <c r="CT15" i="3"/>
  <c r="CR15" i="3"/>
  <c r="CP15" i="3"/>
  <c r="CN15" i="3"/>
  <c r="CL15" i="3"/>
  <c r="CK15" i="3"/>
  <c r="CI15" i="3"/>
  <c r="CH15" i="3"/>
  <c r="CB15" i="3"/>
  <c r="BZ15" i="3"/>
  <c r="BY15" i="3"/>
  <c r="BW15" i="3"/>
  <c r="BV15" i="3"/>
  <c r="BT15" i="3"/>
  <c r="BS15" i="3"/>
  <c r="BP15" i="3"/>
  <c r="BN15" i="3"/>
  <c r="BM15" i="3"/>
  <c r="BJ15" i="3"/>
  <c r="BH15" i="3"/>
  <c r="BG15" i="3"/>
  <c r="BB15" i="3"/>
  <c r="BA15" i="3"/>
  <c r="FG15" i="3" s="1"/>
  <c r="AZ15" i="3"/>
  <c r="AY15" i="3"/>
  <c r="EO15" i="3" s="1"/>
  <c r="AX15" i="3"/>
  <c r="AW15" i="3"/>
  <c r="EM15" i="3" s="1"/>
  <c r="AV15" i="3"/>
  <c r="FB15" i="3" s="1"/>
  <c r="AU15" i="3"/>
  <c r="EK15" i="3" s="1"/>
  <c r="AT15" i="3"/>
  <c r="CQ15" i="3" s="1"/>
  <c r="AS15" i="3"/>
  <c r="EY15" i="3" s="1"/>
  <c r="AR15" i="3"/>
  <c r="AQ15" i="3"/>
  <c r="AP15" i="3"/>
  <c r="AO15" i="3"/>
  <c r="EU15" i="3" s="1"/>
  <c r="AN15" i="3"/>
  <c r="AL15" i="3"/>
  <c r="AK15" i="3"/>
  <c r="AJ15" i="3"/>
  <c r="BF15" i="3" s="1"/>
  <c r="AI15" i="3"/>
  <c r="AH15" i="3"/>
  <c r="AG15" i="3"/>
  <c r="AF15" i="3"/>
  <c r="BE15" i="3" s="1"/>
  <c r="AE15" i="3"/>
  <c r="AD15" i="3"/>
  <c r="BD15" i="3" s="1"/>
  <c r="AC15" i="3"/>
  <c r="AB15" i="3"/>
  <c r="AA15" i="3"/>
  <c r="Z15" i="3"/>
  <c r="Y15" i="3"/>
  <c r="X15" i="3"/>
  <c r="T15" i="3"/>
  <c r="FF14" i="3"/>
  <c r="FE14" i="3"/>
  <c r="FD14" i="3"/>
  <c r="FC14" i="3"/>
  <c r="EZ14" i="3"/>
  <c r="EY14" i="3"/>
  <c r="EW14" i="3"/>
  <c r="ET14" i="3"/>
  <c r="EM14" i="3"/>
  <c r="EJ14" i="3"/>
  <c r="EH14" i="3"/>
  <c r="EG14" i="3"/>
  <c r="EA14" i="3"/>
  <c r="DY14" i="3"/>
  <c r="DU14" i="3"/>
  <c r="DS14" i="3"/>
  <c r="DR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W14" i="3"/>
  <c r="CU14" i="3"/>
  <c r="CS14" i="3"/>
  <c r="CQ14" i="3"/>
  <c r="CO14" i="3"/>
  <c r="CN14" i="3"/>
  <c r="CK14" i="3"/>
  <c r="CE14" i="3"/>
  <c r="CB14" i="3"/>
  <c r="BZ14" i="3"/>
  <c r="BY14" i="3"/>
  <c r="BW14" i="3"/>
  <c r="BS14" i="3"/>
  <c r="BQ14" i="3"/>
  <c r="BP14" i="3"/>
  <c r="BM14" i="3"/>
  <c r="BK14" i="3"/>
  <c r="BJ14" i="3"/>
  <c r="BG14" i="3"/>
  <c r="BE14" i="3"/>
  <c r="BB14" i="3"/>
  <c r="BA14" i="3"/>
  <c r="AZ14" i="3"/>
  <c r="EP14" i="3" s="1"/>
  <c r="AY14" i="3"/>
  <c r="AX14" i="3"/>
  <c r="EN14" i="3" s="1"/>
  <c r="AW14" i="3"/>
  <c r="CT14" i="3" s="1"/>
  <c r="AV14" i="3"/>
  <c r="FB14" i="3" s="1"/>
  <c r="AU14" i="3"/>
  <c r="EK14" i="3" s="1"/>
  <c r="AT14" i="3"/>
  <c r="AS14" i="3"/>
  <c r="AR14" i="3"/>
  <c r="EX14" i="3" s="1"/>
  <c r="AQ14" i="3"/>
  <c r="AP14" i="3"/>
  <c r="AO14" i="3"/>
  <c r="AN14" i="3"/>
  <c r="ED14" i="3" s="1"/>
  <c r="AL14" i="3"/>
  <c r="AK14" i="3"/>
  <c r="AJ14" i="3"/>
  <c r="AI14" i="3"/>
  <c r="BF14" i="3" s="1"/>
  <c r="AH14" i="3"/>
  <c r="AG14" i="3"/>
  <c r="AF14" i="3"/>
  <c r="AE14" i="3"/>
  <c r="AD14" i="3"/>
  <c r="AC14" i="3"/>
  <c r="AB14" i="3"/>
  <c r="AA14" i="3"/>
  <c r="Z14" i="3"/>
  <c r="Y14" i="3"/>
  <c r="X14" i="3"/>
  <c r="BC14" i="3" s="1"/>
  <c r="T14" i="3"/>
  <c r="FH13" i="3"/>
  <c r="FG13" i="3"/>
  <c r="FF13" i="3"/>
  <c r="FC13" i="3"/>
  <c r="FB13" i="3"/>
  <c r="EZ13" i="3"/>
  <c r="EW13" i="3"/>
  <c r="EU13" i="3"/>
  <c r="ET13" i="3"/>
  <c r="EP13" i="3"/>
  <c r="EM13" i="3"/>
  <c r="EK13" i="3"/>
  <c r="EJ13" i="3"/>
  <c r="EH13" i="3"/>
  <c r="ED13" i="3"/>
  <c r="EB13" i="3"/>
  <c r="EA13" i="3"/>
  <c r="DX13" i="3"/>
  <c r="DV13" i="3"/>
  <c r="DU13" i="3"/>
  <c r="DR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X13" i="3"/>
  <c r="CV13" i="3"/>
  <c r="CT13" i="3"/>
  <c r="CR13" i="3"/>
  <c r="CQ13" i="3"/>
  <c r="CO13" i="3"/>
  <c r="CN13" i="3"/>
  <c r="CL13" i="3"/>
  <c r="CH13" i="3"/>
  <c r="CE13" i="3"/>
  <c r="CC13" i="3"/>
  <c r="CB13" i="3"/>
  <c r="BZ13" i="3"/>
  <c r="BV13" i="3"/>
  <c r="BT13" i="3"/>
  <c r="BS13" i="3"/>
  <c r="BP13" i="3"/>
  <c r="BN13" i="3"/>
  <c r="BM13" i="3"/>
  <c r="BJ13" i="3"/>
  <c r="BH13" i="3"/>
  <c r="BG13" i="3"/>
  <c r="BB13" i="3"/>
  <c r="BA13" i="3"/>
  <c r="EQ13" i="3" s="1"/>
  <c r="AZ13" i="3"/>
  <c r="CW13" i="3" s="1"/>
  <c r="AY13" i="3"/>
  <c r="FE13" i="3" s="1"/>
  <c r="AX13" i="3"/>
  <c r="CF13" i="3" s="1"/>
  <c r="AW13" i="3"/>
  <c r="AV13" i="3"/>
  <c r="AU13" i="3"/>
  <c r="FA13" i="3" s="1"/>
  <c r="AT13" i="3"/>
  <c r="AS13" i="3"/>
  <c r="AR13" i="3"/>
  <c r="AQ13" i="3"/>
  <c r="EG13" i="3" s="1"/>
  <c r="AP13" i="3"/>
  <c r="AO13" i="3"/>
  <c r="EE13" i="3" s="1"/>
  <c r="AN13" i="3"/>
  <c r="CK13" i="3" s="1"/>
  <c r="AL13" i="3"/>
  <c r="AK13" i="3"/>
  <c r="AJ13" i="3"/>
  <c r="AI13" i="3"/>
  <c r="BF13" i="3" s="1"/>
  <c r="AH13" i="3"/>
  <c r="AG13" i="3"/>
  <c r="AF13" i="3"/>
  <c r="BE13" i="3" s="1"/>
  <c r="AE13" i="3"/>
  <c r="AD13" i="3"/>
  <c r="BD13" i="3" s="1"/>
  <c r="AC13" i="3"/>
  <c r="AB13" i="3"/>
  <c r="AA13" i="3"/>
  <c r="Z13" i="3"/>
  <c r="Y13" i="3"/>
  <c r="X13" i="3"/>
  <c r="T13" i="3"/>
  <c r="FF12" i="3"/>
  <c r="FC12" i="3"/>
  <c r="EZ12" i="3"/>
  <c r="EX12" i="3"/>
  <c r="EW12" i="3"/>
  <c r="ET12" i="3"/>
  <c r="EP12" i="3"/>
  <c r="EN12" i="3"/>
  <c r="EM12" i="3"/>
  <c r="EG12" i="3"/>
  <c r="ED12" i="3"/>
  <c r="EA12" i="3"/>
  <c r="DY12" i="3"/>
  <c r="DX12" i="3"/>
  <c r="DU12" i="3"/>
  <c r="DS12" i="3"/>
  <c r="DR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W12" i="3"/>
  <c r="CU12" i="3"/>
  <c r="CT12" i="3"/>
  <c r="CR12" i="3"/>
  <c r="CQ12" i="3"/>
  <c r="CO12" i="3"/>
  <c r="CM12" i="3"/>
  <c r="CK12" i="3"/>
  <c r="CI12" i="3"/>
  <c r="CH12" i="3"/>
  <c r="CF12" i="3"/>
  <c r="CE12" i="3"/>
  <c r="CC12" i="3"/>
  <c r="BY12" i="3"/>
  <c r="BV12" i="3"/>
  <c r="BS12" i="3"/>
  <c r="BQ12" i="3"/>
  <c r="BP12" i="3"/>
  <c r="BM12" i="3"/>
  <c r="BK12" i="3"/>
  <c r="BJ12" i="3"/>
  <c r="BG12" i="3"/>
  <c r="BB12" i="3"/>
  <c r="FH12" i="3" s="1"/>
  <c r="BA12" i="3"/>
  <c r="BT12" i="3" s="1"/>
  <c r="AZ12" i="3"/>
  <c r="AY12" i="3"/>
  <c r="FE12" i="3" s="1"/>
  <c r="AX12" i="3"/>
  <c r="FD12" i="3" s="1"/>
  <c r="AW12" i="3"/>
  <c r="AV12" i="3"/>
  <c r="AU12" i="3"/>
  <c r="EK12" i="3" s="1"/>
  <c r="AT12" i="3"/>
  <c r="EJ12" i="3" s="1"/>
  <c r="AS12" i="3"/>
  <c r="AR12" i="3"/>
  <c r="EH12" i="3" s="1"/>
  <c r="AQ12" i="3"/>
  <c r="CN12" i="3" s="1"/>
  <c r="AP12" i="3"/>
  <c r="EV12" i="3" s="1"/>
  <c r="AO12" i="3"/>
  <c r="AN12" i="3"/>
  <c r="AL12" i="3"/>
  <c r="AK12" i="3"/>
  <c r="AJ12" i="3"/>
  <c r="AI12" i="3"/>
  <c r="AH12" i="3"/>
  <c r="AG12" i="3"/>
  <c r="BE12" i="3" s="1"/>
  <c r="AF12" i="3"/>
  <c r="AE12" i="3"/>
  <c r="AD12" i="3"/>
  <c r="AC12" i="3"/>
  <c r="AB12" i="3"/>
  <c r="AA12" i="3"/>
  <c r="Z12" i="3"/>
  <c r="Y12" i="3"/>
  <c r="X12" i="3"/>
  <c r="BC12" i="3" s="1"/>
  <c r="T12" i="3"/>
  <c r="FH11" i="3"/>
  <c r="FF11" i="3"/>
  <c r="FC11" i="3"/>
  <c r="FA11" i="3"/>
  <c r="EZ11" i="3"/>
  <c r="EW11" i="3"/>
  <c r="EV11" i="3"/>
  <c r="ET11" i="3"/>
  <c r="EQ11" i="3"/>
  <c r="EP11" i="3"/>
  <c r="EJ11" i="3"/>
  <c r="EG11" i="3"/>
  <c r="EE11" i="3"/>
  <c r="ED11" i="3"/>
  <c r="EB11" i="3"/>
  <c r="EA11" i="3"/>
  <c r="DX11" i="3"/>
  <c r="DV11" i="3"/>
  <c r="DU11" i="3"/>
  <c r="DR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X11" i="3"/>
  <c r="CW11" i="3"/>
  <c r="CU11" i="3"/>
  <c r="CT11" i="3"/>
  <c r="CR11" i="3"/>
  <c r="CP11" i="3"/>
  <c r="CN11" i="3"/>
  <c r="CL11" i="3"/>
  <c r="CK11" i="3"/>
  <c r="CI11" i="3"/>
  <c r="CH11" i="3"/>
  <c r="CF11" i="3"/>
  <c r="CB11" i="3"/>
  <c r="BY11" i="3"/>
  <c r="BW11" i="3"/>
  <c r="BV11" i="3"/>
  <c r="BT11" i="3"/>
  <c r="BS11" i="3"/>
  <c r="BP11" i="3"/>
  <c r="BN11" i="3"/>
  <c r="BM11" i="3"/>
  <c r="BJ11" i="3"/>
  <c r="BH11" i="3"/>
  <c r="BG11" i="3"/>
  <c r="BD11" i="3"/>
  <c r="BB11" i="3"/>
  <c r="BA11" i="3"/>
  <c r="FG11" i="3" s="1"/>
  <c r="AZ11" i="3"/>
  <c r="AY11" i="3"/>
  <c r="AX11" i="3"/>
  <c r="AW11" i="3"/>
  <c r="EM11" i="3" s="1"/>
  <c r="AV11" i="3"/>
  <c r="FB11" i="3" s="1"/>
  <c r="AU11" i="3"/>
  <c r="EK11" i="3" s="1"/>
  <c r="AT11" i="3"/>
  <c r="CQ11" i="3" s="1"/>
  <c r="AS11" i="3"/>
  <c r="EY11" i="3" s="1"/>
  <c r="AR11" i="3"/>
  <c r="AQ11" i="3"/>
  <c r="AP11" i="3"/>
  <c r="AO11" i="3"/>
  <c r="EU11" i="3" s="1"/>
  <c r="AN11" i="3"/>
  <c r="AL11" i="3"/>
  <c r="AK11" i="3"/>
  <c r="AJ11" i="3"/>
  <c r="AI11" i="3"/>
  <c r="AH11" i="3"/>
  <c r="AG11" i="3"/>
  <c r="AF11" i="3"/>
  <c r="BE11" i="3" s="1"/>
  <c r="AE11" i="3"/>
  <c r="AD11" i="3"/>
  <c r="AC11" i="3"/>
  <c r="AB11" i="3"/>
  <c r="AA11" i="3"/>
  <c r="Z11" i="3"/>
  <c r="Y11" i="3"/>
  <c r="X11" i="3"/>
  <c r="T11" i="3"/>
  <c r="FF10" i="3"/>
  <c r="FE10" i="3"/>
  <c r="FD10" i="3"/>
  <c r="FC10" i="3"/>
  <c r="EZ10" i="3"/>
  <c r="EW10" i="3"/>
  <c r="ET10" i="3"/>
  <c r="EM10" i="3"/>
  <c r="EJ10" i="3"/>
  <c r="EH10" i="3"/>
  <c r="EG10" i="3"/>
  <c r="EE10" i="3"/>
  <c r="EA10" i="3"/>
  <c r="DY10" i="3"/>
  <c r="DX10" i="3"/>
  <c r="DU10" i="3"/>
  <c r="DR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X10" i="3"/>
  <c r="CW10" i="3"/>
  <c r="CU10" i="3"/>
  <c r="CS10" i="3"/>
  <c r="CQ10" i="3"/>
  <c r="CO10" i="3"/>
  <c r="CN10" i="3"/>
  <c r="CL10" i="3"/>
  <c r="CK10" i="3"/>
  <c r="CI10" i="3"/>
  <c r="CE10" i="3"/>
  <c r="CB10" i="3"/>
  <c r="BY10" i="3"/>
  <c r="BW10" i="3"/>
  <c r="BS10" i="3"/>
  <c r="BQ10" i="3"/>
  <c r="BP10" i="3"/>
  <c r="BN10" i="3"/>
  <c r="BM10" i="3"/>
  <c r="BK10" i="3"/>
  <c r="BJ10" i="3"/>
  <c r="BG10" i="3"/>
  <c r="BE10" i="3"/>
  <c r="BB10" i="3"/>
  <c r="BA10" i="3"/>
  <c r="EQ10" i="3" s="1"/>
  <c r="AZ10" i="3"/>
  <c r="EP10" i="3" s="1"/>
  <c r="AY10" i="3"/>
  <c r="AX10" i="3"/>
  <c r="EN10" i="3" s="1"/>
  <c r="AW10" i="3"/>
  <c r="CT10" i="3" s="1"/>
  <c r="AV10" i="3"/>
  <c r="FB10" i="3" s="1"/>
  <c r="AU10" i="3"/>
  <c r="CC10" i="3" s="1"/>
  <c r="AT10" i="3"/>
  <c r="AS10" i="3"/>
  <c r="AR10" i="3"/>
  <c r="EX10" i="3" s="1"/>
  <c r="AQ10" i="3"/>
  <c r="AP10" i="3"/>
  <c r="AO10" i="3"/>
  <c r="AN10" i="3"/>
  <c r="ED10" i="3" s="1"/>
  <c r="AL10" i="3"/>
  <c r="AK10" i="3"/>
  <c r="AJ10" i="3"/>
  <c r="AI10" i="3"/>
  <c r="BF10" i="3" s="1"/>
  <c r="AH10" i="3"/>
  <c r="AG10" i="3"/>
  <c r="AF10" i="3"/>
  <c r="AE10" i="3"/>
  <c r="AD10" i="3"/>
  <c r="AC10" i="3"/>
  <c r="AB10" i="3"/>
  <c r="AA10" i="3"/>
  <c r="Z10" i="3"/>
  <c r="Y10" i="3"/>
  <c r="X10" i="3"/>
  <c r="BC10" i="3" s="1"/>
  <c r="T10" i="3"/>
  <c r="FH9" i="3"/>
  <c r="FG9" i="3"/>
  <c r="FF9" i="3"/>
  <c r="FC9" i="3"/>
  <c r="EZ9" i="3"/>
  <c r="EW9" i="3"/>
  <c r="EU9" i="3"/>
  <c r="ET9" i="3"/>
  <c r="EP9" i="3"/>
  <c r="EM9" i="3"/>
  <c r="EJ9" i="3"/>
  <c r="EH9" i="3"/>
  <c r="ED9" i="3"/>
  <c r="EB9" i="3"/>
  <c r="EA9" i="3"/>
  <c r="DX9" i="3"/>
  <c r="DV9" i="3"/>
  <c r="DU9" i="3"/>
  <c r="DR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X9" i="3"/>
  <c r="CV9" i="3"/>
  <c r="CT9" i="3"/>
  <c r="CR9" i="3"/>
  <c r="CQ9" i="3"/>
  <c r="CO9" i="3"/>
  <c r="CN9" i="3"/>
  <c r="CL9" i="3"/>
  <c r="CH9" i="3"/>
  <c r="CE9" i="3"/>
  <c r="CB9" i="3"/>
  <c r="BZ9" i="3"/>
  <c r="BV9" i="3"/>
  <c r="BT9" i="3"/>
  <c r="BS9" i="3"/>
  <c r="BP9" i="3"/>
  <c r="BM9" i="3"/>
  <c r="BJ9" i="3"/>
  <c r="BH9" i="3"/>
  <c r="BG9" i="3"/>
  <c r="BB9" i="3"/>
  <c r="BA9" i="3"/>
  <c r="EQ9" i="3" s="1"/>
  <c r="AZ9" i="3"/>
  <c r="CW9" i="3" s="1"/>
  <c r="AY9" i="3"/>
  <c r="FE9" i="3" s="1"/>
  <c r="AX9" i="3"/>
  <c r="AW9" i="3"/>
  <c r="AV9" i="3"/>
  <c r="FB9" i="3" s="1"/>
  <c r="AU9" i="3"/>
  <c r="FA9" i="3" s="1"/>
  <c r="AT9" i="3"/>
  <c r="AS9" i="3"/>
  <c r="EY9" i="3" s="1"/>
  <c r="AR9" i="3"/>
  <c r="AQ9" i="3"/>
  <c r="EG9" i="3" s="1"/>
  <c r="AP9" i="3"/>
  <c r="AO9" i="3"/>
  <c r="EE9" i="3" s="1"/>
  <c r="AN9" i="3"/>
  <c r="CK9" i="3" s="1"/>
  <c r="AL9" i="3"/>
  <c r="AK9" i="3"/>
  <c r="AJ9" i="3"/>
  <c r="AI9" i="3"/>
  <c r="BF9" i="3" s="1"/>
  <c r="AH9" i="3"/>
  <c r="AG9" i="3"/>
  <c r="AF9" i="3"/>
  <c r="BE9" i="3" s="1"/>
  <c r="AE9" i="3"/>
  <c r="AD9" i="3"/>
  <c r="BD9" i="3" s="1"/>
  <c r="AC9" i="3"/>
  <c r="AB9" i="3"/>
  <c r="AA9" i="3"/>
  <c r="Z9" i="3"/>
  <c r="Y9" i="3"/>
  <c r="X9" i="3"/>
  <c r="T9" i="3"/>
  <c r="FF8" i="3"/>
  <c r="FE8" i="3"/>
  <c r="FC8" i="3"/>
  <c r="EZ8" i="3"/>
  <c r="EX8" i="3"/>
  <c r="EW8" i="3"/>
  <c r="ET8" i="3"/>
  <c r="EP8" i="3"/>
  <c r="EM8" i="3"/>
  <c r="EG8" i="3"/>
  <c r="EE8" i="3"/>
  <c r="ED8" i="3"/>
  <c r="EB8" i="3"/>
  <c r="EA8" i="3"/>
  <c r="DX8" i="3"/>
  <c r="DU8" i="3"/>
  <c r="DS8" i="3"/>
  <c r="DR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W8" i="3"/>
  <c r="CT8" i="3"/>
  <c r="CQ8" i="3"/>
  <c r="CO8" i="3"/>
  <c r="CM8" i="3"/>
  <c r="CK8" i="3"/>
  <c r="CI8" i="3"/>
  <c r="CH8" i="3"/>
  <c r="CE8" i="3"/>
  <c r="BY8" i="3"/>
  <c r="BW8" i="3"/>
  <c r="BV8" i="3"/>
  <c r="BT8" i="3"/>
  <c r="BS8" i="3"/>
  <c r="BP8" i="3"/>
  <c r="BM8" i="3"/>
  <c r="BK8" i="3"/>
  <c r="BJ8" i="3"/>
  <c r="BH8" i="3"/>
  <c r="BG8" i="3"/>
  <c r="BB8" i="3"/>
  <c r="FH8" i="3" s="1"/>
  <c r="BA8" i="3"/>
  <c r="AZ8" i="3"/>
  <c r="AY8" i="3"/>
  <c r="AX8" i="3"/>
  <c r="FD8" i="3" s="1"/>
  <c r="AW8" i="3"/>
  <c r="AV8" i="3"/>
  <c r="AU8" i="3"/>
  <c r="AT8" i="3"/>
  <c r="EJ8" i="3" s="1"/>
  <c r="AS8" i="3"/>
  <c r="AR8" i="3"/>
  <c r="EH8" i="3" s="1"/>
  <c r="AQ8" i="3"/>
  <c r="CN8" i="3" s="1"/>
  <c r="AP8" i="3"/>
  <c r="EV8" i="3" s="1"/>
  <c r="AO8" i="3"/>
  <c r="AN8" i="3"/>
  <c r="AL8" i="3"/>
  <c r="AK8" i="3"/>
  <c r="AJ8" i="3"/>
  <c r="AI8" i="3"/>
  <c r="BF8" i="3" s="1"/>
  <c r="AH8" i="3"/>
  <c r="AG8" i="3"/>
  <c r="BE8" i="3" s="1"/>
  <c r="AF8" i="3"/>
  <c r="AE8" i="3"/>
  <c r="AD8" i="3"/>
  <c r="AC8" i="3"/>
  <c r="AB8" i="3"/>
  <c r="AA8" i="3"/>
  <c r="Z8" i="3"/>
  <c r="Y8" i="3"/>
  <c r="X8" i="3"/>
  <c r="BC8" i="3" s="1"/>
  <c r="T8" i="3"/>
  <c r="FF7" i="3"/>
  <c r="FE7" i="3"/>
  <c r="FC7" i="3"/>
  <c r="FB7" i="3"/>
  <c r="FA7" i="3"/>
  <c r="EZ7" i="3"/>
  <c r="EW7" i="3"/>
  <c r="EV7" i="3"/>
  <c r="ET7" i="3"/>
  <c r="EQ7" i="3"/>
  <c r="EP7" i="3"/>
  <c r="EL7" i="3"/>
  <c r="EJ7" i="3"/>
  <c r="EG7" i="3"/>
  <c r="EE7" i="3"/>
  <c r="ED7" i="3"/>
  <c r="EB7" i="3"/>
  <c r="EA7" i="3"/>
  <c r="DZ7" i="3"/>
  <c r="DX7" i="3"/>
  <c r="DV7" i="3"/>
  <c r="DU7" i="3"/>
  <c r="DR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X7" i="3"/>
  <c r="CW7" i="3"/>
  <c r="CT7" i="3"/>
  <c r="CR7" i="3"/>
  <c r="CP7" i="3"/>
  <c r="CN7" i="3"/>
  <c r="CK7" i="3"/>
  <c r="CI7" i="3"/>
  <c r="CH7" i="3"/>
  <c r="CF7" i="3"/>
  <c r="CB7" i="3"/>
  <c r="BY7" i="3"/>
  <c r="BW7" i="3"/>
  <c r="BV7" i="3"/>
  <c r="BT7" i="3"/>
  <c r="BS7" i="3"/>
  <c r="BR7" i="3"/>
  <c r="BP7" i="3"/>
  <c r="BN7" i="3"/>
  <c r="BM7" i="3"/>
  <c r="BJ7" i="3"/>
  <c r="BH7" i="3"/>
  <c r="BG7" i="3"/>
  <c r="BB7" i="3"/>
  <c r="BA7" i="3"/>
  <c r="FG7" i="3" s="1"/>
  <c r="AZ7" i="3"/>
  <c r="AY7" i="3"/>
  <c r="AX7" i="3"/>
  <c r="AW7" i="3"/>
  <c r="EM7" i="3" s="1"/>
  <c r="AV7" i="3"/>
  <c r="AU7" i="3"/>
  <c r="EK7" i="3" s="1"/>
  <c r="AT7" i="3"/>
  <c r="CQ7" i="3" s="1"/>
  <c r="AS7" i="3"/>
  <c r="EY7" i="3" s="1"/>
  <c r="AR7" i="3"/>
  <c r="CO7" i="3" s="1"/>
  <c r="AQ7" i="3"/>
  <c r="AP7" i="3"/>
  <c r="AO7" i="3"/>
  <c r="EU7" i="3" s="1"/>
  <c r="AN7" i="3"/>
  <c r="AL7" i="3"/>
  <c r="BF7" i="3" s="1"/>
  <c r="AK7" i="3"/>
  <c r="AJ7" i="3"/>
  <c r="AI7" i="3"/>
  <c r="AH7" i="3"/>
  <c r="AG7" i="3"/>
  <c r="AF7" i="3"/>
  <c r="BE7" i="3" s="1"/>
  <c r="AE7" i="3"/>
  <c r="AD7" i="3"/>
  <c r="BD7" i="3" s="1"/>
  <c r="AC7" i="3"/>
  <c r="AB7" i="3"/>
  <c r="AA7" i="3"/>
  <c r="Z7" i="3"/>
  <c r="AM7" i="3" s="1"/>
  <c r="Y7" i="3"/>
  <c r="X7" i="3"/>
  <c r="T7" i="3"/>
  <c r="FH6" i="3"/>
  <c r="FF6" i="3"/>
  <c r="FD6" i="3"/>
  <c r="FC6" i="3"/>
  <c r="FA6" i="3"/>
  <c r="EZ6" i="3"/>
  <c r="EW6" i="3"/>
  <c r="EV6" i="3"/>
  <c r="ET6" i="3"/>
  <c r="EK6" i="3"/>
  <c r="EJ6" i="3"/>
  <c r="EH6" i="3"/>
  <c r="EG6" i="3"/>
  <c r="EC6" i="3"/>
  <c r="EA6" i="3"/>
  <c r="DY6" i="3"/>
  <c r="DX6" i="3"/>
  <c r="DV6" i="3"/>
  <c r="DU6" i="3"/>
  <c r="DR6" i="3"/>
  <c r="DQ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W6" i="3"/>
  <c r="CU6" i="3"/>
  <c r="CS6" i="3"/>
  <c r="CQ6" i="3"/>
  <c r="CN6" i="3"/>
  <c r="CK6" i="3"/>
  <c r="CI6" i="3"/>
  <c r="CE6" i="3"/>
  <c r="CB6" i="3"/>
  <c r="BZ6" i="3"/>
  <c r="BY6" i="3"/>
  <c r="BS6" i="3"/>
  <c r="BQ6" i="3"/>
  <c r="BP6" i="3"/>
  <c r="BN6" i="3"/>
  <c r="BM6" i="3"/>
  <c r="BK6" i="3"/>
  <c r="BJ6" i="3"/>
  <c r="BI6" i="3"/>
  <c r="BG6" i="3"/>
  <c r="BB6" i="3"/>
  <c r="BA6" i="3"/>
  <c r="AZ6" i="3"/>
  <c r="EP6" i="3" s="1"/>
  <c r="AY6" i="3"/>
  <c r="CG6" i="3" s="1"/>
  <c r="AX6" i="3"/>
  <c r="EN6" i="3" s="1"/>
  <c r="AW6" i="3"/>
  <c r="CT6" i="3" s="1"/>
  <c r="AV6" i="3"/>
  <c r="FB6" i="3" s="1"/>
  <c r="AU6" i="3"/>
  <c r="CR6" i="3" s="1"/>
  <c r="AT6" i="3"/>
  <c r="AS6" i="3"/>
  <c r="EY6" i="3" s="1"/>
  <c r="AR6" i="3"/>
  <c r="EX6" i="3" s="1"/>
  <c r="AQ6" i="3"/>
  <c r="AP6" i="3"/>
  <c r="AO6" i="3"/>
  <c r="CL6" i="3" s="1"/>
  <c r="AN6" i="3"/>
  <c r="ED6" i="3" s="1"/>
  <c r="AL6" i="3"/>
  <c r="AK6" i="3"/>
  <c r="AJ6" i="3"/>
  <c r="AI6" i="3"/>
  <c r="AH6" i="3"/>
  <c r="AG6" i="3"/>
  <c r="AF6" i="3"/>
  <c r="BE6" i="3" s="1"/>
  <c r="AE6" i="3"/>
  <c r="AD6" i="3"/>
  <c r="AC6" i="3"/>
  <c r="AB6" i="3"/>
  <c r="AA6" i="3"/>
  <c r="BD6" i="3" s="1"/>
  <c r="Z6" i="3"/>
  <c r="Y6" i="3"/>
  <c r="X6" i="3"/>
  <c r="BC6" i="3" s="1"/>
  <c r="T6" i="3"/>
  <c r="FH5" i="3"/>
  <c r="FG5" i="3"/>
  <c r="FC5" i="3"/>
  <c r="FB5" i="3"/>
  <c r="EZ5" i="3"/>
  <c r="EY5" i="3"/>
  <c r="EW5" i="3"/>
  <c r="EV5" i="3"/>
  <c r="EU5" i="3"/>
  <c r="ER5" i="3"/>
  <c r="EM5" i="3"/>
  <c r="EK5" i="3"/>
  <c r="EJ5" i="3"/>
  <c r="EH5" i="3"/>
  <c r="EF5" i="3"/>
  <c r="EB5" i="3"/>
  <c r="DX5" i="3"/>
  <c r="DU5" i="3"/>
  <c r="DR5" i="3"/>
  <c r="DP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X5" i="3"/>
  <c r="CV5" i="3"/>
  <c r="CT5" i="3"/>
  <c r="CQ5" i="3"/>
  <c r="CO5" i="3"/>
  <c r="CN5" i="3"/>
  <c r="CL5" i="3"/>
  <c r="CH5" i="3"/>
  <c r="CE5" i="3"/>
  <c r="CB5" i="3"/>
  <c r="BZ5" i="3"/>
  <c r="BT5" i="3"/>
  <c r="BP5" i="3"/>
  <c r="BN5" i="3"/>
  <c r="BM5" i="3"/>
  <c r="BL5" i="3"/>
  <c r="BJ5" i="3"/>
  <c r="BH5" i="3"/>
  <c r="BB5" i="3"/>
  <c r="CJ5" i="3" s="1"/>
  <c r="BA5" i="3"/>
  <c r="EQ5" i="3" s="1"/>
  <c r="AZ5" i="3"/>
  <c r="CW5" i="3" s="1"/>
  <c r="AY5" i="3"/>
  <c r="FE5" i="3" s="1"/>
  <c r="AX5" i="3"/>
  <c r="CU5" i="3" s="1"/>
  <c r="AW5" i="3"/>
  <c r="AV5" i="3"/>
  <c r="AU5" i="3"/>
  <c r="FA5" i="3" s="1"/>
  <c r="AT5" i="3"/>
  <c r="AS5" i="3"/>
  <c r="DT5" i="3" s="1"/>
  <c r="AR5" i="3"/>
  <c r="AQ5" i="3"/>
  <c r="EG5" i="3" s="1"/>
  <c r="AP5" i="3"/>
  <c r="AO5" i="3"/>
  <c r="EE5" i="3" s="1"/>
  <c r="AN5" i="3"/>
  <c r="CK5" i="3" s="1"/>
  <c r="AL5" i="3"/>
  <c r="AK5" i="3"/>
  <c r="AJ5" i="3"/>
  <c r="AI5" i="3"/>
  <c r="BF5" i="3" s="1"/>
  <c r="AH5" i="3"/>
  <c r="AG5" i="3"/>
  <c r="AF5" i="3"/>
  <c r="BE5" i="3" s="1"/>
  <c r="AE5" i="3"/>
  <c r="AD5" i="3"/>
  <c r="AC5" i="3"/>
  <c r="AB5" i="3"/>
  <c r="BD5" i="3" s="1"/>
  <c r="AA5" i="3"/>
  <c r="Z5" i="3"/>
  <c r="Y5" i="3"/>
  <c r="X5" i="3"/>
  <c r="T5" i="3"/>
  <c r="FF4" i="3"/>
  <c r="FE4" i="3"/>
  <c r="FC4" i="3"/>
  <c r="FB4" i="3"/>
  <c r="EZ4" i="3"/>
  <c r="EY4" i="3"/>
  <c r="EX4" i="3"/>
  <c r="EU4" i="3"/>
  <c r="ET4" i="3"/>
  <c r="EP4" i="3"/>
  <c r="EM4" i="3"/>
  <c r="EK4" i="3"/>
  <c r="EG4" i="3"/>
  <c r="ED4" i="3"/>
  <c r="EB4" i="3"/>
  <c r="EA4" i="3"/>
  <c r="DX4" i="3"/>
  <c r="DW4" i="3"/>
  <c r="DU4" i="3"/>
  <c r="DS4" i="3"/>
  <c r="DR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W4" i="3"/>
  <c r="CT4" i="3"/>
  <c r="CQ4" i="3"/>
  <c r="CO4" i="3"/>
  <c r="CM4" i="3"/>
  <c r="CK4" i="3"/>
  <c r="CH4" i="3"/>
  <c r="CF4" i="3"/>
  <c r="CE4" i="3"/>
  <c r="BW4" i="3"/>
  <c r="BV4" i="3"/>
  <c r="BT4" i="3"/>
  <c r="BS4" i="3"/>
  <c r="BQ4" i="3"/>
  <c r="BP4" i="3"/>
  <c r="BO4" i="3"/>
  <c r="BM4" i="3"/>
  <c r="BK4" i="3"/>
  <c r="BG4" i="3"/>
  <c r="BC4" i="3"/>
  <c r="BB4" i="3"/>
  <c r="FH4" i="3" s="1"/>
  <c r="BA4" i="3"/>
  <c r="CX4" i="3" s="1"/>
  <c r="AZ4" i="3"/>
  <c r="AY4" i="3"/>
  <c r="AX4" i="3"/>
  <c r="FD4" i="3" s="1"/>
  <c r="AW4" i="3"/>
  <c r="AV4" i="3"/>
  <c r="AU4" i="3"/>
  <c r="CR4" i="3" s="1"/>
  <c r="AT4" i="3"/>
  <c r="EJ4" i="3" s="1"/>
  <c r="AS4" i="3"/>
  <c r="EI4" i="3" s="1"/>
  <c r="AR4" i="3"/>
  <c r="EH4" i="3" s="1"/>
  <c r="AQ4" i="3"/>
  <c r="CN4" i="3" s="1"/>
  <c r="AP4" i="3"/>
  <c r="EV4" i="3" s="1"/>
  <c r="AO4" i="3"/>
  <c r="CL4" i="3" s="1"/>
  <c r="AN4" i="3"/>
  <c r="AL4" i="3"/>
  <c r="AK4" i="3"/>
  <c r="AJ4" i="3"/>
  <c r="AI4" i="3"/>
  <c r="AH4" i="3"/>
  <c r="AG4" i="3"/>
  <c r="BE4" i="3" s="1"/>
  <c r="AF4" i="3"/>
  <c r="AE4" i="3"/>
  <c r="AD4" i="3"/>
  <c r="AC4" i="3"/>
  <c r="AB4" i="3"/>
  <c r="AA4" i="3"/>
  <c r="Z4" i="3"/>
  <c r="Y4" i="3"/>
  <c r="X4" i="3"/>
  <c r="AM4" i="3" s="1"/>
  <c r="T4" i="3"/>
  <c r="EU32" i="2"/>
  <c r="EV32" i="2" s="1"/>
  <c r="CU32" i="2"/>
  <c r="AB32" i="2"/>
  <c r="AA32" i="2"/>
  <c r="Z32" i="2"/>
  <c r="Y32" i="2"/>
  <c r="X32" i="2"/>
  <c r="CY32" i="2" s="1"/>
  <c r="W32" i="2"/>
  <c r="ES32" i="2" s="1"/>
  <c r="V32" i="2"/>
  <c r="CH32" i="2" s="1"/>
  <c r="U32" i="2"/>
  <c r="EQ32" i="2" s="1"/>
  <c r="T32" i="2"/>
  <c r="EP32" i="2" s="1"/>
  <c r="S32" i="2"/>
  <c r="AL32" i="2" s="1"/>
  <c r="R32" i="2"/>
  <c r="DH32" i="2" s="1"/>
  <c r="Q32" i="2"/>
  <c r="BN32" i="2" s="1"/>
  <c r="P32" i="2"/>
  <c r="DF32" i="2" s="1"/>
  <c r="O32" i="2"/>
  <c r="AH32" i="2" s="1"/>
  <c r="N32" i="2"/>
  <c r="DD32" i="2" s="1"/>
  <c r="M32" i="2"/>
  <c r="DC32" i="2" s="1"/>
  <c r="L32" i="2"/>
  <c r="DB32" i="2" s="1"/>
  <c r="K32" i="2"/>
  <c r="BW32" i="2" s="1"/>
  <c r="J32" i="2"/>
  <c r="AC32" i="2" s="1"/>
  <c r="A32" i="2"/>
  <c r="EU31" i="2"/>
  <c r="EW31" i="2" s="1"/>
  <c r="DG31" i="2"/>
  <c r="CP31" i="2"/>
  <c r="AB31" i="2"/>
  <c r="AA31" i="2"/>
  <c r="Z31" i="2"/>
  <c r="Y31" i="2"/>
  <c r="X31" i="2"/>
  <c r="DN31" i="2" s="1"/>
  <c r="W31" i="2"/>
  <c r="ES31" i="2" s="1"/>
  <c r="V31" i="2"/>
  <c r="DL31" i="2" s="1"/>
  <c r="U31" i="2"/>
  <c r="CG31" i="2" s="1"/>
  <c r="T31" i="2"/>
  <c r="EP31" i="2" s="1"/>
  <c r="S31" i="2"/>
  <c r="DI31" i="2" s="1"/>
  <c r="R31" i="2"/>
  <c r="BO31" i="2" s="1"/>
  <c r="Q31" i="2"/>
  <c r="AJ31" i="2" s="1"/>
  <c r="P31" i="2"/>
  <c r="AI31" i="2" s="1"/>
  <c r="O31" i="2"/>
  <c r="CA31" i="2" s="1"/>
  <c r="N31" i="2"/>
  <c r="BK31" i="2" s="1"/>
  <c r="M31" i="2"/>
  <c r="DC31" i="2" s="1"/>
  <c r="L31" i="2"/>
  <c r="BI31" i="2" s="1"/>
  <c r="K31" i="2"/>
  <c r="EG31" i="2" s="1"/>
  <c r="J31" i="2"/>
  <c r="BG31" i="2" s="1"/>
  <c r="EU30" i="2"/>
  <c r="EV30" i="2" s="1"/>
  <c r="A30" i="2" s="1"/>
  <c r="DD30" i="2"/>
  <c r="AH30" i="2"/>
  <c r="AB30" i="2"/>
  <c r="AA30" i="2"/>
  <c r="Z30" i="2"/>
  <c r="Y30" i="2"/>
  <c r="X30" i="2"/>
  <c r="ET30" i="2" s="1"/>
  <c r="W30" i="2"/>
  <c r="ES30" i="2" s="1"/>
  <c r="V30" i="2"/>
  <c r="DL30" i="2" s="1"/>
  <c r="U30" i="2"/>
  <c r="EQ30" i="2" s="1"/>
  <c r="T30" i="2"/>
  <c r="EP30" i="2" s="1"/>
  <c r="S30" i="2"/>
  <c r="EO30" i="2" s="1"/>
  <c r="R30" i="2"/>
  <c r="AK30" i="2" s="1"/>
  <c r="Q30" i="2"/>
  <c r="CC30" i="2" s="1"/>
  <c r="P30" i="2"/>
  <c r="EL30" i="2" s="1"/>
  <c r="O30" i="2"/>
  <c r="CA30" i="2" s="1"/>
  <c r="N30" i="2"/>
  <c r="CO30" i="2" s="1"/>
  <c r="M30" i="2"/>
  <c r="EI30" i="2" s="1"/>
  <c r="L30" i="2"/>
  <c r="EH30" i="2" s="1"/>
  <c r="K30" i="2"/>
  <c r="BH30" i="2" s="1"/>
  <c r="J30" i="2"/>
  <c r="AR30" i="2" s="1"/>
  <c r="EU29" i="2"/>
  <c r="EW29" i="2" s="1"/>
  <c r="AB29" i="2"/>
  <c r="AA29" i="2"/>
  <c r="Z29" i="2"/>
  <c r="Y29" i="2"/>
  <c r="X29" i="2"/>
  <c r="ET29" i="2" s="1"/>
  <c r="W29" i="2"/>
  <c r="CI29" i="2" s="1"/>
  <c r="V29" i="2"/>
  <c r="DL29" i="2" s="1"/>
  <c r="U29" i="2"/>
  <c r="EQ29" i="2" s="1"/>
  <c r="T29" i="2"/>
  <c r="CU29" i="2" s="1"/>
  <c r="S29" i="2"/>
  <c r="EO29" i="2" s="1"/>
  <c r="R29" i="2"/>
  <c r="EN29" i="2" s="1"/>
  <c r="Q29" i="2"/>
  <c r="DG29" i="2" s="1"/>
  <c r="P29" i="2"/>
  <c r="EL29" i="2" s="1"/>
  <c r="O29" i="2"/>
  <c r="BL29" i="2" s="1"/>
  <c r="N29" i="2"/>
  <c r="BK29" i="2" s="1"/>
  <c r="M29" i="2"/>
  <c r="CN29" i="2" s="1"/>
  <c r="L29" i="2"/>
  <c r="BX29" i="2" s="1"/>
  <c r="K29" i="2"/>
  <c r="CL29" i="2" s="1"/>
  <c r="J29" i="2"/>
  <c r="AR29" i="2" s="1"/>
  <c r="EU28" i="2"/>
  <c r="EW28" i="2" s="1"/>
  <c r="AB28" i="2"/>
  <c r="AA28" i="2"/>
  <c r="Z28" i="2"/>
  <c r="Y28" i="2"/>
  <c r="X28" i="2"/>
  <c r="BU28" i="2" s="1"/>
  <c r="W28" i="2"/>
  <c r="CI28" i="2" s="1"/>
  <c r="V28" i="2"/>
  <c r="CW28" i="2" s="1"/>
  <c r="U28" i="2"/>
  <c r="BC28" i="2" s="1"/>
  <c r="T28" i="2"/>
  <c r="BB28" i="2" s="1"/>
  <c r="S28" i="2"/>
  <c r="BA28" i="2" s="1"/>
  <c r="R28" i="2"/>
  <c r="AZ28" i="2" s="1"/>
  <c r="Q28" i="2"/>
  <c r="EM28" i="2" s="1"/>
  <c r="P28" i="2"/>
  <c r="DF28" i="2" s="1"/>
  <c r="O28" i="2"/>
  <c r="EK28" i="2" s="1"/>
  <c r="N28" i="2"/>
  <c r="EJ28" i="2" s="1"/>
  <c r="M28" i="2"/>
  <c r="EI28" i="2" s="1"/>
  <c r="L28" i="2"/>
  <c r="BX28" i="2" s="1"/>
  <c r="K28" i="2"/>
  <c r="CL28" i="2" s="1"/>
  <c r="J28" i="2"/>
  <c r="EF28" i="2" s="1"/>
  <c r="EU27" i="2"/>
  <c r="EW27" i="2" s="1"/>
  <c r="AB27" i="2"/>
  <c r="AA27" i="2"/>
  <c r="Z27" i="2"/>
  <c r="Y27" i="2"/>
  <c r="X27" i="2"/>
  <c r="CJ27" i="2" s="1"/>
  <c r="W27" i="2"/>
  <c r="BE27" i="2" s="1"/>
  <c r="V27" i="2"/>
  <c r="ER27" i="2" s="1"/>
  <c r="U27" i="2"/>
  <c r="AN27" i="2" s="1"/>
  <c r="T27" i="2"/>
  <c r="DJ27" i="2" s="1"/>
  <c r="S27" i="2"/>
  <c r="EO27" i="2" s="1"/>
  <c r="R27" i="2"/>
  <c r="BO27" i="2" s="1"/>
  <c r="Q27" i="2"/>
  <c r="EM27" i="2" s="1"/>
  <c r="P27" i="2"/>
  <c r="BM27" i="2" s="1"/>
  <c r="O27" i="2"/>
  <c r="EK27" i="2" s="1"/>
  <c r="N27" i="2"/>
  <c r="EJ27" i="2" s="1"/>
  <c r="M27" i="2"/>
  <c r="DC27" i="2" s="1"/>
  <c r="L27" i="2"/>
  <c r="CM27" i="2" s="1"/>
  <c r="K27" i="2"/>
  <c r="DA27" i="2" s="1"/>
  <c r="J27" i="2"/>
  <c r="BG27" i="2" s="1"/>
  <c r="EU26" i="2"/>
  <c r="EW26" i="2" s="1"/>
  <c r="BK26" i="2"/>
  <c r="AV26" i="2"/>
  <c r="AB26" i="2"/>
  <c r="AA26" i="2"/>
  <c r="Z26" i="2"/>
  <c r="Y26" i="2"/>
  <c r="X26" i="2"/>
  <c r="ET26" i="2" s="1"/>
  <c r="W26" i="2"/>
  <c r="DM26" i="2" s="1"/>
  <c r="V26" i="2"/>
  <c r="U26" i="2"/>
  <c r="CV26" i="2" s="1"/>
  <c r="T26" i="2"/>
  <c r="EP26" i="2" s="1"/>
  <c r="S26" i="2"/>
  <c r="BP26" i="2" s="1"/>
  <c r="R26" i="2"/>
  <c r="EN26" i="2" s="1"/>
  <c r="Q26" i="2"/>
  <c r="AY26" i="2" s="1"/>
  <c r="P26" i="2"/>
  <c r="BM26" i="2" s="1"/>
  <c r="O26" i="2"/>
  <c r="CA26" i="2" s="1"/>
  <c r="N26" i="2"/>
  <c r="CO26" i="2" s="1"/>
  <c r="M26" i="2"/>
  <c r="EI26" i="2" s="1"/>
  <c r="L26" i="2"/>
  <c r="CM26" i="2" s="1"/>
  <c r="K26" i="2"/>
  <c r="EG26" i="2" s="1"/>
  <c r="J26" i="2"/>
  <c r="EU25" i="2"/>
  <c r="EW25" i="2" s="1"/>
  <c r="ET25" i="2"/>
  <c r="AB25" i="2"/>
  <c r="AA25" i="2"/>
  <c r="Z25" i="2"/>
  <c r="Y25" i="2"/>
  <c r="X25" i="2"/>
  <c r="BU25" i="2" s="1"/>
  <c r="W25" i="2"/>
  <c r="CX25" i="2" s="1"/>
  <c r="V25" i="2"/>
  <c r="ER25" i="2" s="1"/>
  <c r="U25" i="2"/>
  <c r="DK25" i="2" s="1"/>
  <c r="T25" i="2"/>
  <c r="AM25" i="2" s="1"/>
  <c r="S25" i="2"/>
  <c r="BA25" i="2" s="1"/>
  <c r="R25" i="2"/>
  <c r="CS25" i="2" s="1"/>
  <c r="Q25" i="2"/>
  <c r="EM25" i="2" s="1"/>
  <c r="P25" i="2"/>
  <c r="EL25" i="2" s="1"/>
  <c r="O25" i="2"/>
  <c r="DE25" i="2" s="1"/>
  <c r="N25" i="2"/>
  <c r="M25" i="2"/>
  <c r="BJ25" i="2" s="1"/>
  <c r="L25" i="2"/>
  <c r="EH25" i="2" s="1"/>
  <c r="K25" i="2"/>
  <c r="CL25" i="2" s="1"/>
  <c r="J25" i="2"/>
  <c r="EF25" i="2" s="1"/>
  <c r="EU24" i="2"/>
  <c r="EW24" i="2" s="1"/>
  <c r="CX24" i="2"/>
  <c r="AT24" i="2"/>
  <c r="AB24" i="2"/>
  <c r="AA24" i="2"/>
  <c r="Z24" i="2"/>
  <c r="Y24" i="2"/>
  <c r="X24" i="2"/>
  <c r="ET24" i="2" s="1"/>
  <c r="W24" i="2"/>
  <c r="BT24" i="2" s="1"/>
  <c r="V24" i="2"/>
  <c r="CH24" i="2" s="1"/>
  <c r="U24" i="2"/>
  <c r="CV24" i="2" s="1"/>
  <c r="T24" i="2"/>
  <c r="CU24" i="2" s="1"/>
  <c r="S24" i="2"/>
  <c r="AL24" i="2" s="1"/>
  <c r="R24" i="2"/>
  <c r="EN24" i="2" s="1"/>
  <c r="Q24" i="2"/>
  <c r="AY24" i="2" s="1"/>
  <c r="P24" i="2"/>
  <c r="AX24" i="2" s="1"/>
  <c r="O24" i="2"/>
  <c r="EK24" i="2" s="1"/>
  <c r="N24" i="2"/>
  <c r="CO24" i="2" s="1"/>
  <c r="M24" i="2"/>
  <c r="EI24" i="2" s="1"/>
  <c r="L24" i="2"/>
  <c r="EH24" i="2" s="1"/>
  <c r="K24" i="2"/>
  <c r="DA24" i="2" s="1"/>
  <c r="J24" i="2"/>
  <c r="EF24" i="2" s="1"/>
  <c r="EU23" i="2"/>
  <c r="EW23" i="2" s="1"/>
  <c r="CD23" i="2"/>
  <c r="AF23" i="2"/>
  <c r="AB23" i="2"/>
  <c r="AA23" i="2"/>
  <c r="Z23" i="2"/>
  <c r="Y23" i="2"/>
  <c r="X23" i="2"/>
  <c r="BF23" i="2" s="1"/>
  <c r="W23" i="2"/>
  <c r="BE23" i="2" s="1"/>
  <c r="V23" i="2"/>
  <c r="BD23" i="2" s="1"/>
  <c r="U23" i="2"/>
  <c r="EQ23" i="2" s="1"/>
  <c r="T23" i="2"/>
  <c r="DJ23" i="2" s="1"/>
  <c r="S23" i="2"/>
  <c r="EO23" i="2" s="1"/>
  <c r="R23" i="2"/>
  <c r="EN23" i="2" s="1"/>
  <c r="Q23" i="2"/>
  <c r="EM23" i="2" s="1"/>
  <c r="P23" i="2"/>
  <c r="EL23" i="2" s="1"/>
  <c r="O23" i="2"/>
  <c r="CP23" i="2" s="1"/>
  <c r="N23" i="2"/>
  <c r="EJ23" i="2" s="1"/>
  <c r="M23" i="2"/>
  <c r="EI23" i="2" s="1"/>
  <c r="L23" i="2"/>
  <c r="CM23" i="2" s="1"/>
  <c r="K23" i="2"/>
  <c r="AD23" i="2" s="1"/>
  <c r="J23" i="2"/>
  <c r="EF23" i="2" s="1"/>
  <c r="EU22" i="2"/>
  <c r="EW22" i="2" s="1"/>
  <c r="BG22" i="2"/>
  <c r="AB22" i="2"/>
  <c r="AA22" i="2"/>
  <c r="Z22" i="2"/>
  <c r="Y22" i="2"/>
  <c r="X22" i="2"/>
  <c r="ET22" i="2" s="1"/>
  <c r="W22" i="2"/>
  <c r="BE22" i="2" s="1"/>
  <c r="V22" i="2"/>
  <c r="ER22" i="2" s="1"/>
  <c r="U22" i="2"/>
  <c r="DK22" i="2" s="1"/>
  <c r="T22" i="2"/>
  <c r="CF22" i="2" s="1"/>
  <c r="S22" i="2"/>
  <c r="CE22" i="2" s="1"/>
  <c r="R22" i="2"/>
  <c r="AK22" i="2" s="1"/>
  <c r="Q22" i="2"/>
  <c r="DG22" i="2" s="1"/>
  <c r="P22" i="2"/>
  <c r="DF22" i="2" s="1"/>
  <c r="O22" i="2"/>
  <c r="DE22" i="2" s="1"/>
  <c r="N22" i="2"/>
  <c r="EJ22" i="2" s="1"/>
  <c r="M22" i="2"/>
  <c r="DC22" i="2" s="1"/>
  <c r="L22" i="2"/>
  <c r="EH22" i="2" s="1"/>
  <c r="K22" i="2"/>
  <c r="BH22" i="2" s="1"/>
  <c r="J22" i="2"/>
  <c r="EF22" i="2" s="1"/>
  <c r="EU21" i="2"/>
  <c r="EW21" i="2" s="1"/>
  <c r="AB21" i="2"/>
  <c r="AA21" i="2"/>
  <c r="Z21" i="2"/>
  <c r="Y21" i="2"/>
  <c r="X21" i="2"/>
  <c r="ET21" i="2" s="1"/>
  <c r="W21" i="2"/>
  <c r="ES21" i="2" s="1"/>
  <c r="V21" i="2"/>
  <c r="CW21" i="2" s="1"/>
  <c r="U21" i="2"/>
  <c r="EQ21" i="2" s="1"/>
  <c r="T21" i="2"/>
  <c r="S21" i="2"/>
  <c r="AL21" i="2" s="1"/>
  <c r="R21" i="2"/>
  <c r="EN21" i="2" s="1"/>
  <c r="Q21" i="2"/>
  <c r="AY21" i="2" s="1"/>
  <c r="P21" i="2"/>
  <c r="EL21" i="2" s="1"/>
  <c r="O21" i="2"/>
  <c r="N21" i="2"/>
  <c r="EJ21" i="2" s="1"/>
  <c r="M21" i="2"/>
  <c r="DC21" i="2" s="1"/>
  <c r="L21" i="2"/>
  <c r="AT21" i="2" s="1"/>
  <c r="K21" i="2"/>
  <c r="BW21" i="2" s="1"/>
  <c r="J21" i="2"/>
  <c r="AR21" i="2" s="1"/>
  <c r="EU20" i="2"/>
  <c r="EW20" i="2" s="1"/>
  <c r="AB20" i="2"/>
  <c r="AA20" i="2"/>
  <c r="Z20" i="2"/>
  <c r="Y20" i="2"/>
  <c r="X20" i="2"/>
  <c r="W20" i="2"/>
  <c r="ES20" i="2" s="1"/>
  <c r="V20" i="2"/>
  <c r="U20" i="2"/>
  <c r="DK20" i="2" s="1"/>
  <c r="T20" i="2"/>
  <c r="BB20" i="2" s="1"/>
  <c r="S20" i="2"/>
  <c r="CT20" i="2" s="1"/>
  <c r="R20" i="2"/>
  <c r="CD20" i="2" s="1"/>
  <c r="Q20" i="2"/>
  <c r="AJ20" i="2" s="1"/>
  <c r="P20" i="2"/>
  <c r="AI20" i="2" s="1"/>
  <c r="O20" i="2"/>
  <c r="CA20" i="2" s="1"/>
  <c r="N20" i="2"/>
  <c r="EJ20" i="2" s="1"/>
  <c r="M20" i="2"/>
  <c r="EI20" i="2" s="1"/>
  <c r="L20" i="2"/>
  <c r="K20" i="2"/>
  <c r="DA20" i="2" s="1"/>
  <c r="J20" i="2"/>
  <c r="EU19" i="2"/>
  <c r="EW19" i="2" s="1"/>
  <c r="AB19" i="2"/>
  <c r="AA19" i="2"/>
  <c r="Z19" i="2"/>
  <c r="Y19" i="2"/>
  <c r="X19" i="2"/>
  <c r="DN19" i="2" s="1"/>
  <c r="W19" i="2"/>
  <c r="ES19" i="2" s="1"/>
  <c r="V19" i="2"/>
  <c r="AO19" i="2" s="1"/>
  <c r="U19" i="2"/>
  <c r="BR19" i="2" s="1"/>
  <c r="T19" i="2"/>
  <c r="EP19" i="2" s="1"/>
  <c r="S19" i="2"/>
  <c r="CE19" i="2" s="1"/>
  <c r="R19" i="2"/>
  <c r="AK19" i="2" s="1"/>
  <c r="Q19" i="2"/>
  <c r="AJ19" i="2" s="1"/>
  <c r="P19" i="2"/>
  <c r="O19" i="2"/>
  <c r="CA19" i="2" s="1"/>
  <c r="N19" i="2"/>
  <c r="BZ19" i="2" s="1"/>
  <c r="M19" i="2"/>
  <c r="DC19" i="2" s="1"/>
  <c r="L19" i="2"/>
  <c r="BI19" i="2" s="1"/>
  <c r="K19" i="2"/>
  <c r="DA19" i="2" s="1"/>
  <c r="J19" i="2"/>
  <c r="BV19" i="2" s="1"/>
  <c r="EU18" i="2"/>
  <c r="EV18" i="2" s="1"/>
  <c r="A18" i="2" s="1"/>
  <c r="AB18" i="2"/>
  <c r="AA18" i="2"/>
  <c r="Z18" i="2"/>
  <c r="Y18" i="2"/>
  <c r="X18" i="2"/>
  <c r="ET18" i="2" s="1"/>
  <c r="W18" i="2"/>
  <c r="CX18" i="2" s="1"/>
  <c r="V18" i="2"/>
  <c r="CW18" i="2" s="1"/>
  <c r="U18" i="2"/>
  <c r="CV18" i="2" s="1"/>
  <c r="T18" i="2"/>
  <c r="CU18" i="2" s="1"/>
  <c r="S18" i="2"/>
  <c r="DI18" i="2" s="1"/>
  <c r="R18" i="2"/>
  <c r="Q18" i="2"/>
  <c r="BN18" i="2" s="1"/>
  <c r="P18" i="2"/>
  <c r="BM18" i="2" s="1"/>
  <c r="O18" i="2"/>
  <c r="DE18" i="2" s="1"/>
  <c r="N18" i="2"/>
  <c r="EJ18" i="2" s="1"/>
  <c r="M18" i="2"/>
  <c r="BY18" i="2" s="1"/>
  <c r="L18" i="2"/>
  <c r="EH18" i="2" s="1"/>
  <c r="K18" i="2"/>
  <c r="CL18" i="2" s="1"/>
  <c r="J18" i="2"/>
  <c r="CK18" i="2" s="1"/>
  <c r="EU17" i="2"/>
  <c r="EW17" i="2" s="1"/>
  <c r="AB17" i="2"/>
  <c r="AA17" i="2"/>
  <c r="Z17" i="2"/>
  <c r="Y17" i="2"/>
  <c r="X17" i="2"/>
  <c r="DN17" i="2" s="1"/>
  <c r="W17" i="2"/>
  <c r="DM17" i="2" s="1"/>
  <c r="V17" i="2"/>
  <c r="DL17" i="2" s="1"/>
  <c r="U17" i="2"/>
  <c r="CV17" i="2" s="1"/>
  <c r="T17" i="2"/>
  <c r="S17" i="2"/>
  <c r="BP17" i="2" s="1"/>
  <c r="R17" i="2"/>
  <c r="EN17" i="2" s="1"/>
  <c r="Q17" i="2"/>
  <c r="EM17" i="2" s="1"/>
  <c r="P17" i="2"/>
  <c r="EL17" i="2" s="1"/>
  <c r="O17" i="2"/>
  <c r="BL17" i="2" s="1"/>
  <c r="N17" i="2"/>
  <c r="CO17" i="2" s="1"/>
  <c r="M17" i="2"/>
  <c r="L17" i="2"/>
  <c r="DB17" i="2" s="1"/>
  <c r="K17" i="2"/>
  <c r="DA17" i="2" s="1"/>
  <c r="J17" i="2"/>
  <c r="AR17" i="2" s="1"/>
  <c r="EU16" i="2"/>
  <c r="EW16" i="2" s="1"/>
  <c r="DK16" i="2"/>
  <c r="AB16" i="2"/>
  <c r="AA16" i="2"/>
  <c r="Z16" i="2"/>
  <c r="Y16" i="2"/>
  <c r="X16" i="2"/>
  <c r="BU16" i="2" s="1"/>
  <c r="W16" i="2"/>
  <c r="BT16" i="2" s="1"/>
  <c r="V16" i="2"/>
  <c r="ER16" i="2" s="1"/>
  <c r="U16" i="2"/>
  <c r="AN16" i="2" s="1"/>
  <c r="T16" i="2"/>
  <c r="EP16" i="2" s="1"/>
  <c r="S16" i="2"/>
  <c r="DI16" i="2" s="1"/>
  <c r="R16" i="2"/>
  <c r="CS16" i="2" s="1"/>
  <c r="Q16" i="2"/>
  <c r="CR16" i="2" s="1"/>
  <c r="P16" i="2"/>
  <c r="O16" i="2"/>
  <c r="DE16" i="2" s="1"/>
  <c r="N16" i="2"/>
  <c r="M16" i="2"/>
  <c r="CN16" i="2" s="1"/>
  <c r="L16" i="2"/>
  <c r="BI16" i="2" s="1"/>
  <c r="K16" i="2"/>
  <c r="BH16" i="2" s="1"/>
  <c r="J16" i="2"/>
  <c r="EF16" i="2" s="1"/>
  <c r="EU15" i="2"/>
  <c r="EV15" i="2" s="1"/>
  <c r="A15" i="2" s="1"/>
  <c r="AB15" i="2"/>
  <c r="AA15" i="2"/>
  <c r="Z15" i="2"/>
  <c r="Y15" i="2"/>
  <c r="X15" i="2"/>
  <c r="ET15" i="2" s="1"/>
  <c r="W15" i="2"/>
  <c r="CI15" i="2" s="1"/>
  <c r="V15" i="2"/>
  <c r="CW15" i="2" s="1"/>
  <c r="U15" i="2"/>
  <c r="T15" i="2"/>
  <c r="DJ15" i="2" s="1"/>
  <c r="S15" i="2"/>
  <c r="DI15" i="2" s="1"/>
  <c r="R15" i="2"/>
  <c r="CD15" i="2" s="1"/>
  <c r="Q15" i="2"/>
  <c r="BN15" i="2" s="1"/>
  <c r="P15" i="2"/>
  <c r="O15" i="2"/>
  <c r="CA15" i="2" s="1"/>
  <c r="N15" i="2"/>
  <c r="EJ15" i="2" s="1"/>
  <c r="M15" i="2"/>
  <c r="BJ15" i="2" s="1"/>
  <c r="L15" i="2"/>
  <c r="EH15" i="2" s="1"/>
  <c r="K15" i="2"/>
  <c r="EG15" i="2" s="1"/>
  <c r="J15" i="2"/>
  <c r="CK15" i="2" s="1"/>
  <c r="EU14" i="2"/>
  <c r="EV14" i="2" s="1"/>
  <c r="A14" i="2" s="1"/>
  <c r="AB14" i="2"/>
  <c r="AA14" i="2"/>
  <c r="Z14" i="2"/>
  <c r="Y14" i="2"/>
  <c r="X14" i="2"/>
  <c r="CJ14" i="2" s="1"/>
  <c r="W14" i="2"/>
  <c r="DM14" i="2" s="1"/>
  <c r="V14" i="2"/>
  <c r="CW14" i="2" s="1"/>
  <c r="U14" i="2"/>
  <c r="BR14" i="2" s="1"/>
  <c r="T14" i="2"/>
  <c r="BQ14" i="2" s="1"/>
  <c r="S14" i="2"/>
  <c r="R14" i="2"/>
  <c r="EN14" i="2" s="1"/>
  <c r="Q14" i="2"/>
  <c r="AJ14" i="2" s="1"/>
  <c r="P14" i="2"/>
  <c r="DF14" i="2" s="1"/>
  <c r="O14" i="2"/>
  <c r="AW14" i="2" s="1"/>
  <c r="N14" i="2"/>
  <c r="CO14" i="2" s="1"/>
  <c r="M14" i="2"/>
  <c r="CN14" i="2" s="1"/>
  <c r="L14" i="2"/>
  <c r="CM14" i="2" s="1"/>
  <c r="K14" i="2"/>
  <c r="DA14" i="2" s="1"/>
  <c r="J14" i="2"/>
  <c r="CK14" i="2" s="1"/>
  <c r="EU13" i="2"/>
  <c r="EW13" i="2" s="1"/>
  <c r="AB13" i="2"/>
  <c r="AA13" i="2"/>
  <c r="Z13" i="2"/>
  <c r="Y13" i="2"/>
  <c r="X13" i="2"/>
  <c r="DN13" i="2" s="1"/>
  <c r="W13" i="2"/>
  <c r="CX13" i="2" s="1"/>
  <c r="V13" i="2"/>
  <c r="ER13" i="2" s="1"/>
  <c r="U13" i="2"/>
  <c r="EQ13" i="2" s="1"/>
  <c r="T13" i="2"/>
  <c r="EP13" i="2" s="1"/>
  <c r="S13" i="2"/>
  <c r="CT13" i="2" s="1"/>
  <c r="R13" i="2"/>
  <c r="AZ13" i="2" s="1"/>
  <c r="Q13" i="2"/>
  <c r="P13" i="2"/>
  <c r="AX13" i="2" s="1"/>
  <c r="O13" i="2"/>
  <c r="CP13" i="2" s="1"/>
  <c r="N13" i="2"/>
  <c r="AV13" i="2" s="1"/>
  <c r="M13" i="2"/>
  <c r="DC13" i="2" s="1"/>
  <c r="L13" i="2"/>
  <c r="DB13" i="2" s="1"/>
  <c r="K13" i="2"/>
  <c r="CL13" i="2" s="1"/>
  <c r="J13" i="2"/>
  <c r="AC13" i="2" s="1"/>
  <c r="AB12" i="2"/>
  <c r="Z12" i="2"/>
  <c r="Y12" i="2"/>
  <c r="X12" i="2"/>
  <c r="BU12" i="2" s="1"/>
  <c r="W12" i="2"/>
  <c r="ES12" i="2" s="1"/>
  <c r="V12" i="2"/>
  <c r="CW12" i="2" s="1"/>
  <c r="U12" i="2"/>
  <c r="CV12" i="2" s="1"/>
  <c r="T12" i="2"/>
  <c r="DJ12" i="2" s="1"/>
  <c r="S12" i="2"/>
  <c r="CT12" i="2" s="1"/>
  <c r="R12" i="2"/>
  <c r="Q12" i="2"/>
  <c r="DG12" i="2" s="1"/>
  <c r="P12" i="2"/>
  <c r="DF12" i="2" s="1"/>
  <c r="O12" i="2"/>
  <c r="CP12" i="2" s="1"/>
  <c r="N12" i="2"/>
  <c r="M12" i="2"/>
  <c r="L12" i="2"/>
  <c r="BI12" i="2" s="1"/>
  <c r="K12" i="2"/>
  <c r="EG12" i="2" s="1"/>
  <c r="J12" i="2"/>
  <c r="EF12" i="2" s="1"/>
  <c r="AB11" i="2"/>
  <c r="X11" i="2"/>
  <c r="CY11" i="2" s="1"/>
  <c r="W11" i="2"/>
  <c r="CX11" i="2" s="1"/>
  <c r="V11" i="2"/>
  <c r="U11" i="2"/>
  <c r="DK11" i="2" s="1"/>
  <c r="T11" i="2"/>
  <c r="DJ11" i="2" s="1"/>
  <c r="S11" i="2"/>
  <c r="CT11" i="2" s="1"/>
  <c r="R11" i="2"/>
  <c r="AZ11" i="2" s="1"/>
  <c r="Q11" i="2"/>
  <c r="BN11" i="2" s="1"/>
  <c r="P11" i="2"/>
  <c r="EL11" i="2" s="1"/>
  <c r="O11" i="2"/>
  <c r="EK11" i="2" s="1"/>
  <c r="N11" i="2"/>
  <c r="CO11" i="2" s="1"/>
  <c r="M11" i="2"/>
  <c r="AU11" i="2" s="1"/>
  <c r="L11" i="2"/>
  <c r="CM11" i="2" s="1"/>
  <c r="K11" i="2"/>
  <c r="CL11" i="2" s="1"/>
  <c r="J11" i="2"/>
  <c r="AR11" i="2" s="1"/>
  <c r="X10" i="2"/>
  <c r="W10" i="2"/>
  <c r="DM10" i="2" s="1"/>
  <c r="V10" i="2"/>
  <c r="CW10" i="2" s="1"/>
  <c r="U10" i="2"/>
  <c r="T10" i="2"/>
  <c r="S10" i="2"/>
  <c r="EO10" i="2" s="1"/>
  <c r="R10" i="2"/>
  <c r="BO10" i="2" s="1"/>
  <c r="Q10" i="2"/>
  <c r="EM10" i="2" s="1"/>
  <c r="P10" i="2"/>
  <c r="EL10" i="2" s="1"/>
  <c r="O10" i="2"/>
  <c r="CP10" i="2" s="1"/>
  <c r="N10" i="2"/>
  <c r="CO10" i="2" s="1"/>
  <c r="M10" i="2"/>
  <c r="BY10" i="2" s="1"/>
  <c r="L10" i="2"/>
  <c r="AT10" i="2" s="1"/>
  <c r="K10" i="2"/>
  <c r="AS10" i="2" s="1"/>
  <c r="J10" i="2"/>
  <c r="BG10" i="2" s="1"/>
  <c r="AC9" i="2"/>
  <c r="AB9" i="2"/>
  <c r="X9" i="2"/>
  <c r="BU9" i="2" s="1"/>
  <c r="W9" i="2"/>
  <c r="ES9" i="2" s="1"/>
  <c r="V9" i="2"/>
  <c r="ER9" i="2" s="1"/>
  <c r="U9" i="2"/>
  <c r="EQ9" i="2" s="1"/>
  <c r="T9" i="2"/>
  <c r="CU9" i="2" s="1"/>
  <c r="S9" i="2"/>
  <c r="CT9" i="2" s="1"/>
  <c r="R9" i="2"/>
  <c r="BO9" i="2" s="1"/>
  <c r="Q9" i="2"/>
  <c r="P9" i="2"/>
  <c r="DF9" i="2" s="1"/>
  <c r="O9" i="2"/>
  <c r="BL9" i="2" s="1"/>
  <c r="N9" i="2"/>
  <c r="CO9" i="2" s="1"/>
  <c r="M9" i="2"/>
  <c r="BJ9" i="2" s="1"/>
  <c r="L9" i="2"/>
  <c r="BI9" i="2" s="1"/>
  <c r="K9" i="2"/>
  <c r="EG9" i="2" s="1"/>
  <c r="J9" i="2"/>
  <c r="BG9" i="2" s="1"/>
  <c r="AB8" i="2"/>
  <c r="X8" i="2"/>
  <c r="CY8" i="2" s="1"/>
  <c r="W8" i="2"/>
  <c r="CX8" i="2" s="1"/>
  <c r="V8" i="2"/>
  <c r="BD8" i="2" s="1"/>
  <c r="U8" i="2"/>
  <c r="DK8" i="2" s="1"/>
  <c r="T8" i="2"/>
  <c r="DJ8" i="2" s="1"/>
  <c r="S8" i="2"/>
  <c r="EO8" i="2" s="1"/>
  <c r="R8" i="2"/>
  <c r="CS8" i="2" s="1"/>
  <c r="Q8" i="2"/>
  <c r="BN8" i="2" s="1"/>
  <c r="P8" i="2"/>
  <c r="BM8" i="2" s="1"/>
  <c r="O8" i="2"/>
  <c r="EK8" i="2" s="1"/>
  <c r="N8" i="2"/>
  <c r="CO8" i="2" s="1"/>
  <c r="M8" i="2"/>
  <c r="L8" i="2"/>
  <c r="CM8" i="2" s="1"/>
  <c r="K8" i="2"/>
  <c r="CL8" i="2" s="1"/>
  <c r="J8" i="2"/>
  <c r="AB7" i="2"/>
  <c r="X7" i="2"/>
  <c r="BF7" i="2" s="1"/>
  <c r="W7" i="2"/>
  <c r="DM7" i="2" s="1"/>
  <c r="V7" i="2"/>
  <c r="AO7" i="2" s="1"/>
  <c r="U7" i="2"/>
  <c r="T7" i="2"/>
  <c r="DJ7" i="2" s="1"/>
  <c r="S7" i="2"/>
  <c r="R7" i="2"/>
  <c r="CS7" i="2" s="1"/>
  <c r="Q7" i="2"/>
  <c r="AJ7" i="2" s="1"/>
  <c r="P7" i="2"/>
  <c r="O7" i="2"/>
  <c r="CP7" i="2" s="1"/>
  <c r="N7" i="2"/>
  <c r="CO7" i="2" s="1"/>
  <c r="M7" i="2"/>
  <c r="CN7" i="2" s="1"/>
  <c r="L7" i="2"/>
  <c r="DB7" i="2" s="1"/>
  <c r="K7" i="2"/>
  <c r="BW7" i="2" s="1"/>
  <c r="J7" i="2"/>
  <c r="AB6" i="2"/>
  <c r="X6" i="2"/>
  <c r="AQ6" i="2" s="1"/>
  <c r="W6" i="2"/>
  <c r="DM6" i="2" s="1"/>
  <c r="V6" i="2"/>
  <c r="DL6" i="2" s="1"/>
  <c r="U6" i="2"/>
  <c r="CV6" i="2" s="1"/>
  <c r="T6" i="2"/>
  <c r="AM6" i="2" s="1"/>
  <c r="S6" i="2"/>
  <c r="DI6" i="2" s="1"/>
  <c r="R6" i="2"/>
  <c r="AZ6" i="2" s="1"/>
  <c r="Q6" i="2"/>
  <c r="P6" i="2"/>
  <c r="BM6" i="2" s="1"/>
  <c r="O6" i="2"/>
  <c r="BL6" i="2" s="1"/>
  <c r="N6" i="2"/>
  <c r="CO6" i="2" s="1"/>
  <c r="M6" i="2"/>
  <c r="EI6" i="2" s="1"/>
  <c r="L6" i="2"/>
  <c r="EH6" i="2" s="1"/>
  <c r="K6" i="2"/>
  <c r="AS6" i="2" s="1"/>
  <c r="J6" i="2"/>
  <c r="EF6" i="2" s="1"/>
  <c r="AB5" i="2"/>
  <c r="X5" i="2"/>
  <c r="BU5" i="2" s="1"/>
  <c r="W5" i="2"/>
  <c r="ES5" i="2" s="1"/>
  <c r="V5" i="2"/>
  <c r="DL5" i="2" s="1"/>
  <c r="U5" i="2"/>
  <c r="CG5" i="2" s="1"/>
  <c r="T5" i="2"/>
  <c r="CU5" i="2" s="1"/>
  <c r="S5" i="2"/>
  <c r="BP5" i="2" s="1"/>
  <c r="R5" i="2"/>
  <c r="AK5" i="2" s="1"/>
  <c r="Q5" i="2"/>
  <c r="AJ5" i="2" s="1"/>
  <c r="P5" i="2"/>
  <c r="DF5" i="2" s="1"/>
  <c r="O5" i="2"/>
  <c r="N5" i="2"/>
  <c r="CO5" i="2" s="1"/>
  <c r="M5" i="2"/>
  <c r="CN5" i="2" s="1"/>
  <c r="L5" i="2"/>
  <c r="CM5" i="2" s="1"/>
  <c r="K5" i="2"/>
  <c r="CL5" i="2" s="1"/>
  <c r="J5" i="2"/>
  <c r="CZ5" i="2" s="1"/>
  <c r="BI8" i="2" l="1"/>
  <c r="EH8" i="2"/>
  <c r="BL31" i="2"/>
  <c r="EV25" i="2"/>
  <c r="A25" i="2" s="1"/>
  <c r="AE28" i="2"/>
  <c r="BQ31" i="2"/>
  <c r="CQ6" i="2"/>
  <c r="AL16" i="2"/>
  <c r="AT28" i="2"/>
  <c r="CE30" i="2"/>
  <c r="CL31" i="2"/>
  <c r="BR28" i="2"/>
  <c r="DL27" i="2"/>
  <c r="AU22" i="2"/>
  <c r="BG23" i="2"/>
  <c r="AG24" i="2"/>
  <c r="EP27" i="2"/>
  <c r="BV28" i="2"/>
  <c r="BP29" i="2"/>
  <c r="DE31" i="2"/>
  <c r="AT32" i="2"/>
  <c r="CI22" i="2"/>
  <c r="DC23" i="2"/>
  <c r="BE24" i="2"/>
  <c r="DH25" i="2"/>
  <c r="CY28" i="2"/>
  <c r="EK31" i="2"/>
  <c r="DK32" i="2"/>
  <c r="CU25" i="2"/>
  <c r="CJ28" i="2"/>
  <c r="ER23" i="2"/>
  <c r="BQ24" i="2"/>
  <c r="ER28" i="2"/>
  <c r="AL22" i="2"/>
  <c r="BB24" i="2"/>
  <c r="EK25" i="2"/>
  <c r="AK26" i="2"/>
  <c r="AJ29" i="2"/>
  <c r="BB29" i="2"/>
  <c r="BK18" i="2"/>
  <c r="BJ21" i="2"/>
  <c r="BT22" i="2"/>
  <c r="AU23" i="2"/>
  <c r="BX24" i="2"/>
  <c r="BA26" i="2"/>
  <c r="DN28" i="2"/>
  <c r="BN29" i="2"/>
  <c r="AG30" i="2"/>
  <c r="EJ31" i="2"/>
  <c r="AF32" i="2"/>
  <c r="AD9" i="2"/>
  <c r="EO22" i="2"/>
  <c r="BJ23" i="2"/>
  <c r="BT26" i="2"/>
  <c r="AO27" i="2"/>
  <c r="CM29" i="2"/>
  <c r="AX30" i="2"/>
  <c r="EM31" i="2"/>
  <c r="AU32" i="2"/>
  <c r="AN11" i="2"/>
  <c r="AP9" i="2"/>
  <c r="BM13" i="2"/>
  <c r="BK23" i="2"/>
  <c r="DB24" i="2"/>
  <c r="AH25" i="2"/>
  <c r="CX26" i="2"/>
  <c r="AR27" i="2"/>
  <c r="DJ29" i="2"/>
  <c r="BD30" i="2"/>
  <c r="BJ32" i="2"/>
  <c r="CM9" i="2"/>
  <c r="CQ13" i="2"/>
  <c r="BY23" i="2"/>
  <c r="DD24" i="2"/>
  <c r="AW25" i="2"/>
  <c r="DI26" i="2"/>
  <c r="CK27" i="2"/>
  <c r="CB30" i="2"/>
  <c r="BB31" i="2"/>
  <c r="CB32" i="2"/>
  <c r="CM24" i="2"/>
  <c r="AN8" i="2"/>
  <c r="ET9" i="2"/>
  <c r="CB23" i="2"/>
  <c r="DG24" i="2"/>
  <c r="BB25" i="2"/>
  <c r="EH26" i="2"/>
  <c r="DK27" i="2"/>
  <c r="EM24" i="2"/>
  <c r="CH25" i="2"/>
  <c r="BX8" i="2"/>
  <c r="CQ23" i="2"/>
  <c r="AJ24" i="2"/>
  <c r="CK25" i="2"/>
  <c r="EH27" i="2"/>
  <c r="BD28" i="2"/>
  <c r="DE30" i="2"/>
  <c r="CC31" i="2"/>
  <c r="DL16" i="2"/>
  <c r="AU20" i="2"/>
  <c r="AY22" i="2"/>
  <c r="DJ22" i="2"/>
  <c r="CR22" i="2"/>
  <c r="BF25" i="2"/>
  <c r="CV25" i="2"/>
  <c r="CV8" i="2"/>
  <c r="DA9" i="2"/>
  <c r="CQ11" i="2"/>
  <c r="CB20" i="2"/>
  <c r="AZ22" i="2"/>
  <c r="EM22" i="2"/>
  <c r="BC24" i="2"/>
  <c r="BL25" i="2"/>
  <c r="CW25" i="2"/>
  <c r="EQ26" i="2"/>
  <c r="AZ27" i="2"/>
  <c r="BF28" i="2"/>
  <c r="EH28" i="2"/>
  <c r="BT29" i="2"/>
  <c r="BG30" i="2"/>
  <c r="BZ31" i="2"/>
  <c r="BP31" i="2"/>
  <c r="EL20" i="2"/>
  <c r="DK24" i="2"/>
  <c r="BR25" i="2"/>
  <c r="CY25" i="2"/>
  <c r="BN26" i="2"/>
  <c r="BH27" i="2"/>
  <c r="BG28" i="2"/>
  <c r="EO28" i="2"/>
  <c r="BW29" i="2"/>
  <c r="BL30" i="2"/>
  <c r="AV32" i="2"/>
  <c r="DD8" i="2"/>
  <c r="CC15" i="2"/>
  <c r="BJ22" i="2"/>
  <c r="EP22" i="2"/>
  <c r="AI23" i="2"/>
  <c r="CY23" i="2"/>
  <c r="BG24" i="2"/>
  <c r="EG24" i="2"/>
  <c r="BS25" i="2"/>
  <c r="DC25" i="2"/>
  <c r="BQ26" i="2"/>
  <c r="BJ27" i="2"/>
  <c r="BI28" i="2"/>
  <c r="EQ28" i="2"/>
  <c r="AC29" i="2"/>
  <c r="CB29" i="2"/>
  <c r="BS30" i="2"/>
  <c r="CF31" i="2"/>
  <c r="AX32" i="2"/>
  <c r="AJ22" i="2"/>
  <c r="BD25" i="2"/>
  <c r="DH7" i="2"/>
  <c r="BV14" i="2"/>
  <c r="CX15" i="2"/>
  <c r="AO16" i="2"/>
  <c r="AE18" i="2"/>
  <c r="BN22" i="2"/>
  <c r="DA23" i="2"/>
  <c r="AC25" i="2"/>
  <c r="BY25" i="2"/>
  <c r="BL27" i="2"/>
  <c r="CD29" i="2"/>
  <c r="DM29" i="2"/>
  <c r="DG28" i="2"/>
  <c r="BP13" i="2"/>
  <c r="DG14" i="2"/>
  <c r="CY15" i="2"/>
  <c r="AR16" i="2"/>
  <c r="BC18" i="2"/>
  <c r="BO22" i="2"/>
  <c r="EV22" i="2"/>
  <c r="A22" i="2" s="1"/>
  <c r="AV23" i="2"/>
  <c r="DB23" i="2"/>
  <c r="BU24" i="2"/>
  <c r="EP24" i="2"/>
  <c r="AE25" i="2"/>
  <c r="CA25" i="2"/>
  <c r="DJ25" i="2"/>
  <c r="BW26" i="2"/>
  <c r="CH27" i="2"/>
  <c r="BS28" i="2"/>
  <c r="ET28" i="2"/>
  <c r="AK29" i="2"/>
  <c r="CK29" i="2"/>
  <c r="CO31" i="2"/>
  <c r="BY32" i="2"/>
  <c r="DH22" i="2"/>
  <c r="EP15" i="2"/>
  <c r="BD16" i="2"/>
  <c r="AL17" i="2"/>
  <c r="EQ24" i="2"/>
  <c r="CE25" i="2"/>
  <c r="DN25" i="2"/>
  <c r="CC26" i="2"/>
  <c r="AP29" i="2"/>
  <c r="CR30" i="2"/>
  <c r="BE29" i="2"/>
  <c r="AZ26" i="2"/>
  <c r="AK10" i="2"/>
  <c r="CR10" i="2"/>
  <c r="CW13" i="2"/>
  <c r="EW14" i="2"/>
  <c r="CW16" i="2"/>
  <c r="EO17" i="2"/>
  <c r="DM18" i="2"/>
  <c r="CD22" i="2"/>
  <c r="BH23" i="2"/>
  <c r="DF23" i="2"/>
  <c r="AE24" i="2"/>
  <c r="CC24" i="2"/>
  <c r="ER24" i="2"/>
  <c r="CG25" i="2"/>
  <c r="EI25" i="2"/>
  <c r="CI26" i="2"/>
  <c r="DF27" i="2"/>
  <c r="BZ28" i="2"/>
  <c r="EV28" i="2"/>
  <c r="A28" i="2" s="1"/>
  <c r="AS29" i="2"/>
  <c r="CS29" i="2"/>
  <c r="DB30" i="2"/>
  <c r="AF31" i="2"/>
  <c r="CR31" i="2"/>
  <c r="CE32" i="2"/>
  <c r="EG23" i="2"/>
  <c r="CR26" i="2"/>
  <c r="AT8" i="2"/>
  <c r="AE9" i="2"/>
  <c r="AM22" i="2"/>
  <c r="CX22" i="2"/>
  <c r="BT23" i="2"/>
  <c r="ES23" i="2"/>
  <c r="AS24" i="2"/>
  <c r="CY24" i="2"/>
  <c r="BC25" i="2"/>
  <c r="CP25" i="2"/>
  <c r="AW26" i="2"/>
  <c r="DG26" i="2"/>
  <c r="AI27" i="2"/>
  <c r="EF27" i="2"/>
  <c r="AR28" i="2"/>
  <c r="DB28" i="2"/>
  <c r="BH29" i="2"/>
  <c r="EG29" i="2"/>
  <c r="AO30" i="2"/>
  <c r="EK30" i="2"/>
  <c r="BN31" i="2"/>
  <c r="EH31" i="2"/>
  <c r="AP31" i="2"/>
  <c r="BT20" i="2"/>
  <c r="AH23" i="2"/>
  <c r="CU26" i="2"/>
  <c r="EJ26" i="2"/>
  <c r="AP27" i="2"/>
  <c r="CI27" i="2"/>
  <c r="DH27" i="2"/>
  <c r="ET27" i="2"/>
  <c r="AL28" i="2"/>
  <c r="CD28" i="2"/>
  <c r="AV29" i="2"/>
  <c r="CO29" i="2"/>
  <c r="AQ30" i="2"/>
  <c r="BI30" i="2"/>
  <c r="CD30" i="2"/>
  <c r="AS31" i="2"/>
  <c r="DM32" i="2"/>
  <c r="AT18" i="2"/>
  <c r="AN22" i="2"/>
  <c r="CL22" i="2"/>
  <c r="DM22" i="2"/>
  <c r="CH23" i="2"/>
  <c r="CE24" i="2"/>
  <c r="EK26" i="2"/>
  <c r="AQ27" i="2"/>
  <c r="AM28" i="2"/>
  <c r="CE28" i="2"/>
  <c r="AW29" i="2"/>
  <c r="CP29" i="2"/>
  <c r="EJ29" i="2"/>
  <c r="AS30" i="2"/>
  <c r="BJ30" i="2"/>
  <c r="AT31" i="2"/>
  <c r="CD32" i="2"/>
  <c r="DN32" i="2"/>
  <c r="AD6" i="2"/>
  <c r="DC7" i="2"/>
  <c r="AV11" i="2"/>
  <c r="BL14" i="2"/>
  <c r="AP22" i="2"/>
  <c r="EG22" i="2"/>
  <c r="AP23" i="2"/>
  <c r="CI23" i="2"/>
  <c r="EV23" i="2"/>
  <c r="A23" i="2" s="1"/>
  <c r="CF24" i="2"/>
  <c r="EO25" i="2"/>
  <c r="BZ26" i="2"/>
  <c r="DA26" i="2"/>
  <c r="EL26" i="2"/>
  <c r="CL27" i="2"/>
  <c r="EV27" i="2"/>
  <c r="A27" i="2" s="1"/>
  <c r="AN28" i="2"/>
  <c r="CG28" i="2"/>
  <c r="DI28" i="2"/>
  <c r="AY29" i="2"/>
  <c r="EK29" i="2"/>
  <c r="AT30" i="2"/>
  <c r="CJ30" i="2"/>
  <c r="DH30" i="2"/>
  <c r="AU31" i="2"/>
  <c r="EG32" i="2"/>
  <c r="AU6" i="2"/>
  <c r="AQ9" i="2"/>
  <c r="AC10" i="2"/>
  <c r="CE11" i="2"/>
  <c r="DH13" i="2"/>
  <c r="BS14" i="2"/>
  <c r="EW15" i="2"/>
  <c r="BP16" i="2"/>
  <c r="EV17" i="2"/>
  <c r="A17" i="2" s="1"/>
  <c r="BW18" i="2"/>
  <c r="AS22" i="2"/>
  <c r="BQ22" i="2"/>
  <c r="CS22" i="2"/>
  <c r="EK22" i="2"/>
  <c r="AQ23" i="2"/>
  <c r="BM23" i="2"/>
  <c r="CK23" i="2"/>
  <c r="DK23" i="2"/>
  <c r="AM24" i="2"/>
  <c r="BH24" i="2"/>
  <c r="CG24" i="2"/>
  <c r="DF24" i="2"/>
  <c r="ES24" i="2"/>
  <c r="AK25" i="2"/>
  <c r="BI25" i="2"/>
  <c r="DB25" i="2"/>
  <c r="EQ25" i="2"/>
  <c r="AD26" i="2"/>
  <c r="BC26" i="2"/>
  <c r="CB26" i="2"/>
  <c r="DB26" i="2"/>
  <c r="EM26" i="2"/>
  <c r="AS27" i="2"/>
  <c r="BS27" i="2"/>
  <c r="CN27" i="2"/>
  <c r="DM27" i="2"/>
  <c r="AO28" i="2"/>
  <c r="BK28" i="2"/>
  <c r="CH28" i="2"/>
  <c r="DJ28" i="2"/>
  <c r="AD29" i="2"/>
  <c r="AZ29" i="2"/>
  <c r="BY29" i="2"/>
  <c r="CW29" i="2"/>
  <c r="EM29" i="2"/>
  <c r="AU30" i="2"/>
  <c r="BM30" i="2"/>
  <c r="CM30" i="2"/>
  <c r="DI30" i="2"/>
  <c r="AV31" i="2"/>
  <c r="BR31" i="2"/>
  <c r="CU31" i="2"/>
  <c r="EN31" i="2"/>
  <c r="BE32" i="2"/>
  <c r="CI32" i="2"/>
  <c r="EI32" i="2"/>
  <c r="ET17" i="2"/>
  <c r="BE6" i="2"/>
  <c r="CK9" i="2"/>
  <c r="DI13" i="2"/>
  <c r="BS16" i="2"/>
  <c r="CA18" i="2"/>
  <c r="AL19" i="2"/>
  <c r="BR22" i="2"/>
  <c r="CT22" i="2"/>
  <c r="AS23" i="2"/>
  <c r="BO23" i="2"/>
  <c r="CL23" i="2"/>
  <c r="DM23" i="2"/>
  <c r="AN24" i="2"/>
  <c r="BJ24" i="2"/>
  <c r="CI24" i="2"/>
  <c r="CI25" i="2"/>
  <c r="AG26" i="2"/>
  <c r="BE26" i="2"/>
  <c r="DD26" i="2"/>
  <c r="AU27" i="2"/>
  <c r="BT27" i="2"/>
  <c r="CQ27" i="2"/>
  <c r="AP28" i="2"/>
  <c r="BO28" i="2"/>
  <c r="DK28" i="2"/>
  <c r="AG29" i="2"/>
  <c r="BZ29" i="2"/>
  <c r="CX29" i="2"/>
  <c r="EP29" i="2"/>
  <c r="AV30" i="2"/>
  <c r="BO30" i="2"/>
  <c r="CN30" i="2"/>
  <c r="DM30" i="2"/>
  <c r="AY31" i="2"/>
  <c r="BU31" i="2"/>
  <c r="DB31" i="2"/>
  <c r="EO31" i="2"/>
  <c r="BF32" i="2"/>
  <c r="CN32" i="2"/>
  <c r="EK32" i="2"/>
  <c r="ES27" i="2"/>
  <c r="EK7" i="2"/>
  <c r="AI5" i="2"/>
  <c r="BJ6" i="2"/>
  <c r="EN7" i="2"/>
  <c r="DE8" i="2"/>
  <c r="CL9" i="2"/>
  <c r="CD10" i="2"/>
  <c r="DB11" i="2"/>
  <c r="DL13" i="2"/>
  <c r="CC14" i="2"/>
  <c r="CU16" i="2"/>
  <c r="CY18" i="2"/>
  <c r="BD19" i="2"/>
  <c r="AG20" i="2"/>
  <c r="AX22" i="2"/>
  <c r="BS22" i="2"/>
  <c r="CU22" i="2"/>
  <c r="EN22" i="2"/>
  <c r="AT23" i="2"/>
  <c r="BS23" i="2"/>
  <c r="CN23" i="2"/>
  <c r="DN23" i="2"/>
  <c r="AP24" i="2"/>
  <c r="BN24" i="2"/>
  <c r="CJ24" i="2"/>
  <c r="DJ24" i="2"/>
  <c r="AN25" i="2"/>
  <c r="BP25" i="2"/>
  <c r="CJ25" i="2"/>
  <c r="AH26" i="2"/>
  <c r="BH26" i="2"/>
  <c r="CF26" i="2"/>
  <c r="DE26" i="2"/>
  <c r="ES26" i="2"/>
  <c r="AC27" i="2"/>
  <c r="AX27" i="2"/>
  <c r="BV27" i="2"/>
  <c r="CW27" i="2"/>
  <c r="EG27" i="2"/>
  <c r="AQ28" i="2"/>
  <c r="BP28" i="2"/>
  <c r="CM28" i="2"/>
  <c r="DL28" i="2"/>
  <c r="AH29" i="2"/>
  <c r="BD29" i="2"/>
  <c r="CA29" i="2"/>
  <c r="DA29" i="2"/>
  <c r="ES29" i="2"/>
  <c r="AE30" i="2"/>
  <c r="AW30" i="2"/>
  <c r="BP30" i="2"/>
  <c r="CP30" i="2"/>
  <c r="DN30" i="2"/>
  <c r="AD31" i="2"/>
  <c r="AZ31" i="2"/>
  <c r="BX31" i="2"/>
  <c r="DD31" i="2"/>
  <c r="ET31" i="2"/>
  <c r="BH32" i="2"/>
  <c r="CQ32" i="2"/>
  <c r="EL32" i="2"/>
  <c r="AD27" i="2"/>
  <c r="CS28" i="2"/>
  <c r="DD29" i="2"/>
  <c r="EN32" i="2"/>
  <c r="CZ10" i="2"/>
  <c r="DK14" i="2"/>
  <c r="AE15" i="2"/>
  <c r="DG16" i="2"/>
  <c r="BI17" i="2"/>
  <c r="EI18" i="2"/>
  <c r="CM19" i="2"/>
  <c r="BO20" i="2"/>
  <c r="AD22" i="2"/>
  <c r="BW22" i="2"/>
  <c r="DA22" i="2"/>
  <c r="BV23" i="2"/>
  <c r="CW23" i="2"/>
  <c r="BR24" i="2"/>
  <c r="CQ24" i="2"/>
  <c r="DM24" i="2"/>
  <c r="AQ25" i="2"/>
  <c r="CM25" i="2"/>
  <c r="AM26" i="2"/>
  <c r="BL26" i="2"/>
  <c r="CL26" i="2"/>
  <c r="EV26" i="2"/>
  <c r="A26" i="2" s="1"/>
  <c r="AE27" i="2"/>
  <c r="BC27" i="2"/>
  <c r="BX27" i="2"/>
  <c r="CY27" i="2"/>
  <c r="EI27" i="2"/>
  <c r="CT28" i="2"/>
  <c r="DE29" i="2"/>
  <c r="EV29" i="2"/>
  <c r="A29" i="2" s="1"/>
  <c r="AZ30" i="2"/>
  <c r="BU30" i="2"/>
  <c r="CS30" i="2"/>
  <c r="EN30" i="2"/>
  <c r="AG31" i="2"/>
  <c r="BF31" i="2"/>
  <c r="EV31" i="2"/>
  <c r="A31" i="2" s="1"/>
  <c r="AG32" i="2"/>
  <c r="BK32" i="2"/>
  <c r="CW32" i="2"/>
  <c r="CG22" i="2"/>
  <c r="EO11" i="2"/>
  <c r="BX19" i="2"/>
  <c r="BW27" i="2"/>
  <c r="CX27" i="2"/>
  <c r="CF5" i="2"/>
  <c r="DC6" i="2"/>
  <c r="DJ6" i="2"/>
  <c r="CX9" i="2"/>
  <c r="DH10" i="2"/>
  <c r="EF14" i="2"/>
  <c r="BH15" i="2"/>
  <c r="BN17" i="2"/>
  <c r="ER19" i="2"/>
  <c r="BZ20" i="2"/>
  <c r="AU21" i="2"/>
  <c r="AI22" i="2"/>
  <c r="BB22" i="2"/>
  <c r="CC22" i="2"/>
  <c r="EQ22" i="2"/>
  <c r="AC23" i="2"/>
  <c r="AX23" i="2"/>
  <c r="BW23" i="2"/>
  <c r="CX23" i="2"/>
  <c r="AV24" i="2"/>
  <c r="BS24" i="2"/>
  <c r="CR24" i="2"/>
  <c r="DN24" i="2"/>
  <c r="AT25" i="2"/>
  <c r="CN25" i="2"/>
  <c r="AN26" i="2"/>
  <c r="CN26" i="2"/>
  <c r="DK26" i="2"/>
  <c r="AF27" i="2"/>
  <c r="BD27" i="2"/>
  <c r="BY27" i="2"/>
  <c r="CZ27" i="2"/>
  <c r="EL27" i="2"/>
  <c r="AY28" i="2"/>
  <c r="CU28" i="2"/>
  <c r="AM29" i="2"/>
  <c r="DH29" i="2"/>
  <c r="AJ30" i="2"/>
  <c r="BA30" i="2"/>
  <c r="BX30" i="2"/>
  <c r="CT30" i="2"/>
  <c r="ER30" i="2"/>
  <c r="BH31" i="2"/>
  <c r="CE31" i="2"/>
  <c r="DH31" i="2"/>
  <c r="AI32" i="2"/>
  <c r="BM32" i="2"/>
  <c r="DA32" i="2"/>
  <c r="AP25" i="2"/>
  <c r="DJ5" i="2"/>
  <c r="EM14" i="2"/>
  <c r="BU17" i="2"/>
  <c r="BC22" i="2"/>
  <c r="ES22" i="2"/>
  <c r="BC23" i="2"/>
  <c r="BW25" i="2"/>
  <c r="AP26" i="2"/>
  <c r="BZ27" i="2"/>
  <c r="CV28" i="2"/>
  <c r="EL28" i="2"/>
  <c r="BY30" i="2"/>
  <c r="CY30" i="2"/>
  <c r="AK31" i="2"/>
  <c r="AQ32" i="2"/>
  <c r="BO32" i="2"/>
  <c r="CU15" i="2"/>
  <c r="CR17" i="2"/>
  <c r="CE20" i="2"/>
  <c r="BX21" i="2"/>
  <c r="AE23" i="2"/>
  <c r="BZ23" i="2"/>
  <c r="CZ23" i="2"/>
  <c r="EP23" i="2"/>
  <c r="AD24" i="2"/>
  <c r="BV24" i="2"/>
  <c r="EJ24" i="2"/>
  <c r="AZ25" i="2"/>
  <c r="BX25" i="2"/>
  <c r="CT25" i="2"/>
  <c r="AS26" i="2"/>
  <c r="BO26" i="2"/>
  <c r="CP26" i="2"/>
  <c r="CB27" i="2"/>
  <c r="AD28" i="2"/>
  <c r="CX28" i="2"/>
  <c r="EN28" i="2"/>
  <c r="BM29" i="2"/>
  <c r="AL30" i="2"/>
  <c r="BF30" i="2"/>
  <c r="DA30" i="2"/>
  <c r="AM31" i="2"/>
  <c r="EF31" i="2"/>
  <c r="AS32" i="2"/>
  <c r="EW32" i="2"/>
  <c r="DA12" i="2"/>
  <c r="DL12" i="2"/>
  <c r="EM12" i="2"/>
  <c r="AQ12" i="2"/>
  <c r="BG12" i="2"/>
  <c r="CJ12" i="2"/>
  <c r="CR12" i="2"/>
  <c r="AS12" i="2"/>
  <c r="BE13" i="2"/>
  <c r="AU15" i="2"/>
  <c r="DF17" i="2"/>
  <c r="DG5" i="2"/>
  <c r="BB6" i="2"/>
  <c r="EL6" i="2"/>
  <c r="EI7" i="2"/>
  <c r="BF8" i="2"/>
  <c r="DN8" i="2"/>
  <c r="CV9" i="2"/>
  <c r="CS10" i="2"/>
  <c r="AG11" i="2"/>
  <c r="CV11" i="2"/>
  <c r="AW12" i="2"/>
  <c r="CZ12" i="2"/>
  <c r="BH13" i="2"/>
  <c r="DA13" i="2"/>
  <c r="BN14" i="2"/>
  <c r="DH14" i="2"/>
  <c r="CN15" i="2"/>
  <c r="BA16" i="2"/>
  <c r="DJ16" i="2"/>
  <c r="AJ17" i="2"/>
  <c r="DG17" i="2"/>
  <c r="BF18" i="2"/>
  <c r="EG18" i="2"/>
  <c r="AD19" i="2"/>
  <c r="AP19" i="2"/>
  <c r="BK20" i="2"/>
  <c r="EN20" i="2"/>
  <c r="DN5" i="2"/>
  <c r="EM7" i="2"/>
  <c r="BU8" i="2"/>
  <c r="EJ8" i="2"/>
  <c r="AS9" i="2"/>
  <c r="CY9" i="2"/>
  <c r="AJ10" i="2"/>
  <c r="DF10" i="2"/>
  <c r="DD11" i="2"/>
  <c r="BH12" i="2"/>
  <c r="DE12" i="2"/>
  <c r="BO13" i="2"/>
  <c r="AD18" i="2"/>
  <c r="BT18" i="2"/>
  <c r="EM18" i="2"/>
  <c r="BA19" i="2"/>
  <c r="BP21" i="2"/>
  <c r="CP15" i="2"/>
  <c r="EK14" i="2"/>
  <c r="BR16" i="2"/>
  <c r="BC5" i="2"/>
  <c r="BU6" i="2"/>
  <c r="EP7" i="2"/>
  <c r="CG8" i="2"/>
  <c r="EQ8" i="2"/>
  <c r="BE9" i="2"/>
  <c r="DH9" i="2"/>
  <c r="AV10" i="2"/>
  <c r="DI10" i="2"/>
  <c r="BK11" i="2"/>
  <c r="DN11" i="2"/>
  <c r="BT13" i="2"/>
  <c r="DM13" i="2"/>
  <c r="AF15" i="2"/>
  <c r="BO17" i="2"/>
  <c r="AG18" i="2"/>
  <c r="EW18" i="2"/>
  <c r="CK21" i="2"/>
  <c r="BP6" i="2"/>
  <c r="BF5" i="2"/>
  <c r="CB6" i="2"/>
  <c r="DJ9" i="2"/>
  <c r="AY10" i="2"/>
  <c r="BL11" i="2"/>
  <c r="EH11" i="2"/>
  <c r="AD12" i="2"/>
  <c r="DM12" i="2"/>
  <c r="BW13" i="2"/>
  <c r="EG13" i="2"/>
  <c r="AH14" i="2"/>
  <c r="ET14" i="2"/>
  <c r="AH15" i="2"/>
  <c r="DC15" i="2"/>
  <c r="BW16" i="2"/>
  <c r="AN17" i="2"/>
  <c r="AJ18" i="2"/>
  <c r="CI18" i="2"/>
  <c r="CG19" i="2"/>
  <c r="CR20" i="2"/>
  <c r="CM21" i="2"/>
  <c r="EG16" i="2"/>
  <c r="BK5" i="2"/>
  <c r="CE6" i="2"/>
  <c r="CI7" i="2"/>
  <c r="CP8" i="2"/>
  <c r="BH9" i="2"/>
  <c r="DK9" i="2"/>
  <c r="BA10" i="2"/>
  <c r="EN10" i="2"/>
  <c r="BR11" i="2"/>
  <c r="EJ11" i="2"/>
  <c r="AE12" i="2"/>
  <c r="BV12" i="2"/>
  <c r="EH12" i="2"/>
  <c r="CB13" i="2"/>
  <c r="EL13" i="2"/>
  <c r="AN14" i="2"/>
  <c r="CP14" i="2"/>
  <c r="AM15" i="2"/>
  <c r="EI15" i="2"/>
  <c r="CK16" i="2"/>
  <c r="CE17" i="2"/>
  <c r="AP18" i="2"/>
  <c r="CM18" i="2"/>
  <c r="CU20" i="2"/>
  <c r="CV21" i="2"/>
  <c r="AV5" i="2"/>
  <c r="EJ5" i="2"/>
  <c r="EL8" i="2"/>
  <c r="AZ9" i="2"/>
  <c r="CA14" i="2"/>
  <c r="BR5" i="2"/>
  <c r="CN6" i="2"/>
  <c r="CQ8" i="2"/>
  <c r="BT9" i="2"/>
  <c r="DM9" i="2"/>
  <c r="BP10" i="2"/>
  <c r="ER10" i="2"/>
  <c r="BZ11" i="2"/>
  <c r="EK12" i="2"/>
  <c r="AI13" i="2"/>
  <c r="CD13" i="2"/>
  <c r="EN13" i="2"/>
  <c r="AR14" i="2"/>
  <c r="CS14" i="2"/>
  <c r="AY15" i="2"/>
  <c r="EK15" i="2"/>
  <c r="AD16" i="2"/>
  <c r="CT16" i="2"/>
  <c r="CJ17" i="2"/>
  <c r="AQ18" i="2"/>
  <c r="CO18" i="2"/>
  <c r="CX19" i="2"/>
  <c r="CX20" i="2"/>
  <c r="DI21" i="2"/>
  <c r="AK13" i="2"/>
  <c r="ES13" i="2"/>
  <c r="AU14" i="2"/>
  <c r="DC14" i="2"/>
  <c r="EM15" i="2"/>
  <c r="DK19" i="2"/>
  <c r="DC20" i="2"/>
  <c r="DL21" i="2"/>
  <c r="DE11" i="2"/>
  <c r="BL12" i="2"/>
  <c r="AF6" i="2"/>
  <c r="DA6" i="2"/>
  <c r="DA7" i="2"/>
  <c r="DB8" i="2"/>
  <c r="EQ11" i="2"/>
  <c r="CK12" i="2"/>
  <c r="EP12" i="2"/>
  <c r="AS13" i="2"/>
  <c r="CS13" i="2"/>
  <c r="BC14" i="2"/>
  <c r="DE14" i="2"/>
  <c r="BY15" i="2"/>
  <c r="CT17" i="2"/>
  <c r="AV18" i="2"/>
  <c r="DA18" i="2"/>
  <c r="EF19" i="2"/>
  <c r="AL20" i="2"/>
  <c r="DI20" i="2"/>
  <c r="AC21" i="2"/>
  <c r="EG21" i="2"/>
  <c r="DH17" i="2"/>
  <c r="DB5" i="2"/>
  <c r="AG6" i="2"/>
  <c r="CK10" i="2"/>
  <c r="CP11" i="2"/>
  <c r="AR12" i="2"/>
  <c r="CL12" i="2"/>
  <c r="ER12" i="2"/>
  <c r="BA13" i="2"/>
  <c r="BG14" i="2"/>
  <c r="AP16" i="2"/>
  <c r="CZ16" i="2"/>
  <c r="AY18" i="2"/>
  <c r="DC18" i="2"/>
  <c r="EO19" i="2"/>
  <c r="AP20" i="2"/>
  <c r="EG20" i="2"/>
  <c r="AF21" i="2"/>
  <c r="CG21" i="2"/>
  <c r="BD21" i="2"/>
  <c r="CB5" i="2"/>
  <c r="AX5" i="2"/>
  <c r="BM5" i="2"/>
  <c r="BS6" i="2"/>
  <c r="CY7" i="2"/>
  <c r="AC8" i="2"/>
  <c r="AR8" i="2"/>
  <c r="CZ8" i="2"/>
  <c r="AO8" i="2"/>
  <c r="DL8" i="2"/>
  <c r="BW10" i="2"/>
  <c r="CC13" i="2"/>
  <c r="DG13" i="2"/>
  <c r="AJ13" i="2"/>
  <c r="CP17" i="2"/>
  <c r="AN21" i="2"/>
  <c r="EK5" i="2"/>
  <c r="CP5" i="2"/>
  <c r="CO16" i="2"/>
  <c r="BK16" i="2"/>
  <c r="DD16" i="2"/>
  <c r="ER20" i="2"/>
  <c r="BD20" i="2"/>
  <c r="DL20" i="2"/>
  <c r="AO20" i="2"/>
  <c r="CR6" i="2"/>
  <c r="EM6" i="2"/>
  <c r="CC6" i="2"/>
  <c r="EJ7" i="2"/>
  <c r="DD7" i="2"/>
  <c r="CX10" i="2"/>
  <c r="ES10" i="2"/>
  <c r="DF16" i="2"/>
  <c r="BM16" i="2"/>
  <c r="AI16" i="2"/>
  <c r="EL16" i="2"/>
  <c r="CB16" i="2"/>
  <c r="AE20" i="2"/>
  <c r="CM20" i="2"/>
  <c r="AT20" i="2"/>
  <c r="DB20" i="2"/>
  <c r="BO5" i="2"/>
  <c r="CD5" i="2"/>
  <c r="EN5" i="2"/>
  <c r="CS5" i="2"/>
  <c r="AP5" i="2"/>
  <c r="EG5" i="2"/>
  <c r="BZ6" i="2"/>
  <c r="CZ9" i="2"/>
  <c r="AR9" i="2"/>
  <c r="EF9" i="2"/>
  <c r="BV9" i="2"/>
  <c r="CW9" i="2"/>
  <c r="DL9" i="2"/>
  <c r="BK12" i="2"/>
  <c r="DD12" i="2"/>
  <c r="EJ12" i="2"/>
  <c r="AG12" i="2"/>
  <c r="AV12" i="2"/>
  <c r="CO12" i="2"/>
  <c r="CE13" i="2"/>
  <c r="AL13" i="2"/>
  <c r="EO13" i="2"/>
  <c r="BZ16" i="2"/>
  <c r="BS21" i="2"/>
  <c r="CI5" i="2"/>
  <c r="EI8" i="2"/>
  <c r="CN8" i="2"/>
  <c r="DC8" i="2"/>
  <c r="DC10" i="2"/>
  <c r="EI10" i="2"/>
  <c r="BJ10" i="2"/>
  <c r="CN10" i="2"/>
  <c r="AF10" i="2"/>
  <c r="CK11" i="2"/>
  <c r="CZ11" i="2"/>
  <c r="BS11" i="2"/>
  <c r="DL11" i="2"/>
  <c r="BD11" i="2"/>
  <c r="EJ16" i="2"/>
  <c r="BQ5" i="2"/>
  <c r="BB5" i="2"/>
  <c r="EP5" i="2"/>
  <c r="AM5" i="2"/>
  <c r="EL5" i="2"/>
  <c r="BN7" i="2"/>
  <c r="CR7" i="2"/>
  <c r="AY7" i="2"/>
  <c r="CC7" i="2"/>
  <c r="DG7" i="2"/>
  <c r="DE9" i="2"/>
  <c r="BP14" i="2"/>
  <c r="AQ14" i="2"/>
  <c r="BC17" i="2"/>
  <c r="AW17" i="2"/>
  <c r="CJ7" i="2"/>
  <c r="DN7" i="2"/>
  <c r="AQ7" i="2"/>
  <c r="EM5" i="2"/>
  <c r="AY5" i="2"/>
  <c r="DG6" i="2"/>
  <c r="EL14" i="2"/>
  <c r="AI14" i="2"/>
  <c r="CY20" i="2"/>
  <c r="DN20" i="2"/>
  <c r="AS7" i="2"/>
  <c r="CV5" i="2"/>
  <c r="EQ5" i="2"/>
  <c r="DK5" i="2"/>
  <c r="AW5" i="2"/>
  <c r="CQ5" i="2"/>
  <c r="CM6" i="2"/>
  <c r="BH7" i="2"/>
  <c r="EF13" i="2"/>
  <c r="BV13" i="2"/>
  <c r="AR13" i="2"/>
  <c r="CK13" i="2"/>
  <c r="CZ13" i="2"/>
  <c r="AY13" i="2"/>
  <c r="CR13" i="2"/>
  <c r="CS15" i="2"/>
  <c r="DH15" i="2"/>
  <c r="BO15" i="2"/>
  <c r="EN15" i="2"/>
  <c r="CQ16" i="2"/>
  <c r="CK17" i="2"/>
  <c r="BG17" i="2"/>
  <c r="CZ17" i="2"/>
  <c r="EF17" i="2"/>
  <c r="BV17" i="2"/>
  <c r="CW17" i="2"/>
  <c r="ER17" i="2"/>
  <c r="CH17" i="2"/>
  <c r="BD17" i="2"/>
  <c r="BS17" i="2"/>
  <c r="AG19" i="2"/>
  <c r="DD19" i="2"/>
  <c r="BK19" i="2"/>
  <c r="CO19" i="2"/>
  <c r="EJ19" i="2"/>
  <c r="CR5" i="2"/>
  <c r="CK6" i="2"/>
  <c r="CZ6" i="2"/>
  <c r="CW6" i="2"/>
  <c r="ER6" i="2"/>
  <c r="CH6" i="2"/>
  <c r="BD6" i="2"/>
  <c r="AY6" i="2"/>
  <c r="BT7" i="2"/>
  <c r="DD9" i="2"/>
  <c r="CQ10" i="2"/>
  <c r="CB10" i="2"/>
  <c r="AX10" i="2"/>
  <c r="EI11" i="2"/>
  <c r="CN11" i="2"/>
  <c r="AF11" i="2"/>
  <c r="DC11" i="2"/>
  <c r="CS12" i="2"/>
  <c r="DH12" i="2"/>
  <c r="EK21" i="2"/>
  <c r="DE21" i="2"/>
  <c r="CA21" i="2"/>
  <c r="AH21" i="2"/>
  <c r="CP21" i="2"/>
  <c r="AW21" i="2"/>
  <c r="BO11" i="2"/>
  <c r="CS11" i="2"/>
  <c r="DH11" i="2"/>
  <c r="CD11" i="2"/>
  <c r="EN11" i="2"/>
  <c r="EF20" i="2"/>
  <c r="AR20" i="2"/>
  <c r="CL10" i="2"/>
  <c r="EG10" i="2"/>
  <c r="BH10" i="2"/>
  <c r="DA5" i="2"/>
  <c r="DM5" i="2"/>
  <c r="CX5" i="2"/>
  <c r="BT5" i="2"/>
  <c r="BW6" i="2"/>
  <c r="CL6" i="2"/>
  <c r="CI6" i="2"/>
  <c r="AP6" i="2"/>
  <c r="CP9" i="2"/>
  <c r="AW9" i="2"/>
  <c r="EK9" i="2"/>
  <c r="CA9" i="2"/>
  <c r="DA10" i="2"/>
  <c r="AX14" i="2"/>
  <c r="CQ14" i="2"/>
  <c r="AV16" i="2"/>
  <c r="BM19" i="2"/>
  <c r="CQ19" i="2"/>
  <c r="AI19" i="2"/>
  <c r="DB6" i="2"/>
  <c r="CV7" i="2"/>
  <c r="DK7" i="2"/>
  <c r="DH8" i="2"/>
  <c r="EN8" i="2"/>
  <c r="BO14" i="2"/>
  <c r="AK14" i="2"/>
  <c r="CN17" i="2"/>
  <c r="DC17" i="2"/>
  <c r="AU17" i="2"/>
  <c r="BN21" i="2"/>
  <c r="DG21" i="2"/>
  <c r="DE5" i="2"/>
  <c r="CX6" i="2"/>
  <c r="CM7" i="2"/>
  <c r="CT8" i="2"/>
  <c r="DI8" i="2"/>
  <c r="DG9" i="2"/>
  <c r="EM9" i="2"/>
  <c r="CC9" i="2"/>
  <c r="CR9" i="2"/>
  <c r="BN9" i="2"/>
  <c r="AJ9" i="2"/>
  <c r="EJ9" i="2"/>
  <c r="AK11" i="2"/>
  <c r="EQ12" i="2"/>
  <c r="DK12" i="2"/>
  <c r="BZ12" i="2"/>
  <c r="CO13" i="2"/>
  <c r="DD13" i="2"/>
  <c r="DB14" i="2"/>
  <c r="BI14" i="2"/>
  <c r="EH14" i="2"/>
  <c r="BX14" i="2"/>
  <c r="AE14" i="2"/>
  <c r="DN14" i="2"/>
  <c r="CY14" i="2"/>
  <c r="BU14" i="2"/>
  <c r="AZ15" i="2"/>
  <c r="CJ6" i="2"/>
  <c r="BF6" i="2"/>
  <c r="DN6" i="2"/>
  <c r="ET6" i="2"/>
  <c r="CV15" i="2"/>
  <c r="BC15" i="2"/>
  <c r="DK15" i="2"/>
  <c r="CS18" i="2"/>
  <c r="AZ18" i="2"/>
  <c r="BO18" i="2"/>
  <c r="DH18" i="2"/>
  <c r="EN18" i="2"/>
  <c r="AH5" i="2"/>
  <c r="BN5" i="2"/>
  <c r="BK6" i="2"/>
  <c r="EJ6" i="2"/>
  <c r="BN6" i="2"/>
  <c r="CY6" i="2"/>
  <c r="CL7" i="2"/>
  <c r="EG7" i="2"/>
  <c r="CX7" i="2"/>
  <c r="BE7" i="2"/>
  <c r="ES7" i="2"/>
  <c r="BQ10" i="2"/>
  <c r="EP10" i="2"/>
  <c r="CU10" i="2"/>
  <c r="AM10" i="2"/>
  <c r="CF10" i="2"/>
  <c r="BM10" i="2"/>
  <c r="BW15" i="2"/>
  <c r="AD15" i="2"/>
  <c r="AS15" i="2"/>
  <c r="CL15" i="2"/>
  <c r="DM15" i="2"/>
  <c r="BT15" i="2"/>
  <c r="ES15" i="2"/>
  <c r="AP15" i="2"/>
  <c r="BE15" i="2"/>
  <c r="DA15" i="2"/>
  <c r="BJ16" i="2"/>
  <c r="AU16" i="2"/>
  <c r="DC16" i="2"/>
  <c r="AF16" i="2"/>
  <c r="EI16" i="2"/>
  <c r="BY16" i="2"/>
  <c r="DE17" i="2"/>
  <c r="EK17" i="2"/>
  <c r="CA17" i="2"/>
  <c r="AH17" i="2"/>
  <c r="DJ18" i="2"/>
  <c r="BQ18" i="2"/>
  <c r="CF18" i="2"/>
  <c r="AM18" i="2"/>
  <c r="CD18" i="2"/>
  <c r="EP18" i="2"/>
  <c r="AV19" i="2"/>
  <c r="BF20" i="2"/>
  <c r="AX6" i="2"/>
  <c r="CT6" i="2"/>
  <c r="BR8" i="2"/>
  <c r="AZ10" i="2"/>
  <c r="DG10" i="2"/>
  <c r="AT11" i="2"/>
  <c r="BX11" i="2"/>
  <c r="AC12" i="2"/>
  <c r="CM12" i="2"/>
  <c r="ET12" i="2"/>
  <c r="AF13" i="2"/>
  <c r="BY13" i="2"/>
  <c r="CU13" i="2"/>
  <c r="EI13" i="2"/>
  <c r="CR14" i="2"/>
  <c r="DL14" i="2"/>
  <c r="AJ15" i="2"/>
  <c r="BF15" i="2"/>
  <c r="CF15" i="2"/>
  <c r="DB15" i="2"/>
  <c r="AC16" i="2"/>
  <c r="AY16" i="2"/>
  <c r="CV16" i="2"/>
  <c r="CQ17" i="2"/>
  <c r="DK17" i="2"/>
  <c r="AH18" i="2"/>
  <c r="BE18" i="2"/>
  <c r="CC18" i="2"/>
  <c r="DB18" i="2"/>
  <c r="AC19" i="2"/>
  <c r="AY19" i="2"/>
  <c r="DM19" i="2"/>
  <c r="BJ20" i="2"/>
  <c r="CC20" i="2"/>
  <c r="EM20" i="2"/>
  <c r="BR21" i="2"/>
  <c r="CL21" i="2"/>
  <c r="DK21" i="2"/>
  <c r="BD13" i="2"/>
  <c r="AY14" i="2"/>
  <c r="CT14" i="2"/>
  <c r="DD15" i="2"/>
  <c r="BB16" i="2"/>
  <c r="CX16" i="2"/>
  <c r="AX17" i="2"/>
  <c r="CS17" i="2"/>
  <c r="BH18" i="2"/>
  <c r="DD18" i="2"/>
  <c r="ES18" i="2"/>
  <c r="AF19" i="2"/>
  <c r="BB19" i="2"/>
  <c r="CH19" i="2"/>
  <c r="EH19" i="2"/>
  <c r="BM20" i="2"/>
  <c r="CF20" i="2"/>
  <c r="DF20" i="2"/>
  <c r="EO20" i="2"/>
  <c r="AD21" i="2"/>
  <c r="BA21" i="2"/>
  <c r="BU21" i="2"/>
  <c r="DN21" i="2"/>
  <c r="CB8" i="2"/>
  <c r="ET8" i="2"/>
  <c r="BX9" i="2"/>
  <c r="EH9" i="2"/>
  <c r="DL10" i="2"/>
  <c r="AW11" i="2"/>
  <c r="ET11" i="2"/>
  <c r="BX12" i="2"/>
  <c r="CU12" i="2"/>
  <c r="CF13" i="2"/>
  <c r="AZ14" i="2"/>
  <c r="CV14" i="2"/>
  <c r="AQ15" i="2"/>
  <c r="BK15" i="2"/>
  <c r="CM15" i="2"/>
  <c r="DG15" i="2"/>
  <c r="BC16" i="2"/>
  <c r="CE16" i="2"/>
  <c r="EO16" i="2"/>
  <c r="AE17" i="2"/>
  <c r="AY17" i="2"/>
  <c r="BX17" i="2"/>
  <c r="EH17" i="2"/>
  <c r="BJ18" i="2"/>
  <c r="DG18" i="2"/>
  <c r="BC19" i="2"/>
  <c r="CI19" i="2"/>
  <c r="BN20" i="2"/>
  <c r="CI20" i="2"/>
  <c r="DG20" i="2"/>
  <c r="EP20" i="2"/>
  <c r="AE21" i="2"/>
  <c r="BC21" i="2"/>
  <c r="BV21" i="2"/>
  <c r="CT21" i="2"/>
  <c r="EF21" i="2"/>
  <c r="CH13" i="2"/>
  <c r="CG16" i="2"/>
  <c r="EQ16" i="2"/>
  <c r="AZ17" i="2"/>
  <c r="BZ5" i="2"/>
  <c r="AI6" i="2"/>
  <c r="AI8" i="2"/>
  <c r="CJ8" i="2"/>
  <c r="AL10" i="2"/>
  <c r="CT10" i="2"/>
  <c r="EF10" i="2"/>
  <c r="BA11" i="2"/>
  <c r="CG11" i="2"/>
  <c r="CA12" i="2"/>
  <c r="AM13" i="2"/>
  <c r="BJ13" i="2"/>
  <c r="CI13" i="2"/>
  <c r="DF13" i="2"/>
  <c r="BD14" i="2"/>
  <c r="CE14" i="2"/>
  <c r="CZ14" i="2"/>
  <c r="EO14" i="2"/>
  <c r="BL15" i="2"/>
  <c r="AT15" i="2"/>
  <c r="BQ15" i="2"/>
  <c r="CO15" i="2"/>
  <c r="AM16" i="2"/>
  <c r="BG16" i="2"/>
  <c r="CI16" i="2"/>
  <c r="ES16" i="2"/>
  <c r="AI17" i="2"/>
  <c r="CC17" i="2"/>
  <c r="CY17" i="2"/>
  <c r="AS18" i="2"/>
  <c r="BL18" i="2"/>
  <c r="CN18" i="2"/>
  <c r="DK18" i="2"/>
  <c r="AM19" i="2"/>
  <c r="BG19" i="2"/>
  <c r="EQ19" i="2"/>
  <c r="AV20" i="2"/>
  <c r="BP20" i="2"/>
  <c r="CN20" i="2"/>
  <c r="DJ20" i="2"/>
  <c r="EV20" i="2"/>
  <c r="A20" i="2" s="1"/>
  <c r="BF21" i="2"/>
  <c r="BY21" i="2"/>
  <c r="CX21" i="2"/>
  <c r="EH21" i="2"/>
  <c r="CX12" i="2"/>
  <c r="AO13" i="2"/>
  <c r="CG14" i="2"/>
  <c r="EQ14" i="2"/>
  <c r="BM15" i="2"/>
  <c r="BQ17" i="2"/>
  <c r="AN19" i="2"/>
  <c r="BH19" i="2"/>
  <c r="AD20" i="2"/>
  <c r="AX20" i="2"/>
  <c r="BQ20" i="2"/>
  <c r="CO20" i="2"/>
  <c r="BG21" i="2"/>
  <c r="CY21" i="2"/>
  <c r="EI21" i="2"/>
  <c r="AL6" i="2"/>
  <c r="EO6" i="2"/>
  <c r="DI11" i="2"/>
  <c r="DD5" i="2"/>
  <c r="DF6" i="2"/>
  <c r="CU7" i="2"/>
  <c r="CJ9" i="2"/>
  <c r="EP9" i="2"/>
  <c r="AR10" i="2"/>
  <c r="BV10" i="2"/>
  <c r="AH11" i="2"/>
  <c r="BI11" i="2"/>
  <c r="CY12" i="2"/>
  <c r="CN13" i="2"/>
  <c r="AL14" i="2"/>
  <c r="CH14" i="2"/>
  <c r="ER14" i="2"/>
  <c r="AV15" i="2"/>
  <c r="CR15" i="2"/>
  <c r="DN15" i="2"/>
  <c r="CL16" i="2"/>
  <c r="BR17" i="2"/>
  <c r="AK17" i="2"/>
  <c r="CG17" i="2"/>
  <c r="EQ17" i="2"/>
  <c r="AU18" i="2"/>
  <c r="CP18" i="2"/>
  <c r="DN18" i="2"/>
  <c r="CV19" i="2"/>
  <c r="ET19" i="2"/>
  <c r="AF20" i="2"/>
  <c r="AY20" i="2"/>
  <c r="BR20" i="2"/>
  <c r="CQ20" i="2"/>
  <c r="AO21" i="2"/>
  <c r="BI21" i="2"/>
  <c r="CE21" i="2"/>
  <c r="CZ21" i="2"/>
  <c r="EO21" i="2"/>
  <c r="CR18" i="2"/>
  <c r="BA20" i="2"/>
  <c r="AQ21" i="2"/>
  <c r="DB21" i="2"/>
  <c r="AR19" i="2"/>
  <c r="DB19" i="2"/>
  <c r="EV19" i="2"/>
  <c r="A19" i="2" s="1"/>
  <c r="BC20" i="2"/>
  <c r="BY20" i="2"/>
  <c r="BK21" i="2"/>
  <c r="CH21" i="2"/>
  <c r="ER21" i="2"/>
  <c r="DD10" i="2"/>
  <c r="BP11" i="2"/>
  <c r="AG15" i="2"/>
  <c r="AQ17" i="2"/>
  <c r="CM17" i="2"/>
  <c r="AF18" i="2"/>
  <c r="EK18" i="2"/>
  <c r="AU19" i="2"/>
  <c r="EK20" i="2"/>
  <c r="BM21" i="2"/>
  <c r="CJ21" i="2"/>
  <c r="AB1" i="2"/>
  <c r="E6" i="2" s="1"/>
  <c r="CC32" i="2"/>
  <c r="CR32" i="2"/>
  <c r="CP8" i="3"/>
  <c r="EI8" i="3"/>
  <c r="CA8" i="3"/>
  <c r="DT8" i="3"/>
  <c r="BL8" i="3"/>
  <c r="FD9" i="3"/>
  <c r="CU9" i="3"/>
  <c r="R9" i="3" s="1"/>
  <c r="EN9" i="3"/>
  <c r="EL12" i="3"/>
  <c r="CD12" i="3"/>
  <c r="DW12" i="3"/>
  <c r="BO12" i="3"/>
  <c r="FB12" i="3"/>
  <c r="CS12" i="3"/>
  <c r="DY15" i="3"/>
  <c r="BQ15" i="3"/>
  <c r="FD15" i="3"/>
  <c r="CU15" i="3"/>
  <c r="AM16" i="3"/>
  <c r="DZ16" i="3"/>
  <c r="BR16" i="3"/>
  <c r="FE16" i="3"/>
  <c r="CV16" i="3"/>
  <c r="EO16" i="3"/>
  <c r="CG16" i="3"/>
  <c r="DQ19" i="3"/>
  <c r="BI19" i="3"/>
  <c r="EV19" i="3"/>
  <c r="EF19" i="3"/>
  <c r="EC19" i="3"/>
  <c r="BU19" i="3"/>
  <c r="CM19" i="3"/>
  <c r="FH19" i="3"/>
  <c r="CM21" i="3"/>
  <c r="EF21" i="3"/>
  <c r="BX21" i="3"/>
  <c r="DQ21" i="3"/>
  <c r="BI21" i="3"/>
  <c r="CY21" i="3"/>
  <c r="ER21" i="3"/>
  <c r="CJ21" i="3"/>
  <c r="EC21" i="3"/>
  <c r="BU21" i="3"/>
  <c r="FH21" i="3"/>
  <c r="EG23" i="3"/>
  <c r="BY23" i="3"/>
  <c r="EW23" i="3"/>
  <c r="DR23" i="3"/>
  <c r="CN23" i="3"/>
  <c r="BJ23" i="3"/>
  <c r="BC24" i="3"/>
  <c r="AM24" i="3"/>
  <c r="AM34" i="3"/>
  <c r="FE34" i="3"/>
  <c r="CV34" i="3"/>
  <c r="EO34" i="3"/>
  <c r="CG34" i="3"/>
  <c r="DZ34" i="3"/>
  <c r="BR34" i="3"/>
  <c r="DS35" i="3"/>
  <c r="BK35" i="3"/>
  <c r="EX35" i="3"/>
  <c r="EH35" i="3"/>
  <c r="BZ35" i="3"/>
  <c r="AU5" i="2"/>
  <c r="BS5" i="2"/>
  <c r="CE5" i="2"/>
  <c r="DC5" i="2"/>
  <c r="EO5" i="2"/>
  <c r="BC6" i="2"/>
  <c r="BO6" i="2"/>
  <c r="CA6" i="2"/>
  <c r="DK6" i="2"/>
  <c r="EK6" i="2"/>
  <c r="BD7" i="2"/>
  <c r="CZ7" i="2"/>
  <c r="DL7" i="2"/>
  <c r="EL7" i="2"/>
  <c r="AS8" i="2"/>
  <c r="BE8" i="2"/>
  <c r="CC8" i="2"/>
  <c r="DA8" i="2"/>
  <c r="DM8" i="2"/>
  <c r="EM8" i="2"/>
  <c r="BA9" i="2"/>
  <c r="BM9" i="2"/>
  <c r="BY9" i="2"/>
  <c r="DI9" i="2"/>
  <c r="EI9" i="2"/>
  <c r="BI10" i="2"/>
  <c r="DE10" i="2"/>
  <c r="EQ10" i="2"/>
  <c r="AS11" i="2"/>
  <c r="BE11" i="2"/>
  <c r="BQ11" i="2"/>
  <c r="CC11" i="2"/>
  <c r="DA11" i="2"/>
  <c r="DM11" i="2"/>
  <c r="EM11" i="2"/>
  <c r="BM12" i="2"/>
  <c r="DI12" i="2"/>
  <c r="EI12" i="2"/>
  <c r="AW13" i="2"/>
  <c r="BI13" i="2"/>
  <c r="BU13" i="2"/>
  <c r="CG13" i="2"/>
  <c r="DE13" i="2"/>
  <c r="EH13" i="2"/>
  <c r="ET13" i="2"/>
  <c r="AV14" i="2"/>
  <c r="BH14" i="2"/>
  <c r="BT14" i="2"/>
  <c r="CF14" i="2"/>
  <c r="DD14" i="2"/>
  <c r="EP14" i="2"/>
  <c r="AR15" i="2"/>
  <c r="BD15" i="2"/>
  <c r="BP15" i="2"/>
  <c r="CB15" i="2"/>
  <c r="CZ15" i="2"/>
  <c r="DL15" i="2"/>
  <c r="EL15" i="2"/>
  <c r="AZ16" i="2"/>
  <c r="BL16" i="2"/>
  <c r="BX16" i="2"/>
  <c r="CJ16" i="2"/>
  <c r="DH16" i="2"/>
  <c r="EH16" i="2"/>
  <c r="ET16" i="2"/>
  <c r="AV17" i="2"/>
  <c r="BH17" i="2"/>
  <c r="BT17" i="2"/>
  <c r="CF17" i="2"/>
  <c r="DD17" i="2"/>
  <c r="EP17" i="2"/>
  <c r="AR18" i="2"/>
  <c r="BD18" i="2"/>
  <c r="BP18" i="2"/>
  <c r="CB18" i="2"/>
  <c r="CZ18" i="2"/>
  <c r="DL18" i="2"/>
  <c r="EL18" i="2"/>
  <c r="EL19" i="2"/>
  <c r="CB19" i="2"/>
  <c r="AZ19" i="2"/>
  <c r="BL19" i="2"/>
  <c r="EG19" i="2"/>
  <c r="AM20" i="2"/>
  <c r="CN22" i="2"/>
  <c r="AF22" i="2"/>
  <c r="EI22" i="2"/>
  <c r="BY22" i="2"/>
  <c r="DH23" i="2"/>
  <c r="AZ23" i="2"/>
  <c r="CS23" i="2"/>
  <c r="AK23" i="2"/>
  <c r="AR23" i="2"/>
  <c r="DL23" i="2"/>
  <c r="CB24" i="2"/>
  <c r="EL24" i="2"/>
  <c r="BM24" i="2"/>
  <c r="AQ24" i="2"/>
  <c r="BF24" i="2"/>
  <c r="AO25" i="2"/>
  <c r="DI25" i="2"/>
  <c r="EN25" i="2"/>
  <c r="AJ26" i="2"/>
  <c r="CS27" i="2"/>
  <c r="AK27" i="2"/>
  <c r="EN27" i="2"/>
  <c r="CD27" i="2"/>
  <c r="DD28" i="2"/>
  <c r="AV28" i="2"/>
  <c r="CO28" i="2"/>
  <c r="AG28" i="2"/>
  <c r="DH28" i="2"/>
  <c r="BV29" i="2"/>
  <c r="EF29" i="2"/>
  <c r="BG29" i="2"/>
  <c r="CH29" i="2"/>
  <c r="ER29" i="2"/>
  <c r="BS29" i="2"/>
  <c r="DB29" i="2"/>
  <c r="EH29" i="2"/>
  <c r="AF30" i="2"/>
  <c r="BV30" i="2"/>
  <c r="CK30" i="2"/>
  <c r="CZ30" i="2"/>
  <c r="AR31" i="2"/>
  <c r="BW31" i="2"/>
  <c r="CN31" i="2"/>
  <c r="AE32" i="2"/>
  <c r="CT32" i="2"/>
  <c r="DP4" i="3"/>
  <c r="DO5" i="3"/>
  <c r="EE6" i="3"/>
  <c r="BC7" i="3"/>
  <c r="CS7" i="3"/>
  <c r="DW7" i="3"/>
  <c r="BO7" i="3"/>
  <c r="BK7" i="3"/>
  <c r="CD7" i="3"/>
  <c r="CF8" i="3"/>
  <c r="EY8" i="3"/>
  <c r="BQ9" i="3"/>
  <c r="DQ11" i="3"/>
  <c r="BI11" i="3"/>
  <c r="CM11" i="3"/>
  <c r="EF11" i="3"/>
  <c r="BX11" i="3"/>
  <c r="EC11" i="3"/>
  <c r="BU11" i="3"/>
  <c r="CY11" i="3"/>
  <c r="ER11" i="3"/>
  <c r="CJ11" i="3"/>
  <c r="R12" i="3"/>
  <c r="DS13" i="3"/>
  <c r="BK13" i="3"/>
  <c r="EX13" i="3"/>
  <c r="BD14" i="3"/>
  <c r="AM14" i="3"/>
  <c r="CV14" i="3"/>
  <c r="EO14" i="3"/>
  <c r="CG14" i="3"/>
  <c r="DZ14" i="3"/>
  <c r="BR14" i="3"/>
  <c r="DV14" i="3"/>
  <c r="DS17" i="3"/>
  <c r="BK17" i="3"/>
  <c r="EX17" i="3"/>
  <c r="CO17" i="3"/>
  <c r="DV20" i="3"/>
  <c r="FA20" i="3"/>
  <c r="EK20" i="3"/>
  <c r="BN20" i="3"/>
  <c r="CC20" i="3"/>
  <c r="CR20" i="3"/>
  <c r="FD26" i="3"/>
  <c r="DY26" i="3"/>
  <c r="CF26" i="3"/>
  <c r="BQ26" i="3"/>
  <c r="EN26" i="3"/>
  <c r="CU26" i="3"/>
  <c r="EY32" i="3"/>
  <c r="CP32" i="3"/>
  <c r="EI32" i="3"/>
  <c r="CA32" i="3"/>
  <c r="DT32" i="3"/>
  <c r="BL32" i="3"/>
  <c r="DP36" i="3"/>
  <c r="BH36" i="3"/>
  <c r="EU36" i="3"/>
  <c r="EE36" i="3"/>
  <c r="BW36" i="3"/>
  <c r="CL36" i="3"/>
  <c r="EB36" i="3"/>
  <c r="BT36" i="3"/>
  <c r="FG36" i="3"/>
  <c r="EQ36" i="3"/>
  <c r="CI36" i="3"/>
  <c r="CX36" i="3"/>
  <c r="EG46" i="3"/>
  <c r="BY46" i="3"/>
  <c r="DR46" i="3"/>
  <c r="BJ46" i="3"/>
  <c r="EW46" i="3"/>
  <c r="CN46" i="3"/>
  <c r="BS8" i="2"/>
  <c r="EJ13" i="2"/>
  <c r="BJ14" i="2"/>
  <c r="BR15" i="2"/>
  <c r="BN16" i="2"/>
  <c r="BN19" i="2"/>
  <c r="CC19" i="2"/>
  <c r="DE19" i="2"/>
  <c r="CR25" i="2"/>
  <c r="AJ25" i="2"/>
  <c r="CC25" i="2"/>
  <c r="DJ32" i="2"/>
  <c r="BB32" i="2"/>
  <c r="BQ32" i="2"/>
  <c r="CF32" i="2"/>
  <c r="BS5" i="3"/>
  <c r="AM6" i="3"/>
  <c r="CV6" i="3"/>
  <c r="DZ6" i="3"/>
  <c r="BR6" i="3"/>
  <c r="DY7" i="3"/>
  <c r="BQ7" i="3"/>
  <c r="FD7" i="3"/>
  <c r="EL8" i="3"/>
  <c r="CD8" i="3"/>
  <c r="DW8" i="3"/>
  <c r="BO8" i="3"/>
  <c r="CS8" i="3"/>
  <c r="FB8" i="3"/>
  <c r="EX11" i="3"/>
  <c r="CO11" i="3"/>
  <c r="BZ11" i="3"/>
  <c r="Q11" i="3" s="1"/>
  <c r="BD12" i="3"/>
  <c r="AM12" i="3"/>
  <c r="DZ12" i="3"/>
  <c r="BR12" i="3"/>
  <c r="CV12" i="3"/>
  <c r="EO12" i="3"/>
  <c r="CG12" i="3"/>
  <c r="DP14" i="3"/>
  <c r="BH14" i="3"/>
  <c r="EU14" i="3"/>
  <c r="EB14" i="3"/>
  <c r="BT14" i="3"/>
  <c r="FG14" i="3"/>
  <c r="BE21" i="3"/>
  <c r="DT22" i="3"/>
  <c r="BL22" i="3"/>
  <c r="EY22" i="3"/>
  <c r="EI22" i="3"/>
  <c r="CA22" i="3"/>
  <c r="CP22" i="3"/>
  <c r="ED24" i="3"/>
  <c r="BV24" i="3"/>
  <c r="BG24" i="3"/>
  <c r="CK24" i="3"/>
  <c r="EP24" i="3"/>
  <c r="CH24" i="3"/>
  <c r="FF24" i="3"/>
  <c r="EA24" i="3"/>
  <c r="BS24" i="3"/>
  <c r="CW24" i="3"/>
  <c r="AM27" i="3"/>
  <c r="EO27" i="3"/>
  <c r="CG27" i="3"/>
  <c r="DZ27" i="3"/>
  <c r="BR27" i="3"/>
  <c r="FE27" i="3"/>
  <c r="CV27" i="3"/>
  <c r="DD25" i="2"/>
  <c r="AV25" i="2"/>
  <c r="CO25" i="2"/>
  <c r="AG25" i="2"/>
  <c r="ER26" i="2"/>
  <c r="CH26" i="2"/>
  <c r="BS26" i="2"/>
  <c r="DV8" i="3"/>
  <c r="BN8" i="3"/>
  <c r="FA8" i="3"/>
  <c r="BC26" i="3"/>
  <c r="AM26" i="3"/>
  <c r="EV13" i="2"/>
  <c r="A13" i="2" s="1"/>
  <c r="EV16" i="2"/>
  <c r="A16" i="2" s="1"/>
  <c r="BJ17" i="2"/>
  <c r="BR18" i="2"/>
  <c r="BJ26" i="2"/>
  <c r="DC26" i="2"/>
  <c r="AU26" i="2"/>
  <c r="AL5" i="2"/>
  <c r="BJ5" i="2"/>
  <c r="CH5" i="2"/>
  <c r="CT5" i="2"/>
  <c r="EF5" i="2"/>
  <c r="ER5" i="2"/>
  <c r="AH6" i="2"/>
  <c r="BR6" i="2"/>
  <c r="CD6" i="2"/>
  <c r="CP6" i="2"/>
  <c r="EN6" i="2"/>
  <c r="BS7" i="2"/>
  <c r="CQ7" i="2"/>
  <c r="EO7" i="2"/>
  <c r="AJ8" i="2"/>
  <c r="BH8" i="2"/>
  <c r="BT8" i="2"/>
  <c r="CR8" i="2"/>
  <c r="EP8" i="2"/>
  <c r="AF9" i="2"/>
  <c r="BP9" i="2"/>
  <c r="CB9" i="2"/>
  <c r="CN9" i="2"/>
  <c r="EL9" i="2"/>
  <c r="BX10" i="2"/>
  <c r="CV10" i="2"/>
  <c r="EH10" i="2"/>
  <c r="ET10" i="2"/>
  <c r="AJ11" i="2"/>
  <c r="BH11" i="2"/>
  <c r="BT11" i="2"/>
  <c r="CF11" i="2"/>
  <c r="CR11" i="2"/>
  <c r="EP11" i="2"/>
  <c r="CB12" i="2"/>
  <c r="CN12" i="2"/>
  <c r="EL12" i="2"/>
  <c r="AN13" i="2"/>
  <c r="BL13" i="2"/>
  <c r="BX13" i="2"/>
  <c r="CJ13" i="2"/>
  <c r="CV13" i="2"/>
  <c r="EK13" i="2"/>
  <c r="AM14" i="2"/>
  <c r="BK14" i="2"/>
  <c r="BW14" i="2"/>
  <c r="CI14" i="2"/>
  <c r="CU14" i="2"/>
  <c r="EG14" i="2"/>
  <c r="ES14" i="2"/>
  <c r="AI15" i="2"/>
  <c r="BG15" i="2"/>
  <c r="BS15" i="2"/>
  <c r="CE15" i="2"/>
  <c r="CQ15" i="2"/>
  <c r="EO15" i="2"/>
  <c r="AE16" i="2"/>
  <c r="AQ16" i="2"/>
  <c r="BO16" i="2"/>
  <c r="CA16" i="2"/>
  <c r="CM16" i="2"/>
  <c r="CY16" i="2"/>
  <c r="EK16" i="2"/>
  <c r="AM17" i="2"/>
  <c r="BK17" i="2"/>
  <c r="BW17" i="2"/>
  <c r="CI17" i="2"/>
  <c r="CU17" i="2"/>
  <c r="EG17" i="2"/>
  <c r="ES17" i="2"/>
  <c r="AI18" i="2"/>
  <c r="BG18" i="2"/>
  <c r="BS18" i="2"/>
  <c r="CE18" i="2"/>
  <c r="CQ18" i="2"/>
  <c r="EO18" i="2"/>
  <c r="BP19" i="2"/>
  <c r="DI19" i="2"/>
  <c r="AE19" i="2"/>
  <c r="AQ19" i="2"/>
  <c r="BO19" i="2"/>
  <c r="CD19" i="2"/>
  <c r="CR19" i="2"/>
  <c r="DF19" i="2"/>
  <c r="EK19" i="2"/>
  <c r="AC20" i="2"/>
  <c r="AQ20" i="2"/>
  <c r="BE20" i="2"/>
  <c r="BS20" i="2"/>
  <c r="CH20" i="2"/>
  <c r="CW20" i="2"/>
  <c r="AI21" i="2"/>
  <c r="AX21" i="2"/>
  <c r="BL21" i="2"/>
  <c r="BZ21" i="2"/>
  <c r="CN21" i="2"/>
  <c r="EV21" i="2"/>
  <c r="A21" i="2" s="1"/>
  <c r="EL22" i="2"/>
  <c r="CB22" i="2"/>
  <c r="BM22" i="2"/>
  <c r="AQ22" i="2"/>
  <c r="BF22" i="2"/>
  <c r="CH22" i="2"/>
  <c r="CV22" i="2"/>
  <c r="CV23" i="2"/>
  <c r="AN23" i="2"/>
  <c r="CG23" i="2"/>
  <c r="AG23" i="2"/>
  <c r="EO24" i="2"/>
  <c r="BP24" i="2"/>
  <c r="DI24" i="2"/>
  <c r="BA24" i="2"/>
  <c r="AU24" i="2"/>
  <c r="BI24" i="2"/>
  <c r="BW24" i="2"/>
  <c r="CL24" i="2"/>
  <c r="AD25" i="2"/>
  <c r="AR25" i="2"/>
  <c r="BG25" i="2"/>
  <c r="BV25" i="2"/>
  <c r="DL25" i="2"/>
  <c r="BB26" i="2"/>
  <c r="CD26" i="2"/>
  <c r="CS26" i="2"/>
  <c r="DH26" i="2"/>
  <c r="EQ27" i="2"/>
  <c r="CG27" i="2"/>
  <c r="BR27" i="2"/>
  <c r="AG27" i="2"/>
  <c r="AV27" i="2"/>
  <c r="BK27" i="2"/>
  <c r="CR28" i="2"/>
  <c r="AJ28" i="2"/>
  <c r="CC28" i="2"/>
  <c r="AC28" i="2"/>
  <c r="EI29" i="2"/>
  <c r="BJ29" i="2"/>
  <c r="DC29" i="2"/>
  <c r="AU29" i="2"/>
  <c r="BA29" i="2"/>
  <c r="BO29" i="2"/>
  <c r="CC29" i="2"/>
  <c r="CR29" i="2"/>
  <c r="AI30" i="2"/>
  <c r="DC30" i="2"/>
  <c r="CB31" i="2"/>
  <c r="CQ31" i="2"/>
  <c r="CV32" i="2"/>
  <c r="AN32" i="2"/>
  <c r="CG32" i="2"/>
  <c r="AY32" i="2"/>
  <c r="BR32" i="2"/>
  <c r="EN4" i="3"/>
  <c r="CM5" i="3"/>
  <c r="S5" i="3" s="1"/>
  <c r="DQ5" i="3"/>
  <c r="BI5" i="3"/>
  <c r="CY5" i="3"/>
  <c r="EC5" i="3"/>
  <c r="BU5" i="3"/>
  <c r="FD5" i="3"/>
  <c r="EO7" i="3"/>
  <c r="CG7" i="3"/>
  <c r="CV7" i="3"/>
  <c r="EX7" i="3"/>
  <c r="S8" i="3"/>
  <c r="EK8" i="3"/>
  <c r="CM9" i="3"/>
  <c r="S9" i="3" s="1"/>
  <c r="EF9" i="3"/>
  <c r="BX9" i="3"/>
  <c r="DQ9" i="3"/>
  <c r="BI9" i="3"/>
  <c r="CY9" i="3"/>
  <c r="ER9" i="3"/>
  <c r="CJ9" i="3"/>
  <c r="EC9" i="3"/>
  <c r="BU9" i="3"/>
  <c r="DY9" i="3"/>
  <c r="EV9" i="3"/>
  <c r="FA10" i="3"/>
  <c r="CR10" i="3"/>
  <c r="EK10" i="3"/>
  <c r="EF14" i="3"/>
  <c r="BX14" i="3"/>
  <c r="DQ14" i="3"/>
  <c r="BI14" i="3"/>
  <c r="EV14" i="3"/>
  <c r="CM14" i="3"/>
  <c r="ER14" i="3"/>
  <c r="CJ14" i="3"/>
  <c r="EC14" i="3"/>
  <c r="BU14" i="3"/>
  <c r="FH14" i="3"/>
  <c r="CY14" i="3"/>
  <c r="EE14" i="3"/>
  <c r="DQ15" i="3"/>
  <c r="BI15" i="3"/>
  <c r="EV15" i="3"/>
  <c r="CM15" i="3"/>
  <c r="S15" i="3" s="1"/>
  <c r="EF15" i="3"/>
  <c r="BX15" i="3"/>
  <c r="EC15" i="3"/>
  <c r="BU15" i="3"/>
  <c r="FH15" i="3"/>
  <c r="CY15" i="3"/>
  <c r="ER15" i="3"/>
  <c r="CJ15" i="3"/>
  <c r="BD18" i="3"/>
  <c r="AM18" i="3"/>
  <c r="CV18" i="3"/>
  <c r="EO18" i="3"/>
  <c r="CG18" i="3"/>
  <c r="DZ18" i="3"/>
  <c r="BR18" i="3"/>
  <c r="CY19" i="3"/>
  <c r="AM20" i="3"/>
  <c r="CQ21" i="3"/>
  <c r="DU21" i="3"/>
  <c r="BM21" i="3"/>
  <c r="EZ21" i="3"/>
  <c r="EJ21" i="3"/>
  <c r="CB21" i="3"/>
  <c r="EI25" i="3"/>
  <c r="CA25" i="3"/>
  <c r="DT25" i="3"/>
  <c r="BL25" i="3"/>
  <c r="EY25" i="3"/>
  <c r="CP25" i="3"/>
  <c r="CO35" i="3"/>
  <c r="ED43" i="3"/>
  <c r="BV43" i="3"/>
  <c r="DO43" i="3"/>
  <c r="BG43" i="3"/>
  <c r="ET43" i="3"/>
  <c r="CK43" i="3"/>
  <c r="EP43" i="3"/>
  <c r="CH43" i="3"/>
  <c r="EA43" i="3"/>
  <c r="BS43" i="3"/>
  <c r="FF43" i="3"/>
  <c r="CW43" i="3"/>
  <c r="EF26" i="2"/>
  <c r="BV26" i="2"/>
  <c r="BG26" i="2"/>
  <c r="BK10" i="2"/>
  <c r="BQ19" i="2"/>
  <c r="BH21" i="2"/>
  <c r="DA21" i="2"/>
  <c r="AS21" i="2"/>
  <c r="BU22" i="2"/>
  <c r="AH24" i="2"/>
  <c r="AO26" i="2"/>
  <c r="AN29" i="2"/>
  <c r="CL30" i="2"/>
  <c r="AD30" i="2"/>
  <c r="BW30" i="2"/>
  <c r="CX30" i="2"/>
  <c r="AP30" i="2"/>
  <c r="CI30" i="2"/>
  <c r="CZ32" i="2"/>
  <c r="AR32" i="2"/>
  <c r="EF32" i="2"/>
  <c r="DL32" i="2"/>
  <c r="BD32" i="2"/>
  <c r="ER32" i="2"/>
  <c r="BA32" i="2"/>
  <c r="BS32" i="2"/>
  <c r="CP4" i="3"/>
  <c r="S4" i="3" s="1"/>
  <c r="DT4" i="3"/>
  <c r="BL4" i="3"/>
  <c r="BY4" i="3"/>
  <c r="BV5" i="3"/>
  <c r="EN5" i="3"/>
  <c r="FF5" i="3"/>
  <c r="DP6" i="3"/>
  <c r="BH6" i="3"/>
  <c r="EU6" i="3"/>
  <c r="EB6" i="3"/>
  <c r="BT6" i="3"/>
  <c r="FG6" i="3"/>
  <c r="BQ8" i="3"/>
  <c r="EU12" i="3"/>
  <c r="CL12" i="3"/>
  <c r="FG12" i="3"/>
  <c r="CX12" i="3"/>
  <c r="EQ12" i="3"/>
  <c r="DW13" i="3"/>
  <c r="BO13" i="3"/>
  <c r="CS13" i="3"/>
  <c r="EL13" i="3"/>
  <c r="CD13" i="3"/>
  <c r="CX14" i="3"/>
  <c r="DW17" i="3"/>
  <c r="BO17" i="3"/>
  <c r="FB17" i="3"/>
  <c r="CS17" i="3"/>
  <c r="EL17" i="3"/>
  <c r="CD17" i="3"/>
  <c r="EM32" i="3"/>
  <c r="CE32" i="3"/>
  <c r="FC32" i="3"/>
  <c r="CT32" i="3"/>
  <c r="DX32" i="3"/>
  <c r="EP21" i="2"/>
  <c r="CF21" i="2"/>
  <c r="BQ21" i="2"/>
  <c r="DJ30" i="2"/>
  <c r="BB30" i="2"/>
  <c r="CU30" i="2"/>
  <c r="AM30" i="2"/>
  <c r="CS19" i="2"/>
  <c r="DG19" i="2"/>
  <c r="EM19" i="2"/>
  <c r="DH20" i="2"/>
  <c r="AZ20" i="2"/>
  <c r="CS20" i="2"/>
  <c r="AK20" i="2"/>
  <c r="BT21" i="2"/>
  <c r="DM21" i="2"/>
  <c r="BE21" i="2"/>
  <c r="AK21" i="2"/>
  <c r="AN5" i="2"/>
  <c r="AZ5" i="2"/>
  <c r="BL5" i="2"/>
  <c r="CJ5" i="2"/>
  <c r="DH5" i="2"/>
  <c r="EH5" i="2"/>
  <c r="ET5" i="2"/>
  <c r="AJ6" i="2"/>
  <c r="AV6" i="2"/>
  <c r="BH6" i="2"/>
  <c r="BT6" i="2"/>
  <c r="CF6" i="2"/>
  <c r="DD6" i="2"/>
  <c r="EP6" i="2"/>
  <c r="BU7" i="2"/>
  <c r="DE7" i="2"/>
  <c r="EQ7" i="2"/>
  <c r="AX8" i="2"/>
  <c r="BV8" i="2"/>
  <c r="CH8" i="2"/>
  <c r="DF8" i="2"/>
  <c r="EF8" i="2"/>
  <c r="ER8" i="2"/>
  <c r="AH9" i="2"/>
  <c r="AT9" i="2"/>
  <c r="BF9" i="2"/>
  <c r="CD9" i="2"/>
  <c r="DB9" i="2"/>
  <c r="DN9" i="2"/>
  <c r="EN9" i="2"/>
  <c r="AD10" i="2"/>
  <c r="BB10" i="2"/>
  <c r="BN10" i="2"/>
  <c r="BZ10" i="2"/>
  <c r="DJ10" i="2"/>
  <c r="EJ10" i="2"/>
  <c r="AL11" i="2"/>
  <c r="BJ11" i="2"/>
  <c r="BV11" i="2"/>
  <c r="CH11" i="2"/>
  <c r="DF11" i="2"/>
  <c r="EF11" i="2"/>
  <c r="ER11" i="2"/>
  <c r="AH12" i="2"/>
  <c r="AT12" i="2"/>
  <c r="BF12" i="2"/>
  <c r="DB12" i="2"/>
  <c r="DN12" i="2"/>
  <c r="EN12" i="2"/>
  <c r="AD13" i="2"/>
  <c r="AP13" i="2"/>
  <c r="BB13" i="2"/>
  <c r="BN13" i="2"/>
  <c r="BZ13" i="2"/>
  <c r="DJ13" i="2"/>
  <c r="EM13" i="2"/>
  <c r="AC14" i="2"/>
  <c r="AO14" i="2"/>
  <c r="BA14" i="2"/>
  <c r="BM14" i="2"/>
  <c r="BY14" i="2"/>
  <c r="DI14" i="2"/>
  <c r="EI14" i="2"/>
  <c r="AK15" i="2"/>
  <c r="AW15" i="2"/>
  <c r="BI15" i="2"/>
  <c r="BU15" i="2"/>
  <c r="CG15" i="2"/>
  <c r="DE15" i="2"/>
  <c r="EQ15" i="2"/>
  <c r="AG16" i="2"/>
  <c r="AS16" i="2"/>
  <c r="BE16" i="2"/>
  <c r="BQ16" i="2"/>
  <c r="CC16" i="2"/>
  <c r="DA16" i="2"/>
  <c r="DM16" i="2"/>
  <c r="EM16" i="2"/>
  <c r="AC17" i="2"/>
  <c r="AO17" i="2"/>
  <c r="BA17" i="2"/>
  <c r="BM17" i="2"/>
  <c r="BY17" i="2"/>
  <c r="DI17" i="2"/>
  <c r="EI17" i="2"/>
  <c r="AK18" i="2"/>
  <c r="AW18" i="2"/>
  <c r="BI18" i="2"/>
  <c r="BU18" i="2"/>
  <c r="CG18" i="2"/>
  <c r="EQ18" i="2"/>
  <c r="AS19" i="2"/>
  <c r="BE19" i="2"/>
  <c r="CF19" i="2"/>
  <c r="CT19" i="2"/>
  <c r="DH19" i="2"/>
  <c r="EN19" i="2"/>
  <c r="AS20" i="2"/>
  <c r="BG20" i="2"/>
  <c r="BV20" i="2"/>
  <c r="CK20" i="2"/>
  <c r="DM20" i="2"/>
  <c r="AZ21" i="2"/>
  <c r="CB21" i="2"/>
  <c r="CQ21" i="2"/>
  <c r="DF21" i="2"/>
  <c r="AE22" i="2"/>
  <c r="AT22" i="2"/>
  <c r="BV22" i="2"/>
  <c r="CJ22" i="2"/>
  <c r="CY22" i="2"/>
  <c r="DN22" i="2"/>
  <c r="CA23" i="2"/>
  <c r="CO23" i="2"/>
  <c r="AI24" i="2"/>
  <c r="AW24" i="2"/>
  <c r="BK24" i="2"/>
  <c r="BZ24" i="2"/>
  <c r="DC24" i="2"/>
  <c r="EV24" i="2"/>
  <c r="A24" i="2" s="1"/>
  <c r="CF25" i="2"/>
  <c r="EP25" i="2"/>
  <c r="BQ25" i="2"/>
  <c r="AF25" i="2"/>
  <c r="AU25" i="2"/>
  <c r="CZ25" i="2"/>
  <c r="DF26" i="2"/>
  <c r="AX26" i="2"/>
  <c r="CQ26" i="2"/>
  <c r="AI26" i="2"/>
  <c r="BD26" i="2"/>
  <c r="BR26" i="2"/>
  <c r="CG26" i="2"/>
  <c r="DJ26" i="2"/>
  <c r="AJ27" i="2"/>
  <c r="AY27" i="2"/>
  <c r="CA27" i="2"/>
  <c r="CO27" i="2"/>
  <c r="DD27" i="2"/>
  <c r="BW28" i="2"/>
  <c r="CK28" i="2"/>
  <c r="AO29" i="2"/>
  <c r="BC29" i="2"/>
  <c r="BQ29" i="2"/>
  <c r="CF29" i="2"/>
  <c r="DI29" i="2"/>
  <c r="CQ30" i="2"/>
  <c r="EF30" i="2"/>
  <c r="EW30" i="2"/>
  <c r="AH31" i="2"/>
  <c r="AW31" i="2"/>
  <c r="CD31" i="2"/>
  <c r="CS31" i="2"/>
  <c r="DJ31" i="2"/>
  <c r="EL31" i="2"/>
  <c r="CL32" i="2"/>
  <c r="AD32" i="2"/>
  <c r="CX32" i="2"/>
  <c r="AP32" i="2"/>
  <c r="AJ32" i="2"/>
  <c r="BC32" i="2"/>
  <c r="BT32" i="2"/>
  <c r="CK32" i="2"/>
  <c r="BH4" i="3"/>
  <c r="CA4" i="3"/>
  <c r="CU4" i="3"/>
  <c r="EQ4" i="3"/>
  <c r="FG4" i="3"/>
  <c r="DS5" i="3"/>
  <c r="BK5" i="3"/>
  <c r="EX5" i="3"/>
  <c r="BX5" i="3"/>
  <c r="CR5" i="3"/>
  <c r="DV5" i="3"/>
  <c r="EP5" i="3"/>
  <c r="EF6" i="3"/>
  <c r="BX6" i="3"/>
  <c r="CM6" i="3"/>
  <c r="R6" i="3" s="1"/>
  <c r="ER6" i="3"/>
  <c r="CJ6" i="3"/>
  <c r="CY6" i="3"/>
  <c r="BU6" i="3"/>
  <c r="CO6" i="3"/>
  <c r="DS6" i="3"/>
  <c r="EM6" i="3"/>
  <c r="FE6" i="3"/>
  <c r="CL7" i="3"/>
  <c r="R7" i="3" s="1"/>
  <c r="DP7" i="3"/>
  <c r="EH7" i="3"/>
  <c r="BD8" i="3"/>
  <c r="AM8" i="3"/>
  <c r="DZ8" i="3"/>
  <c r="BR8" i="3"/>
  <c r="CV8" i="3"/>
  <c r="EO8" i="3"/>
  <c r="CG8" i="3"/>
  <c r="EN8" i="3"/>
  <c r="DS9" i="3"/>
  <c r="BK9" i="3"/>
  <c r="EX9" i="3"/>
  <c r="DS10" i="3"/>
  <c r="BK11" i="3"/>
  <c r="BW12" i="3"/>
  <c r="BC13" i="3"/>
  <c r="AM13" i="3"/>
  <c r="CC14" i="3"/>
  <c r="EX15" i="3"/>
  <c r="CO15" i="3"/>
  <c r="DS15" i="3"/>
  <c r="BK15" i="3"/>
  <c r="CP16" i="3"/>
  <c r="R16" i="3" s="1"/>
  <c r="Z9" i="2" s="1"/>
  <c r="EI16" i="3"/>
  <c r="CA16" i="3"/>
  <c r="DT16" i="3"/>
  <c r="BL16" i="3"/>
  <c r="BC17" i="3"/>
  <c r="AM17" i="3"/>
  <c r="DP18" i="3"/>
  <c r="BH18" i="3"/>
  <c r="EU18" i="3"/>
  <c r="CL18" i="3"/>
  <c r="EB18" i="3"/>
  <c r="BT18" i="3"/>
  <c r="FG18" i="3"/>
  <c r="CX18" i="3"/>
  <c r="EL19" i="3"/>
  <c r="CD19" i="3"/>
  <c r="DW19" i="3"/>
  <c r="FB19" i="3"/>
  <c r="CS19" i="3"/>
  <c r="ER19" i="3"/>
  <c r="DO24" i="3"/>
  <c r="EG50" i="3"/>
  <c r="BY50" i="3"/>
  <c r="DR50" i="3"/>
  <c r="U50" i="3" s="1"/>
  <c r="BJ50" i="3"/>
  <c r="EW50" i="3"/>
  <c r="CN50" i="3"/>
  <c r="AO5" i="2"/>
  <c r="BA5" i="2"/>
  <c r="BY5" i="2"/>
  <c r="CK5" i="2"/>
  <c r="CW5" i="2"/>
  <c r="DI5" i="2"/>
  <c r="EI5" i="2"/>
  <c r="AK6" i="2"/>
  <c r="AW6" i="2"/>
  <c r="CG6" i="2"/>
  <c r="CS6" i="2"/>
  <c r="DE6" i="2"/>
  <c r="EQ6" i="2"/>
  <c r="CH7" i="2"/>
  <c r="CT7" i="2"/>
  <c r="DF7" i="2"/>
  <c r="EF7" i="2"/>
  <c r="ER7" i="2"/>
  <c r="AY8" i="2"/>
  <c r="BW8" i="2"/>
  <c r="CI8" i="2"/>
  <c r="CU8" i="2"/>
  <c r="DG8" i="2"/>
  <c r="EG8" i="2"/>
  <c r="ES8" i="2"/>
  <c r="AI9" i="2"/>
  <c r="AU9" i="2"/>
  <c r="CE9" i="2"/>
  <c r="CQ9" i="2"/>
  <c r="DC9" i="2"/>
  <c r="EO9" i="2"/>
  <c r="AE10" i="2"/>
  <c r="CM10" i="2"/>
  <c r="CY10" i="2"/>
  <c r="DK10" i="2"/>
  <c r="EK10" i="2"/>
  <c r="AM11" i="2"/>
  <c r="AY11" i="2"/>
  <c r="BW11" i="2"/>
  <c r="CI11" i="2"/>
  <c r="CU11" i="2"/>
  <c r="DG11" i="2"/>
  <c r="EG11" i="2"/>
  <c r="ES11" i="2"/>
  <c r="AI12" i="2"/>
  <c r="CQ12" i="2"/>
  <c r="DC12" i="2"/>
  <c r="EO12" i="2"/>
  <c r="AE13" i="2"/>
  <c r="AQ13" i="2"/>
  <c r="BC13" i="2"/>
  <c r="CA13" i="2"/>
  <c r="CM13" i="2"/>
  <c r="CY13" i="2"/>
  <c r="DK13" i="2"/>
  <c r="AD14" i="2"/>
  <c r="AP14" i="2"/>
  <c r="BB14" i="2"/>
  <c r="BZ14" i="2"/>
  <c r="CL14" i="2"/>
  <c r="CX14" i="2"/>
  <c r="DJ14" i="2"/>
  <c r="EJ14" i="2"/>
  <c r="AL15" i="2"/>
  <c r="AX15" i="2"/>
  <c r="BV15" i="2"/>
  <c r="CH15" i="2"/>
  <c r="CT15" i="2"/>
  <c r="DF15" i="2"/>
  <c r="EF15" i="2"/>
  <c r="ER15" i="2"/>
  <c r="AH16" i="2"/>
  <c r="AT16" i="2"/>
  <c r="BF16" i="2"/>
  <c r="CD16" i="2"/>
  <c r="CP16" i="2"/>
  <c r="DB16" i="2"/>
  <c r="DN16" i="2"/>
  <c r="EN16" i="2"/>
  <c r="AD17" i="2"/>
  <c r="AP17" i="2"/>
  <c r="BB17" i="2"/>
  <c r="BZ17" i="2"/>
  <c r="CL17" i="2"/>
  <c r="CX17" i="2"/>
  <c r="DJ17" i="2"/>
  <c r="EJ17" i="2"/>
  <c r="AL18" i="2"/>
  <c r="AX18" i="2"/>
  <c r="BV18" i="2"/>
  <c r="CH18" i="2"/>
  <c r="CT18" i="2"/>
  <c r="DF18" i="2"/>
  <c r="EF18" i="2"/>
  <c r="ER18" i="2"/>
  <c r="CZ19" i="2"/>
  <c r="CK19" i="2"/>
  <c r="DL19" i="2"/>
  <c r="CW19" i="2"/>
  <c r="AH19" i="2"/>
  <c r="AT19" i="2"/>
  <c r="BF19" i="2"/>
  <c r="BS19" i="2"/>
  <c r="CU19" i="2"/>
  <c r="DJ19" i="2"/>
  <c r="BH20" i="2"/>
  <c r="BW20" i="2"/>
  <c r="CL20" i="2"/>
  <c r="CZ20" i="2"/>
  <c r="AM21" i="2"/>
  <c r="BO21" i="2"/>
  <c r="CD21" i="2"/>
  <c r="CS21" i="2"/>
  <c r="BP22" i="2"/>
  <c r="DI22" i="2"/>
  <c r="BA22" i="2"/>
  <c r="AG22" i="2"/>
  <c r="BI22" i="2"/>
  <c r="BX23" i="2"/>
  <c r="EH23" i="2"/>
  <c r="BI23" i="2"/>
  <c r="CJ23" i="2"/>
  <c r="ET23" i="2"/>
  <c r="BU23" i="2"/>
  <c r="AJ23" i="2"/>
  <c r="AY23" i="2"/>
  <c r="BN23" i="2"/>
  <c r="DD23" i="2"/>
  <c r="CZ24" i="2"/>
  <c r="AR24" i="2"/>
  <c r="CK24" i="2"/>
  <c r="AC24" i="2"/>
  <c r="DL24" i="2"/>
  <c r="BD24" i="2"/>
  <c r="CW24" i="2"/>
  <c r="AO24" i="2"/>
  <c r="BL24" i="2"/>
  <c r="CA24" i="2"/>
  <c r="CP24" i="2"/>
  <c r="BK25" i="2"/>
  <c r="AC26" i="2"/>
  <c r="AQ26" i="2"/>
  <c r="CW26" i="2"/>
  <c r="BI27" i="2"/>
  <c r="DB27" i="2"/>
  <c r="AT27" i="2"/>
  <c r="BU27" i="2"/>
  <c r="DN27" i="2"/>
  <c r="BF27" i="2"/>
  <c r="AL27" i="2"/>
  <c r="BN27" i="2"/>
  <c r="CF28" i="2"/>
  <c r="EP28" i="2"/>
  <c r="BQ28" i="2"/>
  <c r="AF28" i="2"/>
  <c r="AU28" i="2"/>
  <c r="BJ28" i="2"/>
  <c r="CZ28" i="2"/>
  <c r="DF29" i="2"/>
  <c r="AX29" i="2"/>
  <c r="CQ29" i="2"/>
  <c r="AI29" i="2"/>
  <c r="BR29" i="2"/>
  <c r="CG29" i="2"/>
  <c r="CV29" i="2"/>
  <c r="DF30" i="2"/>
  <c r="EG30" i="2"/>
  <c r="DK31" i="2"/>
  <c r="BC31" i="2"/>
  <c r="EH32" i="2"/>
  <c r="BX32" i="2"/>
  <c r="BI32" i="2"/>
  <c r="ET32" i="2"/>
  <c r="CJ32" i="2"/>
  <c r="BU32" i="2"/>
  <c r="BV32" i="2"/>
  <c r="CM32" i="2"/>
  <c r="BF4" i="3"/>
  <c r="DV4" i="3"/>
  <c r="BN4" i="3"/>
  <c r="FA4" i="3"/>
  <c r="BJ4" i="3"/>
  <c r="CC4" i="3"/>
  <c r="DY4" i="3"/>
  <c r="EI5" i="3"/>
  <c r="CA5" i="3"/>
  <c r="CP5" i="3"/>
  <c r="BG5" i="3"/>
  <c r="BW6" i="3"/>
  <c r="EO6" i="3"/>
  <c r="DQ7" i="3"/>
  <c r="BI7" i="3"/>
  <c r="CM7" i="3"/>
  <c r="EF7" i="3"/>
  <c r="BX7" i="3"/>
  <c r="EC7" i="3"/>
  <c r="BU7" i="3"/>
  <c r="CY7" i="3"/>
  <c r="ER7" i="3"/>
  <c r="CJ7" i="3"/>
  <c r="EI9" i="3"/>
  <c r="CA9" i="3"/>
  <c r="DT9" i="3"/>
  <c r="BL9" i="3"/>
  <c r="CP9" i="3"/>
  <c r="CC9" i="3"/>
  <c r="BC11" i="3"/>
  <c r="BF11" i="3"/>
  <c r="CS11" i="3"/>
  <c r="EL11" i="3"/>
  <c r="CD11" i="3"/>
  <c r="DW11" i="3"/>
  <c r="BO11" i="3"/>
  <c r="FD13" i="3"/>
  <c r="CU13" i="3"/>
  <c r="S13" i="3" s="1"/>
  <c r="EN13" i="3"/>
  <c r="DT14" i="3"/>
  <c r="BL14" i="3"/>
  <c r="CP14" i="3"/>
  <c r="EI14" i="3"/>
  <c r="CA14" i="3"/>
  <c r="CF15" i="3"/>
  <c r="EH15" i="3"/>
  <c r="BC19" i="3"/>
  <c r="AM19" i="3"/>
  <c r="BF19" i="3"/>
  <c r="EU20" i="3"/>
  <c r="EE20" i="3"/>
  <c r="BH20" i="3"/>
  <c r="CL20" i="3"/>
  <c r="BW20" i="3"/>
  <c r="FG20" i="3"/>
  <c r="CX20" i="3"/>
  <c r="CI20" i="3"/>
  <c r="EB20" i="3"/>
  <c r="DV30" i="3"/>
  <c r="BN30" i="3"/>
  <c r="FA30" i="3"/>
  <c r="EK30" i="3"/>
  <c r="CC30" i="3"/>
  <c r="CR30" i="3"/>
  <c r="CP19" i="2"/>
  <c r="BP32" i="2"/>
  <c r="EO32" i="2"/>
  <c r="BQ5" i="3"/>
  <c r="BQ6" i="2"/>
  <c r="BG11" i="2"/>
  <c r="BK13" i="2"/>
  <c r="BT19" i="2"/>
  <c r="CV20" i="2"/>
  <c r="AN20" i="2"/>
  <c r="EQ20" i="2"/>
  <c r="CG20" i="2"/>
  <c r="DD21" i="2"/>
  <c r="AV21" i="2"/>
  <c r="CO21" i="2"/>
  <c r="AG21" i="2"/>
  <c r="BB21" i="2"/>
  <c r="DH21" i="2"/>
  <c r="AH22" i="2"/>
  <c r="AV22" i="2"/>
  <c r="BX22" i="2"/>
  <c r="CM22" i="2"/>
  <c r="DB22" i="2"/>
  <c r="AL23" i="2"/>
  <c r="BA23" i="2"/>
  <c r="CC23" i="2"/>
  <c r="AK24" i="2"/>
  <c r="DE24" i="2"/>
  <c r="AI25" i="2"/>
  <c r="AX25" i="2"/>
  <c r="BZ25" i="2"/>
  <c r="AR26" i="2"/>
  <c r="BF26" i="2"/>
  <c r="BU26" i="2"/>
  <c r="CJ26" i="2"/>
  <c r="DL26" i="2"/>
  <c r="AM27" i="2"/>
  <c r="BA27" i="2"/>
  <c r="CC27" i="2"/>
  <c r="CR27" i="2"/>
  <c r="DG27" i="2"/>
  <c r="AH28" i="2"/>
  <c r="AW28" i="2"/>
  <c r="BY28" i="2"/>
  <c r="AQ29" i="2"/>
  <c r="DK29" i="2"/>
  <c r="EJ30" i="2"/>
  <c r="BZ30" i="2"/>
  <c r="BK30" i="2"/>
  <c r="AN30" i="2"/>
  <c r="BC30" i="2"/>
  <c r="BQ30" i="2"/>
  <c r="CK31" i="2"/>
  <c r="AC31" i="2"/>
  <c r="BV31" i="2"/>
  <c r="CW31" i="2"/>
  <c r="AO31" i="2"/>
  <c r="CH31" i="2"/>
  <c r="CV31" i="2"/>
  <c r="DM31" i="2"/>
  <c r="AM32" i="2"/>
  <c r="EL4" i="3"/>
  <c r="CD4" i="3"/>
  <c r="CS4" i="3"/>
  <c r="R4" i="3" s="1"/>
  <c r="DY5" i="3"/>
  <c r="ET5" i="3"/>
  <c r="EQ6" i="3"/>
  <c r="DS7" i="3"/>
  <c r="EU8" i="3"/>
  <c r="CL8" i="3"/>
  <c r="FG8" i="3"/>
  <c r="CX8" i="3"/>
  <c r="CR8" i="3"/>
  <c r="EQ8" i="3"/>
  <c r="BD10" i="3"/>
  <c r="AM10" i="3"/>
  <c r="CV10" i="3"/>
  <c r="EO10" i="3"/>
  <c r="CG10" i="3"/>
  <c r="DZ10" i="3"/>
  <c r="BR10" i="3"/>
  <c r="DV10" i="3"/>
  <c r="EH11" i="3"/>
  <c r="BQ13" i="3"/>
  <c r="CI14" i="3"/>
  <c r="DV16" i="3"/>
  <c r="BN16" i="3"/>
  <c r="FA16" i="3"/>
  <c r="CR16" i="3"/>
  <c r="EQ18" i="3"/>
  <c r="FD19" i="3"/>
  <c r="EN19" i="3"/>
  <c r="CU19" i="3"/>
  <c r="CF19" i="3"/>
  <c r="BQ19" i="3"/>
  <c r="BX19" i="3"/>
  <c r="BD23" i="3"/>
  <c r="AM23" i="3"/>
  <c r="EO23" i="3"/>
  <c r="CG23" i="3"/>
  <c r="DZ23" i="3"/>
  <c r="BR23" i="3"/>
  <c r="FE23" i="3"/>
  <c r="CV23" i="3"/>
  <c r="DV34" i="3"/>
  <c r="BN34" i="3"/>
  <c r="FA34" i="3"/>
  <c r="EK34" i="3"/>
  <c r="CC34" i="3"/>
  <c r="ED47" i="3"/>
  <c r="BV47" i="3"/>
  <c r="DO47" i="3"/>
  <c r="BG47" i="3"/>
  <c r="ET47" i="3"/>
  <c r="CK47" i="3"/>
  <c r="EP47" i="3"/>
  <c r="CH47" i="3"/>
  <c r="EA47" i="3"/>
  <c r="BS47" i="3"/>
  <c r="FF47" i="3"/>
  <c r="CW47" i="3"/>
  <c r="DT10" i="3"/>
  <c r="BL10" i="3"/>
  <c r="CP10" i="3"/>
  <c r="EI10" i="3"/>
  <c r="CA10" i="3"/>
  <c r="EI13" i="3"/>
  <c r="CA13" i="3"/>
  <c r="DT13" i="3"/>
  <c r="BL13" i="3"/>
  <c r="EY13" i="3"/>
  <c r="CP13" i="3"/>
  <c r="AQ5" i="2"/>
  <c r="CA5" i="2"/>
  <c r="CY5" i="2"/>
  <c r="EG6" i="2"/>
  <c r="ES6" i="2"/>
  <c r="EH7" i="2"/>
  <c r="ET7" i="2"/>
  <c r="CK8" i="2"/>
  <c r="CW8" i="2"/>
  <c r="AK9" i="2"/>
  <c r="CS9" i="2"/>
  <c r="AG10" i="2"/>
  <c r="CC10" i="2"/>
  <c r="AC11" i="2"/>
  <c r="AO11" i="2"/>
  <c r="BY11" i="2"/>
  <c r="CW11" i="2"/>
  <c r="AG13" i="2"/>
  <c r="BQ13" i="2"/>
  <c r="AF14" i="2"/>
  <c r="CB14" i="2"/>
  <c r="AN15" i="2"/>
  <c r="BX15" i="2"/>
  <c r="CJ15" i="2"/>
  <c r="AJ16" i="2"/>
  <c r="CF16" i="2"/>
  <c r="AF17" i="2"/>
  <c r="CB17" i="2"/>
  <c r="AN18" i="2"/>
  <c r="BX18" i="2"/>
  <c r="CJ18" i="2"/>
  <c r="BU19" i="2"/>
  <c r="AH20" i="2"/>
  <c r="CU21" i="2"/>
  <c r="AW22" i="2"/>
  <c r="BK22" i="2"/>
  <c r="BZ22" i="2"/>
  <c r="CO22" i="2"/>
  <c r="AM23" i="2"/>
  <c r="BB23" i="2"/>
  <c r="BP23" i="2"/>
  <c r="CR23" i="2"/>
  <c r="DG23" i="2"/>
  <c r="AZ24" i="2"/>
  <c r="BO24" i="2"/>
  <c r="CD24" i="2"/>
  <c r="EG25" i="2"/>
  <c r="BH25" i="2"/>
  <c r="DA25" i="2"/>
  <c r="AS25" i="2"/>
  <c r="ES25" i="2"/>
  <c r="BT25" i="2"/>
  <c r="DM25" i="2"/>
  <c r="BE25" i="2"/>
  <c r="AY25" i="2"/>
  <c r="BM25" i="2"/>
  <c r="EJ25" i="2"/>
  <c r="CT26" i="2"/>
  <c r="AL26" i="2"/>
  <c r="EO26" i="2"/>
  <c r="CE26" i="2"/>
  <c r="AE26" i="2"/>
  <c r="CK26" i="2"/>
  <c r="CY26" i="2"/>
  <c r="BB27" i="2"/>
  <c r="BP27" i="2"/>
  <c r="CE27" i="2"/>
  <c r="CT27" i="2"/>
  <c r="AI28" i="2"/>
  <c r="AX28" i="2"/>
  <c r="BL28" i="2"/>
  <c r="CN28" i="2"/>
  <c r="DC28" i="2"/>
  <c r="BF29" i="2"/>
  <c r="BU29" i="2"/>
  <c r="CJ29" i="2"/>
  <c r="BR30" i="2"/>
  <c r="CF30" i="2"/>
  <c r="CX31" i="2"/>
  <c r="EJ32" i="2"/>
  <c r="BZ32" i="2"/>
  <c r="AO32" i="2"/>
  <c r="BG32" i="2"/>
  <c r="CO32" i="2"/>
  <c r="CC5" i="3"/>
  <c r="EA5" i="3"/>
  <c r="DT6" i="3"/>
  <c r="BL6" i="3"/>
  <c r="CP6" i="3"/>
  <c r="S6" i="3" s="1"/>
  <c r="EI6" i="3"/>
  <c r="CA6" i="3"/>
  <c r="EN7" i="3"/>
  <c r="CF9" i="3"/>
  <c r="DY11" i="3"/>
  <c r="BQ11" i="3"/>
  <c r="FD11" i="3"/>
  <c r="CP12" i="3"/>
  <c r="S12" i="3" s="1"/>
  <c r="EI12" i="3"/>
  <c r="CA12" i="3"/>
  <c r="DT12" i="3"/>
  <c r="BL12" i="3"/>
  <c r="BH12" i="3"/>
  <c r="EB12" i="3"/>
  <c r="FA14" i="3"/>
  <c r="CR14" i="3"/>
  <c r="EN15" i="3"/>
  <c r="AM22" i="3"/>
  <c r="CV22" i="3"/>
  <c r="EO22" i="3"/>
  <c r="CG22" i="3"/>
  <c r="DZ22" i="3"/>
  <c r="FE22" i="3"/>
  <c r="BR22" i="3"/>
  <c r="ET24" i="3"/>
  <c r="EJ26" i="3"/>
  <c r="CB26" i="3"/>
  <c r="DU26" i="3"/>
  <c r="EZ26" i="3"/>
  <c r="CQ26" i="3"/>
  <c r="CP27" i="3"/>
  <c r="EI27" i="3"/>
  <c r="CA27" i="3"/>
  <c r="DT27" i="3"/>
  <c r="EY27" i="3"/>
  <c r="BL27" i="3"/>
  <c r="EX28" i="3"/>
  <c r="DS28" i="3"/>
  <c r="CO28" i="3"/>
  <c r="BK28" i="3"/>
  <c r="EH28" i="3"/>
  <c r="BZ28" i="3"/>
  <c r="AM30" i="3"/>
  <c r="CP31" i="3"/>
  <c r="EI31" i="3"/>
  <c r="CA31" i="3"/>
  <c r="EY31" i="3"/>
  <c r="DT31" i="3"/>
  <c r="BL31" i="3"/>
  <c r="S32" i="3"/>
  <c r="CR34" i="3"/>
  <c r="EM36" i="3"/>
  <c r="CE36" i="3"/>
  <c r="DX36" i="3"/>
  <c r="BP36" i="3"/>
  <c r="FC36" i="3"/>
  <c r="CT36" i="3"/>
  <c r="CP53" i="3"/>
  <c r="EI53" i="3"/>
  <c r="CA53" i="3"/>
  <c r="DT53" i="3"/>
  <c r="EY53" i="3"/>
  <c r="BL53" i="3"/>
  <c r="BG8" i="2"/>
  <c r="CU6" i="2"/>
  <c r="AN6" i="2"/>
  <c r="DH6" i="2"/>
  <c r="CK7" i="2"/>
  <c r="CW7" i="2"/>
  <c r="DI7" i="2"/>
  <c r="AD8" i="2"/>
  <c r="AX9" i="2"/>
  <c r="DB10" i="2"/>
  <c r="DN10" i="2"/>
  <c r="AD11" i="2"/>
  <c r="AP11" i="2"/>
  <c r="BB11" i="2"/>
  <c r="AH13" i="2"/>
  <c r="AT13" i="2"/>
  <c r="BF13" i="2"/>
  <c r="BR13" i="2"/>
  <c r="AG14" i="2"/>
  <c r="AS14" i="2"/>
  <c r="BE14" i="2"/>
  <c r="AC15" i="2"/>
  <c r="AO15" i="2"/>
  <c r="BA15" i="2"/>
  <c r="AK16" i="2"/>
  <c r="AW16" i="2"/>
  <c r="AG17" i="2"/>
  <c r="AS17" i="2"/>
  <c r="BE17" i="2"/>
  <c r="AC18" i="2"/>
  <c r="AO18" i="2"/>
  <c r="BA18" i="2"/>
  <c r="CN19" i="2"/>
  <c r="EI19" i="2"/>
  <c r="BY19" i="2"/>
  <c r="AW19" i="2"/>
  <c r="CJ19" i="2"/>
  <c r="CY19" i="2"/>
  <c r="AP21" i="2"/>
  <c r="DJ21" i="2"/>
  <c r="CZ22" i="2"/>
  <c r="AR22" i="2"/>
  <c r="CK22" i="2"/>
  <c r="AC22" i="2"/>
  <c r="DL22" i="2"/>
  <c r="BD22" i="2"/>
  <c r="CW22" i="2"/>
  <c r="AO22" i="2"/>
  <c r="BL22" i="2"/>
  <c r="CA22" i="2"/>
  <c r="CP22" i="2"/>
  <c r="DD22" i="2"/>
  <c r="EK23" i="2"/>
  <c r="BL23" i="2"/>
  <c r="DE23" i="2"/>
  <c r="AW23" i="2"/>
  <c r="AO23" i="2"/>
  <c r="BQ23" i="2"/>
  <c r="CE23" i="2"/>
  <c r="CT23" i="2"/>
  <c r="DI23" i="2"/>
  <c r="CN24" i="2"/>
  <c r="AF24" i="2"/>
  <c r="BY24" i="2"/>
  <c r="CS24" i="2"/>
  <c r="AL25" i="2"/>
  <c r="BN25" i="2"/>
  <c r="CB25" i="2"/>
  <c r="CQ25" i="2"/>
  <c r="DF25" i="2"/>
  <c r="AF26" i="2"/>
  <c r="AT26" i="2"/>
  <c r="BI26" i="2"/>
  <c r="BX26" i="2"/>
  <c r="CZ26" i="2"/>
  <c r="DN26" i="2"/>
  <c r="DE27" i="2"/>
  <c r="AW27" i="2"/>
  <c r="CP27" i="2"/>
  <c r="AH27" i="2"/>
  <c r="BQ27" i="2"/>
  <c r="CF27" i="2"/>
  <c r="CU27" i="2"/>
  <c r="DI27" i="2"/>
  <c r="EG28" i="2"/>
  <c r="BH28" i="2"/>
  <c r="DA28" i="2"/>
  <c r="AS28" i="2"/>
  <c r="ES28" i="2"/>
  <c r="BT28" i="2"/>
  <c r="DM28" i="2"/>
  <c r="BE28" i="2"/>
  <c r="AK28" i="2"/>
  <c r="BM28" i="2"/>
  <c r="CA28" i="2"/>
  <c r="CP28" i="2"/>
  <c r="DE28" i="2"/>
  <c r="CT29" i="2"/>
  <c r="AL29" i="2"/>
  <c r="CE29" i="2"/>
  <c r="AE29" i="2"/>
  <c r="CY29" i="2"/>
  <c r="BE30" i="2"/>
  <c r="CG30" i="2"/>
  <c r="CV30" i="2"/>
  <c r="DK30" i="2"/>
  <c r="CM31" i="2"/>
  <c r="AE31" i="2"/>
  <c r="CY31" i="2"/>
  <c r="AQ31" i="2"/>
  <c r="BD31" i="2"/>
  <c r="BS31" i="2"/>
  <c r="CI31" i="2"/>
  <c r="CZ31" i="2"/>
  <c r="EQ31" i="2"/>
  <c r="BL32" i="2"/>
  <c r="DE32" i="2"/>
  <c r="AW32" i="2"/>
  <c r="CA32" i="2"/>
  <c r="CP32" i="2"/>
  <c r="DG32" i="2"/>
  <c r="EW4" i="3"/>
  <c r="DW5" i="3"/>
  <c r="BO5" i="3"/>
  <c r="CS5" i="3"/>
  <c r="R5" i="3" s="1"/>
  <c r="EL5" i="3"/>
  <c r="CD5" i="3"/>
  <c r="CU8" i="3"/>
  <c r="DY8" i="3"/>
  <c r="DW9" i="3"/>
  <c r="BO9" i="3"/>
  <c r="CS9" i="3"/>
  <c r="EL9" i="3"/>
  <c r="CD9" i="3"/>
  <c r="EK9" i="3"/>
  <c r="DP10" i="3"/>
  <c r="BH10" i="3"/>
  <c r="EU10" i="3"/>
  <c r="EB10" i="3"/>
  <c r="BT10" i="3"/>
  <c r="FG10" i="3"/>
  <c r="EY10" i="3"/>
  <c r="AM11" i="3"/>
  <c r="EO11" i="3"/>
  <c r="CG11" i="3"/>
  <c r="DZ11" i="3"/>
  <c r="BR11" i="3"/>
  <c r="FE11" i="3"/>
  <c r="CV11" i="3"/>
  <c r="EN11" i="3"/>
  <c r="EY12" i="3"/>
  <c r="BN14" i="3"/>
  <c r="CL14" i="3"/>
  <c r="S14" i="3" s="1"/>
  <c r="EQ14" i="3"/>
  <c r="CS15" i="3"/>
  <c r="EL15" i="3"/>
  <c r="CD15" i="3"/>
  <c r="DW15" i="3"/>
  <c r="BO15" i="3"/>
  <c r="DT18" i="3"/>
  <c r="BL18" i="3"/>
  <c r="EY18" i="3"/>
  <c r="CP18" i="3"/>
  <c r="EI18" i="3"/>
  <c r="CA18" i="3"/>
  <c r="DY19" i="3"/>
  <c r="EV21" i="3"/>
  <c r="AM25" i="3"/>
  <c r="CV25" i="3"/>
  <c r="DZ25" i="3"/>
  <c r="BR25" i="3"/>
  <c r="FE25" i="3"/>
  <c r="EO25" i="3"/>
  <c r="CG25" i="3"/>
  <c r="BM26" i="3"/>
  <c r="EU29" i="3"/>
  <c r="DP29" i="3"/>
  <c r="BH29" i="3"/>
  <c r="BW29" i="3"/>
  <c r="FG29" i="3"/>
  <c r="EB29" i="3"/>
  <c r="BT29" i="3"/>
  <c r="CI29" i="3"/>
  <c r="CX29" i="3"/>
  <c r="EQ29" i="3"/>
  <c r="EV40" i="3"/>
  <c r="CM40" i="3"/>
  <c r="S40" i="3" s="1"/>
  <c r="EF40" i="3"/>
  <c r="BX40" i="3"/>
  <c r="BI40" i="3"/>
  <c r="FH40" i="3"/>
  <c r="CY40" i="3"/>
  <c r="ER40" i="3"/>
  <c r="CJ40" i="3"/>
  <c r="BU40" i="3"/>
  <c r="EC40" i="3"/>
  <c r="FA52" i="3"/>
  <c r="EK52" i="3"/>
  <c r="DV52" i="3"/>
  <c r="CC52" i="3"/>
  <c r="BN52" i="3"/>
  <c r="CR52" i="3"/>
  <c r="BL20" i="2"/>
  <c r="DE20" i="2"/>
  <c r="AW20" i="2"/>
  <c r="BM31" i="2"/>
  <c r="DF31" i="2"/>
  <c r="AX31" i="2"/>
  <c r="AF5" i="2"/>
  <c r="BD5" i="2"/>
  <c r="AP8" i="2"/>
  <c r="AL9" i="2"/>
  <c r="AX12" i="2"/>
  <c r="AG5" i="2"/>
  <c r="BE5" i="2"/>
  <c r="CC5" i="2"/>
  <c r="AO6" i="2"/>
  <c r="BA6" i="2"/>
  <c r="BY6" i="2"/>
  <c r="AD7" i="2"/>
  <c r="AP7" i="2"/>
  <c r="AE8" i="2"/>
  <c r="AQ8" i="2"/>
  <c r="BC8" i="2"/>
  <c r="AY9" i="2"/>
  <c r="BW9" i="2"/>
  <c r="CI9" i="2"/>
  <c r="AI10" i="2"/>
  <c r="AU10" i="2"/>
  <c r="CE10" i="2"/>
  <c r="AE11" i="2"/>
  <c r="BC11" i="2"/>
  <c r="CA11" i="2"/>
  <c r="AY12" i="2"/>
  <c r="BW12" i="2"/>
  <c r="AU13" i="2"/>
  <c r="BG13" i="2"/>
  <c r="BS13" i="2"/>
  <c r="AT14" i="2"/>
  <c r="BF14" i="2"/>
  <c r="CD14" i="2"/>
  <c r="BB15" i="2"/>
  <c r="BZ15" i="2"/>
  <c r="AX16" i="2"/>
  <c r="BV16" i="2"/>
  <c r="CH16" i="2"/>
  <c r="AT17" i="2"/>
  <c r="BF17" i="2"/>
  <c r="CD17" i="2"/>
  <c r="BB18" i="2"/>
  <c r="BZ18" i="2"/>
  <c r="AX19" i="2"/>
  <c r="BJ19" i="2"/>
  <c r="BW19" i="2"/>
  <c r="CL19" i="2"/>
  <c r="EH20" i="2"/>
  <c r="BX20" i="2"/>
  <c r="BI20" i="2"/>
  <c r="ET20" i="2"/>
  <c r="CJ20" i="2"/>
  <c r="BU20" i="2"/>
  <c r="CP20" i="2"/>
  <c r="DD20" i="2"/>
  <c r="CR21" i="2"/>
  <c r="AJ21" i="2"/>
  <c r="EM21" i="2"/>
  <c r="CC21" i="2"/>
  <c r="CI21" i="2"/>
  <c r="CQ22" i="2"/>
  <c r="BR23" i="2"/>
  <c r="CF23" i="2"/>
  <c r="CU23" i="2"/>
  <c r="CT24" i="2"/>
  <c r="DH24" i="2"/>
  <c r="BO25" i="2"/>
  <c r="CD25" i="2"/>
  <c r="DG25" i="2"/>
  <c r="BY26" i="2"/>
  <c r="CV27" i="2"/>
  <c r="BN28" i="2"/>
  <c r="CB28" i="2"/>
  <c r="CQ28" i="2"/>
  <c r="AF29" i="2"/>
  <c r="AT29" i="2"/>
  <c r="BI29" i="2"/>
  <c r="CZ29" i="2"/>
  <c r="DN29" i="2"/>
  <c r="BN30" i="2"/>
  <c r="DG30" i="2"/>
  <c r="AY30" i="2"/>
  <c r="AC30" i="2"/>
  <c r="BT30" i="2"/>
  <c r="CH30" i="2"/>
  <c r="CW30" i="2"/>
  <c r="EM30" i="2"/>
  <c r="EI31" i="2"/>
  <c r="BY31" i="2"/>
  <c r="BJ31" i="2"/>
  <c r="AN31" i="2"/>
  <c r="BE31" i="2"/>
  <c r="BT31" i="2"/>
  <c r="CJ31" i="2"/>
  <c r="DA31" i="2"/>
  <c r="ER31" i="2"/>
  <c r="DI32" i="2"/>
  <c r="EM32" i="2"/>
  <c r="BD4" i="3"/>
  <c r="DZ4" i="3"/>
  <c r="BR4" i="3"/>
  <c r="CV4" i="3"/>
  <c r="EO4" i="3"/>
  <c r="CG4" i="3"/>
  <c r="CI4" i="3"/>
  <c r="EE4" i="3"/>
  <c r="BC5" i="3"/>
  <c r="AM5" i="3"/>
  <c r="CF5" i="3"/>
  <c r="ED5" i="3"/>
  <c r="BF6" i="3"/>
  <c r="CC6" i="3"/>
  <c r="CX6" i="3"/>
  <c r="BZ7" i="3"/>
  <c r="CU7" i="3"/>
  <c r="FH7" i="3"/>
  <c r="CC8" i="3"/>
  <c r="BC9" i="3"/>
  <c r="AM9" i="3"/>
  <c r="BN9" i="3"/>
  <c r="EF10" i="3"/>
  <c r="BX10" i="3"/>
  <c r="DQ10" i="3"/>
  <c r="BI10" i="3"/>
  <c r="EV10" i="3"/>
  <c r="CM10" i="3"/>
  <c r="R10" i="3" s="1"/>
  <c r="Z8" i="2" s="1"/>
  <c r="ER10" i="3"/>
  <c r="CJ10" i="3"/>
  <c r="EC10" i="3"/>
  <c r="BU10" i="3"/>
  <c r="FH10" i="3"/>
  <c r="CY10" i="3"/>
  <c r="BZ10" i="3"/>
  <c r="DS11" i="3"/>
  <c r="BF12" i="3"/>
  <c r="DV12" i="3"/>
  <c r="BN12" i="3"/>
  <c r="FA12" i="3"/>
  <c r="EE12" i="3"/>
  <c r="CM13" i="3"/>
  <c r="R13" i="3" s="1"/>
  <c r="EF13" i="3"/>
  <c r="BX13" i="3"/>
  <c r="DQ13" i="3"/>
  <c r="BI13" i="3"/>
  <c r="CY13" i="3"/>
  <c r="ER13" i="3"/>
  <c r="CJ13" i="3"/>
  <c r="EC13" i="3"/>
  <c r="BU13" i="3"/>
  <c r="DY13" i="3"/>
  <c r="EV13" i="3"/>
  <c r="BC15" i="3"/>
  <c r="AM15" i="3"/>
  <c r="EY16" i="3"/>
  <c r="CM17" i="3"/>
  <c r="S17" i="3" s="1"/>
  <c r="EF17" i="3"/>
  <c r="BX17" i="3"/>
  <c r="DQ17" i="3"/>
  <c r="BI17" i="3"/>
  <c r="CY17" i="3"/>
  <c r="ER17" i="3"/>
  <c r="CJ17" i="3"/>
  <c r="EC17" i="3"/>
  <c r="BU17" i="3"/>
  <c r="FH17" i="3"/>
  <c r="CJ19" i="3"/>
  <c r="DP22" i="3"/>
  <c r="EU22" i="3"/>
  <c r="EE22" i="3"/>
  <c r="BH22" i="3"/>
  <c r="BW22" i="3"/>
  <c r="FG22" i="3"/>
  <c r="EQ22" i="3"/>
  <c r="BT22" i="3"/>
  <c r="CI22" i="3"/>
  <c r="CX22" i="3"/>
  <c r="EL24" i="3"/>
  <c r="CD24" i="3"/>
  <c r="DW24" i="3"/>
  <c r="BO24" i="3"/>
  <c r="FB24" i="3"/>
  <c r="CS24" i="3"/>
  <c r="BF26" i="3"/>
  <c r="FA27" i="3"/>
  <c r="CR27" i="3"/>
  <c r="BN27" i="3"/>
  <c r="CC27" i="3"/>
  <c r="FA31" i="3"/>
  <c r="DV31" i="3"/>
  <c r="BN31" i="3"/>
  <c r="EK31" i="3"/>
  <c r="CC31" i="3"/>
  <c r="CR31" i="3"/>
  <c r="BD38" i="3"/>
  <c r="EJ41" i="3"/>
  <c r="CB41" i="3"/>
  <c r="DU41" i="3"/>
  <c r="BM41" i="3"/>
  <c r="EZ41" i="3"/>
  <c r="CQ41" i="3"/>
  <c r="R41" i="3" s="1"/>
  <c r="BH16" i="3"/>
  <c r="BT16" i="3"/>
  <c r="DP16" i="3"/>
  <c r="EB16" i="3"/>
  <c r="BQ17" i="3"/>
  <c r="DY17" i="3"/>
  <c r="BN18" i="3"/>
  <c r="DV18" i="3"/>
  <c r="EO19" i="3"/>
  <c r="DZ19" i="3"/>
  <c r="BR19" i="3"/>
  <c r="FE19" i="3"/>
  <c r="BK19" i="3"/>
  <c r="BZ19" i="3"/>
  <c r="EF22" i="3"/>
  <c r="BX22" i="3"/>
  <c r="DQ22" i="3"/>
  <c r="BI22" i="3"/>
  <c r="EV22" i="3"/>
  <c r="ER22" i="3"/>
  <c r="CJ22" i="3"/>
  <c r="EC22" i="3"/>
  <c r="BU22" i="3"/>
  <c r="FH22" i="3"/>
  <c r="DW25" i="3"/>
  <c r="BO25" i="3"/>
  <c r="CS27" i="3"/>
  <c r="EL27" i="3"/>
  <c r="CD27" i="3"/>
  <c r="DW27" i="3"/>
  <c r="BO27" i="3"/>
  <c r="DP28" i="3"/>
  <c r="BH28" i="3"/>
  <c r="EU28" i="3"/>
  <c r="EE28" i="3"/>
  <c r="BW28" i="3"/>
  <c r="EB28" i="3"/>
  <c r="BT28" i="3"/>
  <c r="FG28" i="3"/>
  <c r="EQ28" i="3"/>
  <c r="CI28" i="3"/>
  <c r="DY29" i="3"/>
  <c r="BQ29" i="3"/>
  <c r="FD29" i="3"/>
  <c r="EN29" i="3"/>
  <c r="CF29" i="3"/>
  <c r="FD30" i="3"/>
  <c r="DY30" i="3"/>
  <c r="BQ30" i="3"/>
  <c r="FB31" i="3"/>
  <c r="CS31" i="3"/>
  <c r="EL31" i="3"/>
  <c r="CD31" i="3"/>
  <c r="DW31" i="3"/>
  <c r="BO31" i="3"/>
  <c r="EJ33" i="3"/>
  <c r="CB33" i="3"/>
  <c r="EZ33" i="3"/>
  <c r="CQ33" i="3"/>
  <c r="BM33" i="3"/>
  <c r="CS34" i="3"/>
  <c r="EL34" i="3"/>
  <c r="CD34" i="3"/>
  <c r="BO34" i="3"/>
  <c r="FA35" i="3"/>
  <c r="DV35" i="3"/>
  <c r="BN35" i="3"/>
  <c r="EJ37" i="3"/>
  <c r="CB37" i="3"/>
  <c r="DU37" i="3"/>
  <c r="BM37" i="3"/>
  <c r="EZ37" i="3"/>
  <c r="CQ37" i="3"/>
  <c r="EY39" i="3"/>
  <c r="CP39" i="3"/>
  <c r="EI39" i="3"/>
  <c r="CA39" i="3"/>
  <c r="BL39" i="3"/>
  <c r="DT39" i="3"/>
  <c r="EM48" i="3"/>
  <c r="CE48" i="3"/>
  <c r="DX48" i="3"/>
  <c r="BP48" i="3"/>
  <c r="FC48" i="3"/>
  <c r="CT48" i="3"/>
  <c r="EJ49" i="3"/>
  <c r="CB49" i="3"/>
  <c r="DU49" i="3"/>
  <c r="BM49" i="3"/>
  <c r="EZ49" i="3"/>
  <c r="CQ49" i="3"/>
  <c r="BD55" i="3"/>
  <c r="FA60" i="3"/>
  <c r="CR60" i="3"/>
  <c r="EK60" i="3"/>
  <c r="CC60" i="3"/>
  <c r="DV60" i="3"/>
  <c r="BN60" i="3"/>
  <c r="DU185" i="3"/>
  <c r="BM185" i="3"/>
  <c r="EZ185" i="3"/>
  <c r="CB185" i="3"/>
  <c r="EJ185" i="3"/>
  <c r="CQ185" i="3"/>
  <c r="AL31" i="2"/>
  <c r="CT31" i="2"/>
  <c r="AK32" i="2"/>
  <c r="CS32" i="2"/>
  <c r="BI4" i="3"/>
  <c r="BU4" i="3"/>
  <c r="DQ4" i="3"/>
  <c r="EC4" i="3"/>
  <c r="BR5" i="3"/>
  <c r="DZ5" i="3"/>
  <c r="BO6" i="3"/>
  <c r="DW6" i="3"/>
  <c r="BL7" i="3"/>
  <c r="DT7" i="3"/>
  <c r="BI8" i="3"/>
  <c r="BU8" i="3"/>
  <c r="DQ8" i="3"/>
  <c r="EC8" i="3"/>
  <c r="BR9" i="3"/>
  <c r="DZ9" i="3"/>
  <c r="BO10" i="3"/>
  <c r="DW10" i="3"/>
  <c r="BL11" i="3"/>
  <c r="DT11" i="3"/>
  <c r="BI12" i="3"/>
  <c r="BU12" i="3"/>
  <c r="DQ12" i="3"/>
  <c r="EC12" i="3"/>
  <c r="BR13" i="3"/>
  <c r="DZ13" i="3"/>
  <c r="BO14" i="3"/>
  <c r="DW14" i="3"/>
  <c r="BL15" i="3"/>
  <c r="CV15" i="3"/>
  <c r="DT15" i="3"/>
  <c r="BI16" i="3"/>
  <c r="BU16" i="3"/>
  <c r="CS16" i="3"/>
  <c r="DQ16" i="3"/>
  <c r="EC16" i="3"/>
  <c r="BR17" i="3"/>
  <c r="CP17" i="3"/>
  <c r="DZ17" i="3"/>
  <c r="BO18" i="3"/>
  <c r="CM18" i="3"/>
  <c r="S18" i="3" s="1"/>
  <c r="AA10" i="2" s="1"/>
  <c r="CY18" i="3"/>
  <c r="DW18" i="3"/>
  <c r="BL19" i="3"/>
  <c r="CA19" i="3"/>
  <c r="CO19" i="3"/>
  <c r="R19" i="3" s="1"/>
  <c r="DO19" i="3"/>
  <c r="EE19" i="3"/>
  <c r="EU19" i="3"/>
  <c r="CP20" i="3"/>
  <c r="R20" i="3" s="1"/>
  <c r="EI20" i="3"/>
  <c r="CA20" i="3"/>
  <c r="EC20" i="3"/>
  <c r="R21" i="3"/>
  <c r="CY22" i="3"/>
  <c r="BO23" i="3"/>
  <c r="CU23" i="3"/>
  <c r="DV23" i="3"/>
  <c r="EK23" i="3"/>
  <c r="CC24" i="3"/>
  <c r="EM25" i="3"/>
  <c r="CE25" i="3"/>
  <c r="BK25" i="3"/>
  <c r="CB25" i="3"/>
  <c r="EJ25" i="3"/>
  <c r="EZ25" i="3"/>
  <c r="CS26" i="3"/>
  <c r="EL26" i="3"/>
  <c r="BJ26" i="3"/>
  <c r="CP26" i="3"/>
  <c r="EY26" i="3"/>
  <c r="DY27" i="3"/>
  <c r="CM28" i="3"/>
  <c r="EF28" i="3"/>
  <c r="BX28" i="3"/>
  <c r="CY28" i="3"/>
  <c r="ER28" i="3"/>
  <c r="CJ28" i="3"/>
  <c r="BD29" i="3"/>
  <c r="CV29" i="3"/>
  <c r="EO29" i="3"/>
  <c r="CG29" i="3"/>
  <c r="DZ29" i="3"/>
  <c r="BD30" i="3"/>
  <c r="FE30" i="3"/>
  <c r="CV30" i="3"/>
  <c r="EO30" i="3"/>
  <c r="CG30" i="3"/>
  <c r="DZ30" i="3"/>
  <c r="BR30" i="3"/>
  <c r="AM31" i="3"/>
  <c r="BC31" i="3"/>
  <c r="DU33" i="3"/>
  <c r="BF35" i="3"/>
  <c r="FB35" i="3"/>
  <c r="CS35" i="3"/>
  <c r="EL35" i="3"/>
  <c r="CD35" i="3"/>
  <c r="DW35" i="3"/>
  <c r="BO35" i="3"/>
  <c r="BR37" i="3"/>
  <c r="BE45" i="3"/>
  <c r="BC48" i="3"/>
  <c r="AM48" i="3"/>
  <c r="R81" i="3"/>
  <c r="DX14" i="3"/>
  <c r="DU15" i="3"/>
  <c r="FE15" i="3"/>
  <c r="BJ16" i="3"/>
  <c r="DR16" i="3"/>
  <c r="FB16" i="3"/>
  <c r="DO17" i="3"/>
  <c r="EA17" i="3"/>
  <c r="EY17" i="3"/>
  <c r="BP18" i="3"/>
  <c r="DX18" i="3"/>
  <c r="EV18" i="3"/>
  <c r="FH18" i="3"/>
  <c r="CB19" i="3"/>
  <c r="DP19" i="3"/>
  <c r="EI21" i="3"/>
  <c r="CA21" i="3"/>
  <c r="Q21" i="3" s="1"/>
  <c r="DT21" i="3"/>
  <c r="BL21" i="3"/>
  <c r="EY21" i="3"/>
  <c r="S22" i="3"/>
  <c r="DQ23" i="3"/>
  <c r="BI23" i="3"/>
  <c r="EC23" i="3"/>
  <c r="BU23" i="3"/>
  <c r="CF23" i="3"/>
  <c r="DZ24" i="3"/>
  <c r="BR24" i="3"/>
  <c r="BN24" i="3"/>
  <c r="CE24" i="3"/>
  <c r="EK24" i="3"/>
  <c r="BM25" i="3"/>
  <c r="CS25" i="3"/>
  <c r="DU25" i="3"/>
  <c r="CA26" i="3"/>
  <c r="CF27" i="3"/>
  <c r="BD28" i="3"/>
  <c r="DW30" i="3"/>
  <c r="FD34" i="3"/>
  <c r="DY34" i="3"/>
  <c r="BQ34" i="3"/>
  <c r="AM35" i="3"/>
  <c r="BC35" i="3"/>
  <c r="Q37" i="3"/>
  <c r="EG38" i="3"/>
  <c r="BY38" i="3"/>
  <c r="DR38" i="3"/>
  <c r="BJ38" i="3"/>
  <c r="EW38" i="3"/>
  <c r="CN38" i="3"/>
  <c r="R38" i="3" s="1"/>
  <c r="AM41" i="3"/>
  <c r="FE41" i="3"/>
  <c r="CV41" i="3"/>
  <c r="EO41" i="3"/>
  <c r="CG41" i="3"/>
  <c r="EJ45" i="3"/>
  <c r="CB45" i="3"/>
  <c r="DU45" i="3"/>
  <c r="BM45" i="3"/>
  <c r="EZ45" i="3"/>
  <c r="CQ45" i="3"/>
  <c r="EX54" i="3"/>
  <c r="DS54" i="3"/>
  <c r="EH54" i="3"/>
  <c r="BK54" i="3"/>
  <c r="BZ54" i="3"/>
  <c r="CO54" i="3"/>
  <c r="EV55" i="3"/>
  <c r="CM55" i="3"/>
  <c r="EF55" i="3"/>
  <c r="BX55" i="3"/>
  <c r="DQ55" i="3"/>
  <c r="BI55" i="3"/>
  <c r="FH55" i="3"/>
  <c r="CY55" i="3"/>
  <c r="ER55" i="3"/>
  <c r="CJ55" i="3"/>
  <c r="EC55" i="3"/>
  <c r="BU55" i="3"/>
  <c r="BA31" i="2"/>
  <c r="AZ32" i="2"/>
  <c r="BX4" i="3"/>
  <c r="CJ4" i="3"/>
  <c r="EF4" i="3"/>
  <c r="ER4" i="3"/>
  <c r="CG5" i="3"/>
  <c r="EO5" i="3"/>
  <c r="CD6" i="3"/>
  <c r="EL6" i="3"/>
  <c r="CA7" i="3"/>
  <c r="EI7" i="3"/>
  <c r="BX8" i="3"/>
  <c r="Q8" i="3" s="1"/>
  <c r="CJ8" i="3"/>
  <c r="EF8" i="3"/>
  <c r="ER8" i="3"/>
  <c r="CG9" i="3"/>
  <c r="EO9" i="3"/>
  <c r="CD10" i="3"/>
  <c r="EL10" i="3"/>
  <c r="CA11" i="3"/>
  <c r="EI11" i="3"/>
  <c r="BX12" i="3"/>
  <c r="CJ12" i="3"/>
  <c r="EF12" i="3"/>
  <c r="ER12" i="3"/>
  <c r="CG13" i="3"/>
  <c r="EO13" i="3"/>
  <c r="CD14" i="3"/>
  <c r="EL14" i="3"/>
  <c r="CA15" i="3"/>
  <c r="EI15" i="3"/>
  <c r="BX16" i="3"/>
  <c r="CJ16" i="3"/>
  <c r="EF16" i="3"/>
  <c r="ER16" i="3"/>
  <c r="CG17" i="3"/>
  <c r="EO17" i="3"/>
  <c r="CD18" i="3"/>
  <c r="EL18" i="3"/>
  <c r="EG19" i="3"/>
  <c r="BY19" i="3"/>
  <c r="BP19" i="3"/>
  <c r="CE19" i="3"/>
  <c r="DS19" i="3"/>
  <c r="EI19" i="3"/>
  <c r="EY19" i="3"/>
  <c r="BC20" i="3"/>
  <c r="EL20" i="3"/>
  <c r="CD20" i="3"/>
  <c r="DW20" i="3"/>
  <c r="BO20" i="3"/>
  <c r="FB20" i="3"/>
  <c r="BK20" i="3"/>
  <c r="BZ20" i="3"/>
  <c r="DQ20" i="3"/>
  <c r="EJ22" i="3"/>
  <c r="CB22" i="3"/>
  <c r="CM22" i="3"/>
  <c r="R22" i="3" s="1"/>
  <c r="BS23" i="3"/>
  <c r="CY23" i="3"/>
  <c r="EP23" i="3"/>
  <c r="FF23" i="3"/>
  <c r="CG24" i="3"/>
  <c r="DX24" i="3"/>
  <c r="CF25" i="3"/>
  <c r="CU25" i="3"/>
  <c r="EN25" i="3"/>
  <c r="BD26" i="3"/>
  <c r="CV26" i="3"/>
  <c r="EO26" i="3"/>
  <c r="CG26" i="3"/>
  <c r="DZ26" i="3"/>
  <c r="BN26" i="3"/>
  <c r="ED27" i="3"/>
  <c r="EY28" i="3"/>
  <c r="CP28" i="3"/>
  <c r="EI28" i="3"/>
  <c r="CA28" i="3"/>
  <c r="DT28" i="3"/>
  <c r="BL28" i="3"/>
  <c r="FE28" i="3"/>
  <c r="EV29" i="3"/>
  <c r="CM29" i="3"/>
  <c r="EF29" i="3"/>
  <c r="BX29" i="3"/>
  <c r="DQ29" i="3"/>
  <c r="BI29" i="3"/>
  <c r="FH29" i="3"/>
  <c r="CY29" i="3"/>
  <c r="ER29" i="3"/>
  <c r="CJ29" i="3"/>
  <c r="EC29" i="3"/>
  <c r="BU29" i="3"/>
  <c r="ED31" i="3"/>
  <c r="BV31" i="3"/>
  <c r="ET31" i="3"/>
  <c r="CK31" i="3"/>
  <c r="EP31" i="3"/>
  <c r="CH31" i="3"/>
  <c r="FF31" i="3"/>
  <c r="CW31" i="3"/>
  <c r="AM32" i="3"/>
  <c r="CO32" i="3"/>
  <c r="DY33" i="3"/>
  <c r="BQ33" i="3"/>
  <c r="FD33" i="3"/>
  <c r="EN33" i="3"/>
  <c r="CF33" i="3"/>
  <c r="BD36" i="3"/>
  <c r="EV36" i="3"/>
  <c r="CM36" i="3"/>
  <c r="EF36" i="3"/>
  <c r="BX36" i="3"/>
  <c r="FH36" i="3"/>
  <c r="CY36" i="3"/>
  <c r="ER36" i="3"/>
  <c r="CJ36" i="3"/>
  <c r="DY37" i="3"/>
  <c r="BQ37" i="3"/>
  <c r="FD37" i="3"/>
  <c r="EN37" i="3"/>
  <c r="CF37" i="3"/>
  <c r="CU37" i="3"/>
  <c r="S37" i="3" s="1"/>
  <c r="AM39" i="3"/>
  <c r="AM42" i="3"/>
  <c r="BC44" i="3"/>
  <c r="EM44" i="3"/>
  <c r="CE44" i="3"/>
  <c r="DX44" i="3"/>
  <c r="BP44" i="3"/>
  <c r="FC44" i="3"/>
  <c r="CT44" i="3"/>
  <c r="ED57" i="3"/>
  <c r="BV57" i="3"/>
  <c r="DO57" i="3"/>
  <c r="BG57" i="3"/>
  <c r="ET57" i="3"/>
  <c r="EP57" i="3"/>
  <c r="CH57" i="3"/>
  <c r="EA57" i="3"/>
  <c r="BS57" i="3"/>
  <c r="CW57" i="3"/>
  <c r="FF57" i="3"/>
  <c r="EU62" i="3"/>
  <c r="CL62" i="3"/>
  <c r="EE62" i="3"/>
  <c r="BW62" i="3"/>
  <c r="DP62" i="3"/>
  <c r="BH62" i="3"/>
  <c r="FG62" i="3"/>
  <c r="CX62" i="3"/>
  <c r="EQ62" i="3"/>
  <c r="CI62" i="3"/>
  <c r="EB62" i="3"/>
  <c r="EF64" i="3"/>
  <c r="BX64" i="3"/>
  <c r="DQ64" i="3"/>
  <c r="BI64" i="3"/>
  <c r="EV64" i="3"/>
  <c r="CM64" i="3"/>
  <c r="ER64" i="3"/>
  <c r="CJ64" i="3"/>
  <c r="EC64" i="3"/>
  <c r="BU64" i="3"/>
  <c r="FH64" i="3"/>
  <c r="CY64" i="3"/>
  <c r="DS20" i="3"/>
  <c r="EH20" i="3"/>
  <c r="DW21" i="3"/>
  <c r="BO21" i="3"/>
  <c r="EA23" i="3"/>
  <c r="DV26" i="3"/>
  <c r="EG30" i="3"/>
  <c r="BY30" i="3"/>
  <c r="EW30" i="3"/>
  <c r="CN30" i="3"/>
  <c r="S30" i="3" s="1"/>
  <c r="AM33" i="3"/>
  <c r="CV33" i="3"/>
  <c r="EO33" i="3"/>
  <c r="CG33" i="3"/>
  <c r="ED35" i="3"/>
  <c r="BV35" i="3"/>
  <c r="DO35" i="3"/>
  <c r="ET35" i="3"/>
  <c r="CK35" i="3"/>
  <c r="EP35" i="3"/>
  <c r="CH35" i="3"/>
  <c r="EA35" i="3"/>
  <c r="FF35" i="3"/>
  <c r="CW35" i="3"/>
  <c r="CR35" i="3"/>
  <c r="AM37" i="3"/>
  <c r="FE37" i="3"/>
  <c r="CV37" i="3"/>
  <c r="EO37" i="3"/>
  <c r="CG37" i="3"/>
  <c r="AM51" i="3"/>
  <c r="BZ4" i="3"/>
  <c r="BW5" i="3"/>
  <c r="CI5" i="3"/>
  <c r="CF6" i="3"/>
  <c r="CC7" i="3"/>
  <c r="BZ8" i="3"/>
  <c r="BW9" i="3"/>
  <c r="CI9" i="3"/>
  <c r="CF10" i="3"/>
  <c r="CC11" i="3"/>
  <c r="BZ12" i="3"/>
  <c r="BW13" i="3"/>
  <c r="CI13" i="3"/>
  <c r="CF14" i="3"/>
  <c r="CC15" i="3"/>
  <c r="BZ16" i="3"/>
  <c r="CL16" i="3"/>
  <c r="S16" i="3" s="1"/>
  <c r="AA9" i="2" s="1"/>
  <c r="CX16" i="3"/>
  <c r="BW17" i="3"/>
  <c r="CI17" i="3"/>
  <c r="CU17" i="3"/>
  <c r="CF18" i="3"/>
  <c r="CR18" i="3"/>
  <c r="CG19" i="3"/>
  <c r="DV19" i="3"/>
  <c r="EK19" i="3"/>
  <c r="EM21" i="3"/>
  <c r="CE21" i="3"/>
  <c r="BG23" i="3"/>
  <c r="BV23" i="3"/>
  <c r="ER23" i="3"/>
  <c r="FH23" i="3"/>
  <c r="CJ24" i="3"/>
  <c r="EQ24" i="3"/>
  <c r="CM25" i="3"/>
  <c r="EF25" i="3"/>
  <c r="BX25" i="3"/>
  <c r="CY25" i="3"/>
  <c r="ER25" i="3"/>
  <c r="CJ25" i="3"/>
  <c r="CX25" i="3"/>
  <c r="DQ27" i="3"/>
  <c r="BI27" i="3"/>
  <c r="CM27" i="3"/>
  <c r="EC27" i="3"/>
  <c r="BU27" i="3"/>
  <c r="CY27" i="3"/>
  <c r="R27" i="3" s="1"/>
  <c r="Z6" i="2" s="1"/>
  <c r="EF27" i="3"/>
  <c r="BF28" i="3"/>
  <c r="CG28" i="3"/>
  <c r="CF30" i="3"/>
  <c r="DV38" i="3"/>
  <c r="BN38" i="3"/>
  <c r="FA38" i="3"/>
  <c r="EK38" i="3"/>
  <c r="CC38" i="3"/>
  <c r="AM47" i="3"/>
  <c r="BD50" i="3"/>
  <c r="BR15" i="3"/>
  <c r="DZ15" i="3"/>
  <c r="BO16" i="3"/>
  <c r="DW16" i="3"/>
  <c r="BL17" i="3"/>
  <c r="DT17" i="3"/>
  <c r="BI18" i="3"/>
  <c r="BU18" i="3"/>
  <c r="DQ18" i="3"/>
  <c r="EC18" i="3"/>
  <c r="DU19" i="3"/>
  <c r="BM19" i="3"/>
  <c r="BT19" i="3"/>
  <c r="CV19" i="3"/>
  <c r="S19" i="3" s="1"/>
  <c r="DZ20" i="3"/>
  <c r="BR20" i="3"/>
  <c r="CE20" i="3"/>
  <c r="CS21" i="3"/>
  <c r="ED23" i="3"/>
  <c r="ET23" i="3"/>
  <c r="BU24" i="3"/>
  <c r="ER24" i="3"/>
  <c r="FH24" i="3"/>
  <c r="BT25" i="3"/>
  <c r="CI25" i="3"/>
  <c r="EB25" i="3"/>
  <c r="EQ25" i="3"/>
  <c r="EF26" i="3"/>
  <c r="BX26" i="3"/>
  <c r="Q26" i="3" s="1"/>
  <c r="Y11" i="2" s="1"/>
  <c r="DQ26" i="3"/>
  <c r="BI26" i="3"/>
  <c r="EV26" i="3"/>
  <c r="ER26" i="3"/>
  <c r="CJ26" i="3"/>
  <c r="EC26" i="3"/>
  <c r="BU26" i="3"/>
  <c r="FH26" i="3"/>
  <c r="DP32" i="3"/>
  <c r="BH32" i="3"/>
  <c r="EU32" i="3"/>
  <c r="EE32" i="3"/>
  <c r="BW32" i="3"/>
  <c r="EB32" i="3"/>
  <c r="BT32" i="3"/>
  <c r="FG32" i="3"/>
  <c r="EQ32" i="3"/>
  <c r="CI32" i="3"/>
  <c r="EU33" i="3"/>
  <c r="DP33" i="3"/>
  <c r="BH33" i="3"/>
  <c r="FG33" i="3"/>
  <c r="EB33" i="3"/>
  <c r="BT33" i="3"/>
  <c r="CX33" i="3"/>
  <c r="FE33" i="3"/>
  <c r="EG34" i="3"/>
  <c r="BY34" i="3"/>
  <c r="EW34" i="3"/>
  <c r="CN34" i="3"/>
  <c r="S34" i="3" s="1"/>
  <c r="FB34" i="3"/>
  <c r="EY36" i="3"/>
  <c r="CP36" i="3"/>
  <c r="EI36" i="3"/>
  <c r="CA36" i="3"/>
  <c r="DT36" i="3"/>
  <c r="BL36" i="3"/>
  <c r="FB38" i="3"/>
  <c r="CS38" i="3"/>
  <c r="EL38" i="3"/>
  <c r="CD38" i="3"/>
  <c r="ED39" i="3"/>
  <c r="BV39" i="3"/>
  <c r="DO39" i="3"/>
  <c r="BG39" i="3"/>
  <c r="ET39" i="3"/>
  <c r="CK39" i="3"/>
  <c r="EP39" i="3"/>
  <c r="CH39" i="3"/>
  <c r="EA39" i="3"/>
  <c r="BS39" i="3"/>
  <c r="FF39" i="3"/>
  <c r="CW39" i="3"/>
  <c r="BE41" i="3"/>
  <c r="BD42" i="3"/>
  <c r="S46" i="3"/>
  <c r="AM58" i="3"/>
  <c r="ED61" i="3"/>
  <c r="BV61" i="3"/>
  <c r="DO61" i="3"/>
  <c r="BG61" i="3"/>
  <c r="ET61" i="3"/>
  <c r="CK61" i="3"/>
  <c r="EP61" i="3"/>
  <c r="CH61" i="3"/>
  <c r="EA61" i="3"/>
  <c r="BS61" i="3"/>
  <c r="FF61" i="3"/>
  <c r="CW61" i="3"/>
  <c r="CB4" i="3"/>
  <c r="BY5" i="3"/>
  <c r="BV6" i="3"/>
  <c r="CH6" i="3"/>
  <c r="CE7" i="3"/>
  <c r="CB8" i="3"/>
  <c r="BY9" i="3"/>
  <c r="BV10" i="3"/>
  <c r="CH10" i="3"/>
  <c r="CE11" i="3"/>
  <c r="CB12" i="3"/>
  <c r="BY13" i="3"/>
  <c r="BV14" i="3"/>
  <c r="CH14" i="3"/>
  <c r="CE15" i="3"/>
  <c r="CB16" i="3"/>
  <c r="BY17" i="3"/>
  <c r="BV18" i="3"/>
  <c r="Q18" i="3" s="1"/>
  <c r="Y10" i="2" s="1"/>
  <c r="CH18" i="3"/>
  <c r="CI19" i="3"/>
  <c r="CX19" i="3"/>
  <c r="ED20" i="3"/>
  <c r="BV20" i="3"/>
  <c r="EP20" i="3"/>
  <c r="CH20" i="3"/>
  <c r="BP20" i="3"/>
  <c r="CV20" i="3"/>
  <c r="S20" i="3" s="1"/>
  <c r="EM20" i="3"/>
  <c r="FC20" i="3"/>
  <c r="AM21" i="3"/>
  <c r="CD21" i="3"/>
  <c r="CT21" i="3"/>
  <c r="EL21" i="3"/>
  <c r="FB21" i="3"/>
  <c r="CC22" i="3"/>
  <c r="CR22" i="3"/>
  <c r="CS23" i="3"/>
  <c r="R23" i="3" s="1"/>
  <c r="EL23" i="3"/>
  <c r="CD23" i="3"/>
  <c r="BX23" i="3"/>
  <c r="DO23" i="3"/>
  <c r="CP24" i="3"/>
  <c r="EI24" i="3"/>
  <c r="CA24" i="3"/>
  <c r="EC24" i="3"/>
  <c r="EC25" i="3"/>
  <c r="CY26" i="3"/>
  <c r="CO27" i="3"/>
  <c r="EM28" i="3"/>
  <c r="CE28" i="3"/>
  <c r="FC28" i="3"/>
  <c r="CT28" i="3"/>
  <c r="CL28" i="3"/>
  <c r="EJ29" i="3"/>
  <c r="CB29" i="3"/>
  <c r="EZ29" i="3"/>
  <c r="CQ29" i="3"/>
  <c r="S29" i="3" s="1"/>
  <c r="BM29" i="3"/>
  <c r="BJ30" i="3"/>
  <c r="DS31" i="3"/>
  <c r="BK31" i="3"/>
  <c r="EX31" i="3"/>
  <c r="EH31" i="3"/>
  <c r="BZ31" i="3"/>
  <c r="CM32" i="3"/>
  <c r="R32" i="3" s="1"/>
  <c r="EF32" i="3"/>
  <c r="BX32" i="3"/>
  <c r="CY32" i="3"/>
  <c r="ER32" i="3"/>
  <c r="CJ32" i="3"/>
  <c r="BZ32" i="3"/>
  <c r="EV33" i="3"/>
  <c r="CM33" i="3"/>
  <c r="EF33" i="3"/>
  <c r="BX33" i="3"/>
  <c r="Q33" i="3" s="1"/>
  <c r="DQ33" i="3"/>
  <c r="BI33" i="3"/>
  <c r="FH33" i="3"/>
  <c r="CY33" i="3"/>
  <c r="ER33" i="3"/>
  <c r="CJ33" i="3"/>
  <c r="EC33" i="3"/>
  <c r="BU33" i="3"/>
  <c r="CF34" i="3"/>
  <c r="CC35" i="3"/>
  <c r="EK35" i="3"/>
  <c r="AM38" i="3"/>
  <c r="DW38" i="3"/>
  <c r="BV51" i="3"/>
  <c r="ET51" i="3"/>
  <c r="BG51" i="3"/>
  <c r="ED51" i="3"/>
  <c r="DO51" i="3"/>
  <c r="CK51" i="3"/>
  <c r="CH51" i="3"/>
  <c r="BS51" i="3"/>
  <c r="FF51" i="3"/>
  <c r="EP51" i="3"/>
  <c r="EA51" i="3"/>
  <c r="CW51" i="3"/>
  <c r="EW73" i="3"/>
  <c r="DR73" i="3"/>
  <c r="EG73" i="3"/>
  <c r="BJ73" i="3"/>
  <c r="BY73" i="3"/>
  <c r="CN73" i="3"/>
  <c r="CG15" i="3"/>
  <c r="CD16" i="3"/>
  <c r="CA17" i="3"/>
  <c r="BX18" i="3"/>
  <c r="CJ18" i="3"/>
  <c r="BW19" i="3"/>
  <c r="EQ19" i="3"/>
  <c r="EO20" i="3"/>
  <c r="FE20" i="3"/>
  <c r="BQ21" i="3"/>
  <c r="DY21" i="3"/>
  <c r="DV22" i="3"/>
  <c r="BL23" i="3"/>
  <c r="CA23" i="3"/>
  <c r="BF24" i="3"/>
  <c r="BI24" i="3"/>
  <c r="CO24" i="3"/>
  <c r="EF24" i="3"/>
  <c r="EV24" i="3"/>
  <c r="BH25" i="3"/>
  <c r="BW25" i="3"/>
  <c r="DP25" i="3"/>
  <c r="EE25" i="3"/>
  <c r="DT26" i="3"/>
  <c r="BL26" i="3"/>
  <c r="DZ28" i="3"/>
  <c r="BR28" i="3"/>
  <c r="CV28" i="3"/>
  <c r="BC29" i="3"/>
  <c r="CS30" i="3"/>
  <c r="EL30" i="3"/>
  <c r="CD30" i="3"/>
  <c r="BO30" i="3"/>
  <c r="EN30" i="3"/>
  <c r="EX32" i="3"/>
  <c r="DS32" i="3"/>
  <c r="BK32" i="3"/>
  <c r="BE33" i="3"/>
  <c r="EY35" i="3"/>
  <c r="CP35" i="3"/>
  <c r="EI35" i="3"/>
  <c r="CA35" i="3"/>
  <c r="BG35" i="3"/>
  <c r="BF36" i="3"/>
  <c r="BE37" i="3"/>
  <c r="BC40" i="3"/>
  <c r="EM40" i="3"/>
  <c r="CE40" i="3"/>
  <c r="DX40" i="3"/>
  <c r="BP40" i="3"/>
  <c r="FC40" i="3"/>
  <c r="CT40" i="3"/>
  <c r="EG42" i="3"/>
  <c r="BY42" i="3"/>
  <c r="DR42" i="3"/>
  <c r="BJ42" i="3"/>
  <c r="EW42" i="3"/>
  <c r="CN42" i="3"/>
  <c r="BJ20" i="3"/>
  <c r="BG21" i="3"/>
  <c r="BS21" i="3"/>
  <c r="BP22" i="3"/>
  <c r="BJ24" i="3"/>
  <c r="BG25" i="3"/>
  <c r="BS25" i="3"/>
  <c r="BP26" i="3"/>
  <c r="BM27" i="3"/>
  <c r="BY27" i="3"/>
  <c r="BJ28" i="3"/>
  <c r="BV28" i="3"/>
  <c r="CH28" i="3"/>
  <c r="FB28" i="3"/>
  <c r="BG29" i="3"/>
  <c r="BS29" i="3"/>
  <c r="CE29" i="3"/>
  <c r="EM29" i="3"/>
  <c r="EY29" i="3"/>
  <c r="BP30" i="3"/>
  <c r="CB30" i="3"/>
  <c r="EJ30" i="3"/>
  <c r="EV30" i="3"/>
  <c r="FH30" i="3"/>
  <c r="BM31" i="3"/>
  <c r="BY31" i="3"/>
  <c r="EG31" i="3"/>
  <c r="FE31" i="3"/>
  <c r="BJ32" i="3"/>
  <c r="BV32" i="3"/>
  <c r="CH32" i="3"/>
  <c r="ED32" i="3"/>
  <c r="EP32" i="3"/>
  <c r="FB32" i="3"/>
  <c r="BG33" i="3"/>
  <c r="BS33" i="3"/>
  <c r="CE33" i="3"/>
  <c r="EM33" i="3"/>
  <c r="EY33" i="3"/>
  <c r="BP34" i="3"/>
  <c r="CB34" i="3"/>
  <c r="EJ34" i="3"/>
  <c r="EV34" i="3"/>
  <c r="FH34" i="3"/>
  <c r="BM35" i="3"/>
  <c r="BY35" i="3"/>
  <c r="EG35" i="3"/>
  <c r="FE35" i="3"/>
  <c r="BJ36" i="3"/>
  <c r="BV36" i="3"/>
  <c r="CH36" i="3"/>
  <c r="ED36" i="3"/>
  <c r="EP36" i="3"/>
  <c r="FB36" i="3"/>
  <c r="BG37" i="3"/>
  <c r="BS37" i="3"/>
  <c r="CE37" i="3"/>
  <c r="EM37" i="3"/>
  <c r="EY37" i="3"/>
  <c r="BP38" i="3"/>
  <c r="CB38" i="3"/>
  <c r="EJ38" i="3"/>
  <c r="EV38" i="3"/>
  <c r="FH38" i="3"/>
  <c r="BM39" i="3"/>
  <c r="BY39" i="3"/>
  <c r="EG39" i="3"/>
  <c r="FE39" i="3"/>
  <c r="BJ40" i="3"/>
  <c r="BV40" i="3"/>
  <c r="CH40" i="3"/>
  <c r="ED40" i="3"/>
  <c r="EP40" i="3"/>
  <c r="FB40" i="3"/>
  <c r="BG41" i="3"/>
  <c r="BS41" i="3"/>
  <c r="CE41" i="3"/>
  <c r="Q41" i="3" s="1"/>
  <c r="EM41" i="3"/>
  <c r="EY41" i="3"/>
  <c r="BP42" i="3"/>
  <c r="CB42" i="3"/>
  <c r="EJ42" i="3"/>
  <c r="EV42" i="3"/>
  <c r="FH42" i="3"/>
  <c r="BM43" i="3"/>
  <c r="BY43" i="3"/>
  <c r="EG43" i="3"/>
  <c r="FE43" i="3"/>
  <c r="BJ44" i="3"/>
  <c r="BV44" i="3"/>
  <c r="CH44" i="3"/>
  <c r="ED44" i="3"/>
  <c r="EP44" i="3"/>
  <c r="FB44" i="3"/>
  <c r="BG45" i="3"/>
  <c r="BS45" i="3"/>
  <c r="CE45" i="3"/>
  <c r="EM45" i="3"/>
  <c r="EY45" i="3"/>
  <c r="BP46" i="3"/>
  <c r="CB46" i="3"/>
  <c r="EJ46" i="3"/>
  <c r="EV46" i="3"/>
  <c r="FH46" i="3"/>
  <c r="BM47" i="3"/>
  <c r="BY47" i="3"/>
  <c r="EG47" i="3"/>
  <c r="FE47" i="3"/>
  <c r="BJ48" i="3"/>
  <c r="BV48" i="3"/>
  <c r="CH48" i="3"/>
  <c r="ED48" i="3"/>
  <c r="EP48" i="3"/>
  <c r="FB48" i="3"/>
  <c r="BG49" i="3"/>
  <c r="BS49" i="3"/>
  <c r="CE49" i="3"/>
  <c r="EM49" i="3"/>
  <c r="EY49" i="3"/>
  <c r="BP50" i="3"/>
  <c r="CB50" i="3"/>
  <c r="EJ50" i="3"/>
  <c r="EV50" i="3"/>
  <c r="FH50" i="3"/>
  <c r="BM51" i="3"/>
  <c r="BY51" i="3"/>
  <c r="CX51" i="3"/>
  <c r="DX51" i="3"/>
  <c r="EL51" i="3"/>
  <c r="EZ51" i="3"/>
  <c r="CS52" i="3"/>
  <c r="EL52" i="3"/>
  <c r="CD52" i="3"/>
  <c r="BJ52" i="3"/>
  <c r="BZ52" i="3"/>
  <c r="CO52" i="3"/>
  <c r="DP52" i="3"/>
  <c r="BH53" i="3"/>
  <c r="DO53" i="3"/>
  <c r="EE53" i="3"/>
  <c r="ET53" i="3"/>
  <c r="CP54" i="3"/>
  <c r="EI54" i="3"/>
  <c r="CA54" i="3"/>
  <c r="DT54" i="3"/>
  <c r="BL54" i="3"/>
  <c r="CL54" i="3"/>
  <c r="CI55" i="3"/>
  <c r="BF56" i="3"/>
  <c r="DS56" i="3"/>
  <c r="BT57" i="3"/>
  <c r="CL57" i="3"/>
  <c r="R57" i="3" s="1"/>
  <c r="BC63" i="3"/>
  <c r="EG64" i="3"/>
  <c r="BY64" i="3"/>
  <c r="DR64" i="3"/>
  <c r="BJ64" i="3"/>
  <c r="EW64" i="3"/>
  <c r="CN64" i="3"/>
  <c r="BK36" i="3"/>
  <c r="DS36" i="3"/>
  <c r="BH37" i="3"/>
  <c r="BT37" i="3"/>
  <c r="DP37" i="3"/>
  <c r="EB37" i="3"/>
  <c r="BQ38" i="3"/>
  <c r="DY38" i="3"/>
  <c r="BN39" i="3"/>
  <c r="BZ39" i="3"/>
  <c r="DV39" i="3"/>
  <c r="EH39" i="3"/>
  <c r="BK40" i="3"/>
  <c r="BW40" i="3"/>
  <c r="CI40" i="3"/>
  <c r="DS40" i="3"/>
  <c r="EE40" i="3"/>
  <c r="EQ40" i="3"/>
  <c r="BH41" i="3"/>
  <c r="BT41" i="3"/>
  <c r="CF41" i="3"/>
  <c r="DP41" i="3"/>
  <c r="EB41" i="3"/>
  <c r="EN41" i="3"/>
  <c r="BQ42" i="3"/>
  <c r="CC42" i="3"/>
  <c r="DY42" i="3"/>
  <c r="EK42" i="3"/>
  <c r="BN43" i="3"/>
  <c r="BZ43" i="3"/>
  <c r="DV43" i="3"/>
  <c r="EH43" i="3"/>
  <c r="BK44" i="3"/>
  <c r="BW44" i="3"/>
  <c r="CI44" i="3"/>
  <c r="DS44" i="3"/>
  <c r="EE44" i="3"/>
  <c r="EQ44" i="3"/>
  <c r="BH45" i="3"/>
  <c r="BT45" i="3"/>
  <c r="CF45" i="3"/>
  <c r="DP45" i="3"/>
  <c r="EB45" i="3"/>
  <c r="EN45" i="3"/>
  <c r="CC46" i="3"/>
  <c r="DY46" i="3"/>
  <c r="EK46" i="3"/>
  <c r="BZ47" i="3"/>
  <c r="DV47" i="3"/>
  <c r="EH47" i="3"/>
  <c r="BW48" i="3"/>
  <c r="CI48" i="3"/>
  <c r="EE48" i="3"/>
  <c r="EQ48" i="3"/>
  <c r="CF49" i="3"/>
  <c r="EN49" i="3"/>
  <c r="CC50" i="3"/>
  <c r="EK50" i="3"/>
  <c r="BZ51" i="3"/>
  <c r="CY51" i="3"/>
  <c r="BF53" i="3"/>
  <c r="FB56" i="3"/>
  <c r="CS56" i="3"/>
  <c r="EL56" i="3"/>
  <c r="CD56" i="3"/>
  <c r="DQ57" i="3"/>
  <c r="BI57" i="3"/>
  <c r="CM57" i="3"/>
  <c r="EC57" i="3"/>
  <c r="BU57" i="3"/>
  <c r="CY57" i="3"/>
  <c r="EH57" i="3"/>
  <c r="EU58" i="3"/>
  <c r="CL58" i="3"/>
  <c r="S58" i="3" s="1"/>
  <c r="AA5" i="2" s="1"/>
  <c r="EE58" i="3"/>
  <c r="BW58" i="3"/>
  <c r="FG58" i="3"/>
  <c r="CX58" i="3"/>
  <c r="EQ58" i="3"/>
  <c r="CI58" i="3"/>
  <c r="BT58" i="3"/>
  <c r="EI59" i="3"/>
  <c r="CA59" i="3"/>
  <c r="DT59" i="3"/>
  <c r="BL59" i="3"/>
  <c r="EY59" i="3"/>
  <c r="FD63" i="3"/>
  <c r="CU63" i="3"/>
  <c r="EN63" i="3"/>
  <c r="CF63" i="3"/>
  <c r="BD66" i="3"/>
  <c r="CS29" i="3"/>
  <c r="CP30" i="3"/>
  <c r="CM31" i="3"/>
  <c r="CY31" i="3"/>
  <c r="CV32" i="3"/>
  <c r="CS33" i="3"/>
  <c r="CP34" i="3"/>
  <c r="CM35" i="3"/>
  <c r="CY35" i="3"/>
  <c r="CV36" i="3"/>
  <c r="BI37" i="3"/>
  <c r="BU37" i="3"/>
  <c r="CS37" i="3"/>
  <c r="DQ37" i="3"/>
  <c r="EC37" i="3"/>
  <c r="BR38" i="3"/>
  <c r="CP38" i="3"/>
  <c r="DZ38" i="3"/>
  <c r="BC39" i="3"/>
  <c r="BO39" i="3"/>
  <c r="CM39" i="3"/>
  <c r="CY39" i="3"/>
  <c r="DW39" i="3"/>
  <c r="BL40" i="3"/>
  <c r="CV40" i="3"/>
  <c r="DT40" i="3"/>
  <c r="BI41" i="3"/>
  <c r="BU41" i="3"/>
  <c r="CS41" i="3"/>
  <c r="DQ41" i="3"/>
  <c r="EC41" i="3"/>
  <c r="BR42" i="3"/>
  <c r="CD42" i="3"/>
  <c r="CP42" i="3"/>
  <c r="DZ42" i="3"/>
  <c r="EL42" i="3"/>
  <c r="BC43" i="3"/>
  <c r="BO43" i="3"/>
  <c r="CA43" i="3"/>
  <c r="CM43" i="3"/>
  <c r="CY43" i="3"/>
  <c r="DW43" i="3"/>
  <c r="EI43" i="3"/>
  <c r="BL44" i="3"/>
  <c r="BX44" i="3"/>
  <c r="CJ44" i="3"/>
  <c r="CV44" i="3"/>
  <c r="DT44" i="3"/>
  <c r="EF44" i="3"/>
  <c r="ER44" i="3"/>
  <c r="BI45" i="3"/>
  <c r="BU45" i="3"/>
  <c r="CG45" i="3"/>
  <c r="CS45" i="3"/>
  <c r="DQ45" i="3"/>
  <c r="EC45" i="3"/>
  <c r="EO45" i="3"/>
  <c r="BR46" i="3"/>
  <c r="CD46" i="3"/>
  <c r="CP46" i="3"/>
  <c r="DZ46" i="3"/>
  <c r="EL46" i="3"/>
  <c r="BC47" i="3"/>
  <c r="BO47" i="3"/>
  <c r="CA47" i="3"/>
  <c r="CM47" i="3"/>
  <c r="CY47" i="3"/>
  <c r="DW47" i="3"/>
  <c r="EI47" i="3"/>
  <c r="BL48" i="3"/>
  <c r="BX48" i="3"/>
  <c r="CJ48" i="3"/>
  <c r="CV48" i="3"/>
  <c r="DT48" i="3"/>
  <c r="EF48" i="3"/>
  <c r="ER48" i="3"/>
  <c r="CG49" i="3"/>
  <c r="CS49" i="3"/>
  <c r="DQ49" i="3"/>
  <c r="EO49" i="3"/>
  <c r="CD50" i="3"/>
  <c r="CP50" i="3"/>
  <c r="EL50" i="3"/>
  <c r="CA51" i="3"/>
  <c r="CM51" i="3"/>
  <c r="BC53" i="3"/>
  <c r="CS53" i="3"/>
  <c r="EL53" i="3"/>
  <c r="CD53" i="3"/>
  <c r="DW53" i="3"/>
  <c r="BO53" i="3"/>
  <c r="BF54" i="3"/>
  <c r="EI55" i="3"/>
  <c r="CA55" i="3"/>
  <c r="DT55" i="3"/>
  <c r="BL55" i="3"/>
  <c r="EX55" i="3"/>
  <c r="BX57" i="3"/>
  <c r="CO57" i="3"/>
  <c r="EV58" i="3"/>
  <c r="CM58" i="3"/>
  <c r="EF58" i="3"/>
  <c r="BX58" i="3"/>
  <c r="Q58" i="3" s="1"/>
  <c r="Y5" i="2" s="1"/>
  <c r="EJ59" i="3"/>
  <c r="CB59" i="3"/>
  <c r="DU59" i="3"/>
  <c r="BM59" i="3"/>
  <c r="EZ59" i="3"/>
  <c r="CQ59" i="3"/>
  <c r="BQ63" i="3"/>
  <c r="AM65" i="3"/>
  <c r="EO65" i="3"/>
  <c r="CG65" i="3"/>
  <c r="DZ65" i="3"/>
  <c r="BR65" i="3"/>
  <c r="FE65" i="3"/>
  <c r="EE66" i="3"/>
  <c r="BW66" i="3"/>
  <c r="EU66" i="3"/>
  <c r="DP66" i="3"/>
  <c r="CL66" i="3"/>
  <c r="EQ66" i="3"/>
  <c r="CI66" i="3"/>
  <c r="FG66" i="3"/>
  <c r="BD67" i="3"/>
  <c r="BV67" i="3"/>
  <c r="Q67" i="3" s="1"/>
  <c r="BG67" i="3"/>
  <c r="ET67" i="3"/>
  <c r="ED67" i="3"/>
  <c r="DO67" i="3"/>
  <c r="BF69" i="3"/>
  <c r="CR71" i="3"/>
  <c r="EK71" i="3"/>
  <c r="DV71" i="3"/>
  <c r="FA71" i="3"/>
  <c r="CC71" i="3"/>
  <c r="BN71" i="3"/>
  <c r="CP75" i="3"/>
  <c r="CA75" i="3"/>
  <c r="DT75" i="3"/>
  <c r="EI75" i="3"/>
  <c r="BL75" i="3"/>
  <c r="AM52" i="3"/>
  <c r="CV52" i="3"/>
  <c r="EO52" i="3"/>
  <c r="CG52" i="3"/>
  <c r="DZ52" i="3"/>
  <c r="BR52" i="3"/>
  <c r="BC54" i="3"/>
  <c r="EL54" i="3"/>
  <c r="CD54" i="3"/>
  <c r="DW54" i="3"/>
  <c r="BO54" i="3"/>
  <c r="DS57" i="3"/>
  <c r="FA59" i="3"/>
  <c r="CR59" i="3"/>
  <c r="CC59" i="3"/>
  <c r="AM60" i="3"/>
  <c r="FE60" i="3"/>
  <c r="CV60" i="3"/>
  <c r="EO60" i="3"/>
  <c r="CG60" i="3"/>
  <c r="DZ60" i="3"/>
  <c r="BR60" i="3"/>
  <c r="EX61" i="3"/>
  <c r="CO61" i="3"/>
  <c r="EH61" i="3"/>
  <c r="BZ61" i="3"/>
  <c r="EY62" i="3"/>
  <c r="CP62" i="3"/>
  <c r="EI62" i="3"/>
  <c r="CA62" i="3"/>
  <c r="DT62" i="3"/>
  <c r="BL62" i="3"/>
  <c r="ED65" i="3"/>
  <c r="BV65" i="3"/>
  <c r="DO65" i="3"/>
  <c r="BG65" i="3"/>
  <c r="ET65" i="3"/>
  <c r="CK65" i="3"/>
  <c r="EP65" i="3"/>
  <c r="CH65" i="3"/>
  <c r="EA65" i="3"/>
  <c r="BS65" i="3"/>
  <c r="FF65" i="3"/>
  <c r="CW65" i="3"/>
  <c r="BF68" i="3"/>
  <c r="DW68" i="3"/>
  <c r="BO68" i="3"/>
  <c r="FB68" i="3"/>
  <c r="EL68" i="3"/>
  <c r="CS68" i="3"/>
  <c r="CD68" i="3"/>
  <c r="DY69" i="3"/>
  <c r="BQ69" i="3"/>
  <c r="FD69" i="3"/>
  <c r="EN69" i="3"/>
  <c r="CU69" i="3"/>
  <c r="CF69" i="3"/>
  <c r="AM45" i="3"/>
  <c r="AM49" i="3"/>
  <c r="AM56" i="3"/>
  <c r="FE56" i="3"/>
  <c r="CV56" i="3"/>
  <c r="EO56" i="3"/>
  <c r="CG56" i="3"/>
  <c r="DZ56" i="3"/>
  <c r="BR56" i="3"/>
  <c r="EY57" i="3"/>
  <c r="CP57" i="3"/>
  <c r="EI57" i="3"/>
  <c r="CA57" i="3"/>
  <c r="DT57" i="3"/>
  <c r="FA64" i="3"/>
  <c r="CR64" i="3"/>
  <c r="EK64" i="3"/>
  <c r="CC64" i="3"/>
  <c r="BC68" i="3"/>
  <c r="AM68" i="3"/>
  <c r="EM68" i="3"/>
  <c r="DX68" i="3"/>
  <c r="CT68" i="3"/>
  <c r="CE68" i="3"/>
  <c r="BP68" i="3"/>
  <c r="AM69" i="3"/>
  <c r="CV69" i="3"/>
  <c r="FE69" i="3"/>
  <c r="EO69" i="3"/>
  <c r="DZ69" i="3"/>
  <c r="CG69" i="3"/>
  <c r="BR69" i="3"/>
  <c r="AM72" i="3"/>
  <c r="AM77" i="3"/>
  <c r="CV77" i="3"/>
  <c r="EO77" i="3"/>
  <c r="CG77" i="3"/>
  <c r="FE77" i="3"/>
  <c r="DZ77" i="3"/>
  <c r="EM80" i="3"/>
  <c r="CE80" i="3"/>
  <c r="DX80" i="3"/>
  <c r="BP80" i="3"/>
  <c r="FC80" i="3"/>
  <c r="CT80" i="3"/>
  <c r="BO28" i="3"/>
  <c r="DW28" i="3"/>
  <c r="BL29" i="3"/>
  <c r="DT29" i="3"/>
  <c r="BI30" i="3"/>
  <c r="BU30" i="3"/>
  <c r="DQ30" i="3"/>
  <c r="EC30" i="3"/>
  <c r="BR31" i="3"/>
  <c r="DZ31" i="3"/>
  <c r="BO32" i="3"/>
  <c r="DW32" i="3"/>
  <c r="BL33" i="3"/>
  <c r="DT33" i="3"/>
  <c r="BI34" i="3"/>
  <c r="BU34" i="3"/>
  <c r="DQ34" i="3"/>
  <c r="EC34" i="3"/>
  <c r="BR35" i="3"/>
  <c r="DZ35" i="3"/>
  <c r="BO36" i="3"/>
  <c r="DW36" i="3"/>
  <c r="BL37" i="3"/>
  <c r="BX37" i="3"/>
  <c r="CJ37" i="3"/>
  <c r="DT37" i="3"/>
  <c r="EF37" i="3"/>
  <c r="ER37" i="3"/>
  <c r="BI38" i="3"/>
  <c r="BU38" i="3"/>
  <c r="CG38" i="3"/>
  <c r="DQ38" i="3"/>
  <c r="EC38" i="3"/>
  <c r="EO38" i="3"/>
  <c r="BR39" i="3"/>
  <c r="CD39" i="3"/>
  <c r="DZ39" i="3"/>
  <c r="EL39" i="3"/>
  <c r="EX39" i="3"/>
  <c r="R40" i="3"/>
  <c r="BO40" i="3"/>
  <c r="CA40" i="3"/>
  <c r="DW40" i="3"/>
  <c r="EI40" i="3"/>
  <c r="EU40" i="3"/>
  <c r="FG40" i="3"/>
  <c r="BL41" i="3"/>
  <c r="BX41" i="3"/>
  <c r="CJ41" i="3"/>
  <c r="DT41" i="3"/>
  <c r="EF41" i="3"/>
  <c r="ER41" i="3"/>
  <c r="FD41" i="3"/>
  <c r="BI42" i="3"/>
  <c r="BU42" i="3"/>
  <c r="CG42" i="3"/>
  <c r="CS42" i="3"/>
  <c r="DQ42" i="3"/>
  <c r="EC42" i="3"/>
  <c r="EO42" i="3"/>
  <c r="FA42" i="3"/>
  <c r="BR43" i="3"/>
  <c r="CD43" i="3"/>
  <c r="CP43" i="3"/>
  <c r="DZ43" i="3"/>
  <c r="EL43" i="3"/>
  <c r="EX43" i="3"/>
  <c r="BO44" i="3"/>
  <c r="CA44" i="3"/>
  <c r="CM44" i="3"/>
  <c r="R44" i="3" s="1"/>
  <c r="CY44" i="3"/>
  <c r="DW44" i="3"/>
  <c r="EI44" i="3"/>
  <c r="EU44" i="3"/>
  <c r="FG44" i="3"/>
  <c r="BL45" i="3"/>
  <c r="BX45" i="3"/>
  <c r="CJ45" i="3"/>
  <c r="Q45" i="3" s="1"/>
  <c r="CV45" i="3"/>
  <c r="DT45" i="3"/>
  <c r="EF45" i="3"/>
  <c r="ER45" i="3"/>
  <c r="FD45" i="3"/>
  <c r="BI46" i="3"/>
  <c r="BU46" i="3"/>
  <c r="CG46" i="3"/>
  <c r="CS46" i="3"/>
  <c r="DQ46" i="3"/>
  <c r="EC46" i="3"/>
  <c r="EO46" i="3"/>
  <c r="FA46" i="3"/>
  <c r="CD47" i="3"/>
  <c r="CP47" i="3"/>
  <c r="DZ47" i="3"/>
  <c r="EL47" i="3"/>
  <c r="EX47" i="3"/>
  <c r="CA48" i="3"/>
  <c r="CM48" i="3"/>
  <c r="CY48" i="3"/>
  <c r="DW48" i="3"/>
  <c r="EI48" i="3"/>
  <c r="EU48" i="3"/>
  <c r="FG48" i="3"/>
  <c r="BX49" i="3"/>
  <c r="Q49" i="3" s="1"/>
  <c r="Y7" i="2" s="1"/>
  <c r="CJ49" i="3"/>
  <c r="CV49" i="3"/>
  <c r="EF49" i="3"/>
  <c r="ER49" i="3"/>
  <c r="FD49" i="3"/>
  <c r="CG50" i="3"/>
  <c r="CS50" i="3"/>
  <c r="S50" i="3" s="1"/>
  <c r="EO50" i="3"/>
  <c r="FA50" i="3"/>
  <c r="CP51" i="3"/>
  <c r="ER51" i="3"/>
  <c r="BP52" i="3"/>
  <c r="CF52" i="3"/>
  <c r="EM52" i="3"/>
  <c r="FC52" i="3"/>
  <c r="AM53" i="3"/>
  <c r="EO53" i="3"/>
  <c r="CG53" i="3"/>
  <c r="DZ53" i="3"/>
  <c r="BR53" i="3"/>
  <c r="BN53" i="3"/>
  <c r="CU53" i="3"/>
  <c r="EK53" i="3"/>
  <c r="FB53" i="3"/>
  <c r="CC54" i="3"/>
  <c r="CS54" i="3"/>
  <c r="BC55" i="3"/>
  <c r="DW55" i="3"/>
  <c r="BO55" i="3"/>
  <c r="CS55" i="3"/>
  <c r="BZ55" i="3"/>
  <c r="Q55" i="3" s="1"/>
  <c r="CP55" i="3"/>
  <c r="EH55" i="3"/>
  <c r="FB55" i="3"/>
  <c r="FH57" i="3"/>
  <c r="EY58" i="3"/>
  <c r="CP58" i="3"/>
  <c r="EI58" i="3"/>
  <c r="CA58" i="3"/>
  <c r="DT58" i="3"/>
  <c r="BL58" i="3"/>
  <c r="BH58" i="3"/>
  <c r="BC59" i="3"/>
  <c r="BN59" i="3"/>
  <c r="BK61" i="3"/>
  <c r="EV63" i="3"/>
  <c r="CM63" i="3"/>
  <c r="S63" i="3" s="1"/>
  <c r="EF63" i="3"/>
  <c r="BX63" i="3"/>
  <c r="DQ63" i="3"/>
  <c r="BI63" i="3"/>
  <c r="FH63" i="3"/>
  <c r="CY63" i="3"/>
  <c r="ER63" i="3"/>
  <c r="CJ63" i="3"/>
  <c r="EC63" i="3"/>
  <c r="BU63" i="3"/>
  <c r="BN64" i="3"/>
  <c r="CV65" i="3"/>
  <c r="BH66" i="3"/>
  <c r="CS78" i="3"/>
  <c r="EL78" i="3"/>
  <c r="CD78" i="3"/>
  <c r="DW78" i="3"/>
  <c r="BO78" i="3"/>
  <c r="FB78" i="3"/>
  <c r="CQ51" i="3"/>
  <c r="FH51" i="3"/>
  <c r="EF52" i="3"/>
  <c r="BX52" i="3"/>
  <c r="Q52" i="3" s="1"/>
  <c r="DQ52" i="3"/>
  <c r="BI52" i="3"/>
  <c r="ER52" i="3"/>
  <c r="CJ52" i="3"/>
  <c r="EC52" i="3"/>
  <c r="BU52" i="3"/>
  <c r="BQ52" i="3"/>
  <c r="CX52" i="3"/>
  <c r="EN52" i="3"/>
  <c r="FE52" i="3"/>
  <c r="CF53" i="3"/>
  <c r="DV53" i="3"/>
  <c r="AM54" i="3"/>
  <c r="DZ54" i="3"/>
  <c r="BR54" i="3"/>
  <c r="CV54" i="3"/>
  <c r="BN54" i="3"/>
  <c r="CE54" i="3"/>
  <c r="CT54" i="3"/>
  <c r="EK54" i="3"/>
  <c r="FA54" i="3"/>
  <c r="BK55" i="3"/>
  <c r="CB55" i="3"/>
  <c r="CQ55" i="3"/>
  <c r="EK55" i="3"/>
  <c r="BF57" i="3"/>
  <c r="BK57" i="3"/>
  <c r="BI58" i="3"/>
  <c r="FD59" i="3"/>
  <c r="CU59" i="3"/>
  <c r="EN59" i="3"/>
  <c r="CF59" i="3"/>
  <c r="EF60" i="3"/>
  <c r="BX60" i="3"/>
  <c r="Q60" i="3" s="1"/>
  <c r="DQ60" i="3"/>
  <c r="BI60" i="3"/>
  <c r="EV60" i="3"/>
  <c r="ER60" i="3"/>
  <c r="CJ60" i="3"/>
  <c r="EC60" i="3"/>
  <c r="BU60" i="3"/>
  <c r="FH60" i="3"/>
  <c r="ES60" i="3" s="1"/>
  <c r="BF61" i="3"/>
  <c r="BF62" i="3"/>
  <c r="EL62" i="3"/>
  <c r="CD62" i="3"/>
  <c r="DW62" i="3"/>
  <c r="BO62" i="3"/>
  <c r="FB62" i="3"/>
  <c r="CS70" i="3"/>
  <c r="FB70" i="3"/>
  <c r="EL70" i="3"/>
  <c r="DW70" i="3"/>
  <c r="CD70" i="3"/>
  <c r="BO70" i="3"/>
  <c r="AM78" i="3"/>
  <c r="BC78" i="3"/>
  <c r="DW51" i="3"/>
  <c r="CS51" i="3"/>
  <c r="DR51" i="3"/>
  <c r="EF51" i="3"/>
  <c r="DY52" i="3"/>
  <c r="BQ53" i="3"/>
  <c r="EN53" i="3"/>
  <c r="FD53" i="3"/>
  <c r="BP54" i="3"/>
  <c r="EM54" i="3"/>
  <c r="FB54" i="3"/>
  <c r="BM55" i="3"/>
  <c r="CC55" i="3"/>
  <c r="CR55" i="3"/>
  <c r="DU55" i="3"/>
  <c r="EF56" i="3"/>
  <c r="BX56" i="3"/>
  <c r="Q56" i="3" s="1"/>
  <c r="DQ56" i="3"/>
  <c r="BI56" i="3"/>
  <c r="ER56" i="3"/>
  <c r="CJ56" i="3"/>
  <c r="EC56" i="3"/>
  <c r="BU56" i="3"/>
  <c r="FB57" i="3"/>
  <c r="CS57" i="3"/>
  <c r="EL57" i="3"/>
  <c r="CD57" i="3"/>
  <c r="DW57" i="3"/>
  <c r="BO57" i="3"/>
  <c r="BL57" i="3"/>
  <c r="ER57" i="3"/>
  <c r="EB58" i="3"/>
  <c r="EG60" i="3"/>
  <c r="BY60" i="3"/>
  <c r="DR60" i="3"/>
  <c r="BJ60" i="3"/>
  <c r="EW60" i="3"/>
  <c r="CN60" i="3"/>
  <c r="FB61" i="3"/>
  <c r="CS61" i="3"/>
  <c r="EL61" i="3"/>
  <c r="CD61" i="3"/>
  <c r="DW61" i="3"/>
  <c r="BO61" i="3"/>
  <c r="BC62" i="3"/>
  <c r="AM62" i="3"/>
  <c r="EM62" i="3"/>
  <c r="CE62" i="3"/>
  <c r="DX62" i="3"/>
  <c r="BP62" i="3"/>
  <c r="FC62" i="3"/>
  <c r="CT62" i="3"/>
  <c r="DY63" i="3"/>
  <c r="EX65" i="3"/>
  <c r="CO65" i="3"/>
  <c r="EH65" i="3"/>
  <c r="BZ65" i="3"/>
  <c r="CK67" i="3"/>
  <c r="AM70" i="3"/>
  <c r="BC70" i="3"/>
  <c r="EM76" i="3"/>
  <c r="CE76" i="3"/>
  <c r="FC76" i="3"/>
  <c r="CT76" i="3"/>
  <c r="CD28" i="3"/>
  <c r="BO29" i="3"/>
  <c r="CA29" i="3"/>
  <c r="BL30" i="3"/>
  <c r="BX30" i="3"/>
  <c r="Q30" i="3" s="1"/>
  <c r="CJ30" i="3"/>
  <c r="BI31" i="3"/>
  <c r="BU31" i="3"/>
  <c r="CG31" i="3"/>
  <c r="BR32" i="3"/>
  <c r="CD32" i="3"/>
  <c r="BO33" i="3"/>
  <c r="CA33" i="3"/>
  <c r="BL34" i="3"/>
  <c r="BX34" i="3"/>
  <c r="CJ34" i="3"/>
  <c r="BI35" i="3"/>
  <c r="BU35" i="3"/>
  <c r="CG35" i="3"/>
  <c r="BR36" i="3"/>
  <c r="CD36" i="3"/>
  <c r="BO37" i="3"/>
  <c r="CA37" i="3"/>
  <c r="CM37" i="3"/>
  <c r="R37" i="3" s="1"/>
  <c r="CY37" i="3"/>
  <c r="BL38" i="3"/>
  <c r="BX38" i="3"/>
  <c r="Q38" i="3" s="1"/>
  <c r="CJ38" i="3"/>
  <c r="CV38" i="3"/>
  <c r="BI39" i="3"/>
  <c r="BU39" i="3"/>
  <c r="CG39" i="3"/>
  <c r="CS39" i="3"/>
  <c r="BR40" i="3"/>
  <c r="CD40" i="3"/>
  <c r="CP40" i="3"/>
  <c r="BO41" i="3"/>
  <c r="CA41" i="3"/>
  <c r="CM41" i="3"/>
  <c r="S41" i="3" s="1"/>
  <c r="CY41" i="3"/>
  <c r="BL42" i="3"/>
  <c r="BX42" i="3"/>
  <c r="CJ42" i="3"/>
  <c r="Q42" i="3" s="1"/>
  <c r="CV42" i="3"/>
  <c r="BI43" i="3"/>
  <c r="BU43" i="3"/>
  <c r="CG43" i="3"/>
  <c r="CS43" i="3"/>
  <c r="BR44" i="3"/>
  <c r="CD44" i="3"/>
  <c r="CP44" i="3"/>
  <c r="BO45" i="3"/>
  <c r="CA45" i="3"/>
  <c r="CM45" i="3"/>
  <c r="R45" i="3" s="1"/>
  <c r="CY45" i="3"/>
  <c r="BL46" i="3"/>
  <c r="BX46" i="3"/>
  <c r="CJ46" i="3"/>
  <c r="CV46" i="3"/>
  <c r="BI47" i="3"/>
  <c r="BU47" i="3"/>
  <c r="CG47" i="3"/>
  <c r="CS47" i="3"/>
  <c r="BR48" i="3"/>
  <c r="CD48" i="3"/>
  <c r="CP48" i="3"/>
  <c r="S48" i="3" s="1"/>
  <c r="BO49" i="3"/>
  <c r="CA49" i="3"/>
  <c r="CM49" i="3"/>
  <c r="R49" i="3" s="1"/>
  <c r="Z7" i="2" s="1"/>
  <c r="CY49" i="3"/>
  <c r="BL50" i="3"/>
  <c r="BX50" i="3"/>
  <c r="Q50" i="3" s="1"/>
  <c r="CJ50" i="3"/>
  <c r="CV50" i="3"/>
  <c r="BI51" i="3"/>
  <c r="BU51" i="3"/>
  <c r="CG51" i="3"/>
  <c r="DS51" i="3"/>
  <c r="EG51" i="3"/>
  <c r="EV51" i="3"/>
  <c r="BT52" i="3"/>
  <c r="EQ52" i="3"/>
  <c r="FG52" i="3"/>
  <c r="DQ53" i="3"/>
  <c r="BI53" i="3"/>
  <c r="CM53" i="3"/>
  <c r="EC53" i="3"/>
  <c r="BU53" i="3"/>
  <c r="CY53" i="3"/>
  <c r="BS53" i="3"/>
  <c r="CI53" i="3"/>
  <c r="CX53" i="3"/>
  <c r="EP53" i="3"/>
  <c r="FE53" i="3"/>
  <c r="BQ54" i="3"/>
  <c r="CG54" i="3"/>
  <c r="DX54" i="3"/>
  <c r="EN54" i="3"/>
  <c r="AM55" i="3"/>
  <c r="FE55" i="3"/>
  <c r="CV55" i="3"/>
  <c r="EO55" i="3"/>
  <c r="CG55" i="3"/>
  <c r="BN55" i="3"/>
  <c r="CD55" i="3"/>
  <c r="DV55" i="3"/>
  <c r="EG56" i="3"/>
  <c r="BY56" i="3"/>
  <c r="DR56" i="3"/>
  <c r="BJ56" i="3"/>
  <c r="EV56" i="3"/>
  <c r="BC58" i="3"/>
  <c r="EL58" i="3"/>
  <c r="CD58" i="3"/>
  <c r="DW58" i="3"/>
  <c r="BO58" i="3"/>
  <c r="BD59" i="3"/>
  <c r="DS61" i="3"/>
  <c r="EI63" i="3"/>
  <c r="CA63" i="3"/>
  <c r="DT63" i="3"/>
  <c r="BL63" i="3"/>
  <c r="EY63" i="3"/>
  <c r="FC68" i="3"/>
  <c r="BM30" i="3"/>
  <c r="BP33" i="3"/>
  <c r="BM34" i="3"/>
  <c r="BJ35" i="3"/>
  <c r="BG36" i="3"/>
  <c r="BS36" i="3"/>
  <c r="BP37" i="3"/>
  <c r="BM38" i="3"/>
  <c r="BJ39" i="3"/>
  <c r="BG40" i="3"/>
  <c r="BS40" i="3"/>
  <c r="BP41" i="3"/>
  <c r="BM42" i="3"/>
  <c r="BJ43" i="3"/>
  <c r="BG44" i="3"/>
  <c r="BS44" i="3"/>
  <c r="BP45" i="3"/>
  <c r="BM46" i="3"/>
  <c r="BJ47" i="3"/>
  <c r="BG48" i="3"/>
  <c r="BS48" i="3"/>
  <c r="BP49" i="3"/>
  <c r="BM50" i="3"/>
  <c r="BJ51" i="3"/>
  <c r="DT51" i="3"/>
  <c r="EH51" i="3"/>
  <c r="DT52" i="3"/>
  <c r="BL52" i="3"/>
  <c r="CP52" i="3"/>
  <c r="CL52" i="3"/>
  <c r="FH52" i="3"/>
  <c r="BT53" i="3"/>
  <c r="EA53" i="3"/>
  <c r="EQ53" i="3"/>
  <c r="CM54" i="3"/>
  <c r="EF54" i="3"/>
  <c r="BX54" i="3"/>
  <c r="CY54" i="3"/>
  <c r="ER54" i="3"/>
  <c r="CJ54" i="3"/>
  <c r="CX54" i="3"/>
  <c r="DY54" i="3"/>
  <c r="EO54" i="3"/>
  <c r="FE54" i="3"/>
  <c r="CU55" i="3"/>
  <c r="EN55" i="3"/>
  <c r="CM56" i="3"/>
  <c r="EW56" i="3"/>
  <c r="EM58" i="3"/>
  <c r="CE58" i="3"/>
  <c r="DX58" i="3"/>
  <c r="BP58" i="3"/>
  <c r="FC58" i="3"/>
  <c r="EK59" i="3"/>
  <c r="EJ63" i="3"/>
  <c r="CB63" i="3"/>
  <c r="DU63" i="3"/>
  <c r="BM63" i="3"/>
  <c r="EZ63" i="3"/>
  <c r="CQ63" i="3"/>
  <c r="AM64" i="3"/>
  <c r="S64" i="3"/>
  <c r="BK65" i="3"/>
  <c r="BF66" i="3"/>
  <c r="CS66" i="3"/>
  <c r="CD66" i="3"/>
  <c r="BO66" i="3"/>
  <c r="FB66" i="3"/>
  <c r="DW66" i="3"/>
  <c r="CR67" i="3"/>
  <c r="FA67" i="3"/>
  <c r="EK67" i="3"/>
  <c r="DV67" i="3"/>
  <c r="CC67" i="3"/>
  <c r="BN67" i="3"/>
  <c r="BK39" i="3"/>
  <c r="BH40" i="3"/>
  <c r="BT40" i="3"/>
  <c r="BQ41" i="3"/>
  <c r="BN42" i="3"/>
  <c r="BK43" i="3"/>
  <c r="BH44" i="3"/>
  <c r="BT44" i="3"/>
  <c r="BQ45" i="3"/>
  <c r="BN46" i="3"/>
  <c r="BK47" i="3"/>
  <c r="BH48" i="3"/>
  <c r="BT48" i="3"/>
  <c r="BQ49" i="3"/>
  <c r="BN50" i="3"/>
  <c r="BK51" i="3"/>
  <c r="CV51" i="3"/>
  <c r="DU51" i="3"/>
  <c r="CM52" i="3"/>
  <c r="BV53" i="3"/>
  <c r="Q53" i="3" s="1"/>
  <c r="EB53" i="3"/>
  <c r="ER53" i="3"/>
  <c r="FH53" i="3"/>
  <c r="BT54" i="3"/>
  <c r="CI54" i="3"/>
  <c r="BQ55" i="3"/>
  <c r="CF55" i="3"/>
  <c r="DY55" i="3"/>
  <c r="DT56" i="3"/>
  <c r="BL56" i="3"/>
  <c r="CP56" i="3"/>
  <c r="CN56" i="3"/>
  <c r="EH56" i="3"/>
  <c r="EY56" i="3"/>
  <c r="AM57" i="3"/>
  <c r="EO57" i="3"/>
  <c r="CG57" i="3"/>
  <c r="DZ57" i="3"/>
  <c r="BR57" i="3"/>
  <c r="CJ57" i="3"/>
  <c r="EE57" i="3"/>
  <c r="EV57" i="3"/>
  <c r="FD58" i="3"/>
  <c r="CU58" i="3"/>
  <c r="EV59" i="3"/>
  <c r="CM59" i="3"/>
  <c r="EF59" i="3"/>
  <c r="BX59" i="3"/>
  <c r="Q59" i="3" s="1"/>
  <c r="DQ59" i="3"/>
  <c r="BI59" i="3"/>
  <c r="FH59" i="3"/>
  <c r="CY59" i="3"/>
  <c r="ER59" i="3"/>
  <c r="CJ59" i="3"/>
  <c r="EC59" i="3"/>
  <c r="BU59" i="3"/>
  <c r="AM61" i="3"/>
  <c r="EO61" i="3"/>
  <c r="CG61" i="3"/>
  <c r="DZ61" i="3"/>
  <c r="BR61" i="3"/>
  <c r="FE61" i="3"/>
  <c r="BD62" i="3"/>
  <c r="BC66" i="3"/>
  <c r="AM66" i="3"/>
  <c r="FC66" i="3"/>
  <c r="CT66" i="3"/>
  <c r="CE66" i="3"/>
  <c r="BP66" i="3"/>
  <c r="EM66" i="3"/>
  <c r="DX66" i="3"/>
  <c r="CO72" i="3"/>
  <c r="EH72" i="3"/>
  <c r="DS72" i="3"/>
  <c r="EX72" i="3"/>
  <c r="BZ72" i="3"/>
  <c r="Q72" i="3" s="1"/>
  <c r="BK72" i="3"/>
  <c r="DX76" i="3"/>
  <c r="ED79" i="3"/>
  <c r="BV79" i="3"/>
  <c r="DO79" i="3"/>
  <c r="BG79" i="3"/>
  <c r="ET79" i="3"/>
  <c r="CK79" i="3"/>
  <c r="EP79" i="3"/>
  <c r="CH79" i="3"/>
  <c r="EA79" i="3"/>
  <c r="BS79" i="3"/>
  <c r="FF79" i="3"/>
  <c r="CW79" i="3"/>
  <c r="EJ81" i="3"/>
  <c r="CB81" i="3"/>
  <c r="DU81" i="3"/>
  <c r="BM81" i="3"/>
  <c r="EZ81" i="3"/>
  <c r="CQ81" i="3"/>
  <c r="BD64" i="3"/>
  <c r="DY66" i="3"/>
  <c r="EA67" i="3"/>
  <c r="EP67" i="3"/>
  <c r="DY68" i="3"/>
  <c r="BQ68" i="3"/>
  <c r="EQ68" i="3"/>
  <c r="CO73" i="3"/>
  <c r="EH73" i="3"/>
  <c r="BZ73" i="3"/>
  <c r="EG74" i="3"/>
  <c r="BY74" i="3"/>
  <c r="CN74" i="3"/>
  <c r="FE76" i="3"/>
  <c r="CV76" i="3"/>
  <c r="BR76" i="3"/>
  <c r="EC76" i="3"/>
  <c r="CU78" i="3"/>
  <c r="DY78" i="3"/>
  <c r="BQ78" i="3"/>
  <c r="BV82" i="3"/>
  <c r="ET82" i="3"/>
  <c r="BG82" i="3"/>
  <c r="ED82" i="3"/>
  <c r="DO82" i="3"/>
  <c r="CW82" i="3"/>
  <c r="CH82" i="3"/>
  <c r="BS82" i="3"/>
  <c r="FF82" i="3"/>
  <c r="EP82" i="3"/>
  <c r="BW84" i="3"/>
  <c r="Q84" i="3" s="1"/>
  <c r="BH84" i="3"/>
  <c r="EE84" i="3"/>
  <c r="CL84" i="3"/>
  <c r="EU84" i="3"/>
  <c r="BT84" i="3"/>
  <c r="CI84" i="3"/>
  <c r="EQ84" i="3"/>
  <c r="CX84" i="3"/>
  <c r="FG84" i="3"/>
  <c r="DP84" i="3"/>
  <c r="EV87" i="3"/>
  <c r="CM87" i="3"/>
  <c r="EF87" i="3"/>
  <c r="BX87" i="3"/>
  <c r="DQ87" i="3"/>
  <c r="BI87" i="3"/>
  <c r="FH87" i="3"/>
  <c r="CY87" i="3"/>
  <c r="ER87" i="3"/>
  <c r="CJ87" i="3"/>
  <c r="EC87" i="3"/>
  <c r="BU87" i="3"/>
  <c r="BD96" i="3"/>
  <c r="DY99" i="3"/>
  <c r="BQ99" i="3"/>
  <c r="EN99" i="3"/>
  <c r="CU99" i="3"/>
  <c r="CF99" i="3"/>
  <c r="FD99" i="3"/>
  <c r="CO60" i="3"/>
  <c r="S60" i="3" s="1"/>
  <c r="CL61" i="3"/>
  <c r="CX61" i="3"/>
  <c r="CU62" i="3"/>
  <c r="CR63" i="3"/>
  <c r="CO64" i="3"/>
  <c r="CL65" i="3"/>
  <c r="CX65" i="3"/>
  <c r="EO66" i="3"/>
  <c r="CG66" i="3"/>
  <c r="DZ66" i="3"/>
  <c r="EN66" i="3"/>
  <c r="FD66" i="3"/>
  <c r="EN67" i="3"/>
  <c r="CF67" i="3"/>
  <c r="DP68" i="3"/>
  <c r="AM71" i="3"/>
  <c r="CU71" i="3"/>
  <c r="EN71" i="3"/>
  <c r="CF71" i="3"/>
  <c r="CR72" i="3"/>
  <c r="EK72" i="3"/>
  <c r="CC72" i="3"/>
  <c r="BF75" i="3"/>
  <c r="DO76" i="3"/>
  <c r="BG76" i="3"/>
  <c r="CK76" i="3"/>
  <c r="ED76" i="3"/>
  <c r="BV76" i="3"/>
  <c r="EA76" i="3"/>
  <c r="BS76" i="3"/>
  <c r="CW76" i="3"/>
  <c r="EP76" i="3"/>
  <c r="CH76" i="3"/>
  <c r="CL77" i="3"/>
  <c r="DP77" i="3"/>
  <c r="BH77" i="3"/>
  <c r="CX77" i="3"/>
  <c r="EB77" i="3"/>
  <c r="BT77" i="3"/>
  <c r="BR81" i="3"/>
  <c r="CJ58" i="3"/>
  <c r="CV58" i="3"/>
  <c r="ER58" i="3"/>
  <c r="CG59" i="3"/>
  <c r="CS59" i="3"/>
  <c r="R59" i="3" s="1"/>
  <c r="EO59" i="3"/>
  <c r="CD60" i="3"/>
  <c r="CP60" i="3"/>
  <c r="EL60" i="3"/>
  <c r="CA61" i="3"/>
  <c r="CM61" i="3"/>
  <c r="CY61" i="3"/>
  <c r="EI61" i="3"/>
  <c r="BX62" i="3"/>
  <c r="CJ62" i="3"/>
  <c r="CV62" i="3"/>
  <c r="EF62" i="3"/>
  <c r="ER62" i="3"/>
  <c r="CG63" i="3"/>
  <c r="CS63" i="3"/>
  <c r="EO63" i="3"/>
  <c r="BR64" i="3"/>
  <c r="CD64" i="3"/>
  <c r="CP64" i="3"/>
  <c r="DZ64" i="3"/>
  <c r="EL64" i="3"/>
  <c r="BO65" i="3"/>
  <c r="CA65" i="3"/>
  <c r="CM65" i="3"/>
  <c r="CY65" i="3"/>
  <c r="DW65" i="3"/>
  <c r="EI65" i="3"/>
  <c r="BL66" i="3"/>
  <c r="BY66" i="3"/>
  <c r="Q66" i="3" s="1"/>
  <c r="CM66" i="3"/>
  <c r="EA66" i="3"/>
  <c r="FE66" i="3"/>
  <c r="AM67" i="3"/>
  <c r="DZ67" i="3"/>
  <c r="BR67" i="3"/>
  <c r="ER67" i="3"/>
  <c r="FF67" i="3"/>
  <c r="BN68" i="3"/>
  <c r="CR68" i="3"/>
  <c r="S68" i="3" s="1"/>
  <c r="DQ68" i="3"/>
  <c r="EE68" i="3"/>
  <c r="FH68" i="3"/>
  <c r="DX69" i="3"/>
  <c r="CT71" i="3"/>
  <c r="BC72" i="3"/>
  <c r="CQ72" i="3"/>
  <c r="EW74" i="3"/>
  <c r="FC75" i="3"/>
  <c r="CT75" i="3"/>
  <c r="DX75" i="3"/>
  <c r="BP75" i="3"/>
  <c r="BN75" i="3"/>
  <c r="CJ75" i="3"/>
  <c r="BW77" i="3"/>
  <c r="ET78" i="3"/>
  <c r="CK78" i="3"/>
  <c r="DO78" i="3"/>
  <c r="BG78" i="3"/>
  <c r="FF78" i="3"/>
  <c r="CW78" i="3"/>
  <c r="EA78" i="3"/>
  <c r="BS78" i="3"/>
  <c r="FD78" i="3"/>
  <c r="CL70" i="3"/>
  <c r="EE70" i="3"/>
  <c r="BW70" i="3"/>
  <c r="CX70" i="3"/>
  <c r="EQ70" i="3"/>
  <c r="CI70" i="3"/>
  <c r="EK73" i="3"/>
  <c r="CC73" i="3"/>
  <c r="DV73" i="3"/>
  <c r="BN73" i="3"/>
  <c r="DU74" i="3"/>
  <c r="BM74" i="3"/>
  <c r="CQ74" i="3"/>
  <c r="EJ74" i="3"/>
  <c r="CB74" i="3"/>
  <c r="AM75" i="3"/>
  <c r="CM76" i="3"/>
  <c r="EF76" i="3"/>
  <c r="BX76" i="3"/>
  <c r="CY76" i="3"/>
  <c r="ER76" i="3"/>
  <c r="CJ76" i="3"/>
  <c r="EW77" i="3"/>
  <c r="CN77" i="3"/>
  <c r="DR77" i="3"/>
  <c r="BJ77" i="3"/>
  <c r="BY77" i="3"/>
  <c r="EV80" i="3"/>
  <c r="CM80" i="3"/>
  <c r="EF80" i="3"/>
  <c r="BX80" i="3"/>
  <c r="FH80" i="3"/>
  <c r="CY80" i="3"/>
  <c r="ER80" i="3"/>
  <c r="CJ80" i="3"/>
  <c r="AM81" i="3"/>
  <c r="FE81" i="3"/>
  <c r="CV81" i="3"/>
  <c r="EO81" i="3"/>
  <c r="CG81" i="3"/>
  <c r="EG82" i="3"/>
  <c r="BY82" i="3"/>
  <c r="EW82" i="3"/>
  <c r="BJ82" i="3"/>
  <c r="AM59" i="3"/>
  <c r="AM63" i="3"/>
  <c r="CA66" i="3"/>
  <c r="DP67" i="3"/>
  <c r="BH67" i="3"/>
  <c r="EB67" i="3"/>
  <c r="BT67" i="3"/>
  <c r="BR68" i="3"/>
  <c r="CF68" i="3"/>
  <c r="EV68" i="3"/>
  <c r="CO69" i="3"/>
  <c r="EH69" i="3"/>
  <c r="BZ69" i="3"/>
  <c r="BT69" i="3"/>
  <c r="CI69" i="3"/>
  <c r="FG69" i="3"/>
  <c r="BQ70" i="3"/>
  <c r="CF70" i="3"/>
  <c r="DY70" i="3"/>
  <c r="EN70" i="3"/>
  <c r="EE71" i="3"/>
  <c r="BW71" i="3"/>
  <c r="DP71" i="3"/>
  <c r="BH71" i="3"/>
  <c r="EQ71" i="3"/>
  <c r="CI71" i="3"/>
  <c r="EB71" i="3"/>
  <c r="BT71" i="3"/>
  <c r="BP71" i="3"/>
  <c r="CW71" i="3"/>
  <c r="EM71" i="3"/>
  <c r="FD71" i="3"/>
  <c r="EN72" i="3"/>
  <c r="CF72" i="3"/>
  <c r="DY72" i="3"/>
  <c r="BQ72" i="3"/>
  <c r="BM72" i="3"/>
  <c r="CT72" i="3"/>
  <c r="EJ72" i="3"/>
  <c r="FA72" i="3"/>
  <c r="DP73" i="3"/>
  <c r="EE73" i="3"/>
  <c r="BJ74" i="3"/>
  <c r="EZ74" i="3"/>
  <c r="FH76" i="3"/>
  <c r="EE77" i="3"/>
  <c r="EY79" i="3"/>
  <c r="CP79" i="3"/>
  <c r="EI79" i="3"/>
  <c r="CA79" i="3"/>
  <c r="BL79" i="3"/>
  <c r="CK82" i="3"/>
  <c r="DR82" i="3"/>
  <c r="EB84" i="3"/>
  <c r="CY58" i="3"/>
  <c r="CV59" i="3"/>
  <c r="CS60" i="3"/>
  <c r="CP61" i="3"/>
  <c r="CM62" i="3"/>
  <c r="S62" i="3" s="1"/>
  <c r="CY62" i="3"/>
  <c r="CV63" i="3"/>
  <c r="CG64" i="3"/>
  <c r="CS64" i="3"/>
  <c r="EO64" i="3"/>
  <c r="CD65" i="3"/>
  <c r="CP65" i="3"/>
  <c r="EL65" i="3"/>
  <c r="CP66" i="3"/>
  <c r="R66" i="3" s="1"/>
  <c r="EF66" i="3"/>
  <c r="FH66" i="3"/>
  <c r="BP67" i="3"/>
  <c r="CE67" i="3"/>
  <c r="EG67" i="3"/>
  <c r="EU67" i="3"/>
  <c r="CG68" i="3"/>
  <c r="CU68" i="3"/>
  <c r="DT69" i="3"/>
  <c r="BL69" i="3"/>
  <c r="EB69" i="3"/>
  <c r="EQ69" i="3"/>
  <c r="CH70" i="3"/>
  <c r="EP70" i="3"/>
  <c r="FG70" i="3"/>
  <c r="BQ71" i="3"/>
  <c r="CH71" i="3"/>
  <c r="CX71" i="3"/>
  <c r="DX71" i="3"/>
  <c r="BN72" i="3"/>
  <c r="CE72" i="3"/>
  <c r="CU72" i="3"/>
  <c r="DU72" i="3"/>
  <c r="EX73" i="3"/>
  <c r="EI74" i="3"/>
  <c r="FB74" i="3"/>
  <c r="ED75" i="3"/>
  <c r="BV75" i="3"/>
  <c r="CK75" i="3"/>
  <c r="EP75" i="3"/>
  <c r="CH75" i="3"/>
  <c r="CW75" i="3"/>
  <c r="BS75" i="3"/>
  <c r="CO76" i="3"/>
  <c r="DS76" i="3"/>
  <c r="EG77" i="3"/>
  <c r="EG78" i="3"/>
  <c r="BY78" i="3"/>
  <c r="EW78" i="3"/>
  <c r="CN78" i="3"/>
  <c r="BI80" i="3"/>
  <c r="CN82" i="3"/>
  <c r="DW82" i="3"/>
  <c r="CC66" i="3"/>
  <c r="DR66" i="3"/>
  <c r="EG66" i="3"/>
  <c r="BQ67" i="3"/>
  <c r="CU67" i="3"/>
  <c r="BT68" i="3"/>
  <c r="CH68" i="3"/>
  <c r="CV68" i="3"/>
  <c r="R68" i="3" s="1"/>
  <c r="DU68" i="3"/>
  <c r="EJ68" i="3"/>
  <c r="EH70" i="3"/>
  <c r="BZ70" i="3"/>
  <c r="DS70" i="3"/>
  <c r="BK70" i="3"/>
  <c r="BS70" i="3"/>
  <c r="EA70" i="3"/>
  <c r="BC71" i="3"/>
  <c r="BS71" i="3"/>
  <c r="CJ71" i="3"/>
  <c r="CY71" i="3"/>
  <c r="DY71" i="3"/>
  <c r="EP71" i="3"/>
  <c r="FF71" i="3"/>
  <c r="BP72" i="3"/>
  <c r="CG72" i="3"/>
  <c r="CV72" i="3"/>
  <c r="DV72" i="3"/>
  <c r="EM72" i="3"/>
  <c r="FC72" i="3"/>
  <c r="DY73" i="3"/>
  <c r="BQ73" i="3"/>
  <c r="FD73" i="3"/>
  <c r="BK73" i="3"/>
  <c r="CB73" i="3"/>
  <c r="CR73" i="3"/>
  <c r="AM74" i="3"/>
  <c r="BO74" i="3"/>
  <c r="FD74" i="3"/>
  <c r="BD75" i="3"/>
  <c r="BU75" i="3"/>
  <c r="DV75" i="3"/>
  <c r="ER75" i="3"/>
  <c r="BI76" i="3"/>
  <c r="DQ76" i="3"/>
  <c r="EO76" i="3"/>
  <c r="EJ77" i="3"/>
  <c r="CB77" i="3"/>
  <c r="EZ77" i="3"/>
  <c r="CQ77" i="3"/>
  <c r="CF78" i="3"/>
  <c r="EN78" i="3"/>
  <c r="BE80" i="3"/>
  <c r="DT66" i="3"/>
  <c r="EH66" i="3"/>
  <c r="EV66" i="3"/>
  <c r="BS67" i="3"/>
  <c r="CH67" i="3"/>
  <c r="CV67" i="3"/>
  <c r="EI67" i="3"/>
  <c r="BG68" i="3"/>
  <c r="BU68" i="3"/>
  <c r="CI68" i="3"/>
  <c r="DV68" i="3"/>
  <c r="EK69" i="3"/>
  <c r="CC69" i="3"/>
  <c r="DV69" i="3"/>
  <c r="BN69" i="3"/>
  <c r="BH69" i="3"/>
  <c r="BW69" i="3"/>
  <c r="CN69" i="3"/>
  <c r="S69" i="3" s="1"/>
  <c r="EU69" i="3"/>
  <c r="BT70" i="3"/>
  <c r="CK70" i="3"/>
  <c r="EB70" i="3"/>
  <c r="DS71" i="3"/>
  <c r="BK71" i="3"/>
  <c r="EX71" i="3"/>
  <c r="BU71" i="3"/>
  <c r="CK71" i="3"/>
  <c r="ER71" i="3"/>
  <c r="FG71" i="3"/>
  <c r="DP72" i="3"/>
  <c r="BH72" i="3"/>
  <c r="EU72" i="3"/>
  <c r="EB72" i="3"/>
  <c r="BT72" i="3"/>
  <c r="FG72" i="3"/>
  <c r="BR72" i="3"/>
  <c r="CH72" i="3"/>
  <c r="CW72" i="3"/>
  <c r="EO72" i="3"/>
  <c r="FD72" i="3"/>
  <c r="BM73" i="3"/>
  <c r="CD73" i="3"/>
  <c r="CS73" i="3"/>
  <c r="DS73" i="3"/>
  <c r="EJ73" i="3"/>
  <c r="EZ73" i="3"/>
  <c r="EL74" i="3"/>
  <c r="BX75" i="3"/>
  <c r="ET75" i="3"/>
  <c r="EZ76" i="3"/>
  <c r="CQ76" i="3"/>
  <c r="DU76" i="3"/>
  <c r="BM76" i="3"/>
  <c r="CG76" i="3"/>
  <c r="FG77" i="3"/>
  <c r="EZ80" i="3"/>
  <c r="CQ80" i="3"/>
  <c r="EJ80" i="3"/>
  <c r="CB80" i="3"/>
  <c r="DU80" i="3"/>
  <c r="BM80" i="3"/>
  <c r="EC80" i="3"/>
  <c r="EW81" i="3"/>
  <c r="CN81" i="3"/>
  <c r="S81" i="3" s="1"/>
  <c r="EG81" i="3"/>
  <c r="BY81" i="3"/>
  <c r="DR81" i="3"/>
  <c r="BJ81" i="3"/>
  <c r="EA82" i="3"/>
  <c r="FB84" i="3"/>
  <c r="BO84" i="3"/>
  <c r="DW84" i="3"/>
  <c r="CD84" i="3"/>
  <c r="BR58" i="3"/>
  <c r="BO59" i="3"/>
  <c r="BL60" i="3"/>
  <c r="BI61" i="3"/>
  <c r="BU61" i="3"/>
  <c r="BR62" i="3"/>
  <c r="BO63" i="3"/>
  <c r="BL64" i="3"/>
  <c r="CV64" i="3"/>
  <c r="BI65" i="3"/>
  <c r="BU65" i="3"/>
  <c r="CS65" i="3"/>
  <c r="BR66" i="3"/>
  <c r="CI67" i="3"/>
  <c r="EY67" i="3"/>
  <c r="BH68" i="3"/>
  <c r="CJ68" i="3"/>
  <c r="CX68" i="3"/>
  <c r="BY69" i="3"/>
  <c r="CP69" i="3"/>
  <c r="DP69" i="3"/>
  <c r="EE69" i="3"/>
  <c r="BV70" i="3"/>
  <c r="ED70" i="3"/>
  <c r="EU70" i="3"/>
  <c r="BV71" i="3"/>
  <c r="CL71" i="3"/>
  <c r="EC71" i="3"/>
  <c r="BS72" i="3"/>
  <c r="CI72" i="3"/>
  <c r="CX72" i="3"/>
  <c r="DZ72" i="3"/>
  <c r="BO73" i="3"/>
  <c r="CE73" i="3"/>
  <c r="EL73" i="3"/>
  <c r="FA73" i="3"/>
  <c r="DR74" i="3"/>
  <c r="DR75" i="3"/>
  <c r="BJ75" i="3"/>
  <c r="CN75" i="3"/>
  <c r="EG75" i="3"/>
  <c r="BY75" i="3"/>
  <c r="BC75" i="3"/>
  <c r="BK76" i="3"/>
  <c r="ET76" i="3"/>
  <c r="CI77" i="3"/>
  <c r="FC79" i="3"/>
  <c r="CT79" i="3"/>
  <c r="EM79" i="3"/>
  <c r="CE79" i="3"/>
  <c r="DX79" i="3"/>
  <c r="BP79" i="3"/>
  <c r="BE81" i="3"/>
  <c r="EL82" i="3"/>
  <c r="CD82" i="3"/>
  <c r="FB82" i="3"/>
  <c r="CS82" i="3"/>
  <c r="BC84" i="3"/>
  <c r="AM84" i="3"/>
  <c r="AM85" i="3"/>
  <c r="CF66" i="3"/>
  <c r="CV66" i="3"/>
  <c r="DV66" i="3"/>
  <c r="CX67" i="3"/>
  <c r="EK68" i="3"/>
  <c r="CC68" i="3"/>
  <c r="BI68" i="3"/>
  <c r="BW68" i="3"/>
  <c r="EN68" i="3"/>
  <c r="BJ69" i="3"/>
  <c r="EG69" i="3"/>
  <c r="EX69" i="3"/>
  <c r="DV70" i="3"/>
  <c r="BN70" i="3"/>
  <c r="FA70" i="3"/>
  <c r="BG71" i="3"/>
  <c r="ED71" i="3"/>
  <c r="DW73" i="3"/>
  <c r="ET74" i="3"/>
  <c r="CK74" i="3"/>
  <c r="DO74" i="3"/>
  <c r="BG74" i="3"/>
  <c r="FF74" i="3"/>
  <c r="CW74" i="3"/>
  <c r="EA74" i="3"/>
  <c r="BS74" i="3"/>
  <c r="BC76" i="3"/>
  <c r="EV76" i="3"/>
  <c r="AM79" i="3"/>
  <c r="BC79" i="3"/>
  <c r="AM82" i="3"/>
  <c r="CR83" i="3"/>
  <c r="DV83" i="3"/>
  <c r="FA83" i="3"/>
  <c r="EK83" i="3"/>
  <c r="BN83" i="3"/>
  <c r="CC83" i="3"/>
  <c r="EL84" i="3"/>
  <c r="FD85" i="3"/>
  <c r="EN85" i="3"/>
  <c r="BQ85" i="3"/>
  <c r="CF85" i="3"/>
  <c r="CU85" i="3"/>
  <c r="DY85" i="3"/>
  <c r="BD87" i="3"/>
  <c r="AM87" i="3"/>
  <c r="DZ87" i="3"/>
  <c r="BR87" i="3"/>
  <c r="CV87" i="3"/>
  <c r="FE87" i="3"/>
  <c r="EO87" i="3"/>
  <c r="CG87" i="3"/>
  <c r="CE77" i="3"/>
  <c r="EM77" i="3"/>
  <c r="CB78" i="3"/>
  <c r="EJ78" i="3"/>
  <c r="BY79" i="3"/>
  <c r="EG79" i="3"/>
  <c r="BV80" i="3"/>
  <c r="CH80" i="3"/>
  <c r="ED80" i="3"/>
  <c r="EP80" i="3"/>
  <c r="CE81" i="3"/>
  <c r="EM81" i="3"/>
  <c r="CB82" i="3"/>
  <c r="CO82" i="3"/>
  <c r="FD82" i="3"/>
  <c r="AM83" i="3"/>
  <c r="DT83" i="3"/>
  <c r="DX84" i="3"/>
  <c r="BP84" i="3"/>
  <c r="EM84" i="3"/>
  <c r="CE84" i="3"/>
  <c r="CT84" i="3"/>
  <c r="FE84" i="3"/>
  <c r="FB89" i="3"/>
  <c r="CS89" i="3"/>
  <c r="EL89" i="3"/>
  <c r="CD89" i="3"/>
  <c r="DQ90" i="3"/>
  <c r="BI90" i="3"/>
  <c r="EV90" i="3"/>
  <c r="CM90" i="3"/>
  <c r="BN79" i="3"/>
  <c r="DV79" i="3"/>
  <c r="BK80" i="3"/>
  <c r="DS80" i="3"/>
  <c r="BH81" i="3"/>
  <c r="BT81" i="3"/>
  <c r="DP81" i="3"/>
  <c r="EB81" i="3"/>
  <c r="BQ82" i="3"/>
  <c r="CQ82" i="3"/>
  <c r="ED83" i="3"/>
  <c r="BV83" i="3"/>
  <c r="EP83" i="3"/>
  <c r="CH83" i="3"/>
  <c r="DY84" i="3"/>
  <c r="BQ84" i="3"/>
  <c r="FD84" i="3"/>
  <c r="CU84" i="3"/>
  <c r="EG85" i="3"/>
  <c r="BY85" i="3"/>
  <c r="CN85" i="3"/>
  <c r="FB86" i="3"/>
  <c r="CS86" i="3"/>
  <c r="EL86" i="3"/>
  <c r="CD86" i="3"/>
  <c r="DW86" i="3"/>
  <c r="BO86" i="3"/>
  <c r="EJ88" i="3"/>
  <c r="CB88" i="3"/>
  <c r="DU88" i="3"/>
  <c r="BM88" i="3"/>
  <c r="CQ88" i="3"/>
  <c r="AM93" i="3"/>
  <c r="FE93" i="3"/>
  <c r="CV93" i="3"/>
  <c r="EO93" i="3"/>
  <c r="CG93" i="3"/>
  <c r="DZ93" i="3"/>
  <c r="BR93" i="3"/>
  <c r="FB94" i="3"/>
  <c r="CS94" i="3"/>
  <c r="EL94" i="3"/>
  <c r="CD94" i="3"/>
  <c r="DW94" i="3"/>
  <c r="BO94" i="3"/>
  <c r="AM116" i="3"/>
  <c r="FE116" i="3"/>
  <c r="CV116" i="3"/>
  <c r="CG116" i="3"/>
  <c r="BR116" i="3"/>
  <c r="EO116" i="3"/>
  <c r="DZ116" i="3"/>
  <c r="CS77" i="3"/>
  <c r="CP78" i="3"/>
  <c r="CM79" i="3"/>
  <c r="CY79" i="3"/>
  <c r="CV80" i="3"/>
  <c r="CS81" i="3"/>
  <c r="DP83" i="3"/>
  <c r="EU83" i="3"/>
  <c r="EB83" i="3"/>
  <c r="BT83" i="3"/>
  <c r="FG83" i="3"/>
  <c r="BD84" i="3"/>
  <c r="CF84" i="3"/>
  <c r="AM86" i="3"/>
  <c r="BC86" i="3"/>
  <c r="EY87" i="3"/>
  <c r="CP87" i="3"/>
  <c r="EI87" i="3"/>
  <c r="CA87" i="3"/>
  <c r="DT87" i="3"/>
  <c r="BL87" i="3"/>
  <c r="BK87" i="3"/>
  <c r="EM91" i="3"/>
  <c r="CE91" i="3"/>
  <c r="DX91" i="3"/>
  <c r="BP91" i="3"/>
  <c r="FC91" i="3"/>
  <c r="CT91" i="3"/>
  <c r="AM92" i="3"/>
  <c r="FE92" i="3"/>
  <c r="CV92" i="3"/>
  <c r="EO92" i="3"/>
  <c r="CG92" i="3"/>
  <c r="AM94" i="3"/>
  <c r="BC94" i="3"/>
  <c r="EJ96" i="3"/>
  <c r="CB96" i="3"/>
  <c r="DU96" i="3"/>
  <c r="BM96" i="3"/>
  <c r="EZ96" i="3"/>
  <c r="CQ96" i="3"/>
  <c r="CT77" i="3"/>
  <c r="CQ78" i="3"/>
  <c r="CN79" i="3"/>
  <c r="CK80" i="3"/>
  <c r="CW80" i="3"/>
  <c r="CT81" i="3"/>
  <c r="CF82" i="3"/>
  <c r="EE82" i="3"/>
  <c r="CG84" i="3"/>
  <c r="DZ84" i="3"/>
  <c r="DT85" i="3"/>
  <c r="BL85" i="3"/>
  <c r="CP85" i="3"/>
  <c r="CA85" i="3"/>
  <c r="EW85" i="3"/>
  <c r="DS87" i="3"/>
  <c r="DW88" i="3"/>
  <c r="BO88" i="3"/>
  <c r="FB88" i="3"/>
  <c r="CS88" i="3"/>
  <c r="BR88" i="3"/>
  <c r="AM89" i="3"/>
  <c r="FE89" i="3"/>
  <c r="CV89" i="3"/>
  <c r="EO89" i="3"/>
  <c r="CG89" i="3"/>
  <c r="DZ89" i="3"/>
  <c r="BR89" i="3"/>
  <c r="EY90" i="3"/>
  <c r="CP90" i="3"/>
  <c r="EI90" i="3"/>
  <c r="CA90" i="3"/>
  <c r="BL90" i="3"/>
  <c r="BC91" i="3"/>
  <c r="AM91" i="3"/>
  <c r="DZ92" i="3"/>
  <c r="AM98" i="3"/>
  <c r="DX98" i="3"/>
  <c r="BP98" i="3"/>
  <c r="FC98" i="3"/>
  <c r="EM98" i="3"/>
  <c r="CT98" i="3"/>
  <c r="CE98" i="3"/>
  <c r="DQ99" i="3"/>
  <c r="CM99" i="3"/>
  <c r="BX99" i="3"/>
  <c r="BI99" i="3"/>
  <c r="EV99" i="3"/>
  <c r="FH99" i="3"/>
  <c r="ER99" i="3"/>
  <c r="EC99" i="3"/>
  <c r="CY99" i="3"/>
  <c r="CJ99" i="3"/>
  <c r="BU99" i="3"/>
  <c r="EV101" i="3"/>
  <c r="DQ101" i="3"/>
  <c r="EF101" i="3"/>
  <c r="BI101" i="3"/>
  <c r="FH101" i="3"/>
  <c r="EC101" i="3"/>
  <c r="ER101" i="3"/>
  <c r="BU101" i="3"/>
  <c r="CY101" i="3"/>
  <c r="CJ101" i="3"/>
  <c r="CL104" i="3"/>
  <c r="BH104" i="3"/>
  <c r="DP104" i="3"/>
  <c r="BW104" i="3"/>
  <c r="EE104" i="3"/>
  <c r="EU104" i="3"/>
  <c r="CX104" i="3"/>
  <c r="EQ104" i="3"/>
  <c r="FG104" i="3"/>
  <c r="BT104" i="3"/>
  <c r="EB104" i="3"/>
  <c r="CI104" i="3"/>
  <c r="CD67" i="3"/>
  <c r="CA68" i="3"/>
  <c r="BX69" i="3"/>
  <c r="CJ69" i="3"/>
  <c r="BI70" i="3"/>
  <c r="BU70" i="3"/>
  <c r="CG70" i="3"/>
  <c r="BR71" i="3"/>
  <c r="CD71" i="3"/>
  <c r="BO72" i="3"/>
  <c r="CA72" i="3"/>
  <c r="BL73" i="3"/>
  <c r="BX73" i="3"/>
  <c r="Q73" i="3" s="1"/>
  <c r="CJ73" i="3"/>
  <c r="BI74" i="3"/>
  <c r="BU74" i="3"/>
  <c r="FA74" i="3"/>
  <c r="BR75" i="3"/>
  <c r="CD75" i="3"/>
  <c r="EX75" i="3"/>
  <c r="BO76" i="3"/>
  <c r="CA76" i="3"/>
  <c r="EU76" i="3"/>
  <c r="FG76" i="3"/>
  <c r="BL77" i="3"/>
  <c r="BX77" i="3"/>
  <c r="CJ77" i="3"/>
  <c r="FD77" i="3"/>
  <c r="BI78" i="3"/>
  <c r="BU78" i="3"/>
  <c r="CG78" i="3"/>
  <c r="FA78" i="3"/>
  <c r="BR79" i="3"/>
  <c r="CD79" i="3"/>
  <c r="EX79" i="3"/>
  <c r="BO80" i="3"/>
  <c r="CA80" i="3"/>
  <c r="EU80" i="3"/>
  <c r="FG80" i="3"/>
  <c r="BL81" i="3"/>
  <c r="BX81" i="3"/>
  <c r="CJ81" i="3"/>
  <c r="Q81" i="3" s="1"/>
  <c r="FD81" i="3"/>
  <c r="BI82" i="3"/>
  <c r="BU82" i="3"/>
  <c r="CU82" i="3"/>
  <c r="DS82" i="3"/>
  <c r="EH82" i="3"/>
  <c r="EV82" i="3"/>
  <c r="BS83" i="3"/>
  <c r="CI83" i="3"/>
  <c r="CX83" i="3"/>
  <c r="EQ83" i="3"/>
  <c r="FF83" i="3"/>
  <c r="EV84" i="3"/>
  <c r="EF84" i="3"/>
  <c r="BX84" i="3"/>
  <c r="FH84" i="3"/>
  <c r="ER84" i="3"/>
  <c r="CJ84" i="3"/>
  <c r="EC84" i="3"/>
  <c r="BF85" i="3"/>
  <c r="DV85" i="3"/>
  <c r="BN85" i="3"/>
  <c r="FA85" i="3"/>
  <c r="BJ85" i="3"/>
  <c r="EY85" i="3"/>
  <c r="ED86" i="3"/>
  <c r="BV86" i="3"/>
  <c r="CK86" i="3"/>
  <c r="EP86" i="3"/>
  <c r="CH86" i="3"/>
  <c r="CW86" i="3"/>
  <c r="BC87" i="3"/>
  <c r="DY88" i="3"/>
  <c r="BQ88" i="3"/>
  <c r="FD88" i="3"/>
  <c r="BD91" i="3"/>
  <c r="EV92" i="3"/>
  <c r="CM92" i="3"/>
  <c r="EF92" i="3"/>
  <c r="BX92" i="3"/>
  <c r="DQ92" i="3"/>
  <c r="BI92" i="3"/>
  <c r="FH92" i="3"/>
  <c r="CY92" i="3"/>
  <c r="ER92" i="3"/>
  <c r="CJ92" i="3"/>
  <c r="EC92" i="3"/>
  <c r="BU92" i="3"/>
  <c r="EG93" i="3"/>
  <c r="BY93" i="3"/>
  <c r="Q93" i="3" s="1"/>
  <c r="DR93" i="3"/>
  <c r="BJ93" i="3"/>
  <c r="EW93" i="3"/>
  <c r="CN93" i="3"/>
  <c r="ED94" i="3"/>
  <c r="BV94" i="3"/>
  <c r="DO94" i="3"/>
  <c r="BG94" i="3"/>
  <c r="ET94" i="3"/>
  <c r="CK94" i="3"/>
  <c r="EP94" i="3"/>
  <c r="CH94" i="3"/>
  <c r="EA94" i="3"/>
  <c r="BS94" i="3"/>
  <c r="FF94" i="3"/>
  <c r="CW94" i="3"/>
  <c r="EY95" i="3"/>
  <c r="CP95" i="3"/>
  <c r="EI95" i="3"/>
  <c r="CA95" i="3"/>
  <c r="DT95" i="3"/>
  <c r="BL95" i="3"/>
  <c r="BD97" i="3"/>
  <c r="AM97" i="3"/>
  <c r="FE97" i="3"/>
  <c r="CV97" i="3"/>
  <c r="EO97" i="3"/>
  <c r="CG97" i="3"/>
  <c r="DZ97" i="3"/>
  <c r="BR97" i="3"/>
  <c r="BD100" i="3"/>
  <c r="AM100" i="3"/>
  <c r="FE100" i="3"/>
  <c r="EO100" i="3"/>
  <c r="DZ100" i="3"/>
  <c r="CV100" i="3"/>
  <c r="CG100" i="3"/>
  <c r="BR100" i="3"/>
  <c r="BC121" i="3"/>
  <c r="AM121" i="3"/>
  <c r="DT82" i="3"/>
  <c r="EI82" i="3"/>
  <c r="EI83" i="3"/>
  <c r="CA83" i="3"/>
  <c r="EA83" i="3"/>
  <c r="EW84" i="3"/>
  <c r="CN84" i="3"/>
  <c r="CS85" i="3"/>
  <c r="EL85" i="3"/>
  <c r="CD85" i="3"/>
  <c r="EM87" i="3"/>
  <c r="CE87" i="3"/>
  <c r="DX87" i="3"/>
  <c r="BP87" i="3"/>
  <c r="CT87" i="3"/>
  <c r="CO87" i="3"/>
  <c r="AM88" i="3"/>
  <c r="FE88" i="3"/>
  <c r="CV88" i="3"/>
  <c r="EO88" i="3"/>
  <c r="CG88" i="3"/>
  <c r="EZ88" i="3"/>
  <c r="Q89" i="3"/>
  <c r="DW89" i="3"/>
  <c r="FB90" i="3"/>
  <c r="CS90" i="3"/>
  <c r="EL90" i="3"/>
  <c r="CD90" i="3"/>
  <c r="DW90" i="3"/>
  <c r="BO90" i="3"/>
  <c r="FC107" i="3"/>
  <c r="CT107" i="3"/>
  <c r="DX107" i="3"/>
  <c r="EM107" i="3"/>
  <c r="BP107" i="3"/>
  <c r="AM108" i="3"/>
  <c r="EO108" i="3"/>
  <c r="CG108" i="3"/>
  <c r="DZ108" i="3"/>
  <c r="BR108" i="3"/>
  <c r="CV108" i="3"/>
  <c r="FE108" i="3"/>
  <c r="BK74" i="3"/>
  <c r="BW74" i="3"/>
  <c r="CI74" i="3"/>
  <c r="DS74" i="3"/>
  <c r="EE74" i="3"/>
  <c r="EQ74" i="3"/>
  <c r="BH75" i="3"/>
  <c r="BT75" i="3"/>
  <c r="CF75" i="3"/>
  <c r="DP75" i="3"/>
  <c r="EB75" i="3"/>
  <c r="EN75" i="3"/>
  <c r="BQ76" i="3"/>
  <c r="CC76" i="3"/>
  <c r="DY76" i="3"/>
  <c r="EK76" i="3"/>
  <c r="BN77" i="3"/>
  <c r="BZ77" i="3"/>
  <c r="DV77" i="3"/>
  <c r="EH77" i="3"/>
  <c r="BK78" i="3"/>
  <c r="BW78" i="3"/>
  <c r="Q78" i="3" s="1"/>
  <c r="CI78" i="3"/>
  <c r="DS78" i="3"/>
  <c r="EE78" i="3"/>
  <c r="EQ78" i="3"/>
  <c r="BH79" i="3"/>
  <c r="BT79" i="3"/>
  <c r="CF79" i="3"/>
  <c r="DP79" i="3"/>
  <c r="EB79" i="3"/>
  <c r="EN79" i="3"/>
  <c r="BQ80" i="3"/>
  <c r="CC80" i="3"/>
  <c r="DY80" i="3"/>
  <c r="EK80" i="3"/>
  <c r="BN81" i="3"/>
  <c r="BZ81" i="3"/>
  <c r="DV81" i="3"/>
  <c r="EH81" i="3"/>
  <c r="DZ82" i="3"/>
  <c r="FE82" i="3"/>
  <c r="BK82" i="3"/>
  <c r="BW82" i="3"/>
  <c r="DV82" i="3"/>
  <c r="EJ82" i="3"/>
  <c r="EY82" i="3"/>
  <c r="BG83" i="3"/>
  <c r="BW83" i="3"/>
  <c r="CK83" i="3"/>
  <c r="EC83" i="3"/>
  <c r="BE84" i="3"/>
  <c r="BU84" i="3"/>
  <c r="BO85" i="3"/>
  <c r="EI85" i="3"/>
  <c r="FB85" i="3"/>
  <c r="DQ86" i="3"/>
  <c r="BI86" i="3"/>
  <c r="CM86" i="3"/>
  <c r="EC86" i="3"/>
  <c r="BU86" i="3"/>
  <c r="CY86" i="3"/>
  <c r="EG89" i="3"/>
  <c r="BY89" i="3"/>
  <c r="DR89" i="3"/>
  <c r="BJ89" i="3"/>
  <c r="CN89" i="3"/>
  <c r="AM90" i="3"/>
  <c r="BC90" i="3"/>
  <c r="EV91" i="3"/>
  <c r="CM91" i="3"/>
  <c r="S91" i="3" s="1"/>
  <c r="EF91" i="3"/>
  <c r="BX91" i="3"/>
  <c r="FH91" i="3"/>
  <c r="CY91" i="3"/>
  <c r="ER91" i="3"/>
  <c r="CJ91" i="3"/>
  <c r="BE92" i="3"/>
  <c r="DP98" i="3"/>
  <c r="BH98" i="3"/>
  <c r="EE98" i="3"/>
  <c r="CL98" i="3"/>
  <c r="BW98" i="3"/>
  <c r="EU98" i="3"/>
  <c r="EB98" i="3"/>
  <c r="BT98" i="3"/>
  <c r="FG98" i="3"/>
  <c r="EQ98" i="3"/>
  <c r="CX98" i="3"/>
  <c r="CI98" i="3"/>
  <c r="CQ101" i="3"/>
  <c r="EJ101" i="3"/>
  <c r="CB101" i="3"/>
  <c r="DU101" i="3"/>
  <c r="EZ101" i="3"/>
  <c r="BM101" i="3"/>
  <c r="BC109" i="3"/>
  <c r="AM109" i="3"/>
  <c r="CL119" i="3"/>
  <c r="EE119" i="3"/>
  <c r="EU119" i="3"/>
  <c r="BH119" i="3"/>
  <c r="BW119" i="3"/>
  <c r="DP119" i="3"/>
  <c r="CX119" i="3"/>
  <c r="EQ119" i="3"/>
  <c r="EB119" i="3"/>
  <c r="FG119" i="3"/>
  <c r="BT119" i="3"/>
  <c r="CI119" i="3"/>
  <c r="BP77" i="3"/>
  <c r="BM78" i="3"/>
  <c r="BJ79" i="3"/>
  <c r="BG80" i="3"/>
  <c r="BS80" i="3"/>
  <c r="BP81" i="3"/>
  <c r="BM82" i="3"/>
  <c r="FA82" i="3"/>
  <c r="DW83" i="3"/>
  <c r="BO83" i="3"/>
  <c r="FB83" i="3"/>
  <c r="BI83" i="3"/>
  <c r="DO83" i="3"/>
  <c r="EF83" i="3"/>
  <c r="EV83" i="3"/>
  <c r="EJ84" i="3"/>
  <c r="CB84" i="3"/>
  <c r="CQ84" i="3"/>
  <c r="S84" i="3" s="1"/>
  <c r="BD85" i="3"/>
  <c r="FE85" i="3"/>
  <c r="CV85" i="3"/>
  <c r="EO85" i="3"/>
  <c r="CG85" i="3"/>
  <c r="DZ85" i="3"/>
  <c r="BR85" i="3"/>
  <c r="DS86" i="3"/>
  <c r="BK86" i="3"/>
  <c r="EX86" i="3"/>
  <c r="CC86" i="3"/>
  <c r="EH86" i="3"/>
  <c r="BZ87" i="3"/>
  <c r="EV88" i="3"/>
  <c r="CM88" i="3"/>
  <c r="S88" i="3" s="1"/>
  <c r="EF88" i="3"/>
  <c r="BX88" i="3"/>
  <c r="DQ88" i="3"/>
  <c r="BI88" i="3"/>
  <c r="FH88" i="3"/>
  <c r="CY88" i="3"/>
  <c r="ER88" i="3"/>
  <c r="CJ88" i="3"/>
  <c r="EC88" i="3"/>
  <c r="BU88" i="3"/>
  <c r="DT89" i="3"/>
  <c r="BL89" i="3"/>
  <c r="EY89" i="3"/>
  <c r="CP89" i="3"/>
  <c r="CA89" i="3"/>
  <c r="EJ92" i="3"/>
  <c r="CB92" i="3"/>
  <c r="DU92" i="3"/>
  <c r="BM92" i="3"/>
  <c r="EZ92" i="3"/>
  <c r="CQ92" i="3"/>
  <c r="EM95" i="3"/>
  <c r="CE95" i="3"/>
  <c r="DX95" i="3"/>
  <c r="BP95" i="3"/>
  <c r="FC95" i="3"/>
  <c r="CT95" i="3"/>
  <c r="EG97" i="3"/>
  <c r="BY97" i="3"/>
  <c r="DR97" i="3"/>
  <c r="BJ97" i="3"/>
  <c r="EW97" i="3"/>
  <c r="CN97" i="3"/>
  <c r="DR100" i="3"/>
  <c r="BJ100" i="3"/>
  <c r="EG100" i="3"/>
  <c r="CN100" i="3"/>
  <c r="R100" i="3" s="1"/>
  <c r="BY100" i="3"/>
  <c r="BX101" i="3"/>
  <c r="BN74" i="3"/>
  <c r="BZ74" i="3"/>
  <c r="BK75" i="3"/>
  <c r="BW75" i="3"/>
  <c r="CI75" i="3"/>
  <c r="BH76" i="3"/>
  <c r="BT76" i="3"/>
  <c r="CF76" i="3"/>
  <c r="BQ77" i="3"/>
  <c r="CC77" i="3"/>
  <c r="BN78" i="3"/>
  <c r="BZ78" i="3"/>
  <c r="BK79" i="3"/>
  <c r="BW79" i="3"/>
  <c r="CI79" i="3"/>
  <c r="BH80" i="3"/>
  <c r="BT80" i="3"/>
  <c r="CF80" i="3"/>
  <c r="BQ81" i="3"/>
  <c r="CC81" i="3"/>
  <c r="BZ82" i="3"/>
  <c r="DY82" i="3"/>
  <c r="DQ83" i="3"/>
  <c r="BY84" i="3"/>
  <c r="DR84" i="3"/>
  <c r="DR85" i="3"/>
  <c r="CP86" i="3"/>
  <c r="EI86" i="3"/>
  <c r="CA86" i="3"/>
  <c r="BG86" i="3"/>
  <c r="DP87" i="3"/>
  <c r="BH87" i="3"/>
  <c r="EU87" i="3"/>
  <c r="EB87" i="3"/>
  <c r="BT87" i="3"/>
  <c r="FG87" i="3"/>
  <c r="CX87" i="3"/>
  <c r="EH87" i="3"/>
  <c r="CD88" i="3"/>
  <c r="ED90" i="3"/>
  <c r="BV90" i="3"/>
  <c r="DO90" i="3"/>
  <c r="BG90" i="3"/>
  <c r="ET90" i="3"/>
  <c r="CK90" i="3"/>
  <c r="EP90" i="3"/>
  <c r="CH90" i="3"/>
  <c r="EA90" i="3"/>
  <c r="BS90" i="3"/>
  <c r="FF90" i="3"/>
  <c r="CW90" i="3"/>
  <c r="EF90" i="3"/>
  <c r="EY91" i="3"/>
  <c r="CP91" i="3"/>
  <c r="EI91" i="3"/>
  <c r="CA91" i="3"/>
  <c r="DT91" i="3"/>
  <c r="BL91" i="3"/>
  <c r="FB93" i="3"/>
  <c r="CS93" i="3"/>
  <c r="EL93" i="3"/>
  <c r="CD93" i="3"/>
  <c r="BO93" i="3"/>
  <c r="EY94" i="3"/>
  <c r="CP94" i="3"/>
  <c r="EI94" i="3"/>
  <c r="CA94" i="3"/>
  <c r="BL94" i="3"/>
  <c r="BC95" i="3"/>
  <c r="AM95" i="3"/>
  <c r="EV96" i="3"/>
  <c r="CM96" i="3"/>
  <c r="R96" i="3" s="1"/>
  <c r="EF96" i="3"/>
  <c r="BX96" i="3"/>
  <c r="DQ96" i="3"/>
  <c r="BI96" i="3"/>
  <c r="FH96" i="3"/>
  <c r="CY96" i="3"/>
  <c r="ER96" i="3"/>
  <c r="CJ96" i="3"/>
  <c r="EC96" i="3"/>
  <c r="BU96" i="3"/>
  <c r="BC99" i="3"/>
  <c r="BJ83" i="3"/>
  <c r="EY84" i="3"/>
  <c r="CB85" i="3"/>
  <c r="EJ85" i="3"/>
  <c r="EV85" i="3"/>
  <c r="FH85" i="3"/>
  <c r="BM86" i="3"/>
  <c r="BY86" i="3"/>
  <c r="EG86" i="3"/>
  <c r="FE86" i="3"/>
  <c r="BJ87" i="3"/>
  <c r="BV87" i="3"/>
  <c r="CH87" i="3"/>
  <c r="ED87" i="3"/>
  <c r="EP87" i="3"/>
  <c r="FB87" i="3"/>
  <c r="BG88" i="3"/>
  <c r="BS88" i="3"/>
  <c r="CE88" i="3"/>
  <c r="EM88" i="3"/>
  <c r="EY88" i="3"/>
  <c r="BP89" i="3"/>
  <c r="CB89" i="3"/>
  <c r="EJ89" i="3"/>
  <c r="BM90" i="3"/>
  <c r="BY90" i="3"/>
  <c r="EG90" i="3"/>
  <c r="BJ91" i="3"/>
  <c r="BV91" i="3"/>
  <c r="CH91" i="3"/>
  <c r="ED91" i="3"/>
  <c r="EP91" i="3"/>
  <c r="BG92" i="3"/>
  <c r="BS92" i="3"/>
  <c r="CE92" i="3"/>
  <c r="EM92" i="3"/>
  <c r="BP93" i="3"/>
  <c r="CB93" i="3"/>
  <c r="EJ93" i="3"/>
  <c r="BM94" i="3"/>
  <c r="BY94" i="3"/>
  <c r="EG94" i="3"/>
  <c r="BJ95" i="3"/>
  <c r="BV95" i="3"/>
  <c r="CH95" i="3"/>
  <c r="ED95" i="3"/>
  <c r="EP95" i="3"/>
  <c r="BG96" i="3"/>
  <c r="BS96" i="3"/>
  <c r="CE96" i="3"/>
  <c r="EM96" i="3"/>
  <c r="BP97" i="3"/>
  <c r="CB97" i="3"/>
  <c r="EJ97" i="3"/>
  <c r="BQ98" i="3"/>
  <c r="EG98" i="3"/>
  <c r="EG99" i="3"/>
  <c r="BY99" i="3"/>
  <c r="EW99" i="3"/>
  <c r="BR99" i="3"/>
  <c r="CT99" i="3"/>
  <c r="DS99" i="3"/>
  <c r="EH99" i="3"/>
  <c r="EH100" i="3"/>
  <c r="BZ100" i="3"/>
  <c r="DU100" i="3"/>
  <c r="EJ100" i="3"/>
  <c r="EX100" i="3"/>
  <c r="BY101" i="3"/>
  <c r="DP101" i="3"/>
  <c r="BV102" i="3"/>
  <c r="EC102" i="3"/>
  <c r="ER102" i="3"/>
  <c r="BR103" i="3"/>
  <c r="CG103" i="3"/>
  <c r="DZ103" i="3"/>
  <c r="EO103" i="3"/>
  <c r="EL105" i="3"/>
  <c r="CD105" i="3"/>
  <c r="CS105" i="3"/>
  <c r="DX106" i="3"/>
  <c r="BP106" i="3"/>
  <c r="FC106" i="3"/>
  <c r="ED106" i="3"/>
  <c r="AM107" i="3"/>
  <c r="BC107" i="3"/>
  <c r="DY109" i="3"/>
  <c r="BQ109" i="3"/>
  <c r="FD109" i="3"/>
  <c r="CU109" i="3"/>
  <c r="EN109" i="3"/>
  <c r="EX112" i="3"/>
  <c r="CO112" i="3"/>
  <c r="EH112" i="3"/>
  <c r="BZ112" i="3"/>
  <c r="BD112" i="3"/>
  <c r="AM117" i="3"/>
  <c r="FE117" i="3"/>
  <c r="DZ117" i="3"/>
  <c r="BR117" i="3"/>
  <c r="EO117" i="3"/>
  <c r="CG117" i="3"/>
  <c r="EN125" i="3"/>
  <c r="CF125" i="3"/>
  <c r="DY125" i="3"/>
  <c r="CU125" i="3"/>
  <c r="BQ125" i="3"/>
  <c r="EE134" i="3"/>
  <c r="BW134" i="3"/>
  <c r="DP134" i="3"/>
  <c r="BH134" i="3"/>
  <c r="EU134" i="3"/>
  <c r="CL134" i="3"/>
  <c r="EQ134" i="3"/>
  <c r="CI134" i="3"/>
  <c r="EB134" i="3"/>
  <c r="BT134" i="3"/>
  <c r="FG134" i="3"/>
  <c r="CX134" i="3"/>
  <c r="EW98" i="3"/>
  <c r="EX99" i="3"/>
  <c r="DW100" i="3"/>
  <c r="EY100" i="3"/>
  <c r="EJ102" i="3"/>
  <c r="CB102" i="3"/>
  <c r="DU102" i="3"/>
  <c r="BM102" i="3"/>
  <c r="EZ102" i="3"/>
  <c r="BG102" i="3"/>
  <c r="ED102" i="3"/>
  <c r="ET102" i="3"/>
  <c r="EG103" i="3"/>
  <c r="BY103" i="3"/>
  <c r="DR103" i="3"/>
  <c r="BJ103" i="3"/>
  <c r="EW103" i="3"/>
  <c r="DR104" i="3"/>
  <c r="BJ104" i="3"/>
  <c r="EW104" i="3"/>
  <c r="BC106" i="3"/>
  <c r="AM106" i="3"/>
  <c r="CU106" i="3"/>
  <c r="EN106" i="3"/>
  <c r="CF106" i="3"/>
  <c r="BQ106" i="3"/>
  <c r="DP108" i="3"/>
  <c r="BH108" i="3"/>
  <c r="EU108" i="3"/>
  <c r="CL108" i="3"/>
  <c r="R108" i="3" s="1"/>
  <c r="EB108" i="3"/>
  <c r="BT108" i="3"/>
  <c r="FG108" i="3"/>
  <c r="CX108" i="3"/>
  <c r="EQ108" i="3"/>
  <c r="FD110" i="3"/>
  <c r="CU110" i="3"/>
  <c r="EN110" i="3"/>
  <c r="CF110" i="3"/>
  <c r="FA111" i="3"/>
  <c r="CR111" i="3"/>
  <c r="EK111" i="3"/>
  <c r="CC111" i="3"/>
  <c r="BN111" i="3"/>
  <c r="EE116" i="3"/>
  <c r="BW116" i="3"/>
  <c r="BH116" i="3"/>
  <c r="EU116" i="3"/>
  <c r="DP116" i="3"/>
  <c r="EQ116" i="3"/>
  <c r="CX116" i="3"/>
  <c r="CI116" i="3"/>
  <c r="BT116" i="3"/>
  <c r="CN119" i="3"/>
  <c r="EW119" i="3"/>
  <c r="BJ119" i="3"/>
  <c r="BY119" i="3"/>
  <c r="DR119" i="3"/>
  <c r="CY90" i="3"/>
  <c r="CV91" i="3"/>
  <c r="CS92" i="3"/>
  <c r="CP93" i="3"/>
  <c r="CM94" i="3"/>
  <c r="CY94" i="3"/>
  <c r="BX95" i="3"/>
  <c r="CJ95" i="3"/>
  <c r="CV95" i="3"/>
  <c r="EF95" i="3"/>
  <c r="ER95" i="3"/>
  <c r="CG96" i="3"/>
  <c r="CS96" i="3"/>
  <c r="EO96" i="3"/>
  <c r="CD97" i="3"/>
  <c r="CP97" i="3"/>
  <c r="EL97" i="3"/>
  <c r="EI98" i="3"/>
  <c r="EL100" i="3"/>
  <c r="EZ100" i="3"/>
  <c r="AM101" i="3"/>
  <c r="EM101" i="3"/>
  <c r="CE101" i="3"/>
  <c r="DX101" i="3"/>
  <c r="BP101" i="3"/>
  <c r="FC101" i="3"/>
  <c r="DO102" i="3"/>
  <c r="BE103" i="3"/>
  <c r="BE104" i="3"/>
  <c r="CO104" i="3"/>
  <c r="EH104" i="3"/>
  <c r="BZ104" i="3"/>
  <c r="DY105" i="3"/>
  <c r="CU105" i="3"/>
  <c r="CF105" i="3"/>
  <c r="R107" i="3"/>
  <c r="BW108" i="3"/>
  <c r="EF115" i="3"/>
  <c r="BX115" i="3"/>
  <c r="DQ115" i="3"/>
  <c r="BI115" i="3"/>
  <c r="CM115" i="3"/>
  <c r="ER115" i="3"/>
  <c r="CJ115" i="3"/>
  <c r="EC115" i="3"/>
  <c r="BU115" i="3"/>
  <c r="CY115" i="3"/>
  <c r="ET125" i="3"/>
  <c r="DO125" i="3"/>
  <c r="BG125" i="3"/>
  <c r="BV125" i="3"/>
  <c r="ED125" i="3"/>
  <c r="CK125" i="3"/>
  <c r="FF125" i="3"/>
  <c r="EA125" i="3"/>
  <c r="BS125" i="3"/>
  <c r="CH125" i="3"/>
  <c r="CW125" i="3"/>
  <c r="EP125" i="3"/>
  <c r="FB130" i="3"/>
  <c r="CS130" i="3"/>
  <c r="DW130" i="3"/>
  <c r="BO130" i="3"/>
  <c r="CD130" i="3"/>
  <c r="EL130" i="3"/>
  <c r="FH90" i="3"/>
  <c r="FE91" i="3"/>
  <c r="FB92" i="3"/>
  <c r="EY93" i="3"/>
  <c r="EV94" i="3"/>
  <c r="FH94" i="3"/>
  <c r="FE95" i="3"/>
  <c r="CT96" i="3"/>
  <c r="FB96" i="3"/>
  <c r="CQ97" i="3"/>
  <c r="EY97" i="3"/>
  <c r="EY98" i="3"/>
  <c r="DU99" i="3"/>
  <c r="BM99" i="3"/>
  <c r="EZ99" i="3"/>
  <c r="DV100" i="3"/>
  <c r="BN100" i="3"/>
  <c r="FA100" i="3"/>
  <c r="CS101" i="3"/>
  <c r="EX104" i="3"/>
  <c r="BD106" i="3"/>
  <c r="ET106" i="3"/>
  <c r="CK106" i="3"/>
  <c r="FF106" i="3"/>
  <c r="CW106" i="3"/>
  <c r="BS106" i="3"/>
  <c r="BD109" i="3"/>
  <c r="EU109" i="3"/>
  <c r="CL109" i="3"/>
  <c r="EE109" i="3"/>
  <c r="BW109" i="3"/>
  <c r="FG109" i="3"/>
  <c r="CX109" i="3"/>
  <c r="EQ109" i="3"/>
  <c r="CI109" i="3"/>
  <c r="EI114" i="3"/>
  <c r="CA114" i="3"/>
  <c r="DT114" i="3"/>
  <c r="BL114" i="3"/>
  <c r="CP114" i="3"/>
  <c r="EY114" i="3"/>
  <c r="AM96" i="3"/>
  <c r="EJ98" i="3"/>
  <c r="CB98" i="3"/>
  <c r="EZ98" i="3"/>
  <c r="EK99" i="3"/>
  <c r="CC99" i="3"/>
  <c r="FA99" i="3"/>
  <c r="DX102" i="3"/>
  <c r="BP102" i="3"/>
  <c r="DU103" i="3"/>
  <c r="BM103" i="3"/>
  <c r="EZ103" i="3"/>
  <c r="EZ104" i="3"/>
  <c r="DO105" i="3"/>
  <c r="BG105" i="3"/>
  <c r="ET105" i="3"/>
  <c r="EA105" i="3"/>
  <c r="BS105" i="3"/>
  <c r="FF105" i="3"/>
  <c r="CH105" i="3"/>
  <c r="EF107" i="3"/>
  <c r="BX107" i="3"/>
  <c r="CM107" i="3"/>
  <c r="ER107" i="3"/>
  <c r="CJ107" i="3"/>
  <c r="CY107" i="3"/>
  <c r="FH107" i="3"/>
  <c r="EX108" i="3"/>
  <c r="CO108" i="3"/>
  <c r="EH108" i="3"/>
  <c r="BZ108" i="3"/>
  <c r="DY110" i="3"/>
  <c r="AM111" i="3"/>
  <c r="DV111" i="3"/>
  <c r="DS115" i="3"/>
  <c r="BK115" i="3"/>
  <c r="EX115" i="3"/>
  <c r="CO115" i="3"/>
  <c r="EH115" i="3"/>
  <c r="CQ122" i="3"/>
  <c r="EZ122" i="3"/>
  <c r="EJ122" i="3"/>
  <c r="BM122" i="3"/>
  <c r="DU122" i="3"/>
  <c r="CB122" i="3"/>
  <c r="BL84" i="3"/>
  <c r="BI85" i="3"/>
  <c r="BU85" i="3"/>
  <c r="BR86" i="3"/>
  <c r="BO87" i="3"/>
  <c r="BL88" i="3"/>
  <c r="FA89" i="3"/>
  <c r="EX90" i="3"/>
  <c r="EU91" i="3"/>
  <c r="ES91" i="3" s="1"/>
  <c r="FG91" i="3"/>
  <c r="FD92" i="3"/>
  <c r="FA93" i="3"/>
  <c r="EX94" i="3"/>
  <c r="CM95" i="3"/>
  <c r="CY95" i="3"/>
  <c r="EU95" i="3"/>
  <c r="FG95" i="3"/>
  <c r="CV96" i="3"/>
  <c r="FD96" i="3"/>
  <c r="CS97" i="3"/>
  <c r="FA97" i="3"/>
  <c r="CY98" i="3"/>
  <c r="DZ99" i="3"/>
  <c r="FB99" i="3"/>
  <c r="DO101" i="3"/>
  <c r="BG101" i="3"/>
  <c r="EA101" i="3"/>
  <c r="BS101" i="3"/>
  <c r="BO101" i="3"/>
  <c r="CF101" i="3"/>
  <c r="EL101" i="3"/>
  <c r="FB101" i="3"/>
  <c r="EN102" i="3"/>
  <c r="CF102" i="3"/>
  <c r="CC102" i="3"/>
  <c r="EI102" i="3"/>
  <c r="CR103" i="3"/>
  <c r="EK103" i="3"/>
  <c r="CC103" i="3"/>
  <c r="CN103" i="3"/>
  <c r="BY104" i="3"/>
  <c r="DS104" i="3"/>
  <c r="BD105" i="3"/>
  <c r="CL105" i="3"/>
  <c r="EE105" i="3"/>
  <c r="V105" i="3" s="1"/>
  <c r="BW105" i="3"/>
  <c r="CX105" i="3"/>
  <c r="EQ105" i="3"/>
  <c r="CI105" i="3"/>
  <c r="DP105" i="3"/>
  <c r="BV106" i="3"/>
  <c r="BU107" i="3"/>
  <c r="BH109" i="3"/>
  <c r="EB109" i="3"/>
  <c r="DV114" i="3"/>
  <c r="BN114" i="3"/>
  <c r="FA114" i="3"/>
  <c r="CR114" i="3"/>
  <c r="CT118" i="3"/>
  <c r="EM118" i="3"/>
  <c r="CE118" i="3"/>
  <c r="FC118" i="3"/>
  <c r="DX118" i="3"/>
  <c r="BP118" i="3"/>
  <c r="EJ95" i="3"/>
  <c r="ED97" i="3"/>
  <c r="EP97" i="3"/>
  <c r="BJ98" i="3"/>
  <c r="BD101" i="3"/>
  <c r="EE101" i="3"/>
  <c r="BW101" i="3"/>
  <c r="EQ101" i="3"/>
  <c r="CI101" i="3"/>
  <c r="BQ101" i="3"/>
  <c r="EN101" i="3"/>
  <c r="FD101" i="3"/>
  <c r="BD102" i="3"/>
  <c r="AM102" i="3"/>
  <c r="BN102" i="3"/>
  <c r="CT102" i="3"/>
  <c r="EK102" i="3"/>
  <c r="FA102" i="3"/>
  <c r="BZ103" i="3"/>
  <c r="EH103" i="3"/>
  <c r="EX103" i="3"/>
  <c r="BK104" i="3"/>
  <c r="EJ104" i="3"/>
  <c r="CK105" i="3"/>
  <c r="DS107" i="3"/>
  <c r="BK107" i="3"/>
  <c r="EX107" i="3"/>
  <c r="CO107" i="3"/>
  <c r="EZ108" i="3"/>
  <c r="CQ108" i="3"/>
  <c r="CB108" i="3"/>
  <c r="EE108" i="3"/>
  <c r="EL113" i="3"/>
  <c r="CD113" i="3"/>
  <c r="Q113" i="3" s="1"/>
  <c r="DW113" i="3"/>
  <c r="BO113" i="3"/>
  <c r="CS113" i="3"/>
  <c r="EK114" i="3"/>
  <c r="FH115" i="3"/>
  <c r="EG119" i="3"/>
  <c r="CS122" i="3"/>
  <c r="FB122" i="3"/>
  <c r="EL122" i="3"/>
  <c r="BO122" i="3"/>
  <c r="DW122" i="3"/>
  <c r="CT104" i="3"/>
  <c r="EM104" i="3"/>
  <c r="CE104" i="3"/>
  <c r="EW105" i="3"/>
  <c r="CN105" i="3"/>
  <c r="DR105" i="3"/>
  <c r="EO112" i="3"/>
  <c r="CG112" i="3"/>
  <c r="DZ112" i="3"/>
  <c r="BR112" i="3"/>
  <c r="CV112" i="3"/>
  <c r="S112" i="3" s="1"/>
  <c r="BC113" i="3"/>
  <c r="AM113" i="3"/>
  <c r="AM118" i="3"/>
  <c r="DZ118" i="3"/>
  <c r="BR118" i="3"/>
  <c r="CG118" i="3"/>
  <c r="EO118" i="3"/>
  <c r="CV118" i="3"/>
  <c r="FE118" i="3"/>
  <c r="BC122" i="3"/>
  <c r="AM122" i="3"/>
  <c r="R88" i="3"/>
  <c r="BU90" i="3"/>
  <c r="BR91" i="3"/>
  <c r="BO92" i="3"/>
  <c r="BL93" i="3"/>
  <c r="BI94" i="3"/>
  <c r="BU94" i="3"/>
  <c r="BR95" i="3"/>
  <c r="BO96" i="3"/>
  <c r="BL97" i="3"/>
  <c r="EN98" i="3"/>
  <c r="CF98" i="3"/>
  <c r="BL98" i="3"/>
  <c r="DO99" i="3"/>
  <c r="FF99" i="3"/>
  <c r="ED100" i="3"/>
  <c r="BV100" i="3"/>
  <c r="ET100" i="3"/>
  <c r="EP100" i="3"/>
  <c r="CH100" i="3"/>
  <c r="FF100" i="3"/>
  <c r="BM100" i="3"/>
  <c r="CB100" i="3"/>
  <c r="DP100" i="3"/>
  <c r="EE100" i="3"/>
  <c r="BC101" i="3"/>
  <c r="BT101" i="3"/>
  <c r="FF101" i="3"/>
  <c r="CG102" i="3"/>
  <c r="CV102" i="3"/>
  <c r="S102" i="3" s="1"/>
  <c r="EM102" i="3"/>
  <c r="FC102" i="3"/>
  <c r="CB103" i="3"/>
  <c r="EJ103" i="3"/>
  <c r="FA103" i="3"/>
  <c r="BM104" i="3"/>
  <c r="DW104" i="3"/>
  <c r="EL104" i="3"/>
  <c r="BV105" i="3"/>
  <c r="EI106" i="3"/>
  <c r="CA106" i="3"/>
  <c r="CP106" i="3"/>
  <c r="CT106" i="3"/>
  <c r="DY106" i="3"/>
  <c r="DU107" i="3"/>
  <c r="BM107" i="3"/>
  <c r="EZ107" i="3"/>
  <c r="EI110" i="3"/>
  <c r="CA110" i="3"/>
  <c r="DT110" i="3"/>
  <c r="BL110" i="3"/>
  <c r="CP110" i="3"/>
  <c r="EY110" i="3"/>
  <c r="EF111" i="3"/>
  <c r="BX111" i="3"/>
  <c r="DQ111" i="3"/>
  <c r="BI111" i="3"/>
  <c r="CM111" i="3"/>
  <c r="S111" i="3" s="1"/>
  <c r="ER111" i="3"/>
  <c r="CJ111" i="3"/>
  <c r="EC111" i="3"/>
  <c r="BU111" i="3"/>
  <c r="CY111" i="3"/>
  <c r="EV111" i="3"/>
  <c r="DY113" i="3"/>
  <c r="BQ113" i="3"/>
  <c r="FD113" i="3"/>
  <c r="CU113" i="3"/>
  <c r="EN113" i="3"/>
  <c r="CL116" i="3"/>
  <c r="EB116" i="3"/>
  <c r="CR121" i="3"/>
  <c r="EK121" i="3"/>
  <c r="CC121" i="3"/>
  <c r="FA121" i="3"/>
  <c r="DV121" i="3"/>
  <c r="FD125" i="3"/>
  <c r="BM85" i="3"/>
  <c r="CK85" i="3"/>
  <c r="CW85" i="3"/>
  <c r="BJ86" i="3"/>
  <c r="CT86" i="3"/>
  <c r="BG87" i="3"/>
  <c r="BS87" i="3"/>
  <c r="CQ87" i="3"/>
  <c r="BP88" i="3"/>
  <c r="CN88" i="3"/>
  <c r="BM89" i="3"/>
  <c r="CK89" i="3"/>
  <c r="CW89" i="3"/>
  <c r="BJ90" i="3"/>
  <c r="CT90" i="3"/>
  <c r="BG91" i="3"/>
  <c r="BS91" i="3"/>
  <c r="CQ91" i="3"/>
  <c r="BP92" i="3"/>
  <c r="CN92" i="3"/>
  <c r="S92" i="3" s="1"/>
  <c r="BM93" i="3"/>
  <c r="CK93" i="3"/>
  <c r="CW93" i="3"/>
  <c r="BJ94" i="3"/>
  <c r="CT94" i="3"/>
  <c r="BG95" i="3"/>
  <c r="BS95" i="3"/>
  <c r="CQ95" i="3"/>
  <c r="BP96" i="3"/>
  <c r="CN96" i="3"/>
  <c r="BM97" i="3"/>
  <c r="CK97" i="3"/>
  <c r="CW97" i="3"/>
  <c r="BD98" i="3"/>
  <c r="BM98" i="3"/>
  <c r="CA98" i="3"/>
  <c r="Q98" i="3" s="1"/>
  <c r="BN99" i="3"/>
  <c r="CB99" i="3"/>
  <c r="CQ99" i="3"/>
  <c r="R99" i="3" s="1"/>
  <c r="ED99" i="3"/>
  <c r="BO100" i="3"/>
  <c r="CC100" i="3"/>
  <c r="EU100" i="3"/>
  <c r="DS101" i="3"/>
  <c r="BK101" i="3"/>
  <c r="CK101" i="3"/>
  <c r="EB101" i="3"/>
  <c r="FG101" i="3"/>
  <c r="BR102" i="3"/>
  <c r="CH102" i="3"/>
  <c r="DY102" i="3"/>
  <c r="EO102" i="3"/>
  <c r="FD102" i="3"/>
  <c r="BN103" i="3"/>
  <c r="DV103" i="3"/>
  <c r="FC103" i="3"/>
  <c r="BO104" i="3"/>
  <c r="CD104" i="3"/>
  <c r="CV104" i="3"/>
  <c r="DX104" i="3"/>
  <c r="EY105" i="3"/>
  <c r="CP105" i="3"/>
  <c r="BH105" i="3"/>
  <c r="EN105" i="3"/>
  <c r="FG105" i="3"/>
  <c r="CR107" i="3"/>
  <c r="EK107" i="3"/>
  <c r="CC107" i="3"/>
  <c r="BI107" i="3"/>
  <c r="CB107" i="3"/>
  <c r="BM108" i="3"/>
  <c r="CI108" i="3"/>
  <c r="DP112" i="3"/>
  <c r="BH112" i="3"/>
  <c r="EU112" i="3"/>
  <c r="CL112" i="3"/>
  <c r="EB112" i="3"/>
  <c r="BT112" i="3"/>
  <c r="FG112" i="3"/>
  <c r="CX112" i="3"/>
  <c r="EQ112" i="3"/>
  <c r="BF121" i="3"/>
  <c r="CC84" i="3"/>
  <c r="BZ85" i="3"/>
  <c r="BW86" i="3"/>
  <c r="CI86" i="3"/>
  <c r="CF87" i="3"/>
  <c r="CC88" i="3"/>
  <c r="BN89" i="3"/>
  <c r="BZ89" i="3"/>
  <c r="BK90" i="3"/>
  <c r="BW90" i="3"/>
  <c r="CI90" i="3"/>
  <c r="BH91" i="3"/>
  <c r="BT91" i="3"/>
  <c r="CF91" i="3"/>
  <c r="BQ92" i="3"/>
  <c r="CC92" i="3"/>
  <c r="BN93" i="3"/>
  <c r="BZ93" i="3"/>
  <c r="BK94" i="3"/>
  <c r="BW94" i="3"/>
  <c r="CI94" i="3"/>
  <c r="BH95" i="3"/>
  <c r="BT95" i="3"/>
  <c r="CF95" i="3"/>
  <c r="BQ96" i="3"/>
  <c r="CC96" i="3"/>
  <c r="BN97" i="3"/>
  <c r="BZ97" i="3"/>
  <c r="Q97" i="3" s="1"/>
  <c r="BN98" i="3"/>
  <c r="CC98" i="3"/>
  <c r="CQ98" i="3"/>
  <c r="DQ98" i="3"/>
  <c r="BO99" i="3"/>
  <c r="CR99" i="3"/>
  <c r="ET99" i="3"/>
  <c r="BP100" i="3"/>
  <c r="CD100" i="3"/>
  <c r="CR100" i="3"/>
  <c r="DS100" i="3"/>
  <c r="BV101" i="3"/>
  <c r="Q101" i="3" s="1"/>
  <c r="CL101" i="3"/>
  <c r="CN102" i="3"/>
  <c r="EG102" i="3"/>
  <c r="BY102" i="3"/>
  <c r="BS102" i="3"/>
  <c r="CY102" i="3"/>
  <c r="DZ102" i="3"/>
  <c r="EP102" i="3"/>
  <c r="FF102" i="3"/>
  <c r="CK103" i="3"/>
  <c r="ED103" i="3"/>
  <c r="BV103" i="3"/>
  <c r="CW103" i="3"/>
  <c r="EP103" i="3"/>
  <c r="CH103" i="3"/>
  <c r="CE103" i="3"/>
  <c r="CV103" i="3"/>
  <c r="EM103" i="3"/>
  <c r="ED104" i="3"/>
  <c r="BV104" i="3"/>
  <c r="Q104" i="3" s="1"/>
  <c r="DO104" i="3"/>
  <c r="BG104" i="3"/>
  <c r="ET104" i="3"/>
  <c r="EP104" i="3"/>
  <c r="CH104" i="3"/>
  <c r="EA104" i="3"/>
  <c r="BS104" i="3"/>
  <c r="FF104" i="3"/>
  <c r="BP104" i="3"/>
  <c r="CW104" i="3"/>
  <c r="BY105" i="3"/>
  <c r="DV106" i="3"/>
  <c r="BN106" i="3"/>
  <c r="CR106" i="3"/>
  <c r="EA106" i="3"/>
  <c r="EV107" i="3"/>
  <c r="EJ108" i="3"/>
  <c r="EL109" i="3"/>
  <c r="CD109" i="3"/>
  <c r="DW109" i="3"/>
  <c r="BO109" i="3"/>
  <c r="CS109" i="3"/>
  <c r="DP109" i="3"/>
  <c r="DV110" i="3"/>
  <c r="BN110" i="3"/>
  <c r="FA110" i="3"/>
  <c r="CR110" i="3"/>
  <c r="DS111" i="3"/>
  <c r="BK111" i="3"/>
  <c r="EX111" i="3"/>
  <c r="CO111" i="3"/>
  <c r="AM115" i="3"/>
  <c r="CT121" i="3"/>
  <c r="S121" i="3" s="1"/>
  <c r="EM121" i="3"/>
  <c r="CE121" i="3"/>
  <c r="FC121" i="3"/>
  <c r="DX121" i="3"/>
  <c r="BC111" i="3"/>
  <c r="BC115" i="3"/>
  <c r="DW115" i="3"/>
  <c r="BZ116" i="3"/>
  <c r="EA116" i="3"/>
  <c r="FF116" i="3"/>
  <c r="CK117" i="3"/>
  <c r="ED117" i="3"/>
  <c r="BV117" i="3"/>
  <c r="CW117" i="3"/>
  <c r="EP117" i="3"/>
  <c r="CH117" i="3"/>
  <c r="FC117" i="3"/>
  <c r="BM118" i="3"/>
  <c r="CB118" i="3"/>
  <c r="R120" i="3"/>
  <c r="EW123" i="3"/>
  <c r="DQ124" i="3"/>
  <c r="CM124" i="3"/>
  <c r="BX124" i="3"/>
  <c r="EV124" i="3"/>
  <c r="EF124" i="3"/>
  <c r="FH124" i="3"/>
  <c r="ER124" i="3"/>
  <c r="EC124" i="3"/>
  <c r="BU124" i="3"/>
  <c r="CJ124" i="3"/>
  <c r="BH102" i="3"/>
  <c r="BT102" i="3"/>
  <c r="BQ103" i="3"/>
  <c r="BN104" i="3"/>
  <c r="BK105" i="3"/>
  <c r="FC105" i="3"/>
  <c r="BH106" i="3"/>
  <c r="BT106" i="3"/>
  <c r="DP106" i="3"/>
  <c r="EZ106" i="3"/>
  <c r="BQ107" i="3"/>
  <c r="DY107" i="3"/>
  <c r="EW107" i="3"/>
  <c r="BN108" i="3"/>
  <c r="DV108" i="3"/>
  <c r="ET108" i="3"/>
  <c r="FF108" i="3"/>
  <c r="BK109" i="3"/>
  <c r="DS109" i="3"/>
  <c r="FC109" i="3"/>
  <c r="BH110" i="3"/>
  <c r="BT110" i="3"/>
  <c r="DP110" i="3"/>
  <c r="EB110" i="3"/>
  <c r="EZ110" i="3"/>
  <c r="BQ111" i="3"/>
  <c r="DY111" i="3"/>
  <c r="EW111" i="3"/>
  <c r="BN112" i="3"/>
  <c r="DV112" i="3"/>
  <c r="ET112" i="3"/>
  <c r="FF112" i="3"/>
  <c r="BK113" i="3"/>
  <c r="BW113" i="3"/>
  <c r="CI113" i="3"/>
  <c r="DS113" i="3"/>
  <c r="EE113" i="3"/>
  <c r="EQ113" i="3"/>
  <c r="FC113" i="3"/>
  <c r="BH114" i="3"/>
  <c r="BT114" i="3"/>
  <c r="CF114" i="3"/>
  <c r="DP114" i="3"/>
  <c r="EB114" i="3"/>
  <c r="EN114" i="3"/>
  <c r="EZ114" i="3"/>
  <c r="BQ115" i="3"/>
  <c r="CC115" i="3"/>
  <c r="DY115" i="3"/>
  <c r="EK115" i="3"/>
  <c r="EW115" i="3"/>
  <c r="BO116" i="3"/>
  <c r="CO116" i="3"/>
  <c r="DO116" i="3"/>
  <c r="EC116" i="3"/>
  <c r="ER116" i="3"/>
  <c r="FF117" i="3"/>
  <c r="ED118" i="3"/>
  <c r="BV118" i="3"/>
  <c r="DO118" i="3"/>
  <c r="BG118" i="3"/>
  <c r="EP118" i="3"/>
  <c r="CH118" i="3"/>
  <c r="EA118" i="3"/>
  <c r="BS118" i="3"/>
  <c r="FH118" i="3"/>
  <c r="FB119" i="3"/>
  <c r="EV120" i="3"/>
  <c r="CM120" i="3"/>
  <c r="DQ120" i="3"/>
  <c r="BI120" i="3"/>
  <c r="FH120" i="3"/>
  <c r="CY120" i="3"/>
  <c r="EC120" i="3"/>
  <c r="BU120" i="3"/>
  <c r="BX120" i="3"/>
  <c r="BI124" i="3"/>
  <c r="EG116" i="3"/>
  <c r="BY116" i="3"/>
  <c r="EG117" i="3"/>
  <c r="BY117" i="3"/>
  <c r="DR117" i="3"/>
  <c r="BJ117" i="3"/>
  <c r="EQ118" i="3"/>
  <c r="EY119" i="3"/>
  <c r="DT119" i="3"/>
  <c r="BL119" i="3"/>
  <c r="FE121" i="3"/>
  <c r="CV121" i="3"/>
  <c r="DZ121" i="3"/>
  <c r="BR121" i="3"/>
  <c r="FB126" i="3"/>
  <c r="BO126" i="3"/>
  <c r="DW126" i="3"/>
  <c r="CS126" i="3"/>
  <c r="EL126" i="3"/>
  <c r="EW128" i="3"/>
  <c r="CN128" i="3"/>
  <c r="EG128" i="3"/>
  <c r="BY128" i="3"/>
  <c r="DR128" i="3"/>
  <c r="BJ128" i="3"/>
  <c r="CQ119" i="3"/>
  <c r="EJ119" i="3"/>
  <c r="CB119" i="3"/>
  <c r="CG122" i="3"/>
  <c r="FE122" i="3"/>
  <c r="DZ122" i="3"/>
  <c r="CV122" i="3"/>
  <c r="BR122" i="3"/>
  <c r="CC108" i="3"/>
  <c r="EW108" i="3"/>
  <c r="BZ109" i="3"/>
  <c r="ET109" i="3"/>
  <c r="FF109" i="3"/>
  <c r="AM110" i="3"/>
  <c r="BW110" i="3"/>
  <c r="Q110" i="3" s="1"/>
  <c r="CI110" i="3"/>
  <c r="FC110" i="3"/>
  <c r="CF111" i="3"/>
  <c r="EZ111" i="3"/>
  <c r="CC112" i="3"/>
  <c r="EW112" i="3"/>
  <c r="BZ113" i="3"/>
  <c r="CL113" i="3"/>
  <c r="CX113" i="3"/>
  <c r="ET113" i="3"/>
  <c r="FF113" i="3"/>
  <c r="AM114" i="3"/>
  <c r="BW114" i="3"/>
  <c r="Q114" i="3" s="1"/>
  <c r="CI114" i="3"/>
  <c r="CU114" i="3"/>
  <c r="FC114" i="3"/>
  <c r="CF115" i="3"/>
  <c r="CR115" i="3"/>
  <c r="EZ115" i="3"/>
  <c r="CE116" i="3"/>
  <c r="CR116" i="3"/>
  <c r="DR116" i="3"/>
  <c r="EH116" i="3"/>
  <c r="EW116" i="3"/>
  <c r="BU117" i="3"/>
  <c r="ET117" i="3"/>
  <c r="DR118" i="3"/>
  <c r="BJ118" i="3"/>
  <c r="EW118" i="3"/>
  <c r="BT118" i="3"/>
  <c r="CJ118" i="3"/>
  <c r="CY118" i="3"/>
  <c r="EB118" i="3"/>
  <c r="ET118" i="3"/>
  <c r="DU119" i="3"/>
  <c r="EN119" i="3"/>
  <c r="EI120" i="3"/>
  <c r="CA120" i="3"/>
  <c r="CP120" i="3"/>
  <c r="EG123" i="3"/>
  <c r="EK124" i="3"/>
  <c r="CC124" i="3"/>
  <c r="FA124" i="3"/>
  <c r="BN124" i="3"/>
  <c r="DV124" i="3"/>
  <c r="FD126" i="3"/>
  <c r="CU126" i="3"/>
  <c r="DY126" i="3"/>
  <c r="BQ126" i="3"/>
  <c r="CF126" i="3"/>
  <c r="EN126" i="3"/>
  <c r="DU116" i="3"/>
  <c r="BM116" i="3"/>
  <c r="EX116" i="3"/>
  <c r="DU117" i="3"/>
  <c r="BM117" i="3"/>
  <c r="EZ117" i="3"/>
  <c r="BU118" i="3"/>
  <c r="EC118" i="3"/>
  <c r="EV118" i="3"/>
  <c r="CA119" i="3"/>
  <c r="DW119" i="3"/>
  <c r="EF121" i="3"/>
  <c r="BX121" i="3"/>
  <c r="CM121" i="3"/>
  <c r="R121" i="3" s="1"/>
  <c r="ER121" i="3"/>
  <c r="CJ121" i="3"/>
  <c r="FH121" i="3"/>
  <c r="CY121" i="3"/>
  <c r="AM123" i="3"/>
  <c r="EI125" i="3"/>
  <c r="CA125" i="3"/>
  <c r="EY125" i="3"/>
  <c r="BL125" i="3"/>
  <c r="EI129" i="3"/>
  <c r="CA129" i="3"/>
  <c r="DT129" i="3"/>
  <c r="EY129" i="3"/>
  <c r="CP129" i="3"/>
  <c r="EN135" i="3"/>
  <c r="CF135" i="3"/>
  <c r="DY135" i="3"/>
  <c r="BQ135" i="3"/>
  <c r="FD135" i="3"/>
  <c r="CU135" i="3"/>
  <c r="BP105" i="3"/>
  <c r="CB105" i="3"/>
  <c r="DX105" i="3"/>
  <c r="EJ105" i="3"/>
  <c r="BM106" i="3"/>
  <c r="BY106" i="3"/>
  <c r="DU106" i="3"/>
  <c r="EG106" i="3"/>
  <c r="BJ107" i="3"/>
  <c r="BV107" i="3"/>
  <c r="CH107" i="3"/>
  <c r="DR107" i="3"/>
  <c r="ED107" i="3"/>
  <c r="EP107" i="3"/>
  <c r="BG108" i="3"/>
  <c r="BS108" i="3"/>
  <c r="CE108" i="3"/>
  <c r="DO108" i="3"/>
  <c r="EA108" i="3"/>
  <c r="EM108" i="3"/>
  <c r="BP109" i="3"/>
  <c r="CB109" i="3"/>
  <c r="CN109" i="3"/>
  <c r="DX109" i="3"/>
  <c r="EJ109" i="3"/>
  <c r="BM110" i="3"/>
  <c r="BY110" i="3"/>
  <c r="CK110" i="3"/>
  <c r="CW110" i="3"/>
  <c r="DU110" i="3"/>
  <c r="EG110" i="3"/>
  <c r="BJ111" i="3"/>
  <c r="BV111" i="3"/>
  <c r="Q111" i="3" s="1"/>
  <c r="CH111" i="3"/>
  <c r="CT111" i="3"/>
  <c r="DR111" i="3"/>
  <c r="ED111" i="3"/>
  <c r="EP111" i="3"/>
  <c r="BG112" i="3"/>
  <c r="BS112" i="3"/>
  <c r="CE112" i="3"/>
  <c r="CQ112" i="3"/>
  <c r="DO112" i="3"/>
  <c r="EA112" i="3"/>
  <c r="EM112" i="3"/>
  <c r="BP113" i="3"/>
  <c r="CB113" i="3"/>
  <c r="CN113" i="3"/>
  <c r="DX113" i="3"/>
  <c r="EJ113" i="3"/>
  <c r="BM114" i="3"/>
  <c r="BY114" i="3"/>
  <c r="CK114" i="3"/>
  <c r="CW114" i="3"/>
  <c r="DU114" i="3"/>
  <c r="EG114" i="3"/>
  <c r="BJ115" i="3"/>
  <c r="BV115" i="3"/>
  <c r="CH115" i="3"/>
  <c r="CT115" i="3"/>
  <c r="DR115" i="3"/>
  <c r="ED115" i="3"/>
  <c r="EP115" i="3"/>
  <c r="BG116" i="3"/>
  <c r="CT116" i="3"/>
  <c r="EJ116" i="3"/>
  <c r="BG117" i="3"/>
  <c r="CN117" i="3"/>
  <c r="DO117" i="3"/>
  <c r="BW118" i="3"/>
  <c r="CL118" i="3"/>
  <c r="EE118" i="3"/>
  <c r="EX118" i="3"/>
  <c r="CU119" i="3"/>
  <c r="R119" i="3" s="1"/>
  <c r="DY119" i="3"/>
  <c r="FA120" i="3"/>
  <c r="CR120" i="3"/>
  <c r="BL120" i="3"/>
  <c r="CH120" i="3"/>
  <c r="EN123" i="3"/>
  <c r="CF123" i="3"/>
  <c r="DY123" i="3"/>
  <c r="BQ123" i="3"/>
  <c r="FD123" i="3"/>
  <c r="BY123" i="3"/>
  <c r="AM124" i="3"/>
  <c r="BC124" i="3"/>
  <c r="FC124" i="3"/>
  <c r="CT124" i="3"/>
  <c r="DX124" i="3"/>
  <c r="BP124" i="3"/>
  <c r="EM124" i="3"/>
  <c r="DT125" i="3"/>
  <c r="CD126" i="3"/>
  <c r="BL129" i="3"/>
  <c r="ET136" i="3"/>
  <c r="CK136" i="3"/>
  <c r="ED136" i="3"/>
  <c r="BV136" i="3"/>
  <c r="BG136" i="3"/>
  <c r="FF136" i="3"/>
  <c r="CW136" i="3"/>
  <c r="EP136" i="3"/>
  <c r="CH136" i="3"/>
  <c r="BS136" i="3"/>
  <c r="EA136" i="3"/>
  <c r="DW116" i="3"/>
  <c r="EZ116" i="3"/>
  <c r="BZ117" i="3"/>
  <c r="CO117" i="3"/>
  <c r="EH117" i="3"/>
  <c r="EW117" i="3"/>
  <c r="BH118" i="3"/>
  <c r="BX118" i="3"/>
  <c r="CM118" i="3"/>
  <c r="EZ118" i="3"/>
  <c r="BM119" i="3"/>
  <c r="CD119" i="3"/>
  <c r="BF120" i="3"/>
  <c r="EX121" i="3"/>
  <c r="CO121" i="3"/>
  <c r="CR124" i="3"/>
  <c r="R124" i="3" s="1"/>
  <c r="EE126" i="3"/>
  <c r="BW126" i="3"/>
  <c r="BH126" i="3"/>
  <c r="DP126" i="3"/>
  <c r="EQ126" i="3"/>
  <c r="CI126" i="3"/>
  <c r="FG126" i="3"/>
  <c r="BT126" i="3"/>
  <c r="EL128" i="3"/>
  <c r="CD128" i="3"/>
  <c r="FB128" i="3"/>
  <c r="CS128" i="3"/>
  <c r="DW128" i="3"/>
  <c r="BO128" i="3"/>
  <c r="CM106" i="3"/>
  <c r="CY106" i="3"/>
  <c r="CV107" i="3"/>
  <c r="CS108" i="3"/>
  <c r="CP109" i="3"/>
  <c r="CM110" i="3"/>
  <c r="CY110" i="3"/>
  <c r="CV111" i="3"/>
  <c r="CS112" i="3"/>
  <c r="CP113" i="3"/>
  <c r="CM114" i="3"/>
  <c r="CY114" i="3"/>
  <c r="CV115" i="3"/>
  <c r="DX116" i="3"/>
  <c r="EL116" i="3"/>
  <c r="BK117" i="3"/>
  <c r="DS117" i="3"/>
  <c r="BI118" i="3"/>
  <c r="DP118" i="3"/>
  <c r="EH118" i="3"/>
  <c r="BD119" i="3"/>
  <c r="CV119" i="3"/>
  <c r="EO119" i="3"/>
  <c r="CG119" i="3"/>
  <c r="BO119" i="3"/>
  <c r="CF119" i="3"/>
  <c r="BC120" i="3"/>
  <c r="DT120" i="3"/>
  <c r="EP120" i="3"/>
  <c r="BI121" i="3"/>
  <c r="BE122" i="3"/>
  <c r="CO122" i="3"/>
  <c r="BZ122" i="3"/>
  <c r="EX122" i="3"/>
  <c r="EH122" i="3"/>
  <c r="EO122" i="3"/>
  <c r="ET123" i="3"/>
  <c r="DO123" i="3"/>
  <c r="BG123" i="3"/>
  <c r="ED123" i="3"/>
  <c r="CK123" i="3"/>
  <c r="BV123" i="3"/>
  <c r="FF123" i="3"/>
  <c r="EP123" i="3"/>
  <c r="CW123" i="3"/>
  <c r="CH123" i="3"/>
  <c r="EA123" i="3"/>
  <c r="BS123" i="3"/>
  <c r="AM127" i="3"/>
  <c r="CE105" i="3"/>
  <c r="CB106" i="3"/>
  <c r="BY107" i="3"/>
  <c r="BJ108" i="3"/>
  <c r="BV108" i="3"/>
  <c r="CH108" i="3"/>
  <c r="BG109" i="3"/>
  <c r="BS109" i="3"/>
  <c r="CE109" i="3"/>
  <c r="BP110" i="3"/>
  <c r="CB110" i="3"/>
  <c r="BM111" i="3"/>
  <c r="BY111" i="3"/>
  <c r="BJ112" i="3"/>
  <c r="BV112" i="3"/>
  <c r="CH112" i="3"/>
  <c r="BG113" i="3"/>
  <c r="BS113" i="3"/>
  <c r="CE113" i="3"/>
  <c r="BP114" i="3"/>
  <c r="CB114" i="3"/>
  <c r="BM115" i="3"/>
  <c r="BY115" i="3"/>
  <c r="BJ116" i="3"/>
  <c r="CJ116" i="3"/>
  <c r="CY116" i="3"/>
  <c r="DY116" i="3"/>
  <c r="EM116" i="3"/>
  <c r="BL117" i="3"/>
  <c r="CB117" i="3"/>
  <c r="CQ117" i="3"/>
  <c r="DT117" i="3"/>
  <c r="EJ117" i="3"/>
  <c r="FB118" i="3"/>
  <c r="DW118" i="3"/>
  <c r="BK118" i="3"/>
  <c r="BZ118" i="3"/>
  <c r="DQ118" i="3"/>
  <c r="BQ119" i="3"/>
  <c r="CU120" i="3"/>
  <c r="EN120" i="3"/>
  <c r="CF120" i="3"/>
  <c r="DV120" i="3"/>
  <c r="ER120" i="3"/>
  <c r="BK121" i="3"/>
  <c r="CG121" i="3"/>
  <c r="DQ121" i="3"/>
  <c r="BD123" i="3"/>
  <c r="CY124" i="3"/>
  <c r="CP125" i="3"/>
  <c r="EU126" i="3"/>
  <c r="DO127" i="3"/>
  <c r="BG127" i="3"/>
  <c r="ET127" i="3"/>
  <c r="CK127" i="3"/>
  <c r="ED127" i="3"/>
  <c r="BV127" i="3"/>
  <c r="Q127" i="3" s="1"/>
  <c r="EA127" i="3"/>
  <c r="BS127" i="3"/>
  <c r="FF127" i="3"/>
  <c r="CW127" i="3"/>
  <c r="EP127" i="3"/>
  <c r="CH127" i="3"/>
  <c r="CD120" i="3"/>
  <c r="EL120" i="3"/>
  <c r="CA121" i="3"/>
  <c r="EI121" i="3"/>
  <c r="BX122" i="3"/>
  <c r="CJ122" i="3"/>
  <c r="EV122" i="3"/>
  <c r="EH123" i="3"/>
  <c r="BZ123" i="3"/>
  <c r="EW124" i="3"/>
  <c r="DR124" i="3"/>
  <c r="EB124" i="3"/>
  <c r="ET124" i="3"/>
  <c r="EZ125" i="3"/>
  <c r="CQ125" i="3"/>
  <c r="DU125" i="3"/>
  <c r="BD126" i="3"/>
  <c r="EF126" i="3"/>
  <c r="BX126" i="3"/>
  <c r="EV126" i="3"/>
  <c r="ER126" i="3"/>
  <c r="CJ126" i="3"/>
  <c r="FH126" i="3"/>
  <c r="CM126" i="3"/>
  <c r="CP127" i="3"/>
  <c r="AM128" i="3"/>
  <c r="CT129" i="3"/>
  <c r="EM129" i="3"/>
  <c r="CE129" i="3"/>
  <c r="BP129" i="3"/>
  <c r="DW170" i="3"/>
  <c r="BO170" i="3"/>
  <c r="CS170" i="3"/>
  <c r="EL170" i="3"/>
  <c r="CD170" i="3"/>
  <c r="FB170" i="3"/>
  <c r="EX124" i="3"/>
  <c r="CO124" i="3"/>
  <c r="DS124" i="3"/>
  <c r="BK124" i="3"/>
  <c r="EW126" i="3"/>
  <c r="CN126" i="3"/>
  <c r="EE130" i="3"/>
  <c r="BW130" i="3"/>
  <c r="EU130" i="3"/>
  <c r="CL130" i="3"/>
  <c r="EQ130" i="3"/>
  <c r="CI130" i="3"/>
  <c r="FG130" i="3"/>
  <c r="CX130" i="3"/>
  <c r="EW135" i="3"/>
  <c r="CN135" i="3"/>
  <c r="EG135" i="3"/>
  <c r="BY135" i="3"/>
  <c r="EG144" i="3"/>
  <c r="BY144" i="3"/>
  <c r="CN144" i="3"/>
  <c r="DR144" i="3"/>
  <c r="BJ144" i="3"/>
  <c r="EW144" i="3"/>
  <c r="EZ120" i="3"/>
  <c r="EW121" i="3"/>
  <c r="CL122" i="3"/>
  <c r="CX122" i="3"/>
  <c r="BW123" i="3"/>
  <c r="EE123" i="3"/>
  <c r="BG124" i="3"/>
  <c r="BV124" i="3"/>
  <c r="BC125" i="3"/>
  <c r="DR126" i="3"/>
  <c r="CN127" i="3"/>
  <c r="EG127" i="3"/>
  <c r="BY127" i="3"/>
  <c r="EW127" i="3"/>
  <c r="FE129" i="3"/>
  <c r="DZ129" i="3"/>
  <c r="BR129" i="3"/>
  <c r="EF130" i="3"/>
  <c r="BX130" i="3"/>
  <c r="DQ130" i="3"/>
  <c r="BI130" i="3"/>
  <c r="EV130" i="3"/>
  <c r="CM130" i="3"/>
  <c r="ER130" i="3"/>
  <c r="CJ130" i="3"/>
  <c r="EC130" i="3"/>
  <c r="BU130" i="3"/>
  <c r="FH130" i="3"/>
  <c r="CY130" i="3"/>
  <c r="EH133" i="3"/>
  <c r="BZ133" i="3"/>
  <c r="DS133" i="3"/>
  <c r="BK133" i="3"/>
  <c r="EX133" i="3"/>
  <c r="CO133" i="3"/>
  <c r="BJ135" i="3"/>
  <c r="FD139" i="3"/>
  <c r="DY139" i="3"/>
  <c r="BQ139" i="3"/>
  <c r="EN139" i="3"/>
  <c r="CU139" i="3"/>
  <c r="CF139" i="3"/>
  <c r="CS120" i="3"/>
  <c r="CP121" i="3"/>
  <c r="CM122" i="3"/>
  <c r="CY122" i="3"/>
  <c r="DX122" i="3"/>
  <c r="FA123" i="3"/>
  <c r="CR123" i="3"/>
  <c r="DV123" i="3"/>
  <c r="BN123" i="3"/>
  <c r="DO124" i="3"/>
  <c r="EG124" i="3"/>
  <c r="EM125" i="3"/>
  <c r="CE125" i="3"/>
  <c r="BY126" i="3"/>
  <c r="CK128" i="3"/>
  <c r="ED128" i="3"/>
  <c r="BV128" i="3"/>
  <c r="CW128" i="3"/>
  <c r="EP128" i="3"/>
  <c r="CH128" i="3"/>
  <c r="EA128" i="3"/>
  <c r="ET129" i="3"/>
  <c r="CK129" i="3"/>
  <c r="ED129" i="3"/>
  <c r="BV129" i="3"/>
  <c r="DO129" i="3"/>
  <c r="BG129" i="3"/>
  <c r="FF129" i="3"/>
  <c r="CW129" i="3"/>
  <c r="EP129" i="3"/>
  <c r="CH129" i="3"/>
  <c r="EA129" i="3"/>
  <c r="BS129" i="3"/>
  <c r="DP130" i="3"/>
  <c r="DS137" i="3"/>
  <c r="BK137" i="3"/>
  <c r="CO137" i="3"/>
  <c r="BZ137" i="3"/>
  <c r="EX137" i="3"/>
  <c r="EH137" i="3"/>
  <c r="BC139" i="3"/>
  <c r="AM139" i="3"/>
  <c r="CQ126" i="3"/>
  <c r="EJ126" i="3"/>
  <c r="CB126" i="3"/>
  <c r="EY127" i="3"/>
  <c r="DT127" i="3"/>
  <c r="BD128" i="3"/>
  <c r="EN131" i="3"/>
  <c r="CF131" i="3"/>
  <c r="DY131" i="3"/>
  <c r="BQ131" i="3"/>
  <c r="FD131" i="3"/>
  <c r="CU131" i="3"/>
  <c r="EK132" i="3"/>
  <c r="CC132" i="3"/>
  <c r="DV132" i="3"/>
  <c r="BN132" i="3"/>
  <c r="FA132" i="3"/>
  <c r="CR132" i="3"/>
  <c r="EZ134" i="3"/>
  <c r="CQ134" i="3"/>
  <c r="EJ134" i="3"/>
  <c r="CB134" i="3"/>
  <c r="BH117" i="3"/>
  <c r="BT117" i="3"/>
  <c r="CF117" i="3"/>
  <c r="BQ118" i="3"/>
  <c r="CC118" i="3"/>
  <c r="BN119" i="3"/>
  <c r="BZ119" i="3"/>
  <c r="ET119" i="3"/>
  <c r="FF119" i="3"/>
  <c r="AM120" i="3"/>
  <c r="BK120" i="3"/>
  <c r="BW120" i="3"/>
  <c r="CI120" i="3"/>
  <c r="FC120" i="3"/>
  <c r="BH121" i="3"/>
  <c r="BT121" i="3"/>
  <c r="CF121" i="3"/>
  <c r="EZ121" i="3"/>
  <c r="BQ122" i="3"/>
  <c r="CC122" i="3"/>
  <c r="EN122" i="3"/>
  <c r="BK123" i="3"/>
  <c r="CA123" i="3"/>
  <c r="CP123" i="3"/>
  <c r="DS123" i="3"/>
  <c r="EX123" i="3"/>
  <c r="BF124" i="3"/>
  <c r="EL124" i="3"/>
  <c r="CD124" i="3"/>
  <c r="FB124" i="3"/>
  <c r="BJ124" i="3"/>
  <c r="BZ124" i="3"/>
  <c r="BP125" i="3"/>
  <c r="BI126" i="3"/>
  <c r="EZ127" i="3"/>
  <c r="CQ127" i="3"/>
  <c r="EJ127" i="3"/>
  <c r="CB127" i="3"/>
  <c r="DU127" i="3"/>
  <c r="BM127" i="3"/>
  <c r="BJ127" i="3"/>
  <c r="EI127" i="3"/>
  <c r="EV128" i="3"/>
  <c r="DQ128" i="3"/>
  <c r="BI128" i="3"/>
  <c r="FH128" i="3"/>
  <c r="EC128" i="3"/>
  <c r="BU128" i="3"/>
  <c r="CY128" i="3"/>
  <c r="EF128" i="3"/>
  <c r="BH130" i="3"/>
  <c r="EK145" i="3"/>
  <c r="CC145" i="3"/>
  <c r="FA145" i="3"/>
  <c r="CR145" i="3"/>
  <c r="CQ130" i="3"/>
  <c r="EJ130" i="3"/>
  <c r="CB130" i="3"/>
  <c r="BM130" i="3"/>
  <c r="Q135" i="3"/>
  <c r="EK136" i="3"/>
  <c r="CC136" i="3"/>
  <c r="DV136" i="3"/>
  <c r="BN136" i="3"/>
  <c r="FA136" i="3"/>
  <c r="CR136" i="3"/>
  <c r="BP119" i="3"/>
  <c r="DX119" i="3"/>
  <c r="BM120" i="3"/>
  <c r="BY120" i="3"/>
  <c r="DU120" i="3"/>
  <c r="EG120" i="3"/>
  <c r="BJ121" i="3"/>
  <c r="BV121" i="3"/>
  <c r="Q121" i="3" s="1"/>
  <c r="CH121" i="3"/>
  <c r="DR121" i="3"/>
  <c r="ED121" i="3"/>
  <c r="EP121" i="3"/>
  <c r="BG122" i="3"/>
  <c r="BS122" i="3"/>
  <c r="CE122" i="3"/>
  <c r="DO122" i="3"/>
  <c r="EB122" i="3"/>
  <c r="EP122" i="3"/>
  <c r="EO123" i="3"/>
  <c r="CG123" i="3"/>
  <c r="BM123" i="3"/>
  <c r="CC123" i="3"/>
  <c r="DU123" i="3"/>
  <c r="EK123" i="3"/>
  <c r="DY124" i="3"/>
  <c r="BQ124" i="3"/>
  <c r="CU124" i="3"/>
  <c r="CS124" i="3"/>
  <c r="EU125" i="3"/>
  <c r="CL125" i="3"/>
  <c r="DP125" i="3"/>
  <c r="BH125" i="3"/>
  <c r="FG125" i="3"/>
  <c r="CX125" i="3"/>
  <c r="EB125" i="3"/>
  <c r="BT125" i="3"/>
  <c r="AM126" i="3"/>
  <c r="FC126" i="3"/>
  <c r="EM126" i="3"/>
  <c r="CE126" i="3"/>
  <c r="DX126" i="3"/>
  <c r="BP126" i="3"/>
  <c r="BM126" i="3"/>
  <c r="CY126" i="3"/>
  <c r="BL127" i="3"/>
  <c r="BG128" i="3"/>
  <c r="FF128" i="3"/>
  <c r="EH129" i="3"/>
  <c r="BZ129" i="3"/>
  <c r="EX129" i="3"/>
  <c r="BC133" i="3"/>
  <c r="FC133" i="3"/>
  <c r="CT133" i="3"/>
  <c r="EM133" i="3"/>
  <c r="CE133" i="3"/>
  <c r="AM134" i="3"/>
  <c r="CP141" i="3"/>
  <c r="CA141" i="3"/>
  <c r="BL141" i="3"/>
  <c r="EI141" i="3"/>
  <c r="DT141" i="3"/>
  <c r="DV142" i="3"/>
  <c r="BN142" i="3"/>
  <c r="CR142" i="3"/>
  <c r="EK142" i="3"/>
  <c r="CC142" i="3"/>
  <c r="FA142" i="3"/>
  <c r="BO120" i="3"/>
  <c r="BL121" i="3"/>
  <c r="DQ122" i="3"/>
  <c r="DP123" i="3"/>
  <c r="BH123" i="3"/>
  <c r="CL123" i="3"/>
  <c r="EB123" i="3"/>
  <c r="BT123" i="3"/>
  <c r="CX123" i="3"/>
  <c r="CW124" i="3"/>
  <c r="EJ125" i="3"/>
  <c r="EC126" i="3"/>
  <c r="EN127" i="3"/>
  <c r="CF127" i="3"/>
  <c r="FD127" i="3"/>
  <c r="DO128" i="3"/>
  <c r="CG129" i="3"/>
  <c r="AM130" i="3"/>
  <c r="BC130" i="3"/>
  <c r="EZ130" i="3"/>
  <c r="EW131" i="3"/>
  <c r="CN131" i="3"/>
  <c r="EG131" i="3"/>
  <c r="BY131" i="3"/>
  <c r="ET132" i="3"/>
  <c r="CK132" i="3"/>
  <c r="ED132" i="3"/>
  <c r="BV132" i="3"/>
  <c r="FF132" i="3"/>
  <c r="CW132" i="3"/>
  <c r="EP132" i="3"/>
  <c r="CH132" i="3"/>
  <c r="DO132" i="3"/>
  <c r="AM135" i="3"/>
  <c r="AM137" i="3"/>
  <c r="FC138" i="3"/>
  <c r="EM138" i="3"/>
  <c r="DX138" i="3"/>
  <c r="CT138" i="3"/>
  <c r="CE138" i="3"/>
  <c r="BP138" i="3"/>
  <c r="BG119" i="3"/>
  <c r="BS119" i="3"/>
  <c r="CE119" i="3"/>
  <c r="BP120" i="3"/>
  <c r="CB120" i="3"/>
  <c r="BM121" i="3"/>
  <c r="BY121" i="3"/>
  <c r="BJ122" i="3"/>
  <c r="BV122" i="3"/>
  <c r="DR122" i="3"/>
  <c r="FH122" i="3"/>
  <c r="FE123" i="3"/>
  <c r="EE124" i="3"/>
  <c r="BW124" i="3"/>
  <c r="EQ124" i="3"/>
  <c r="CI124" i="3"/>
  <c r="CX124" i="3"/>
  <c r="EH125" i="3"/>
  <c r="BZ125" i="3"/>
  <c r="CO125" i="3"/>
  <c r="DS125" i="3"/>
  <c r="FC125" i="3"/>
  <c r="S126" i="3"/>
  <c r="BD127" i="3"/>
  <c r="EO127" i="3"/>
  <c r="CG127" i="3"/>
  <c r="FE127" i="3"/>
  <c r="BQ127" i="3"/>
  <c r="EK128" i="3"/>
  <c r="CC128" i="3"/>
  <c r="FA128" i="3"/>
  <c r="CJ128" i="3"/>
  <c r="BK129" i="3"/>
  <c r="DS129" i="3"/>
  <c r="BT130" i="3"/>
  <c r="BJ131" i="3"/>
  <c r="BD135" i="3"/>
  <c r="BC138" i="3"/>
  <c r="AM138" i="3"/>
  <c r="BR137" i="3"/>
  <c r="CE137" i="3"/>
  <c r="FE137" i="3"/>
  <c r="EN138" i="3"/>
  <c r="CF138" i="3"/>
  <c r="EC138" i="3"/>
  <c r="FE138" i="3"/>
  <c r="CN139" i="3"/>
  <c r="EB139" i="3"/>
  <c r="FE139" i="3"/>
  <c r="CT142" i="3"/>
  <c r="DR143" i="3"/>
  <c r="BJ143" i="3"/>
  <c r="EW143" i="3"/>
  <c r="CN143" i="3"/>
  <c r="EH144" i="3"/>
  <c r="BZ144" i="3"/>
  <c r="DS144" i="3"/>
  <c r="BK144" i="3"/>
  <c r="FE146" i="3"/>
  <c r="DZ146" i="3"/>
  <c r="BR146" i="3"/>
  <c r="CV146" i="3"/>
  <c r="FC146" i="3"/>
  <c r="CD147" i="3"/>
  <c r="BC168" i="3"/>
  <c r="AM168" i="3"/>
  <c r="BL131" i="3"/>
  <c r="CV131" i="3"/>
  <c r="DT131" i="3"/>
  <c r="BI132" i="3"/>
  <c r="BU132" i="3"/>
  <c r="CS132" i="3"/>
  <c r="DQ132" i="3"/>
  <c r="EC132" i="3"/>
  <c r="BR133" i="3"/>
  <c r="CP133" i="3"/>
  <c r="DZ133" i="3"/>
  <c r="BC134" i="3"/>
  <c r="BO134" i="3"/>
  <c r="CM134" i="3"/>
  <c r="CY134" i="3"/>
  <c r="DW134" i="3"/>
  <c r="BL135" i="3"/>
  <c r="CV135" i="3"/>
  <c r="DT135" i="3"/>
  <c r="BI136" i="3"/>
  <c r="BU136" i="3"/>
  <c r="CS136" i="3"/>
  <c r="DQ136" i="3"/>
  <c r="EC136" i="3"/>
  <c r="FF137" i="3"/>
  <c r="BZ138" i="3"/>
  <c r="CO138" i="3"/>
  <c r="DO138" i="3"/>
  <c r="ED138" i="3"/>
  <c r="ER138" i="3"/>
  <c r="FF138" i="3"/>
  <c r="EQ139" i="3"/>
  <c r="CL140" i="3"/>
  <c r="EE140" i="3"/>
  <c r="BW140" i="3"/>
  <c r="CX140" i="3"/>
  <c r="EQ140" i="3"/>
  <c r="CI140" i="3"/>
  <c r="EK141" i="3"/>
  <c r="CC141" i="3"/>
  <c r="CR141" i="3"/>
  <c r="FA141" i="3"/>
  <c r="DX142" i="3"/>
  <c r="EP142" i="3"/>
  <c r="DS143" i="3"/>
  <c r="BK143" i="3"/>
  <c r="CO143" i="3"/>
  <c r="EH143" i="3"/>
  <c r="BZ143" i="3"/>
  <c r="CA144" i="3"/>
  <c r="DX145" i="3"/>
  <c r="BP145" i="3"/>
  <c r="FC145" i="3"/>
  <c r="CT145" i="3"/>
  <c r="ET146" i="3"/>
  <c r="CK146" i="3"/>
  <c r="ED146" i="3"/>
  <c r="BV146" i="3"/>
  <c r="DO146" i="3"/>
  <c r="BG146" i="3"/>
  <c r="FF146" i="3"/>
  <c r="CW146" i="3"/>
  <c r="EP146" i="3"/>
  <c r="CH146" i="3"/>
  <c r="EA146" i="3"/>
  <c r="BS146" i="3"/>
  <c r="EZ148" i="3"/>
  <c r="CQ148" i="3"/>
  <c r="EJ148" i="3"/>
  <c r="CB148" i="3"/>
  <c r="DU148" i="3"/>
  <c r="BM148" i="3"/>
  <c r="ET153" i="3"/>
  <c r="ED153" i="3"/>
  <c r="DO153" i="3"/>
  <c r="BV153" i="3"/>
  <c r="BG153" i="3"/>
  <c r="CK153" i="3"/>
  <c r="FF153" i="3"/>
  <c r="EP153" i="3"/>
  <c r="EA153" i="3"/>
  <c r="CW153" i="3"/>
  <c r="CH153" i="3"/>
  <c r="BS153" i="3"/>
  <c r="FC154" i="3"/>
  <c r="EM154" i="3"/>
  <c r="DX154" i="3"/>
  <c r="CE154" i="3"/>
  <c r="BP154" i="3"/>
  <c r="CT154" i="3"/>
  <c r="CQ165" i="3"/>
  <c r="EJ165" i="3"/>
  <c r="EZ165" i="3"/>
  <c r="DU165" i="3"/>
  <c r="BM165" i="3"/>
  <c r="CB165" i="3"/>
  <c r="CT128" i="3"/>
  <c r="CQ129" i="3"/>
  <c r="BP130" i="3"/>
  <c r="CN130" i="3"/>
  <c r="DX130" i="3"/>
  <c r="BM131" i="3"/>
  <c r="CK131" i="3"/>
  <c r="CW131" i="3"/>
  <c r="DU131" i="3"/>
  <c r="FE131" i="3"/>
  <c r="BJ132" i="3"/>
  <c r="CT132" i="3"/>
  <c r="DR132" i="3"/>
  <c r="FB132" i="3"/>
  <c r="BG133" i="3"/>
  <c r="BS133" i="3"/>
  <c r="CQ133" i="3"/>
  <c r="DO133" i="3"/>
  <c r="EA133" i="3"/>
  <c r="EY133" i="3"/>
  <c r="BP134" i="3"/>
  <c r="CN134" i="3"/>
  <c r="DX134" i="3"/>
  <c r="EV134" i="3"/>
  <c r="FH134" i="3"/>
  <c r="BM135" i="3"/>
  <c r="CK135" i="3"/>
  <c r="CW135" i="3"/>
  <c r="DU135" i="3"/>
  <c r="FE135" i="3"/>
  <c r="BJ136" i="3"/>
  <c r="CT136" i="3"/>
  <c r="DR136" i="3"/>
  <c r="FB136" i="3"/>
  <c r="BG137" i="3"/>
  <c r="CG137" i="3"/>
  <c r="CT137" i="3"/>
  <c r="DT137" i="3"/>
  <c r="ET137" i="3"/>
  <c r="FG137" i="3"/>
  <c r="DQ138" i="3"/>
  <c r="FH138" i="3"/>
  <c r="DP139" i="3"/>
  <c r="FG139" i="3"/>
  <c r="BF141" i="3"/>
  <c r="EN142" i="3"/>
  <c r="CF142" i="3"/>
  <c r="DY142" i="3"/>
  <c r="BQ142" i="3"/>
  <c r="CE142" i="3"/>
  <c r="BE143" i="3"/>
  <c r="EZ144" i="3"/>
  <c r="CQ144" i="3"/>
  <c r="DU144" i="3"/>
  <c r="BM144" i="3"/>
  <c r="CB144" i="3"/>
  <c r="EX144" i="3"/>
  <c r="BS145" i="3"/>
  <c r="EZ147" i="3"/>
  <c r="CQ147" i="3"/>
  <c r="EJ147" i="3"/>
  <c r="CB147" i="3"/>
  <c r="ET149" i="3"/>
  <c r="CK149" i="3"/>
  <c r="ED149" i="3"/>
  <c r="BV149" i="3"/>
  <c r="FF149" i="3"/>
  <c r="CW149" i="3"/>
  <c r="EP149" i="3"/>
  <c r="CH149" i="3"/>
  <c r="FC150" i="3"/>
  <c r="CT150" i="3"/>
  <c r="EM150" i="3"/>
  <c r="CE150" i="3"/>
  <c r="EZ151" i="3"/>
  <c r="EJ151" i="3"/>
  <c r="DU151" i="3"/>
  <c r="CQ151" i="3"/>
  <c r="CB151" i="3"/>
  <c r="CK166" i="3"/>
  <c r="BV166" i="3"/>
  <c r="BG166" i="3"/>
  <c r="ED166" i="3"/>
  <c r="ET166" i="3"/>
  <c r="DO166" i="3"/>
  <c r="FF166" i="3"/>
  <c r="EP166" i="3"/>
  <c r="EA166" i="3"/>
  <c r="CW166" i="3"/>
  <c r="CH166" i="3"/>
  <c r="BS166" i="3"/>
  <c r="CR125" i="3"/>
  <c r="CC126" i="3"/>
  <c r="CO126" i="3"/>
  <c r="BN127" i="3"/>
  <c r="BZ127" i="3"/>
  <c r="CL127" i="3"/>
  <c r="CX127" i="3"/>
  <c r="DV127" i="3"/>
  <c r="BK128" i="3"/>
  <c r="BW128" i="3"/>
  <c r="CI128" i="3"/>
  <c r="CU128" i="3"/>
  <c r="DS128" i="3"/>
  <c r="FC128" i="3"/>
  <c r="BH129" i="3"/>
  <c r="BT129" i="3"/>
  <c r="CF129" i="3"/>
  <c r="CR129" i="3"/>
  <c r="DP129" i="3"/>
  <c r="EB129" i="3"/>
  <c r="EZ129" i="3"/>
  <c r="BQ130" i="3"/>
  <c r="CC130" i="3"/>
  <c r="CO130" i="3"/>
  <c r="DY130" i="3"/>
  <c r="EW130" i="3"/>
  <c r="BN131" i="3"/>
  <c r="BZ131" i="3"/>
  <c r="Q131" i="3" s="1"/>
  <c r="CL131" i="3"/>
  <c r="CX131" i="3"/>
  <c r="DV131" i="3"/>
  <c r="ET131" i="3"/>
  <c r="FF131" i="3"/>
  <c r="AM132" i="3"/>
  <c r="BK132" i="3"/>
  <c r="BW132" i="3"/>
  <c r="CI132" i="3"/>
  <c r="CU132" i="3"/>
  <c r="DS132" i="3"/>
  <c r="FC132" i="3"/>
  <c r="BH133" i="3"/>
  <c r="BT133" i="3"/>
  <c r="CF133" i="3"/>
  <c r="CR133" i="3"/>
  <c r="DP133" i="3"/>
  <c r="EB133" i="3"/>
  <c r="EZ133" i="3"/>
  <c r="BQ134" i="3"/>
  <c r="CC134" i="3"/>
  <c r="CO134" i="3"/>
  <c r="DY134" i="3"/>
  <c r="EW134" i="3"/>
  <c r="BN135" i="3"/>
  <c r="BZ135" i="3"/>
  <c r="CL135" i="3"/>
  <c r="CX135" i="3"/>
  <c r="DV135" i="3"/>
  <c r="ET135" i="3"/>
  <c r="FF135" i="3"/>
  <c r="AM136" i="3"/>
  <c r="BK136" i="3"/>
  <c r="BW136" i="3"/>
  <c r="CI136" i="3"/>
  <c r="CU136" i="3"/>
  <c r="DS136" i="3"/>
  <c r="FC136" i="3"/>
  <c r="BH137" i="3"/>
  <c r="CH137" i="3"/>
  <c r="CV137" i="3"/>
  <c r="DU137" i="3"/>
  <c r="EU138" i="3"/>
  <c r="DP138" i="3"/>
  <c r="BH138" i="3"/>
  <c r="FG138" i="3"/>
  <c r="EB138" i="3"/>
  <c r="BT138" i="3"/>
  <c r="CQ138" i="3"/>
  <c r="EF138" i="3"/>
  <c r="ET138" i="3"/>
  <c r="EF139" i="3"/>
  <c r="BX139" i="3"/>
  <c r="ER139" i="3"/>
  <c r="CJ139" i="3"/>
  <c r="CR139" i="3"/>
  <c r="S139" i="3" s="1"/>
  <c r="DQ139" i="3"/>
  <c r="EE139" i="3"/>
  <c r="FH139" i="3"/>
  <c r="DW140" i="3"/>
  <c r="AM141" i="3"/>
  <c r="DV141" i="3"/>
  <c r="EM141" i="3"/>
  <c r="AM142" i="3"/>
  <c r="CG142" i="3"/>
  <c r="CW142" i="3"/>
  <c r="EA142" i="3"/>
  <c r="EJ143" i="3"/>
  <c r="CB143" i="3"/>
  <c r="BH143" i="3"/>
  <c r="BC150" i="3"/>
  <c r="AM150" i="3"/>
  <c r="BM151" i="3"/>
  <c r="EV138" i="3"/>
  <c r="DR139" i="3"/>
  <c r="EG139" i="3"/>
  <c r="EH140" i="3"/>
  <c r="BZ140" i="3"/>
  <c r="DS140" i="3"/>
  <c r="BK140" i="3"/>
  <c r="DY141" i="3"/>
  <c r="BQ141" i="3"/>
  <c r="CU141" i="3"/>
  <c r="EN141" i="3"/>
  <c r="CF141" i="3"/>
  <c r="CH142" i="3"/>
  <c r="EK143" i="3"/>
  <c r="CC143" i="3"/>
  <c r="DV143" i="3"/>
  <c r="BN143" i="3"/>
  <c r="CK145" i="3"/>
  <c r="ED145" i="3"/>
  <c r="BV145" i="3"/>
  <c r="CW145" i="3"/>
  <c r="EP145" i="3"/>
  <c r="CH145" i="3"/>
  <c r="FB147" i="3"/>
  <c r="DW147" i="3"/>
  <c r="BO147" i="3"/>
  <c r="R147" i="3"/>
  <c r="AM148" i="3"/>
  <c r="EU163" i="3"/>
  <c r="BW163" i="3"/>
  <c r="BH163" i="3"/>
  <c r="EE163" i="3"/>
  <c r="DP163" i="3"/>
  <c r="CL163" i="3"/>
  <c r="FG163" i="3"/>
  <c r="CX163" i="3"/>
  <c r="CI163" i="3"/>
  <c r="BT163" i="3"/>
  <c r="EB163" i="3"/>
  <c r="EQ163" i="3"/>
  <c r="CE130" i="3"/>
  <c r="EM130" i="3"/>
  <c r="CB131" i="3"/>
  <c r="EJ131" i="3"/>
  <c r="BY132" i="3"/>
  <c r="EG132" i="3"/>
  <c r="BV133" i="3"/>
  <c r="CH133" i="3"/>
  <c r="ED133" i="3"/>
  <c r="EP133" i="3"/>
  <c r="FB133" i="3"/>
  <c r="CE134" i="3"/>
  <c r="EM134" i="3"/>
  <c r="EY134" i="3"/>
  <c r="CB135" i="3"/>
  <c r="EJ135" i="3"/>
  <c r="EV135" i="3"/>
  <c r="FH135" i="3"/>
  <c r="BY136" i="3"/>
  <c r="EG136" i="3"/>
  <c r="FE136" i="3"/>
  <c r="CK137" i="3"/>
  <c r="DW137" i="3"/>
  <c r="EJ137" i="3"/>
  <c r="BQ138" i="3"/>
  <c r="EH138" i="3"/>
  <c r="BE139" i="3"/>
  <c r="BR139" i="3"/>
  <c r="CT139" i="3"/>
  <c r="DS139" i="3"/>
  <c r="EH139" i="3"/>
  <c r="EV139" i="3"/>
  <c r="BS140" i="3"/>
  <c r="CH140" i="3"/>
  <c r="DY140" i="3"/>
  <c r="CX141" i="3"/>
  <c r="DX141" i="3"/>
  <c r="EP141" i="3"/>
  <c r="FF141" i="3"/>
  <c r="EU142" i="3"/>
  <c r="CL142" i="3"/>
  <c r="DP142" i="3"/>
  <c r="BH142" i="3"/>
  <c r="FG142" i="3"/>
  <c r="CX142" i="3"/>
  <c r="EB142" i="3"/>
  <c r="BT142" i="3"/>
  <c r="BR142" i="3"/>
  <c r="CI142" i="3"/>
  <c r="ED142" i="3"/>
  <c r="EX143" i="3"/>
  <c r="AM144" i="3"/>
  <c r="BL144" i="3"/>
  <c r="EJ144" i="3"/>
  <c r="BD145" i="3"/>
  <c r="EE145" i="3"/>
  <c r="BW145" i="3"/>
  <c r="DP145" i="3"/>
  <c r="BH145" i="3"/>
  <c r="FF145" i="3"/>
  <c r="EH146" i="3"/>
  <c r="BZ146" i="3"/>
  <c r="EX146" i="3"/>
  <c r="CO146" i="3"/>
  <c r="CG146" i="3"/>
  <c r="AM147" i="3"/>
  <c r="BC147" i="3"/>
  <c r="FC147" i="3"/>
  <c r="CT147" i="3"/>
  <c r="EM147" i="3"/>
  <c r="CE147" i="3"/>
  <c r="DX147" i="3"/>
  <c r="BP147" i="3"/>
  <c r="DU147" i="3"/>
  <c r="EN148" i="3"/>
  <c r="CF148" i="3"/>
  <c r="DY148" i="3"/>
  <c r="BQ148" i="3"/>
  <c r="FD148" i="3"/>
  <c r="CU148" i="3"/>
  <c r="EW149" i="3"/>
  <c r="CN149" i="3"/>
  <c r="EG149" i="3"/>
  <c r="BY149" i="3"/>
  <c r="DR149" i="3"/>
  <c r="BJ149" i="3"/>
  <c r="DO149" i="3"/>
  <c r="AM151" i="3"/>
  <c r="DX137" i="3"/>
  <c r="BR138" i="3"/>
  <c r="CG138" i="3"/>
  <c r="CU138" i="3"/>
  <c r="DU138" i="3"/>
  <c r="EJ138" i="3"/>
  <c r="CG139" i="3"/>
  <c r="BT140" i="3"/>
  <c r="BP141" i="3"/>
  <c r="CH141" i="3"/>
  <c r="CY141" i="3"/>
  <c r="ER141" i="3"/>
  <c r="BS142" i="3"/>
  <c r="AM143" i="3"/>
  <c r="FC143" i="3"/>
  <c r="CT143" i="3"/>
  <c r="DX143" i="3"/>
  <c r="BP143" i="3"/>
  <c r="BM143" i="3"/>
  <c r="EG143" i="3"/>
  <c r="EN144" i="3"/>
  <c r="CF144" i="3"/>
  <c r="CU144" i="3"/>
  <c r="EV145" i="3"/>
  <c r="DQ145" i="3"/>
  <c r="BI145" i="3"/>
  <c r="FH145" i="3"/>
  <c r="EC145" i="3"/>
  <c r="BU145" i="3"/>
  <c r="BG149" i="3"/>
  <c r="BR131" i="3"/>
  <c r="CP131" i="3"/>
  <c r="DZ131" i="3"/>
  <c r="BO132" i="3"/>
  <c r="CM132" i="3"/>
  <c r="CY132" i="3"/>
  <c r="DW132" i="3"/>
  <c r="BL133" i="3"/>
  <c r="CV133" i="3"/>
  <c r="DT133" i="3"/>
  <c r="BI134" i="3"/>
  <c r="BU134" i="3"/>
  <c r="CS134" i="3"/>
  <c r="S134" i="3" s="1"/>
  <c r="DQ134" i="3"/>
  <c r="EC134" i="3"/>
  <c r="BR135" i="3"/>
  <c r="CP135" i="3"/>
  <c r="DZ135" i="3"/>
  <c r="BO136" i="3"/>
  <c r="CM136" i="3"/>
  <c r="CY136" i="3"/>
  <c r="DW136" i="3"/>
  <c r="BM137" i="3"/>
  <c r="EY137" i="3"/>
  <c r="EI138" i="3"/>
  <c r="CA138" i="3"/>
  <c r="BS138" i="3"/>
  <c r="CH138" i="3"/>
  <c r="CV138" i="3"/>
  <c r="EY138" i="3"/>
  <c r="BT139" i="3"/>
  <c r="EJ139" i="3"/>
  <c r="FA140" i="3"/>
  <c r="DV140" i="3"/>
  <c r="BN140" i="3"/>
  <c r="BG140" i="3"/>
  <c r="CK140" i="3"/>
  <c r="EA140" i="3"/>
  <c r="EP140" i="3"/>
  <c r="EE141" i="3"/>
  <c r="BW141" i="3"/>
  <c r="DP141" i="3"/>
  <c r="BH141" i="3"/>
  <c r="EQ141" i="3"/>
  <c r="CI141" i="3"/>
  <c r="EB141" i="3"/>
  <c r="BT141" i="3"/>
  <c r="CJ141" i="3"/>
  <c r="FH141" i="3"/>
  <c r="CK142" i="3"/>
  <c r="DO142" i="3"/>
  <c r="EZ143" i="3"/>
  <c r="EW145" i="3"/>
  <c r="CN145" i="3"/>
  <c r="EG145" i="3"/>
  <c r="BY145" i="3"/>
  <c r="DR145" i="3"/>
  <c r="BJ145" i="3"/>
  <c r="CE145" i="3"/>
  <c r="EM145" i="3"/>
  <c r="EI161" i="3"/>
  <c r="CA161" i="3"/>
  <c r="CP161" i="3"/>
  <c r="EY161" i="3"/>
  <c r="BL161" i="3"/>
  <c r="DT161" i="3"/>
  <c r="FD169" i="3"/>
  <c r="DY169" i="3"/>
  <c r="CU169" i="3"/>
  <c r="EN169" i="3"/>
  <c r="BQ169" i="3"/>
  <c r="CF169" i="3"/>
  <c r="BP128" i="3"/>
  <c r="BM129" i="3"/>
  <c r="BJ130" i="3"/>
  <c r="CT130" i="3"/>
  <c r="BG131" i="3"/>
  <c r="BS131" i="3"/>
  <c r="CQ131" i="3"/>
  <c r="BP132" i="3"/>
  <c r="CN132" i="3"/>
  <c r="BM133" i="3"/>
  <c r="CK133" i="3"/>
  <c r="CW133" i="3"/>
  <c r="BJ134" i="3"/>
  <c r="CT134" i="3"/>
  <c r="BG135" i="3"/>
  <c r="BS135" i="3"/>
  <c r="CQ135" i="3"/>
  <c r="BP136" i="3"/>
  <c r="CN136" i="3"/>
  <c r="EE137" i="3"/>
  <c r="BW137" i="3"/>
  <c r="Q137" i="3" s="1"/>
  <c r="EQ137" i="3"/>
  <c r="CI137" i="3"/>
  <c r="BN137" i="3"/>
  <c r="CA137" i="3"/>
  <c r="DZ137" i="3"/>
  <c r="EM137" i="3"/>
  <c r="EZ137" i="3"/>
  <c r="BG138" i="3"/>
  <c r="BU138" i="3"/>
  <c r="EK139" i="3"/>
  <c r="CC139" i="3"/>
  <c r="BH139" i="3"/>
  <c r="CI139" i="3"/>
  <c r="BH140" i="3"/>
  <c r="BV140" i="3"/>
  <c r="EB140" i="3"/>
  <c r="FG140" i="3"/>
  <c r="EC141" i="3"/>
  <c r="EH142" i="3"/>
  <c r="BZ142" i="3"/>
  <c r="CO142" i="3"/>
  <c r="BV142" i="3"/>
  <c r="FA143" i="3"/>
  <c r="DO144" i="3"/>
  <c r="BG144" i="3"/>
  <c r="ET144" i="3"/>
  <c r="CK144" i="3"/>
  <c r="EA144" i="3"/>
  <c r="BS144" i="3"/>
  <c r="FF144" i="3"/>
  <c r="CW144" i="3"/>
  <c r="DT144" i="3"/>
  <c r="BG145" i="3"/>
  <c r="DO145" i="3"/>
  <c r="CS147" i="3"/>
  <c r="BD148" i="3"/>
  <c r="EG162" i="3"/>
  <c r="BY162" i="3"/>
  <c r="DR162" i="3"/>
  <c r="BJ162" i="3"/>
  <c r="EW162" i="3"/>
  <c r="BC169" i="3"/>
  <c r="AM169" i="3"/>
  <c r="BN125" i="3"/>
  <c r="BK126" i="3"/>
  <c r="BH127" i="3"/>
  <c r="BT127" i="3"/>
  <c r="CR127" i="3"/>
  <c r="BQ128" i="3"/>
  <c r="CO128" i="3"/>
  <c r="BN129" i="3"/>
  <c r="CL129" i="3"/>
  <c r="CX129" i="3"/>
  <c r="BK130" i="3"/>
  <c r="CU130" i="3"/>
  <c r="BH131" i="3"/>
  <c r="BT131" i="3"/>
  <c r="CR131" i="3"/>
  <c r="BQ132" i="3"/>
  <c r="CO132" i="3"/>
  <c r="BN133" i="3"/>
  <c r="CL133" i="3"/>
  <c r="CX133" i="3"/>
  <c r="BK134" i="3"/>
  <c r="CU134" i="3"/>
  <c r="BH135" i="3"/>
  <c r="BT135" i="3"/>
  <c r="CR135" i="3"/>
  <c r="BQ136" i="3"/>
  <c r="CO136" i="3"/>
  <c r="BO137" i="3"/>
  <c r="EN137" i="3"/>
  <c r="FA137" i="3"/>
  <c r="BI138" i="3"/>
  <c r="BV138" i="3"/>
  <c r="Q138" i="3" s="1"/>
  <c r="CJ138" i="3"/>
  <c r="CX138" i="3"/>
  <c r="DY138" i="3"/>
  <c r="BI139" i="3"/>
  <c r="CY139" i="3"/>
  <c r="DX139" i="3"/>
  <c r="FA139" i="3"/>
  <c r="AM140" i="3"/>
  <c r="CN140" i="3"/>
  <c r="DO140" i="3"/>
  <c r="CL141" i="3"/>
  <c r="ED141" i="3"/>
  <c r="EU141" i="3"/>
  <c r="BG142" i="3"/>
  <c r="EM143" i="3"/>
  <c r="EP144" i="3"/>
  <c r="EE147" i="3"/>
  <c r="BW147" i="3"/>
  <c r="DP147" i="3"/>
  <c r="EU147" i="3"/>
  <c r="CL147" i="3"/>
  <c r="EQ147" i="3"/>
  <c r="CI147" i="3"/>
  <c r="EB147" i="3"/>
  <c r="FG147" i="3"/>
  <c r="CX147" i="3"/>
  <c r="EK149" i="3"/>
  <c r="CC149" i="3"/>
  <c r="DV149" i="3"/>
  <c r="BN149" i="3"/>
  <c r="FA149" i="3"/>
  <c r="CR149" i="3"/>
  <c r="EH150" i="3"/>
  <c r="BZ150" i="3"/>
  <c r="DS150" i="3"/>
  <c r="BK150" i="3"/>
  <c r="EX150" i="3"/>
  <c r="CO150" i="3"/>
  <c r="DP151" i="3"/>
  <c r="CL151" i="3"/>
  <c r="BW151" i="3"/>
  <c r="EU151" i="3"/>
  <c r="BH151" i="3"/>
  <c r="EE151" i="3"/>
  <c r="EB151" i="3"/>
  <c r="BT151" i="3"/>
  <c r="CX151" i="3"/>
  <c r="CI151" i="3"/>
  <c r="FG151" i="3"/>
  <c r="EQ151" i="3"/>
  <c r="BI123" i="3"/>
  <c r="BU123" i="3"/>
  <c r="BR124" i="3"/>
  <c r="BO125" i="3"/>
  <c r="BL126" i="3"/>
  <c r="BI127" i="3"/>
  <c r="BU127" i="3"/>
  <c r="BR128" i="3"/>
  <c r="BO129" i="3"/>
  <c r="BL130" i="3"/>
  <c r="BI131" i="3"/>
  <c r="BU131" i="3"/>
  <c r="CG131" i="3"/>
  <c r="BR132" i="3"/>
  <c r="CD132" i="3"/>
  <c r="BO133" i="3"/>
  <c r="CA133" i="3"/>
  <c r="BL134" i="3"/>
  <c r="BX134" i="3"/>
  <c r="CJ134" i="3"/>
  <c r="BI135" i="3"/>
  <c r="BU135" i="3"/>
  <c r="CG135" i="3"/>
  <c r="BR136" i="3"/>
  <c r="CD136" i="3"/>
  <c r="BP137" i="3"/>
  <c r="EB137" i="3"/>
  <c r="BW138" i="3"/>
  <c r="DZ138" i="3"/>
  <c r="BJ139" i="3"/>
  <c r="BW139" i="3"/>
  <c r="DZ139" i="3"/>
  <c r="BJ140" i="3"/>
  <c r="CO140" i="3"/>
  <c r="DP140" i="3"/>
  <c r="ED140" i="3"/>
  <c r="EU140" i="3"/>
  <c r="EX141" i="3"/>
  <c r="CO141" i="3"/>
  <c r="DS141" i="3"/>
  <c r="BK141" i="3"/>
  <c r="BV141" i="3"/>
  <c r="CM141" i="3"/>
  <c r="EF141" i="3"/>
  <c r="DU142" i="3"/>
  <c r="EZ142" i="3"/>
  <c r="CQ142" i="3"/>
  <c r="DS142" i="3"/>
  <c r="EE143" i="3"/>
  <c r="BW143" i="3"/>
  <c r="Q143" i="3" s="1"/>
  <c r="CL143" i="3"/>
  <c r="EQ143" i="3"/>
  <c r="CI143" i="3"/>
  <c r="CX143" i="3"/>
  <c r="BT143" i="3"/>
  <c r="CO144" i="3"/>
  <c r="ET145" i="3"/>
  <c r="CT146" i="3"/>
  <c r="EM146" i="3"/>
  <c r="CE146" i="3"/>
  <c r="BP146" i="3"/>
  <c r="EW148" i="3"/>
  <c r="CN148" i="3"/>
  <c r="EG148" i="3"/>
  <c r="BY148" i="3"/>
  <c r="EA149" i="3"/>
  <c r="EJ157" i="3"/>
  <c r="CB157" i="3"/>
  <c r="DU157" i="3"/>
  <c r="BM157" i="3"/>
  <c r="EZ157" i="3"/>
  <c r="CQ157" i="3"/>
  <c r="BW144" i="3"/>
  <c r="CI144" i="3"/>
  <c r="EE144" i="3"/>
  <c r="EQ144" i="3"/>
  <c r="BT145" i="3"/>
  <c r="CF145" i="3"/>
  <c r="EB145" i="3"/>
  <c r="EN145" i="3"/>
  <c r="BQ146" i="3"/>
  <c r="CC146" i="3"/>
  <c r="DY146" i="3"/>
  <c r="EK146" i="3"/>
  <c r="BN147" i="3"/>
  <c r="BZ147" i="3"/>
  <c r="DV147" i="3"/>
  <c r="EH147" i="3"/>
  <c r="BK148" i="3"/>
  <c r="BW148" i="3"/>
  <c r="CI148" i="3"/>
  <c r="DS148" i="3"/>
  <c r="EE148" i="3"/>
  <c r="EQ148" i="3"/>
  <c r="BH149" i="3"/>
  <c r="BT149" i="3"/>
  <c r="CF149" i="3"/>
  <c r="DP149" i="3"/>
  <c r="EB149" i="3"/>
  <c r="EN149" i="3"/>
  <c r="BQ150" i="3"/>
  <c r="CC150" i="3"/>
  <c r="DY150" i="3"/>
  <c r="EK150" i="3"/>
  <c r="BN151" i="3"/>
  <c r="CN151" i="3"/>
  <c r="EM151" i="3"/>
  <c r="FA151" i="3"/>
  <c r="BF152" i="3"/>
  <c r="EK152" i="3"/>
  <c r="CC152" i="3"/>
  <c r="DV152" i="3"/>
  <c r="BI152" i="3"/>
  <c r="BW152" i="3"/>
  <c r="Q152" i="3" s="1"/>
  <c r="CK152" i="3"/>
  <c r="CY152" i="3"/>
  <c r="DX152" i="3"/>
  <c r="EO152" i="3"/>
  <c r="EU153" i="3"/>
  <c r="CL153" i="3"/>
  <c r="EE153" i="3"/>
  <c r="BW153" i="3"/>
  <c r="FG153" i="3"/>
  <c r="CX153" i="3"/>
  <c r="EQ153" i="3"/>
  <c r="CI153" i="3"/>
  <c r="BQ153" i="3"/>
  <c r="CF153" i="3"/>
  <c r="CT153" i="3"/>
  <c r="DU153" i="3"/>
  <c r="EL153" i="3"/>
  <c r="FD154" i="3"/>
  <c r="CU154" i="3"/>
  <c r="EN154" i="3"/>
  <c r="CF154" i="3"/>
  <c r="BM154" i="3"/>
  <c r="CB154" i="3"/>
  <c r="CQ154" i="3"/>
  <c r="DR154" i="3"/>
  <c r="EI154" i="3"/>
  <c r="BG155" i="3"/>
  <c r="BX155" i="3"/>
  <c r="CM155" i="3"/>
  <c r="R155" i="3" s="1"/>
  <c r="ED155" i="3"/>
  <c r="BC156" i="3"/>
  <c r="BV156" i="3"/>
  <c r="DV157" i="3"/>
  <c r="BN157" i="3"/>
  <c r="CC157" i="3"/>
  <c r="EK157" i="3"/>
  <c r="AM158" i="3"/>
  <c r="FC158" i="3"/>
  <c r="CT158" i="3"/>
  <c r="CE158" i="3"/>
  <c r="EZ159" i="3"/>
  <c r="CQ159" i="3"/>
  <c r="CB159" i="3"/>
  <c r="CV159" i="3"/>
  <c r="ET159" i="3"/>
  <c r="EL160" i="3"/>
  <c r="CD160" i="3"/>
  <c r="EB160" i="3"/>
  <c r="EJ161" i="3"/>
  <c r="CB161" i="3"/>
  <c r="DU161" i="3"/>
  <c r="BM161" i="3"/>
  <c r="CC161" i="3"/>
  <c r="DY161" i="3"/>
  <c r="DS162" i="3"/>
  <c r="BK162" i="3"/>
  <c r="EX162" i="3"/>
  <c r="BZ162" i="3"/>
  <c r="CO162" i="3"/>
  <c r="BI163" i="3"/>
  <c r="EV163" i="3"/>
  <c r="EF163" i="3"/>
  <c r="DQ163" i="3"/>
  <c r="CY163" i="3"/>
  <c r="CJ163" i="3"/>
  <c r="BU163" i="3"/>
  <c r="FH163" i="3"/>
  <c r="ER163" i="3"/>
  <c r="BF164" i="3"/>
  <c r="EV165" i="3"/>
  <c r="BD169" i="3"/>
  <c r="DZ169" i="3"/>
  <c r="BR169" i="3"/>
  <c r="CV169" i="3"/>
  <c r="EO169" i="3"/>
  <c r="CG169" i="3"/>
  <c r="BC170" i="3"/>
  <c r="AM170" i="3"/>
  <c r="CI173" i="3"/>
  <c r="DP173" i="3"/>
  <c r="AM175" i="3"/>
  <c r="FE175" i="3"/>
  <c r="CV175" i="3"/>
  <c r="EO175" i="3"/>
  <c r="CG175" i="3"/>
  <c r="DZ175" i="3"/>
  <c r="BR175" i="3"/>
  <c r="BL148" i="3"/>
  <c r="DT148" i="3"/>
  <c r="BI149" i="3"/>
  <c r="BU149" i="3"/>
  <c r="DQ149" i="3"/>
  <c r="EC149" i="3"/>
  <c r="BR150" i="3"/>
  <c r="DZ150" i="3"/>
  <c r="BC151" i="3"/>
  <c r="BO151" i="3"/>
  <c r="FB151" i="3"/>
  <c r="EL152" i="3"/>
  <c r="CD152" i="3"/>
  <c r="BX152" i="3"/>
  <c r="CL152" i="3"/>
  <c r="EA152" i="3"/>
  <c r="EP152" i="3"/>
  <c r="FA155" i="3"/>
  <c r="CR155" i="3"/>
  <c r="EK155" i="3"/>
  <c r="CC155" i="3"/>
  <c r="EE155" i="3"/>
  <c r="ET155" i="3"/>
  <c r="EX156" i="3"/>
  <c r="CO156" i="3"/>
  <c r="EH156" i="3"/>
  <c r="BZ156" i="3"/>
  <c r="DW157" i="3"/>
  <c r="BO157" i="3"/>
  <c r="CD157" i="3"/>
  <c r="EL157" i="3"/>
  <c r="EE159" i="3"/>
  <c r="EM160" i="3"/>
  <c r="CE160" i="3"/>
  <c r="DX160" i="3"/>
  <c r="BP160" i="3"/>
  <c r="DV161" i="3"/>
  <c r="BN161" i="3"/>
  <c r="FA161" i="3"/>
  <c r="DT162" i="3"/>
  <c r="BL162" i="3"/>
  <c r="CP162" i="3"/>
  <c r="CA162" i="3"/>
  <c r="FD167" i="3"/>
  <c r="EN167" i="3"/>
  <c r="CF167" i="3"/>
  <c r="BQ167" i="3"/>
  <c r="DY167" i="3"/>
  <c r="CU167" i="3"/>
  <c r="BK167" i="3"/>
  <c r="CO167" i="3"/>
  <c r="DO169" i="3"/>
  <c r="BG169" i="3"/>
  <c r="ET169" i="3"/>
  <c r="BV169" i="3"/>
  <c r="CK169" i="3"/>
  <c r="CU170" i="3"/>
  <c r="DY170" i="3"/>
  <c r="EN170" i="3"/>
  <c r="FD170" i="3"/>
  <c r="EK180" i="3"/>
  <c r="CC180" i="3"/>
  <c r="DV180" i="3"/>
  <c r="BN180" i="3"/>
  <c r="CR180" i="3"/>
  <c r="FA180" i="3"/>
  <c r="CQ146" i="3"/>
  <c r="CN147" i="3"/>
  <c r="CK148" i="3"/>
  <c r="CW148" i="3"/>
  <c r="CT149" i="3"/>
  <c r="BG150" i="3"/>
  <c r="BS150" i="3"/>
  <c r="CQ150" i="3"/>
  <c r="DO150" i="3"/>
  <c r="EA150" i="3"/>
  <c r="BP151" i="3"/>
  <c r="CC151" i="3"/>
  <c r="Q151" i="3" s="1"/>
  <c r="FC151" i="3"/>
  <c r="CM152" i="3"/>
  <c r="EB152" i="3"/>
  <c r="EQ152" i="3"/>
  <c r="FG152" i="3"/>
  <c r="DO155" i="3"/>
  <c r="BC157" i="3"/>
  <c r="AM157" i="3"/>
  <c r="DX157" i="3"/>
  <c r="BP157" i="3"/>
  <c r="FC157" i="3"/>
  <c r="CE157" i="3"/>
  <c r="CS157" i="3"/>
  <c r="EM157" i="3"/>
  <c r="FB157" i="3"/>
  <c r="CX159" i="3"/>
  <c r="DY160" i="3"/>
  <c r="BQ160" i="3"/>
  <c r="FD160" i="3"/>
  <c r="DW161" i="3"/>
  <c r="BO161" i="3"/>
  <c r="CS161" i="3"/>
  <c r="BE163" i="3"/>
  <c r="CT164" i="3"/>
  <c r="FC164" i="3"/>
  <c r="EM164" i="3"/>
  <c r="DX164" i="3"/>
  <c r="CE164" i="3"/>
  <c r="BP164" i="3"/>
  <c r="CL169" i="3"/>
  <c r="BH169" i="3"/>
  <c r="BW169" i="3"/>
  <c r="DP169" i="3"/>
  <c r="CX169" i="3"/>
  <c r="EQ169" i="3"/>
  <c r="FG169" i="3"/>
  <c r="BT169" i="3"/>
  <c r="EU169" i="3"/>
  <c r="DW174" i="3"/>
  <c r="BO174" i="3"/>
  <c r="CS174" i="3"/>
  <c r="EL174" i="3"/>
  <c r="CD174" i="3"/>
  <c r="FB176" i="3"/>
  <c r="CS176" i="3"/>
  <c r="EL176" i="3"/>
  <c r="CD176" i="3"/>
  <c r="DW176" i="3"/>
  <c r="BO176" i="3"/>
  <c r="FC183" i="3"/>
  <c r="EM183" i="3"/>
  <c r="DX183" i="3"/>
  <c r="CT183" i="3"/>
  <c r="BP183" i="3"/>
  <c r="BQ143" i="3"/>
  <c r="DY143" i="3"/>
  <c r="BN144" i="3"/>
  <c r="CL144" i="3"/>
  <c r="CX144" i="3"/>
  <c r="DV144" i="3"/>
  <c r="BK145" i="3"/>
  <c r="CI145" i="3"/>
  <c r="CU145" i="3"/>
  <c r="DS145" i="3"/>
  <c r="BH146" i="3"/>
  <c r="BT146" i="3"/>
  <c r="CF146" i="3"/>
  <c r="CR146" i="3"/>
  <c r="DP146" i="3"/>
  <c r="EB146" i="3"/>
  <c r="EZ146" i="3"/>
  <c r="BQ147" i="3"/>
  <c r="CC147" i="3"/>
  <c r="CO147" i="3"/>
  <c r="DY147" i="3"/>
  <c r="EW147" i="3"/>
  <c r="BN148" i="3"/>
  <c r="BZ148" i="3"/>
  <c r="CL148" i="3"/>
  <c r="CX148" i="3"/>
  <c r="DV148" i="3"/>
  <c r="ET148" i="3"/>
  <c r="FF148" i="3"/>
  <c r="BK149" i="3"/>
  <c r="BW149" i="3"/>
  <c r="CI149" i="3"/>
  <c r="CU149" i="3"/>
  <c r="DS149" i="3"/>
  <c r="FC149" i="3"/>
  <c r="BH150" i="3"/>
  <c r="BT150" i="3"/>
  <c r="CF150" i="3"/>
  <c r="CR150" i="3"/>
  <c r="DP150" i="3"/>
  <c r="EB150" i="3"/>
  <c r="EZ150" i="3"/>
  <c r="BQ151" i="3"/>
  <c r="CD151" i="3"/>
  <c r="DY152" i="3"/>
  <c r="BQ152" i="3"/>
  <c r="BZ152" i="3"/>
  <c r="CN152" i="3"/>
  <c r="EC152" i="3"/>
  <c r="ER152" i="3"/>
  <c r="FH152" i="3"/>
  <c r="EH153" i="3"/>
  <c r="BZ153" i="3"/>
  <c r="DS153" i="3"/>
  <c r="BK153" i="3"/>
  <c r="BT153" i="3"/>
  <c r="EE154" i="3"/>
  <c r="BW154" i="3"/>
  <c r="Q154" i="3" s="1"/>
  <c r="DP154" i="3"/>
  <c r="BH154" i="3"/>
  <c r="EQ154" i="3"/>
  <c r="CI154" i="3"/>
  <c r="EB154" i="3"/>
  <c r="BT154" i="3"/>
  <c r="CQ155" i="3"/>
  <c r="DR155" i="3"/>
  <c r="EG155" i="3"/>
  <c r="BY156" i="3"/>
  <c r="EG156" i="3"/>
  <c r="CF157" i="3"/>
  <c r="CT157" i="3"/>
  <c r="EN157" i="3"/>
  <c r="FD157" i="3"/>
  <c r="BD160" i="3"/>
  <c r="DZ160" i="3"/>
  <c r="BR160" i="3"/>
  <c r="CV160" i="3"/>
  <c r="BT160" i="3"/>
  <c r="EE160" i="3"/>
  <c r="BC161" i="3"/>
  <c r="AM161" i="3"/>
  <c r="CF161" i="3"/>
  <c r="CC162" i="3"/>
  <c r="EX167" i="3"/>
  <c r="CI169" i="3"/>
  <c r="CR171" i="3"/>
  <c r="EK171" i="3"/>
  <c r="FA171" i="3"/>
  <c r="BN171" i="3"/>
  <c r="DV171" i="3"/>
  <c r="FA172" i="3"/>
  <c r="EK172" i="3"/>
  <c r="CC172" i="3"/>
  <c r="BN172" i="3"/>
  <c r="CR172" i="3"/>
  <c r="DV172" i="3"/>
  <c r="BC174" i="3"/>
  <c r="AM174" i="3"/>
  <c r="FA178" i="3"/>
  <c r="CR178" i="3"/>
  <c r="BN178" i="3"/>
  <c r="AM152" i="3"/>
  <c r="DZ152" i="3"/>
  <c r="BR152" i="3"/>
  <c r="EI153" i="3"/>
  <c r="CA153" i="3"/>
  <c r="EF154" i="3"/>
  <c r="BX154" i="3"/>
  <c r="ER154" i="3"/>
  <c r="CJ154" i="3"/>
  <c r="EN155" i="3"/>
  <c r="CF155" i="3"/>
  <c r="DY155" i="3"/>
  <c r="BQ155" i="3"/>
  <c r="BQ161" i="3"/>
  <c r="DU163" i="3"/>
  <c r="BM163" i="3"/>
  <c r="EZ163" i="3"/>
  <c r="EJ163" i="3"/>
  <c r="CQ163" i="3"/>
  <c r="AM164" i="3"/>
  <c r="CV164" i="3"/>
  <c r="DZ164" i="3"/>
  <c r="CG164" i="3"/>
  <c r="BR164" i="3"/>
  <c r="AM165" i="3"/>
  <c r="EO165" i="3"/>
  <c r="CG165" i="3"/>
  <c r="DZ165" i="3"/>
  <c r="FE165" i="3"/>
  <c r="CV165" i="3"/>
  <c r="BR165" i="3"/>
  <c r="EI166" i="3"/>
  <c r="CA166" i="3"/>
  <c r="CP166" i="3"/>
  <c r="DT166" i="3"/>
  <c r="EY166" i="3"/>
  <c r="BL166" i="3"/>
  <c r="CU174" i="3"/>
  <c r="DY174" i="3"/>
  <c r="EN174" i="3"/>
  <c r="FD174" i="3"/>
  <c r="BQ174" i="3"/>
  <c r="BZ179" i="3"/>
  <c r="BK179" i="3"/>
  <c r="EH179" i="3"/>
  <c r="DS179" i="3"/>
  <c r="EX179" i="3"/>
  <c r="CO179" i="3"/>
  <c r="BV150" i="3"/>
  <c r="CH150" i="3"/>
  <c r="ED150" i="3"/>
  <c r="EP150" i="3"/>
  <c r="CT151" i="3"/>
  <c r="DP152" i="3"/>
  <c r="EE152" i="3"/>
  <c r="AM155" i="3"/>
  <c r="EO155" i="3"/>
  <c r="CG155" i="3"/>
  <c r="BN155" i="3"/>
  <c r="EL156" i="3"/>
  <c r="CD156" i="3"/>
  <c r="BK156" i="3"/>
  <c r="CS156" i="3"/>
  <c r="S156" i="3" s="1"/>
  <c r="DS156" i="3"/>
  <c r="FB156" i="3"/>
  <c r="CH157" i="3"/>
  <c r="CW157" i="3"/>
  <c r="R157" i="3" s="1"/>
  <c r="EP157" i="3"/>
  <c r="EF158" i="3"/>
  <c r="BX158" i="3"/>
  <c r="ER158" i="3"/>
  <c r="CJ158" i="3"/>
  <c r="BU158" i="3"/>
  <c r="CM158" i="3"/>
  <c r="S158" i="3" s="1"/>
  <c r="AM159" i="3"/>
  <c r="EO159" i="3"/>
  <c r="CG159" i="3"/>
  <c r="DP160" i="3"/>
  <c r="AM162" i="3"/>
  <c r="FC162" i="3"/>
  <c r="CT162" i="3"/>
  <c r="CE162" i="3"/>
  <c r="DO165" i="3"/>
  <c r="BG165" i="3"/>
  <c r="ED165" i="3"/>
  <c r="CK165" i="3"/>
  <c r="EA165" i="3"/>
  <c r="BS165" i="3"/>
  <c r="FF165" i="3"/>
  <c r="EP165" i="3"/>
  <c r="CW165" i="3"/>
  <c r="CH165" i="3"/>
  <c r="EB169" i="3"/>
  <c r="CF170" i="3"/>
  <c r="FC171" i="3"/>
  <c r="BP171" i="3"/>
  <c r="CE171" i="3"/>
  <c r="BD173" i="3"/>
  <c r="AM173" i="3"/>
  <c r="DZ173" i="3"/>
  <c r="BR173" i="3"/>
  <c r="CV173" i="3"/>
  <c r="EO173" i="3"/>
  <c r="CG173" i="3"/>
  <c r="FB174" i="3"/>
  <c r="EX175" i="3"/>
  <c r="CO175" i="3"/>
  <c r="DS175" i="3"/>
  <c r="BK175" i="3"/>
  <c r="EH175" i="3"/>
  <c r="BZ175" i="3"/>
  <c r="AM176" i="3"/>
  <c r="EO176" i="3"/>
  <c r="CG176" i="3"/>
  <c r="DZ176" i="3"/>
  <c r="BR176" i="3"/>
  <c r="CV176" i="3"/>
  <c r="FE176" i="3"/>
  <c r="FC184" i="3"/>
  <c r="EM184" i="3"/>
  <c r="CE184" i="3"/>
  <c r="CT184" i="3"/>
  <c r="R184" i="3" s="1"/>
  <c r="BP184" i="3"/>
  <c r="DX184" i="3"/>
  <c r="DQ152" i="3"/>
  <c r="EF152" i="3"/>
  <c r="DV153" i="3"/>
  <c r="BN153" i="3"/>
  <c r="DS154" i="3"/>
  <c r="BK154" i="3"/>
  <c r="CY154" i="3"/>
  <c r="CU155" i="3"/>
  <c r="EM156" i="3"/>
  <c r="CE156" i="3"/>
  <c r="CF156" i="3"/>
  <c r="CT156" i="3"/>
  <c r="FC156" i="3"/>
  <c r="BD157" i="3"/>
  <c r="EU157" i="3"/>
  <c r="CL157" i="3"/>
  <c r="EE157" i="3"/>
  <c r="BW157" i="3"/>
  <c r="FG157" i="3"/>
  <c r="CX157" i="3"/>
  <c r="EQ157" i="3"/>
  <c r="CI157" i="3"/>
  <c r="EG158" i="3"/>
  <c r="BY158" i="3"/>
  <c r="DR158" i="3"/>
  <c r="BJ158" i="3"/>
  <c r="CN158" i="3"/>
  <c r="DQ158" i="3"/>
  <c r="ED159" i="3"/>
  <c r="BV159" i="3"/>
  <c r="DO159" i="3"/>
  <c r="BG159" i="3"/>
  <c r="EP159" i="3"/>
  <c r="CH159" i="3"/>
  <c r="EA159" i="3"/>
  <c r="BS159" i="3"/>
  <c r="BD161" i="3"/>
  <c r="ET161" i="3"/>
  <c r="CK161" i="3"/>
  <c r="FF161" i="3"/>
  <c r="CW161" i="3"/>
  <c r="BS161" i="3"/>
  <c r="CL165" i="3"/>
  <c r="BW165" i="3"/>
  <c r="Q165" i="3" s="1"/>
  <c r="BH165" i="3"/>
  <c r="FG165" i="3"/>
  <c r="EB165" i="3"/>
  <c r="EQ165" i="3"/>
  <c r="CI165" i="3"/>
  <c r="BT165" i="3"/>
  <c r="DV166" i="3"/>
  <c r="FA166" i="3"/>
  <c r="EK166" i="3"/>
  <c r="BN166" i="3"/>
  <c r="CC166" i="3"/>
  <c r="EY169" i="3"/>
  <c r="CP169" i="3"/>
  <c r="DT169" i="3"/>
  <c r="BL169" i="3"/>
  <c r="CA169" i="3"/>
  <c r="EI169" i="3"/>
  <c r="ED169" i="3"/>
  <c r="AM171" i="3"/>
  <c r="CT171" i="3"/>
  <c r="EU177" i="3"/>
  <c r="CL177" i="3"/>
  <c r="EE177" i="3"/>
  <c r="BW177" i="3"/>
  <c r="Q177" i="3" s="1"/>
  <c r="DP177" i="3"/>
  <c r="BH177" i="3"/>
  <c r="FG177" i="3"/>
  <c r="CX177" i="3"/>
  <c r="EQ177" i="3"/>
  <c r="CI177" i="3"/>
  <c r="BT177" i="3"/>
  <c r="DW153" i="3"/>
  <c r="BO153" i="3"/>
  <c r="DT154" i="3"/>
  <c r="BL154" i="3"/>
  <c r="BU154" i="3"/>
  <c r="FH154" i="3"/>
  <c r="DP155" i="3"/>
  <c r="BH155" i="3"/>
  <c r="EB155" i="3"/>
  <c r="BT155" i="3"/>
  <c r="DY156" i="3"/>
  <c r="BQ156" i="3"/>
  <c r="CU156" i="3"/>
  <c r="FD156" i="3"/>
  <c r="S157" i="3"/>
  <c r="DS158" i="3"/>
  <c r="BK158" i="3"/>
  <c r="EX158" i="3"/>
  <c r="BZ158" i="3"/>
  <c r="CO158" i="3"/>
  <c r="R158" i="3" s="1"/>
  <c r="DP159" i="3"/>
  <c r="BH159" i="3"/>
  <c r="EU159" i="3"/>
  <c r="EB159" i="3"/>
  <c r="BT159" i="3"/>
  <c r="FG159" i="3"/>
  <c r="BW159" i="3"/>
  <c r="EW160" i="3"/>
  <c r="CN160" i="3"/>
  <c r="S160" i="3" s="1"/>
  <c r="DR160" i="3"/>
  <c r="DQ165" i="3"/>
  <c r="BI165" i="3"/>
  <c r="CM165" i="3"/>
  <c r="BX165" i="3"/>
  <c r="EC165" i="3"/>
  <c r="BU165" i="3"/>
  <c r="FH165" i="3"/>
  <c r="ER165" i="3"/>
  <c r="CY165" i="3"/>
  <c r="DW166" i="3"/>
  <c r="BO166" i="3"/>
  <c r="EL166" i="3"/>
  <c r="CD166" i="3"/>
  <c r="CS166" i="3"/>
  <c r="FB166" i="3"/>
  <c r="DS167" i="3"/>
  <c r="BZ167" i="3"/>
  <c r="CL173" i="3"/>
  <c r="R173" i="3" s="1"/>
  <c r="BW173" i="3"/>
  <c r="Q173" i="3" s="1"/>
  <c r="CX173" i="3"/>
  <c r="EB173" i="3"/>
  <c r="EQ173" i="3"/>
  <c r="FG173" i="3"/>
  <c r="EE173" i="3"/>
  <c r="EK178" i="3"/>
  <c r="BX183" i="3"/>
  <c r="BI183" i="3"/>
  <c r="EF183" i="3"/>
  <c r="EV183" i="3"/>
  <c r="CM183" i="3"/>
  <c r="DQ183" i="3"/>
  <c r="ER183" i="3"/>
  <c r="FH183" i="3"/>
  <c r="EC183" i="3"/>
  <c r="CY183" i="3"/>
  <c r="CJ183" i="3"/>
  <c r="BU183" i="3"/>
  <c r="CE183" i="3"/>
  <c r="BM146" i="3"/>
  <c r="BJ147" i="3"/>
  <c r="BG148" i="3"/>
  <c r="BS148" i="3"/>
  <c r="BP149" i="3"/>
  <c r="BM150" i="3"/>
  <c r="CK150" i="3"/>
  <c r="CW150" i="3"/>
  <c r="EN151" i="3"/>
  <c r="CF151" i="3"/>
  <c r="BJ151" i="3"/>
  <c r="DV151" i="3"/>
  <c r="BS152" i="3"/>
  <c r="CG152" i="3"/>
  <c r="CT152" i="3"/>
  <c r="BC153" i="3"/>
  <c r="AM153" i="3"/>
  <c r="CB153" i="3"/>
  <c r="CP153" i="3"/>
  <c r="CM154" i="3"/>
  <c r="R154" i="3" s="1"/>
  <c r="EC154" i="3"/>
  <c r="DQ155" i="3"/>
  <c r="BI155" i="3"/>
  <c r="EC155" i="3"/>
  <c r="BU155" i="3"/>
  <c r="BR155" i="3"/>
  <c r="CI155" i="3"/>
  <c r="CW155" i="3"/>
  <c r="S155" i="3" s="1"/>
  <c r="FD155" i="3"/>
  <c r="DZ156" i="3"/>
  <c r="BR156" i="3"/>
  <c r="BO156" i="3"/>
  <c r="CH156" i="3"/>
  <c r="CV156" i="3"/>
  <c r="DW156" i="3"/>
  <c r="FE156" i="3"/>
  <c r="DT158" i="3"/>
  <c r="BL158" i="3"/>
  <c r="CP158" i="3"/>
  <c r="CA158" i="3"/>
  <c r="EM158" i="3"/>
  <c r="DQ159" i="3"/>
  <c r="BI159" i="3"/>
  <c r="CM159" i="3"/>
  <c r="EC159" i="3"/>
  <c r="BU159" i="3"/>
  <c r="CY159" i="3"/>
  <c r="BX159" i="3"/>
  <c r="DU159" i="3"/>
  <c r="FF159" i="3"/>
  <c r="BH160" i="3"/>
  <c r="BY160" i="3"/>
  <c r="Q160" i="3" s="1"/>
  <c r="EN160" i="3"/>
  <c r="FC160" i="3"/>
  <c r="EK161" i="3"/>
  <c r="FB161" i="3"/>
  <c r="EH162" i="3"/>
  <c r="EY162" i="3"/>
  <c r="FE164" i="3"/>
  <c r="BC166" i="3"/>
  <c r="AM166" i="3"/>
  <c r="DT167" i="3"/>
  <c r="BL167" i="3"/>
  <c r="EI167" i="3"/>
  <c r="CA167" i="3"/>
  <c r="CP167" i="3"/>
  <c r="CB168" i="3"/>
  <c r="BM168" i="3"/>
  <c r="FE169" i="3"/>
  <c r="BD178" i="3"/>
  <c r="CC178" i="3"/>
  <c r="CU143" i="3"/>
  <c r="BH144" i="3"/>
  <c r="BT144" i="3"/>
  <c r="CR144" i="3"/>
  <c r="BQ145" i="3"/>
  <c r="CO145" i="3"/>
  <c r="BN146" i="3"/>
  <c r="CL146" i="3"/>
  <c r="CX146" i="3"/>
  <c r="BK147" i="3"/>
  <c r="CU147" i="3"/>
  <c r="BH148" i="3"/>
  <c r="BT148" i="3"/>
  <c r="CR148" i="3"/>
  <c r="BQ149" i="3"/>
  <c r="CO149" i="3"/>
  <c r="BN150" i="3"/>
  <c r="CL150" i="3"/>
  <c r="CX150" i="3"/>
  <c r="BK151" i="3"/>
  <c r="EW151" i="3"/>
  <c r="EX152" i="3"/>
  <c r="CO152" i="3"/>
  <c r="EH152" i="3"/>
  <c r="BT152" i="3"/>
  <c r="CH152" i="3"/>
  <c r="BL153" i="3"/>
  <c r="CC153" i="3"/>
  <c r="CQ153" i="3"/>
  <c r="BY154" i="3"/>
  <c r="CN154" i="3"/>
  <c r="BS155" i="3"/>
  <c r="CX155" i="3"/>
  <c r="EP155" i="3"/>
  <c r="FE155" i="3"/>
  <c r="DO156" i="3"/>
  <c r="BG156" i="3"/>
  <c r="ET156" i="3"/>
  <c r="EA156" i="3"/>
  <c r="BS156" i="3"/>
  <c r="FF156" i="3"/>
  <c r="BP156" i="3"/>
  <c r="CW156" i="3"/>
  <c r="DX156" i="3"/>
  <c r="BV157" i="3"/>
  <c r="ED157" i="3"/>
  <c r="DX158" i="3"/>
  <c r="FH158" i="3"/>
  <c r="EQ159" i="3"/>
  <c r="CS160" i="3"/>
  <c r="BV161" i="3"/>
  <c r="Q161" i="3" s="1"/>
  <c r="EL161" i="3"/>
  <c r="FD161" i="3"/>
  <c r="EI162" i="3"/>
  <c r="BD163" i="3"/>
  <c r="AM163" i="3"/>
  <c r="FE163" i="3"/>
  <c r="CV163" i="3"/>
  <c r="CG163" i="3"/>
  <c r="BR163" i="3"/>
  <c r="EH164" i="3"/>
  <c r="DS164" i="3"/>
  <c r="BE165" i="3"/>
  <c r="CJ165" i="3"/>
  <c r="DU167" i="3"/>
  <c r="BM167" i="3"/>
  <c r="EZ167" i="3"/>
  <c r="CB167" i="3"/>
  <c r="CQ167" i="3"/>
  <c r="EJ167" i="3"/>
  <c r="FA168" i="3"/>
  <c r="EK168" i="3"/>
  <c r="CC168" i="3"/>
  <c r="BN168" i="3"/>
  <c r="DU168" i="3"/>
  <c r="EU172" i="3"/>
  <c r="EE172" i="3"/>
  <c r="BH172" i="3"/>
  <c r="FG172" i="3"/>
  <c r="CI172" i="3"/>
  <c r="EB172" i="3"/>
  <c r="CX172" i="3"/>
  <c r="EQ172" i="3"/>
  <c r="CG140" i="3"/>
  <c r="CD141" i="3"/>
  <c r="CA142" i="3"/>
  <c r="BX143" i="3"/>
  <c r="CJ143" i="3"/>
  <c r="CG144" i="3"/>
  <c r="CD145" i="3"/>
  <c r="CA146" i="3"/>
  <c r="BX147" i="3"/>
  <c r="Q147" i="3" s="1"/>
  <c r="CJ147" i="3"/>
  <c r="CG148" i="3"/>
  <c r="CD149" i="3"/>
  <c r="CA150" i="3"/>
  <c r="EK151" i="3"/>
  <c r="BG152" i="3"/>
  <c r="CI152" i="3"/>
  <c r="CV152" i="3"/>
  <c r="FB152" i="3"/>
  <c r="BM153" i="3"/>
  <c r="CD153" i="3"/>
  <c r="CR153" i="3"/>
  <c r="EY153" i="3"/>
  <c r="BI154" i="3"/>
  <c r="BZ154" i="3"/>
  <c r="CO154" i="3"/>
  <c r="EV154" i="3"/>
  <c r="BE155" i="3"/>
  <c r="BV155" i="3"/>
  <c r="CY155" i="3"/>
  <c r="DZ155" i="3"/>
  <c r="EQ155" i="3"/>
  <c r="BT156" i="3"/>
  <c r="EB156" i="3"/>
  <c r="EI157" i="3"/>
  <c r="CA157" i="3"/>
  <c r="BG157" i="3"/>
  <c r="DO157" i="3"/>
  <c r="BI158" i="3"/>
  <c r="CC158" i="3"/>
  <c r="BE159" i="3"/>
  <c r="BZ159" i="3"/>
  <c r="ER159" i="3"/>
  <c r="BJ160" i="3"/>
  <c r="CT160" i="3"/>
  <c r="FG160" i="3"/>
  <c r="EF162" i="3"/>
  <c r="BX162" i="3"/>
  <c r="ER162" i="3"/>
  <c r="CJ162" i="3"/>
  <c r="BU162" i="3"/>
  <c r="CM162" i="3"/>
  <c r="CK163" i="3"/>
  <c r="BV163" i="3"/>
  <c r="Q163" i="3" s="1"/>
  <c r="BG163" i="3"/>
  <c r="ET163" i="3"/>
  <c r="ED163" i="3"/>
  <c r="CW163" i="3"/>
  <c r="CH163" i="3"/>
  <c r="BX163" i="3"/>
  <c r="EC163" i="3"/>
  <c r="FF163" i="3"/>
  <c r="ET165" i="3"/>
  <c r="FB168" i="3"/>
  <c r="CS168" i="3"/>
  <c r="BO168" i="3"/>
  <c r="CD168" i="3"/>
  <c r="DW168" i="3"/>
  <c r="CC171" i="3"/>
  <c r="DQ172" i="3"/>
  <c r="BI172" i="3"/>
  <c r="CM172" i="3"/>
  <c r="S172" i="3" s="1"/>
  <c r="EF172" i="3"/>
  <c r="BX172" i="3"/>
  <c r="EV172" i="3"/>
  <c r="EC172" i="3"/>
  <c r="BU172" i="3"/>
  <c r="CY172" i="3"/>
  <c r="ER172" i="3"/>
  <c r="CJ172" i="3"/>
  <c r="FH172" i="3"/>
  <c r="BH173" i="3"/>
  <c r="CF174" i="3"/>
  <c r="EV178" i="3"/>
  <c r="CM178" i="3"/>
  <c r="R178" i="3" s="1"/>
  <c r="EF178" i="3"/>
  <c r="BX178" i="3"/>
  <c r="DQ178" i="3"/>
  <c r="BI178" i="3"/>
  <c r="FH178" i="3"/>
  <c r="CY178" i="3"/>
  <c r="ER178" i="3"/>
  <c r="CJ178" i="3"/>
  <c r="EC178" i="3"/>
  <c r="BU178" i="3"/>
  <c r="CO180" i="3"/>
  <c r="EH180" i="3"/>
  <c r="BZ180" i="3"/>
  <c r="DS180" i="3"/>
  <c r="BK180" i="3"/>
  <c r="R186" i="3"/>
  <c r="DS182" i="3"/>
  <c r="BK182" i="3"/>
  <c r="BZ182" i="3"/>
  <c r="EH182" i="3"/>
  <c r="FC186" i="3"/>
  <c r="CT186" i="3"/>
  <c r="BP186" i="3"/>
  <c r="DX186" i="3"/>
  <c r="CO184" i="3"/>
  <c r="EH184" i="3"/>
  <c r="BZ184" i="3"/>
  <c r="EX184" i="3"/>
  <c r="EH187" i="3"/>
  <c r="EX191" i="3"/>
  <c r="EH191" i="3"/>
  <c r="DS191" i="3"/>
  <c r="BZ191" i="3"/>
  <c r="BK191" i="3"/>
  <c r="CO191" i="3"/>
  <c r="EZ194" i="3"/>
  <c r="CQ194" i="3"/>
  <c r="CB194" i="3"/>
  <c r="EJ194" i="3"/>
  <c r="DU194" i="3"/>
  <c r="BM194" i="3"/>
  <c r="DX203" i="3"/>
  <c r="BP203" i="3"/>
  <c r="CE203" i="3"/>
  <c r="EM203" i="3"/>
  <c r="FC203" i="3"/>
  <c r="CT203" i="3"/>
  <c r="EG163" i="3"/>
  <c r="BY163" i="3"/>
  <c r="EU164" i="3"/>
  <c r="DX166" i="3"/>
  <c r="BP166" i="3"/>
  <c r="FA167" i="3"/>
  <c r="EG169" i="3"/>
  <c r="BD170" i="3"/>
  <c r="BS170" i="3"/>
  <c r="CK170" i="3"/>
  <c r="DO170" i="3"/>
  <c r="FD171" i="3"/>
  <c r="EN171" i="3"/>
  <c r="CF171" i="3"/>
  <c r="DR173" i="3"/>
  <c r="BD174" i="3"/>
  <c r="BS174" i="3"/>
  <c r="BW176" i="3"/>
  <c r="CR179" i="3"/>
  <c r="FA179" i="3"/>
  <c r="BN179" i="3"/>
  <c r="DV179" i="3"/>
  <c r="CC179" i="3"/>
  <c r="EZ184" i="3"/>
  <c r="DU184" i="3"/>
  <c r="BM184" i="3"/>
  <c r="EJ184" i="3"/>
  <c r="CB184" i="3"/>
  <c r="DP187" i="3"/>
  <c r="BH187" i="3"/>
  <c r="EU187" i="3"/>
  <c r="EE187" i="3"/>
  <c r="BW187" i="3"/>
  <c r="CL187" i="3"/>
  <c r="EB187" i="3"/>
  <c r="BT187" i="3"/>
  <c r="FG187" i="3"/>
  <c r="EQ187" i="3"/>
  <c r="CI187" i="3"/>
  <c r="CX187" i="3"/>
  <c r="EM188" i="3"/>
  <c r="CE188" i="3"/>
  <c r="DX188" i="3"/>
  <c r="BP188" i="3"/>
  <c r="FC188" i="3"/>
  <c r="CT188" i="3"/>
  <c r="EF164" i="3"/>
  <c r="BX164" i="3"/>
  <c r="ER164" i="3"/>
  <c r="CJ164" i="3"/>
  <c r="EV164" i="3"/>
  <c r="BC167" i="3"/>
  <c r="DR169" i="3"/>
  <c r="EU170" i="3"/>
  <c r="EE170" i="3"/>
  <c r="BW170" i="3"/>
  <c r="FG170" i="3"/>
  <c r="EQ170" i="3"/>
  <c r="CI170" i="3"/>
  <c r="BT170" i="3"/>
  <c r="CL170" i="3"/>
  <c r="DP170" i="3"/>
  <c r="FE171" i="3"/>
  <c r="CV171" i="3"/>
  <c r="DZ171" i="3"/>
  <c r="BR171" i="3"/>
  <c r="CG171" i="3"/>
  <c r="EX173" i="3"/>
  <c r="EH173" i="3"/>
  <c r="BZ173" i="3"/>
  <c r="DS173" i="3"/>
  <c r="EU174" i="3"/>
  <c r="EE174" i="3"/>
  <c r="BW174" i="3"/>
  <c r="FG174" i="3"/>
  <c r="EQ174" i="3"/>
  <c r="CI174" i="3"/>
  <c r="BT174" i="3"/>
  <c r="EF175" i="3"/>
  <c r="BX175" i="3"/>
  <c r="DQ175" i="3"/>
  <c r="BI175" i="3"/>
  <c r="CM175" i="3"/>
  <c r="R175" i="3" s="1"/>
  <c r="ER175" i="3"/>
  <c r="CJ175" i="3"/>
  <c r="EC175" i="3"/>
  <c r="BU175" i="3"/>
  <c r="CY175" i="3"/>
  <c r="EU176" i="3"/>
  <c r="CL176" i="3"/>
  <c r="S176" i="3" s="1"/>
  <c r="FG176" i="3"/>
  <c r="CX176" i="3"/>
  <c r="EI178" i="3"/>
  <c r="CA178" i="3"/>
  <c r="DT178" i="3"/>
  <c r="BL178" i="3"/>
  <c r="CP178" i="3"/>
  <c r="CT180" i="3"/>
  <c r="CE180" i="3"/>
  <c r="BP180" i="3"/>
  <c r="BK184" i="3"/>
  <c r="EH185" i="3"/>
  <c r="BZ185" i="3"/>
  <c r="DS185" i="3"/>
  <c r="BK185" i="3"/>
  <c r="CO185" i="3"/>
  <c r="EX185" i="3"/>
  <c r="BC188" i="3"/>
  <c r="AM188" i="3"/>
  <c r="DS190" i="3"/>
  <c r="BK190" i="3"/>
  <c r="EX190" i="3"/>
  <c r="CO190" i="3"/>
  <c r="EH190" i="3"/>
  <c r="BZ190" i="3"/>
  <c r="DS193" i="3"/>
  <c r="BK193" i="3"/>
  <c r="EX193" i="3"/>
  <c r="BZ193" i="3"/>
  <c r="CO193" i="3"/>
  <c r="BN156" i="3"/>
  <c r="DV156" i="3"/>
  <c r="BK157" i="3"/>
  <c r="DS157" i="3"/>
  <c r="BH158" i="3"/>
  <c r="BT158" i="3"/>
  <c r="CF158" i="3"/>
  <c r="DP158" i="3"/>
  <c r="EB158" i="3"/>
  <c r="EN158" i="3"/>
  <c r="EZ158" i="3"/>
  <c r="BQ159" i="3"/>
  <c r="CC159" i="3"/>
  <c r="DY159" i="3"/>
  <c r="EK159" i="3"/>
  <c r="EW159" i="3"/>
  <c r="BN160" i="3"/>
  <c r="BZ160" i="3"/>
  <c r="DV160" i="3"/>
  <c r="EH160" i="3"/>
  <c r="ET160" i="3"/>
  <c r="FF160" i="3"/>
  <c r="BK161" i="3"/>
  <c r="BW161" i="3"/>
  <c r="CI161" i="3"/>
  <c r="DS161" i="3"/>
  <c r="EE161" i="3"/>
  <c r="EQ161" i="3"/>
  <c r="FC161" i="3"/>
  <c r="BH162" i="3"/>
  <c r="BT162" i="3"/>
  <c r="CF162" i="3"/>
  <c r="DP162" i="3"/>
  <c r="EB162" i="3"/>
  <c r="EN162" i="3"/>
  <c r="EZ162" i="3"/>
  <c r="CR163" i="3"/>
  <c r="DR163" i="3"/>
  <c r="DR164" i="3"/>
  <c r="BJ164" i="3"/>
  <c r="CS164" i="3"/>
  <c r="R164" i="3" s="1"/>
  <c r="EW164" i="3"/>
  <c r="BD166" i="3"/>
  <c r="DZ166" i="3"/>
  <c r="BR166" i="3"/>
  <c r="CF166" i="3"/>
  <c r="CU166" i="3"/>
  <c r="DV167" i="3"/>
  <c r="FC167" i="3"/>
  <c r="EO168" i="3"/>
  <c r="CG168" i="3"/>
  <c r="CV168" i="3"/>
  <c r="CX168" i="3"/>
  <c r="EQ168" i="3"/>
  <c r="EX169" i="3"/>
  <c r="EH169" i="3"/>
  <c r="BZ169" i="3"/>
  <c r="CN169" i="3"/>
  <c r="DS169" i="3"/>
  <c r="EV170" i="3"/>
  <c r="CM170" i="3"/>
  <c r="DQ170" i="3"/>
  <c r="BI170" i="3"/>
  <c r="FH170" i="3"/>
  <c r="CY170" i="3"/>
  <c r="EC170" i="3"/>
  <c r="BU170" i="3"/>
  <c r="BV170" i="3"/>
  <c r="EK170" i="3"/>
  <c r="BQ171" i="3"/>
  <c r="EY173" i="3"/>
  <c r="CP173" i="3"/>
  <c r="DT173" i="3"/>
  <c r="BL173" i="3"/>
  <c r="CO173" i="3"/>
  <c r="EV174" i="3"/>
  <c r="CM174" i="3"/>
  <c r="DQ174" i="3"/>
  <c r="BI174" i="3"/>
  <c r="FH174" i="3"/>
  <c r="CY174" i="3"/>
  <c r="EC174" i="3"/>
  <c r="BU174" i="3"/>
  <c r="BV174" i="3"/>
  <c r="FF174" i="3"/>
  <c r="EY177" i="3"/>
  <c r="CP177" i="3"/>
  <c r="S177" i="3" s="1"/>
  <c r="EI177" i="3"/>
  <c r="CA177" i="3"/>
  <c r="DT177" i="3"/>
  <c r="BL177" i="3"/>
  <c r="BC180" i="3"/>
  <c r="AM180" i="3"/>
  <c r="FC180" i="3"/>
  <c r="EJ181" i="3"/>
  <c r="DU181" i="3"/>
  <c r="CQ181" i="3"/>
  <c r="CB181" i="3"/>
  <c r="BM181" i="3"/>
  <c r="BF184" i="3"/>
  <c r="EX187" i="3"/>
  <c r="CO187" i="3"/>
  <c r="DS187" i="3"/>
  <c r="BK187" i="3"/>
  <c r="DT197" i="3"/>
  <c r="BL197" i="3"/>
  <c r="EI197" i="3"/>
  <c r="EY197" i="3"/>
  <c r="CP197" i="3"/>
  <c r="CA197" i="3"/>
  <c r="DT164" i="3"/>
  <c r="BL164" i="3"/>
  <c r="EY164" i="3"/>
  <c r="EN166" i="3"/>
  <c r="FC166" i="3"/>
  <c r="FE167" i="3"/>
  <c r="CV167" i="3"/>
  <c r="BN167" i="3"/>
  <c r="EO167" i="3"/>
  <c r="CI168" i="3"/>
  <c r="BY169" i="3"/>
  <c r="EF171" i="3"/>
  <c r="BX171" i="3"/>
  <c r="CM171" i="3"/>
  <c r="R171" i="3" s="1"/>
  <c r="ER171" i="3"/>
  <c r="CJ171" i="3"/>
  <c r="CY171" i="3"/>
  <c r="FB172" i="3"/>
  <c r="CS172" i="3"/>
  <c r="R172" i="3" s="1"/>
  <c r="DW172" i="3"/>
  <c r="BO172" i="3"/>
  <c r="CD172" i="3"/>
  <c r="EX176" i="3"/>
  <c r="CO176" i="3"/>
  <c r="EH176" i="3"/>
  <c r="BZ176" i="3"/>
  <c r="EY178" i="3"/>
  <c r="DZ179" i="3"/>
  <c r="CV179" i="3"/>
  <c r="CG179" i="3"/>
  <c r="FE179" i="3"/>
  <c r="BR179" i="3"/>
  <c r="ET180" i="3"/>
  <c r="BG180" i="3"/>
  <c r="DO180" i="3"/>
  <c r="CK180" i="3"/>
  <c r="FF180" i="3"/>
  <c r="CW180" i="3"/>
  <c r="CH180" i="3"/>
  <c r="EP180" i="3"/>
  <c r="AM183" i="3"/>
  <c r="BC183" i="3"/>
  <c r="BC184" i="3"/>
  <c r="AM184" i="3"/>
  <c r="CC156" i="3"/>
  <c r="BZ157" i="3"/>
  <c r="BW158" i="3"/>
  <c r="CI158" i="3"/>
  <c r="CU158" i="3"/>
  <c r="CF159" i="3"/>
  <c r="CR159" i="3"/>
  <c r="CC160" i="3"/>
  <c r="CO160" i="3"/>
  <c r="R160" i="3" s="1"/>
  <c r="BZ161" i="3"/>
  <c r="CL161" i="3"/>
  <c r="CX161" i="3"/>
  <c r="BW162" i="3"/>
  <c r="CI162" i="3"/>
  <c r="CU162" i="3"/>
  <c r="CU163" i="3"/>
  <c r="DV163" i="3"/>
  <c r="EK163" i="3"/>
  <c r="EY163" i="3"/>
  <c r="BT164" i="3"/>
  <c r="CI164" i="3"/>
  <c r="EL164" i="3"/>
  <c r="EL165" i="3"/>
  <c r="CS165" i="3"/>
  <c r="BJ165" i="3"/>
  <c r="EV166" i="3"/>
  <c r="CM166" i="3"/>
  <c r="FH166" i="3"/>
  <c r="CY166" i="3"/>
  <c r="BT166" i="3"/>
  <c r="CI166" i="3"/>
  <c r="CX166" i="3"/>
  <c r="DY166" i="3"/>
  <c r="EO166" i="3"/>
  <c r="R167" i="3"/>
  <c r="BP167" i="3"/>
  <c r="DZ167" i="3"/>
  <c r="DQ168" i="3"/>
  <c r="BI168" i="3"/>
  <c r="EF168" i="3"/>
  <c r="BX168" i="3"/>
  <c r="EC168" i="3"/>
  <c r="BU168" i="3"/>
  <c r="ER168" i="3"/>
  <c r="CJ168" i="3"/>
  <c r="BR168" i="3"/>
  <c r="EB168" i="3"/>
  <c r="EU168" i="3"/>
  <c r="EI170" i="3"/>
  <c r="CA170" i="3"/>
  <c r="CP170" i="3"/>
  <c r="BH170" i="3"/>
  <c r="FF170" i="3"/>
  <c r="BU171" i="3"/>
  <c r="DQ171" i="3"/>
  <c r="BF173" i="3"/>
  <c r="EL173" i="3"/>
  <c r="CD173" i="3"/>
  <c r="CS173" i="3"/>
  <c r="BK173" i="3"/>
  <c r="CU173" i="3"/>
  <c r="EI174" i="3"/>
  <c r="CA174" i="3"/>
  <c r="CP174" i="3"/>
  <c r="S174" i="3" s="1"/>
  <c r="BH174" i="3"/>
  <c r="ER174" i="3"/>
  <c r="FH175" i="3"/>
  <c r="BH176" i="3"/>
  <c r="DP176" i="3"/>
  <c r="EL177" i="3"/>
  <c r="CD177" i="3"/>
  <c r="DW177" i="3"/>
  <c r="BO177" i="3"/>
  <c r="CS177" i="3"/>
  <c r="BC178" i="3"/>
  <c r="AM181" i="3"/>
  <c r="BC181" i="3"/>
  <c r="FC181" i="3"/>
  <c r="EM181" i="3"/>
  <c r="CT181" i="3"/>
  <c r="CE181" i="3"/>
  <c r="CO182" i="3"/>
  <c r="R182" i="3" s="1"/>
  <c r="BF185" i="3"/>
  <c r="DT186" i="3"/>
  <c r="BL186" i="3"/>
  <c r="CP186" i="3"/>
  <c r="EI186" i="3"/>
  <c r="EY186" i="3"/>
  <c r="CE186" i="3"/>
  <c r="BU164" i="3"/>
  <c r="CY164" i="3"/>
  <c r="BK165" i="3"/>
  <c r="BY165" i="3"/>
  <c r="FE166" i="3"/>
  <c r="CG167" i="3"/>
  <c r="DR168" i="3"/>
  <c r="BJ168" i="3"/>
  <c r="EW168" i="3"/>
  <c r="CL168" i="3"/>
  <c r="BF169" i="3"/>
  <c r="EL169" i="3"/>
  <c r="CD169" i="3"/>
  <c r="CS169" i="3"/>
  <c r="BK169" i="3"/>
  <c r="CC170" i="3"/>
  <c r="DV170" i="3"/>
  <c r="EP170" i="3"/>
  <c r="CO171" i="3"/>
  <c r="EX172" i="3"/>
  <c r="CX174" i="3"/>
  <c r="EA174" i="3"/>
  <c r="ET174" i="3"/>
  <c r="FA175" i="3"/>
  <c r="CR175" i="3"/>
  <c r="EK175" i="3"/>
  <c r="CC175" i="3"/>
  <c r="BK176" i="3"/>
  <c r="CI176" i="3"/>
  <c r="DS176" i="3"/>
  <c r="EQ176" i="3"/>
  <c r="BC177" i="3"/>
  <c r="AM177" i="3"/>
  <c r="BF177" i="3"/>
  <c r="FD178" i="3"/>
  <c r="CU178" i="3"/>
  <c r="EN178" i="3"/>
  <c r="CF178" i="3"/>
  <c r="EM180" i="3"/>
  <c r="EZ181" i="3"/>
  <c r="EE182" i="3"/>
  <c r="BW182" i="3"/>
  <c r="DP182" i="3"/>
  <c r="BH182" i="3"/>
  <c r="EQ182" i="3"/>
  <c r="CI182" i="3"/>
  <c r="EB182" i="3"/>
  <c r="BT182" i="3"/>
  <c r="CX182" i="3"/>
  <c r="EU182" i="3"/>
  <c r="ED183" i="3"/>
  <c r="DO183" i="3"/>
  <c r="CK183" i="3"/>
  <c r="BV183" i="3"/>
  <c r="BG183" i="3"/>
  <c r="ET183" i="3"/>
  <c r="CH183" i="3"/>
  <c r="BS183" i="3"/>
  <c r="AM185" i="3"/>
  <c r="BC185" i="3"/>
  <c r="AM192" i="3"/>
  <c r="CV192" i="3"/>
  <c r="FE192" i="3"/>
  <c r="BR192" i="3"/>
  <c r="CG192" i="3"/>
  <c r="DZ192" i="3"/>
  <c r="EO192" i="3"/>
  <c r="BM158" i="3"/>
  <c r="BJ159" i="3"/>
  <c r="BG160" i="3"/>
  <c r="BS160" i="3"/>
  <c r="BP161" i="3"/>
  <c r="BM162" i="3"/>
  <c r="BJ163" i="3"/>
  <c r="BH164" i="3"/>
  <c r="BW164" i="3"/>
  <c r="BL165" i="3"/>
  <c r="BZ165" i="3"/>
  <c r="EB166" i="3"/>
  <c r="EQ166" i="3"/>
  <c r="EF167" i="3"/>
  <c r="BX167" i="3"/>
  <c r="CM167" i="3"/>
  <c r="S167" i="3" s="1"/>
  <c r="ER167" i="3"/>
  <c r="CJ167" i="3"/>
  <c r="CY167" i="3"/>
  <c r="BR167" i="3"/>
  <c r="BE168" i="3"/>
  <c r="EG168" i="3"/>
  <c r="EX168" i="3"/>
  <c r="DT171" i="3"/>
  <c r="BL171" i="3"/>
  <c r="CP171" i="3"/>
  <c r="EI171" i="3"/>
  <c r="CA171" i="3"/>
  <c r="DS171" i="3"/>
  <c r="AM172" i="3"/>
  <c r="EO172" i="3"/>
  <c r="CG172" i="3"/>
  <c r="CV172" i="3"/>
  <c r="CF173" i="3"/>
  <c r="EB174" i="3"/>
  <c r="BN175" i="3"/>
  <c r="FD177" i="3"/>
  <c r="CU177" i="3"/>
  <c r="DY177" i="3"/>
  <c r="CM179" i="3"/>
  <c r="BX179" i="3"/>
  <c r="EV179" i="3"/>
  <c r="BI179" i="3"/>
  <c r="EF179" i="3"/>
  <c r="CJ179" i="3"/>
  <c r="FH179" i="3"/>
  <c r="ER179" i="3"/>
  <c r="EC179" i="3"/>
  <c r="CY179" i="3"/>
  <c r="DX181" i="3"/>
  <c r="EX182" i="3"/>
  <c r="BD183" i="3"/>
  <c r="CL184" i="3"/>
  <c r="DP184" i="3"/>
  <c r="BH184" i="3"/>
  <c r="CX184" i="3"/>
  <c r="EB184" i="3"/>
  <c r="BT184" i="3"/>
  <c r="EQ184" i="3"/>
  <c r="CI184" i="3"/>
  <c r="FG184" i="3"/>
  <c r="DS184" i="3"/>
  <c r="BO167" i="3"/>
  <c r="BL168" i="3"/>
  <c r="BI169" i="3"/>
  <c r="BU169" i="3"/>
  <c r="BR170" i="3"/>
  <c r="BO171" i="3"/>
  <c r="BL172" i="3"/>
  <c r="BI173" i="3"/>
  <c r="BU173" i="3"/>
  <c r="BR174" i="3"/>
  <c r="BO175" i="3"/>
  <c r="CA175" i="3"/>
  <c r="EI175" i="3"/>
  <c r="BL176" i="3"/>
  <c r="BX176" i="3"/>
  <c r="CJ176" i="3"/>
  <c r="EF176" i="3"/>
  <c r="ER176" i="3"/>
  <c r="BI177" i="3"/>
  <c r="BU177" i="3"/>
  <c r="CG177" i="3"/>
  <c r="EO177" i="3"/>
  <c r="BR178" i="3"/>
  <c r="CD178" i="3"/>
  <c r="EL178" i="3"/>
  <c r="BP179" i="3"/>
  <c r="CP179" i="3"/>
  <c r="FC179" i="3"/>
  <c r="BI180" i="3"/>
  <c r="BW180" i="3"/>
  <c r="Q180" i="3" s="1"/>
  <c r="DZ180" i="3"/>
  <c r="FB180" i="3"/>
  <c r="BJ181" i="3"/>
  <c r="BY181" i="3"/>
  <c r="CN181" i="3"/>
  <c r="EP181" i="3"/>
  <c r="BN182" i="3"/>
  <c r="CB182" i="3"/>
  <c r="CP182" i="3"/>
  <c r="DQ182" i="3"/>
  <c r="EF182" i="3"/>
  <c r="FH182" i="3"/>
  <c r="DP183" i="3"/>
  <c r="BH183" i="3"/>
  <c r="EU183" i="3"/>
  <c r="EB183" i="3"/>
  <c r="BT183" i="3"/>
  <c r="FG183" i="3"/>
  <c r="DR183" i="3"/>
  <c r="BE185" i="3"/>
  <c r="EL185" i="3"/>
  <c r="EE186" i="3"/>
  <c r="BW186" i="3"/>
  <c r="DP186" i="3"/>
  <c r="BH186" i="3"/>
  <c r="CL186" i="3"/>
  <c r="S186" i="3" s="1"/>
  <c r="EQ186" i="3"/>
  <c r="CI186" i="3"/>
  <c r="EB186" i="3"/>
  <c r="BT186" i="3"/>
  <c r="CX186" i="3"/>
  <c r="EG190" i="3"/>
  <c r="BY190" i="3"/>
  <c r="DR190" i="3"/>
  <c r="BJ190" i="3"/>
  <c r="EW190" i="3"/>
  <c r="DT193" i="3"/>
  <c r="BL193" i="3"/>
  <c r="CP193" i="3"/>
  <c r="EY193" i="3"/>
  <c r="CA193" i="3"/>
  <c r="EI193" i="3"/>
  <c r="BQ175" i="3"/>
  <c r="DY175" i="3"/>
  <c r="BN176" i="3"/>
  <c r="DV176" i="3"/>
  <c r="BK177" i="3"/>
  <c r="DS177" i="3"/>
  <c r="BH178" i="3"/>
  <c r="BT178" i="3"/>
  <c r="DP178" i="3"/>
  <c r="EB178" i="3"/>
  <c r="CE179" i="3"/>
  <c r="DY180" i="3"/>
  <c r="BQ180" i="3"/>
  <c r="BY180" i="3"/>
  <c r="CN180" i="3"/>
  <c r="FD180" i="3"/>
  <c r="CP181" i="3"/>
  <c r="ED181" i="3"/>
  <c r="EV182" i="3"/>
  <c r="EH183" i="3"/>
  <c r="EX183" i="3"/>
  <c r="EK184" i="3"/>
  <c r="CC184" i="3"/>
  <c r="Q184" i="3" s="1"/>
  <c r="DV184" i="3"/>
  <c r="BN184" i="3"/>
  <c r="CR184" i="3"/>
  <c r="DV185" i="3"/>
  <c r="BN185" i="3"/>
  <c r="FA185" i="3"/>
  <c r="EK185" i="3"/>
  <c r="CC185" i="3"/>
  <c r="CR185" i="3"/>
  <c r="EG186" i="3"/>
  <c r="DR186" i="3"/>
  <c r="BJ186" i="3"/>
  <c r="BF188" i="3"/>
  <c r="EJ189" i="3"/>
  <c r="CB189" i="3"/>
  <c r="DU189" i="3"/>
  <c r="BM189" i="3"/>
  <c r="EZ189" i="3"/>
  <c r="EZ197" i="3"/>
  <c r="EJ197" i="3"/>
  <c r="DU197" i="3"/>
  <c r="CQ197" i="3"/>
  <c r="BM197" i="3"/>
  <c r="CP175" i="3"/>
  <c r="CM176" i="3"/>
  <c r="CY176" i="3"/>
  <c r="CV177" i="3"/>
  <c r="CS178" i="3"/>
  <c r="S178" i="3" s="1"/>
  <c r="CT179" i="3"/>
  <c r="EC180" i="3"/>
  <c r="FE180" i="3"/>
  <c r="CL181" i="3"/>
  <c r="EE181" i="3"/>
  <c r="BW181" i="3"/>
  <c r="CX181" i="3"/>
  <c r="EQ181" i="3"/>
  <c r="CI181" i="3"/>
  <c r="EU181" i="3"/>
  <c r="DU182" i="3"/>
  <c r="EW182" i="3"/>
  <c r="DS186" i="3"/>
  <c r="BK186" i="3"/>
  <c r="EX186" i="3"/>
  <c r="EH186" i="3"/>
  <c r="BZ186" i="3"/>
  <c r="BY186" i="3"/>
  <c r="S188" i="3"/>
  <c r="DV189" i="3"/>
  <c r="BN189" i="3"/>
  <c r="FA189" i="3"/>
  <c r="CR189" i="3"/>
  <c r="EK189" i="3"/>
  <c r="CC189" i="3"/>
  <c r="EI196" i="3"/>
  <c r="CA196" i="3"/>
  <c r="EY196" i="3"/>
  <c r="BL196" i="3"/>
  <c r="DT196" i="3"/>
  <c r="FA190" i="3"/>
  <c r="CR190" i="3"/>
  <c r="EK190" i="3"/>
  <c r="CC190" i="3"/>
  <c r="DV190" i="3"/>
  <c r="BN190" i="3"/>
  <c r="DO198" i="3"/>
  <c r="BG198" i="3"/>
  <c r="ET198" i="3"/>
  <c r="BV198" i="3"/>
  <c r="Q198" i="3" s="1"/>
  <c r="ED198" i="3"/>
  <c r="CK198" i="3"/>
  <c r="EA198" i="3"/>
  <c r="BS198" i="3"/>
  <c r="FF198" i="3"/>
  <c r="EP198" i="3"/>
  <c r="CW198" i="3"/>
  <c r="CH198" i="3"/>
  <c r="FF169" i="3"/>
  <c r="FC170" i="3"/>
  <c r="EZ171" i="3"/>
  <c r="EW172" i="3"/>
  <c r="ET173" i="3"/>
  <c r="FF173" i="3"/>
  <c r="FC174" i="3"/>
  <c r="CF175" i="3"/>
  <c r="EN175" i="3"/>
  <c r="EZ175" i="3"/>
  <c r="CC176" i="3"/>
  <c r="EK176" i="3"/>
  <c r="EW176" i="3"/>
  <c r="BZ177" i="3"/>
  <c r="EH177" i="3"/>
  <c r="ET177" i="3"/>
  <c r="FF177" i="3"/>
  <c r="AM178" i="3"/>
  <c r="BW178" i="3"/>
  <c r="CI178" i="3"/>
  <c r="EE178" i="3"/>
  <c r="EQ178" i="3"/>
  <c r="FC178" i="3"/>
  <c r="DU179" i="3"/>
  <c r="DQ180" i="3"/>
  <c r="EE180" i="3"/>
  <c r="FH180" i="3"/>
  <c r="DT181" i="3"/>
  <c r="EI181" i="3"/>
  <c r="EK182" i="3"/>
  <c r="EY182" i="3"/>
  <c r="CX183" i="3"/>
  <c r="DY184" i="3"/>
  <c r="BQ184" i="3"/>
  <c r="FD184" i="3"/>
  <c r="EN184" i="3"/>
  <c r="CF184" i="3"/>
  <c r="FA184" i="3"/>
  <c r="CU185" i="3"/>
  <c r="DY185" i="3"/>
  <c r="BQ185" i="3"/>
  <c r="DY188" i="3"/>
  <c r="BQ188" i="3"/>
  <c r="FD188" i="3"/>
  <c r="CU188" i="3"/>
  <c r="EN188" i="3"/>
  <c r="CF188" i="3"/>
  <c r="AM194" i="3"/>
  <c r="AM199" i="3"/>
  <c r="EF180" i="3"/>
  <c r="EH181" i="3"/>
  <c r="BZ181" i="3"/>
  <c r="DS181" i="3"/>
  <c r="BK181" i="3"/>
  <c r="EX181" i="3"/>
  <c r="CR183" i="3"/>
  <c r="EK183" i="3"/>
  <c r="CC183" i="3"/>
  <c r="FA186" i="3"/>
  <c r="CR186" i="3"/>
  <c r="DV186" i="3"/>
  <c r="BN186" i="3"/>
  <c r="CC186" i="3"/>
  <c r="EW186" i="3"/>
  <c r="BD188" i="3"/>
  <c r="FD189" i="3"/>
  <c r="CU189" i="3"/>
  <c r="EN189" i="3"/>
  <c r="CF189" i="3"/>
  <c r="DY189" i="3"/>
  <c r="BQ189" i="3"/>
  <c r="AM190" i="3"/>
  <c r="AM191" i="3"/>
  <c r="EV195" i="3"/>
  <c r="DQ195" i="3"/>
  <c r="CM195" i="3"/>
  <c r="S195" i="3" s="1"/>
  <c r="BX195" i="3"/>
  <c r="Q195" i="3" s="1"/>
  <c r="FH195" i="3"/>
  <c r="ER195" i="3"/>
  <c r="EC195" i="3"/>
  <c r="CY195" i="3"/>
  <c r="CP196" i="3"/>
  <c r="EN179" i="3"/>
  <c r="CF179" i="3"/>
  <c r="EG180" i="3"/>
  <c r="BS181" i="3"/>
  <c r="CY182" i="3"/>
  <c r="BJ183" i="3"/>
  <c r="ET185" i="3"/>
  <c r="CK185" i="3"/>
  <c r="FF185" i="3"/>
  <c r="CW185" i="3"/>
  <c r="ED187" i="3"/>
  <c r="BV187" i="3"/>
  <c r="DO187" i="3"/>
  <c r="BG187" i="3"/>
  <c r="EP187" i="3"/>
  <c r="CH187" i="3"/>
  <c r="EA187" i="3"/>
  <c r="BS187" i="3"/>
  <c r="BV191" i="3"/>
  <c r="BG191" i="3"/>
  <c r="ET191" i="3"/>
  <c r="ED191" i="3"/>
  <c r="DO191" i="3"/>
  <c r="CH191" i="3"/>
  <c r="BS191" i="3"/>
  <c r="EP191" i="3"/>
  <c r="EA191" i="3"/>
  <c r="CW191" i="3"/>
  <c r="BF192" i="3"/>
  <c r="DV192" i="3"/>
  <c r="BN192" i="3"/>
  <c r="FA192" i="3"/>
  <c r="EK192" i="3"/>
  <c r="CR192" i="3"/>
  <c r="EW198" i="3"/>
  <c r="EG198" i="3"/>
  <c r="BJ198" i="3"/>
  <c r="BY198" i="3"/>
  <c r="DR198" i="3"/>
  <c r="EU188" i="3"/>
  <c r="CL188" i="3"/>
  <c r="R188" i="3" s="1"/>
  <c r="EE188" i="3"/>
  <c r="BW188" i="3"/>
  <c r="Q188" i="3" s="1"/>
  <c r="DP188" i="3"/>
  <c r="BH188" i="3"/>
  <c r="FG188" i="3"/>
  <c r="CX188" i="3"/>
  <c r="EQ188" i="3"/>
  <c r="CI188" i="3"/>
  <c r="EB188" i="3"/>
  <c r="BT188" i="3"/>
  <c r="DP191" i="3"/>
  <c r="BH191" i="3"/>
  <c r="EU191" i="3"/>
  <c r="EE191" i="3"/>
  <c r="BW191" i="3"/>
  <c r="EB191" i="3"/>
  <c r="CI191" i="3"/>
  <c r="BT191" i="3"/>
  <c r="FG191" i="3"/>
  <c r="DW192" i="3"/>
  <c r="BO192" i="3"/>
  <c r="EL192" i="3"/>
  <c r="FB192" i="3"/>
  <c r="CD192" i="3"/>
  <c r="AM207" i="3"/>
  <c r="DZ207" i="3"/>
  <c r="CV207" i="3"/>
  <c r="BR207" i="3"/>
  <c r="FE207" i="3"/>
  <c r="EO207" i="3"/>
  <c r="CG207" i="3"/>
  <c r="BL175" i="3"/>
  <c r="BI176" i="3"/>
  <c r="BU176" i="3"/>
  <c r="BR177" i="3"/>
  <c r="BO178" i="3"/>
  <c r="BM179" i="3"/>
  <c r="DY179" i="3"/>
  <c r="EY179" i="3"/>
  <c r="BT180" i="3"/>
  <c r="DV181" i="3"/>
  <c r="BN181" i="3"/>
  <c r="BG181" i="3"/>
  <c r="DY181" i="3"/>
  <c r="FA181" i="3"/>
  <c r="AM182" i="3"/>
  <c r="BJ182" i="3"/>
  <c r="BY182" i="3"/>
  <c r="EA182" i="3"/>
  <c r="EP182" i="3"/>
  <c r="EN183" i="3"/>
  <c r="CF183" i="3"/>
  <c r="DY183" i="3"/>
  <c r="BQ183" i="3"/>
  <c r="BZ183" i="3"/>
  <c r="CN183" i="3"/>
  <c r="EQ183" i="3"/>
  <c r="BR184" i="3"/>
  <c r="DZ184" i="3"/>
  <c r="BS185" i="3"/>
  <c r="DO185" i="3"/>
  <c r="DQ187" i="3"/>
  <c r="BI187" i="3"/>
  <c r="CM187" i="3"/>
  <c r="R187" i="3" s="1"/>
  <c r="EC187" i="3"/>
  <c r="BU187" i="3"/>
  <c r="CY187" i="3"/>
  <c r="CW187" i="3"/>
  <c r="EF187" i="3"/>
  <c r="CQ189" i="3"/>
  <c r="BI195" i="3"/>
  <c r="BV164" i="3"/>
  <c r="CH164" i="3"/>
  <c r="CE165" i="3"/>
  <c r="CB166" i="3"/>
  <c r="BY167" i="3"/>
  <c r="BV168" i="3"/>
  <c r="CH168" i="3"/>
  <c r="BS169" i="3"/>
  <c r="CE169" i="3"/>
  <c r="BP170" i="3"/>
  <c r="CB170" i="3"/>
  <c r="BM171" i="3"/>
  <c r="BY171" i="3"/>
  <c r="BJ172" i="3"/>
  <c r="BV172" i="3"/>
  <c r="Q172" i="3" s="1"/>
  <c r="CH172" i="3"/>
  <c r="BG173" i="3"/>
  <c r="BS173" i="3"/>
  <c r="CE173" i="3"/>
  <c r="BP174" i="3"/>
  <c r="CB174" i="3"/>
  <c r="BM175" i="3"/>
  <c r="BY175" i="3"/>
  <c r="BJ176" i="3"/>
  <c r="BV176" i="3"/>
  <c r="CH176" i="3"/>
  <c r="BG177" i="3"/>
  <c r="BS177" i="3"/>
  <c r="CE177" i="3"/>
  <c r="BP178" i="3"/>
  <c r="CB178" i="3"/>
  <c r="DP179" i="3"/>
  <c r="BH179" i="3"/>
  <c r="EB179" i="3"/>
  <c r="BT179" i="3"/>
  <c r="CI180" i="3"/>
  <c r="DW180" i="3"/>
  <c r="BH181" i="3"/>
  <c r="BV181" i="3"/>
  <c r="CK181" i="3"/>
  <c r="EN181" i="3"/>
  <c r="CU182" i="3"/>
  <c r="EN182" i="3"/>
  <c r="CF182" i="3"/>
  <c r="EC182" i="3"/>
  <c r="BM183" i="3"/>
  <c r="EG185" i="3"/>
  <c r="BY185" i="3"/>
  <c r="EW185" i="3"/>
  <c r="CS192" i="3"/>
  <c r="BL194" i="3"/>
  <c r="EI194" i="3"/>
  <c r="EY194" i="3"/>
  <c r="CA194" i="3"/>
  <c r="CJ195" i="3"/>
  <c r="CN198" i="3"/>
  <c r="ET186" i="3"/>
  <c r="FF186" i="3"/>
  <c r="AM187" i="3"/>
  <c r="CU187" i="3"/>
  <c r="FC187" i="3"/>
  <c r="CR188" i="3"/>
  <c r="EZ188" i="3"/>
  <c r="CO189" i="3"/>
  <c r="EW189" i="3"/>
  <c r="CL190" i="3"/>
  <c r="CX190" i="3"/>
  <c r="CJ191" i="3"/>
  <c r="CN193" i="3"/>
  <c r="DS194" i="3"/>
  <c r="BZ194" i="3"/>
  <c r="BK194" i="3"/>
  <c r="CO194" i="3"/>
  <c r="DR194" i="3"/>
  <c r="EU195" i="3"/>
  <c r="EE195" i="3"/>
  <c r="DP195" i="3"/>
  <c r="BT195" i="3"/>
  <c r="CI195" i="3"/>
  <c r="ET196" i="3"/>
  <c r="CK196" i="3"/>
  <c r="ED196" i="3"/>
  <c r="DO196" i="3"/>
  <c r="BV196" i="3"/>
  <c r="BG196" i="3"/>
  <c r="FF196" i="3"/>
  <c r="CW196" i="3"/>
  <c r="EA196" i="3"/>
  <c r="CH196" i="3"/>
  <c r="BS196" i="3"/>
  <c r="EL199" i="3"/>
  <c r="CD199" i="3"/>
  <c r="BO199" i="3"/>
  <c r="FB199" i="3"/>
  <c r="CU200" i="3"/>
  <c r="CF200" i="3"/>
  <c r="FD200" i="3"/>
  <c r="EN200" i="3"/>
  <c r="BQ200" i="3"/>
  <c r="EZ201" i="3"/>
  <c r="CQ201" i="3"/>
  <c r="CB201" i="3"/>
  <c r="BM201" i="3"/>
  <c r="EJ201" i="3"/>
  <c r="DU201" i="3"/>
  <c r="EW202" i="3"/>
  <c r="DR202" i="3"/>
  <c r="BY202" i="3"/>
  <c r="EG202" i="3"/>
  <c r="AM205" i="3"/>
  <c r="FC205" i="3"/>
  <c r="CT205" i="3"/>
  <c r="CE205" i="3"/>
  <c r="BP205" i="3"/>
  <c r="EM205" i="3"/>
  <c r="DX205" i="3"/>
  <c r="BD206" i="3"/>
  <c r="AM206" i="3"/>
  <c r="EO206" i="3"/>
  <c r="CG206" i="3"/>
  <c r="FE206" i="3"/>
  <c r="BR206" i="3"/>
  <c r="DZ206" i="3"/>
  <c r="CV206" i="3"/>
  <c r="BC232" i="3"/>
  <c r="AM232" i="3"/>
  <c r="EM232" i="3"/>
  <c r="CE232" i="3"/>
  <c r="DX232" i="3"/>
  <c r="FC232" i="3"/>
  <c r="CT232" i="3"/>
  <c r="BP232" i="3"/>
  <c r="DX199" i="3"/>
  <c r="BP199" i="3"/>
  <c r="FC199" i="3"/>
  <c r="EM199" i="3"/>
  <c r="CE199" i="3"/>
  <c r="CR201" i="3"/>
  <c r="FA201" i="3"/>
  <c r="CC201" i="3"/>
  <c r="BN201" i="3"/>
  <c r="EK201" i="3"/>
  <c r="DV201" i="3"/>
  <c r="CM191" i="3"/>
  <c r="R191" i="3" s="1"/>
  <c r="DU193" i="3"/>
  <c r="FA194" i="3"/>
  <c r="CR194" i="3"/>
  <c r="CC194" i="3"/>
  <c r="DV194" i="3"/>
  <c r="EX195" i="3"/>
  <c r="CO195" i="3"/>
  <c r="EH195" i="3"/>
  <c r="DS195" i="3"/>
  <c r="DP198" i="3"/>
  <c r="BH198" i="3"/>
  <c r="EU198" i="3"/>
  <c r="CL198" i="3"/>
  <c r="EE198" i="3"/>
  <c r="EB198" i="3"/>
  <c r="BT198" i="3"/>
  <c r="EZ202" i="3"/>
  <c r="CQ202" i="3"/>
  <c r="BM202" i="3"/>
  <c r="DU202" i="3"/>
  <c r="CB202" i="3"/>
  <c r="DY203" i="3"/>
  <c r="BQ203" i="3"/>
  <c r="FD203" i="3"/>
  <c r="EN203" i="3"/>
  <c r="CF203" i="3"/>
  <c r="EI204" i="3"/>
  <c r="CA204" i="3"/>
  <c r="BL204" i="3"/>
  <c r="DT204" i="3"/>
  <c r="DQ206" i="3"/>
  <c r="BI206" i="3"/>
  <c r="CM206" i="3"/>
  <c r="R206" i="3" s="1"/>
  <c r="BX206" i="3"/>
  <c r="EV206" i="3"/>
  <c r="EF206" i="3"/>
  <c r="EC206" i="3"/>
  <c r="BU206" i="3"/>
  <c r="CY206" i="3"/>
  <c r="CJ206" i="3"/>
  <c r="ER206" i="3"/>
  <c r="FH206" i="3"/>
  <c r="BC209" i="3"/>
  <c r="AM209" i="3"/>
  <c r="CT209" i="3"/>
  <c r="CE209" i="3"/>
  <c r="BP209" i="3"/>
  <c r="EM209" i="3"/>
  <c r="FC209" i="3"/>
  <c r="DX209" i="3"/>
  <c r="CV188" i="3"/>
  <c r="CS189" i="3"/>
  <c r="CP190" i="3"/>
  <c r="FE191" i="3"/>
  <c r="FD192" i="3"/>
  <c r="DY192" i="3"/>
  <c r="BM192" i="3"/>
  <c r="DV193" i="3"/>
  <c r="EJ193" i="3"/>
  <c r="BJ194" i="3"/>
  <c r="EP194" i="3"/>
  <c r="BH195" i="3"/>
  <c r="BE196" i="3"/>
  <c r="FB197" i="3"/>
  <c r="EL197" i="3"/>
  <c r="CD197" i="3"/>
  <c r="BO197" i="3"/>
  <c r="ET199" i="3"/>
  <c r="DO199" i="3"/>
  <c r="FF199" i="3"/>
  <c r="EP199" i="3"/>
  <c r="EA199" i="3"/>
  <c r="CH199" i="3"/>
  <c r="BV199" i="3"/>
  <c r="CT199" i="3"/>
  <c r="DW199" i="3"/>
  <c r="DY200" i="3"/>
  <c r="CN202" i="3"/>
  <c r="CU203" i="3"/>
  <c r="DU204" i="3"/>
  <c r="BM204" i="3"/>
  <c r="CB204" i="3"/>
  <c r="CQ204" i="3"/>
  <c r="EE205" i="3"/>
  <c r="BW205" i="3"/>
  <c r="DP205" i="3"/>
  <c r="BH205" i="3"/>
  <c r="EU205" i="3"/>
  <c r="CL205" i="3"/>
  <c r="EQ205" i="3"/>
  <c r="CI205" i="3"/>
  <c r="EB205" i="3"/>
  <c r="BT205" i="3"/>
  <c r="FG205" i="3"/>
  <c r="EU226" i="3"/>
  <c r="CL226" i="3"/>
  <c r="DP226" i="3"/>
  <c r="BH226" i="3"/>
  <c r="EE226" i="3"/>
  <c r="BW226" i="3"/>
  <c r="FG226" i="3"/>
  <c r="CX226" i="3"/>
  <c r="EB226" i="3"/>
  <c r="BT226" i="3"/>
  <c r="CI226" i="3"/>
  <c r="EQ226" i="3"/>
  <c r="BW185" i="3"/>
  <c r="Q185" i="3" s="1"/>
  <c r="CI185" i="3"/>
  <c r="EE185" i="3"/>
  <c r="EQ185" i="3"/>
  <c r="CF186" i="3"/>
  <c r="EN186" i="3"/>
  <c r="BQ187" i="3"/>
  <c r="CC187" i="3"/>
  <c r="DY187" i="3"/>
  <c r="EK187" i="3"/>
  <c r="BN188" i="3"/>
  <c r="BZ188" i="3"/>
  <c r="DV188" i="3"/>
  <c r="EH188" i="3"/>
  <c r="AM189" i="3"/>
  <c r="BK189" i="3"/>
  <c r="BW189" i="3"/>
  <c r="CI189" i="3"/>
  <c r="DS189" i="3"/>
  <c r="EE189" i="3"/>
  <c r="EQ189" i="3"/>
  <c r="BH190" i="3"/>
  <c r="BT190" i="3"/>
  <c r="CF190" i="3"/>
  <c r="DP190" i="3"/>
  <c r="EB190" i="3"/>
  <c r="EN190" i="3"/>
  <c r="BQ191" i="3"/>
  <c r="CC191" i="3"/>
  <c r="CP191" i="3"/>
  <c r="FF192" i="3"/>
  <c r="EP192" i="3"/>
  <c r="CW192" i="3"/>
  <c r="CH192" i="3"/>
  <c r="BQ192" i="3"/>
  <c r="BM193" i="3"/>
  <c r="FA193" i="3"/>
  <c r="BN194" i="3"/>
  <c r="ET194" i="3"/>
  <c r="EK195" i="3"/>
  <c r="CC195" i="3"/>
  <c r="CR195" i="3"/>
  <c r="BN195" i="3"/>
  <c r="BZ195" i="3"/>
  <c r="ED199" i="3"/>
  <c r="EY204" i="3"/>
  <c r="CX205" i="3"/>
  <c r="DR207" i="3"/>
  <c r="EG207" i="3"/>
  <c r="BY207" i="3"/>
  <c r="Q207" i="3" s="1"/>
  <c r="EW207" i="3"/>
  <c r="BL189" i="3"/>
  <c r="DT189" i="3"/>
  <c r="BI190" i="3"/>
  <c r="BU190" i="3"/>
  <c r="DQ190" i="3"/>
  <c r="EC190" i="3"/>
  <c r="BR191" i="3"/>
  <c r="CQ191" i="3"/>
  <c r="DQ191" i="3"/>
  <c r="FH191" i="3"/>
  <c r="EU192" i="3"/>
  <c r="CL192" i="3"/>
  <c r="R192" i="3" s="1"/>
  <c r="FG192" i="3"/>
  <c r="CX192" i="3"/>
  <c r="EB192" i="3"/>
  <c r="CI192" i="3"/>
  <c r="BT192" i="3"/>
  <c r="EX192" i="3"/>
  <c r="FD193" i="3"/>
  <c r="CU193" i="3"/>
  <c r="EN193" i="3"/>
  <c r="CX193" i="3"/>
  <c r="DY193" i="3"/>
  <c r="EO194" i="3"/>
  <c r="CG194" i="3"/>
  <c r="FE194" i="3"/>
  <c r="CY194" i="3"/>
  <c r="DZ194" i="3"/>
  <c r="EV194" i="3"/>
  <c r="BF195" i="3"/>
  <c r="EL195" i="3"/>
  <c r="CD195" i="3"/>
  <c r="BK195" i="3"/>
  <c r="CS195" i="3"/>
  <c r="CU196" i="3"/>
  <c r="R197" i="3"/>
  <c r="CX198" i="3"/>
  <c r="EW199" i="3"/>
  <c r="CN199" i="3"/>
  <c r="S199" i="3" s="1"/>
  <c r="EG199" i="3"/>
  <c r="BJ199" i="3"/>
  <c r="BY199" i="3"/>
  <c r="BC199" i="3"/>
  <c r="BE200" i="3"/>
  <c r="EI200" i="3"/>
  <c r="CA200" i="3"/>
  <c r="DT200" i="3"/>
  <c r="EY200" i="3"/>
  <c r="CP200" i="3"/>
  <c r="BC204" i="3"/>
  <c r="AM204" i="3"/>
  <c r="FC204" i="3"/>
  <c r="CE204" i="3"/>
  <c r="BP204" i="3"/>
  <c r="CT204" i="3"/>
  <c r="EZ204" i="3"/>
  <c r="EZ206" i="3"/>
  <c r="CQ206" i="3"/>
  <c r="DU206" i="3"/>
  <c r="EJ206" i="3"/>
  <c r="BM206" i="3"/>
  <c r="CB206" i="3"/>
  <c r="EU210" i="3"/>
  <c r="EE210" i="3"/>
  <c r="CL210" i="3"/>
  <c r="BH210" i="3"/>
  <c r="BW210" i="3"/>
  <c r="DP210" i="3"/>
  <c r="FG210" i="3"/>
  <c r="EQ210" i="3"/>
  <c r="EB210" i="3"/>
  <c r="CX210" i="3"/>
  <c r="CI210" i="3"/>
  <c r="BT210" i="3"/>
  <c r="BV186" i="3"/>
  <c r="CH186" i="3"/>
  <c r="CE187" i="3"/>
  <c r="CQ187" i="3"/>
  <c r="CB188" i="3"/>
  <c r="CN188" i="3"/>
  <c r="BY189" i="3"/>
  <c r="Q189" i="3" s="1"/>
  <c r="CK189" i="3"/>
  <c r="CW189" i="3"/>
  <c r="CT190" i="3"/>
  <c r="CM192" i="3"/>
  <c r="BX192" i="3"/>
  <c r="Q192" i="3" s="1"/>
  <c r="DP192" i="3"/>
  <c r="CF193" i="3"/>
  <c r="FF194" i="3"/>
  <c r="EA194" i="3"/>
  <c r="BC195" i="3"/>
  <c r="AM195" i="3"/>
  <c r="CT195" i="3"/>
  <c r="BC196" i="3"/>
  <c r="DW196" i="3"/>
  <c r="BO196" i="3"/>
  <c r="EZ198" i="3"/>
  <c r="CQ198" i="3"/>
  <c r="DU198" i="3"/>
  <c r="CB198" i="3"/>
  <c r="EJ198" i="3"/>
  <c r="DU200" i="3"/>
  <c r="BM200" i="3"/>
  <c r="EZ200" i="3"/>
  <c r="CQ200" i="3"/>
  <c r="CB200" i="3"/>
  <c r="EJ200" i="3"/>
  <c r="BD202" i="3"/>
  <c r="AM202" i="3"/>
  <c r="EO202" i="3"/>
  <c r="CG202" i="3"/>
  <c r="BR202" i="3"/>
  <c r="FE202" i="3"/>
  <c r="CV202" i="3"/>
  <c r="EW203" i="3"/>
  <c r="CN203" i="3"/>
  <c r="DR203" i="3"/>
  <c r="EG203" i="3"/>
  <c r="BJ203" i="3"/>
  <c r="BC203" i="3"/>
  <c r="CP204" i="3"/>
  <c r="DT205" i="3"/>
  <c r="BL205" i="3"/>
  <c r="EY205" i="3"/>
  <c r="CP205" i="3"/>
  <c r="CA205" i="3"/>
  <c r="EI205" i="3"/>
  <c r="CQ208" i="3"/>
  <c r="CB208" i="3"/>
  <c r="BM208" i="3"/>
  <c r="DU208" i="3"/>
  <c r="EZ208" i="3"/>
  <c r="CF187" i="3"/>
  <c r="CR187" i="3"/>
  <c r="CC188" i="3"/>
  <c r="BZ189" i="3"/>
  <c r="CL189" i="3"/>
  <c r="CX189" i="3"/>
  <c r="BW190" i="3"/>
  <c r="CI190" i="3"/>
  <c r="CU190" i="3"/>
  <c r="EV191" i="3"/>
  <c r="CN192" i="3"/>
  <c r="BJ192" i="3"/>
  <c r="DQ192" i="3"/>
  <c r="EJ192" i="3"/>
  <c r="BQ193" i="3"/>
  <c r="EX194" i="3"/>
  <c r="DY195" i="3"/>
  <c r="BQ195" i="3"/>
  <c r="CU195" i="3"/>
  <c r="CE195" i="3"/>
  <c r="DW195" i="3"/>
  <c r="EQ195" i="3"/>
  <c r="BP196" i="3"/>
  <c r="CM197" i="3"/>
  <c r="S197" i="3" s="1"/>
  <c r="BM198" i="3"/>
  <c r="DR201" i="3"/>
  <c r="BJ201" i="3"/>
  <c r="EG201" i="3"/>
  <c r="EW201" i="3"/>
  <c r="DO202" i="3"/>
  <c r="BG202" i="3"/>
  <c r="BV202" i="3"/>
  <c r="ED202" i="3"/>
  <c r="EA202" i="3"/>
  <c r="BS202" i="3"/>
  <c r="BR188" i="3"/>
  <c r="BO189" i="3"/>
  <c r="BL190" i="3"/>
  <c r="BX190" i="3"/>
  <c r="CJ190" i="3"/>
  <c r="BI191" i="3"/>
  <c r="BU191" i="3"/>
  <c r="DU191" i="3"/>
  <c r="EH192" i="3"/>
  <c r="BZ192" i="3"/>
  <c r="EE193" i="3"/>
  <c r="BW193" i="3"/>
  <c r="DP193" i="3"/>
  <c r="CL193" i="3"/>
  <c r="BH193" i="3"/>
  <c r="EQ193" i="3"/>
  <c r="CI193" i="3"/>
  <c r="EB193" i="3"/>
  <c r="DQ194" i="3"/>
  <c r="BI194" i="3"/>
  <c r="CM194" i="3"/>
  <c r="EC194" i="3"/>
  <c r="BU194" i="3"/>
  <c r="ER194" i="3"/>
  <c r="CK194" i="3"/>
  <c r="EH194" i="3"/>
  <c r="FD196" i="3"/>
  <c r="EN196" i="3"/>
  <c r="BQ196" i="3"/>
  <c r="EF197" i="3"/>
  <c r="BX197" i="3"/>
  <c r="BI197" i="3"/>
  <c r="ER197" i="3"/>
  <c r="CJ197" i="3"/>
  <c r="FH197" i="3"/>
  <c r="FG198" i="3"/>
  <c r="EJ202" i="3"/>
  <c r="Q206" i="3"/>
  <c r="BF207" i="3"/>
  <c r="CR207" i="3"/>
  <c r="CC207" i="3"/>
  <c r="BN207" i="3"/>
  <c r="FA207" i="3"/>
  <c r="EK207" i="3"/>
  <c r="DV207" i="3"/>
  <c r="BJ207" i="3"/>
  <c r="EJ208" i="3"/>
  <c r="FD191" i="3"/>
  <c r="EN191" i="3"/>
  <c r="CF191" i="3"/>
  <c r="EF193" i="3"/>
  <c r="BX193" i="3"/>
  <c r="CM193" i="3"/>
  <c r="BI193" i="3"/>
  <c r="ER193" i="3"/>
  <c r="CJ193" i="3"/>
  <c r="FH193" i="3"/>
  <c r="EC193" i="3"/>
  <c r="EG194" i="3"/>
  <c r="CN194" i="3"/>
  <c r="BY194" i="3"/>
  <c r="Q194" i="3" s="1"/>
  <c r="BS194" i="3"/>
  <c r="DO194" i="3"/>
  <c r="BP195" i="3"/>
  <c r="CX195" i="3"/>
  <c r="EB195" i="3"/>
  <c r="BD196" i="3"/>
  <c r="AM196" i="3"/>
  <c r="FE196" i="3"/>
  <c r="EO196" i="3"/>
  <c r="DZ196" i="3"/>
  <c r="CV196" i="3"/>
  <c r="CG196" i="3"/>
  <c r="BR196" i="3"/>
  <c r="CI198" i="3"/>
  <c r="BL200" i="3"/>
  <c r="BE201" i="3"/>
  <c r="BF205" i="3"/>
  <c r="EN206" i="3"/>
  <c r="CF206" i="3"/>
  <c r="DY206" i="3"/>
  <c r="BQ206" i="3"/>
  <c r="FD206" i="3"/>
  <c r="CU206" i="3"/>
  <c r="EL207" i="3"/>
  <c r="CD207" i="3"/>
  <c r="FB207" i="3"/>
  <c r="DW207" i="3"/>
  <c r="CS207" i="3"/>
  <c r="DQ198" i="3"/>
  <c r="BI198" i="3"/>
  <c r="EC198" i="3"/>
  <c r="BU198" i="3"/>
  <c r="CJ198" i="3"/>
  <c r="EE199" i="3"/>
  <c r="DV200" i="3"/>
  <c r="BN200" i="3"/>
  <c r="BD203" i="3"/>
  <c r="DZ203" i="3"/>
  <c r="BR203" i="3"/>
  <c r="CV203" i="3"/>
  <c r="BS204" i="3"/>
  <c r="EH205" i="3"/>
  <c r="CM212" i="3"/>
  <c r="EV212" i="3"/>
  <c r="DQ212" i="3"/>
  <c r="BI212" i="3"/>
  <c r="BX212" i="3"/>
  <c r="CY212" i="3"/>
  <c r="FH212" i="3"/>
  <c r="BU212" i="3"/>
  <c r="ER212" i="3"/>
  <c r="EF212" i="3"/>
  <c r="DY214" i="3"/>
  <c r="BQ214" i="3"/>
  <c r="CU214" i="3"/>
  <c r="EN214" i="3"/>
  <c r="CF214" i="3"/>
  <c r="FD214" i="3"/>
  <c r="DW200" i="3"/>
  <c r="BO200" i="3"/>
  <c r="AM201" i="3"/>
  <c r="FC201" i="3"/>
  <c r="CT201" i="3"/>
  <c r="BS203" i="3"/>
  <c r="CW203" i="3"/>
  <c r="ED204" i="3"/>
  <c r="BZ205" i="3"/>
  <c r="CO205" i="3"/>
  <c r="AM208" i="3"/>
  <c r="BF210" i="3"/>
  <c r="FA210" i="3"/>
  <c r="DV210" i="3"/>
  <c r="EK210" i="3"/>
  <c r="BN210" i="3"/>
  <c r="AM197" i="3"/>
  <c r="FC197" i="3"/>
  <c r="CT197" i="3"/>
  <c r="BE198" i="3"/>
  <c r="BF199" i="3"/>
  <c r="EK199" i="3"/>
  <c r="CC199" i="3"/>
  <c r="DV199" i="3"/>
  <c r="BN199" i="3"/>
  <c r="CR199" i="3"/>
  <c r="BC200" i="3"/>
  <c r="AM200" i="3"/>
  <c r="EN202" i="3"/>
  <c r="CF202" i="3"/>
  <c r="DY202" i="3"/>
  <c r="BQ202" i="3"/>
  <c r="BT203" i="3"/>
  <c r="CH203" i="3"/>
  <c r="EA203" i="3"/>
  <c r="EP203" i="3"/>
  <c r="FG203" i="3"/>
  <c r="EH204" i="3"/>
  <c r="BZ204" i="3"/>
  <c r="DS204" i="3"/>
  <c r="BK204" i="3"/>
  <c r="EX204" i="3"/>
  <c r="BC210" i="3"/>
  <c r="CS210" i="3"/>
  <c r="DW210" i="3"/>
  <c r="BO210" i="3"/>
  <c r="FB210" i="3"/>
  <c r="EL210" i="3"/>
  <c r="CP211" i="3"/>
  <c r="R211" i="3" s="1"/>
  <c r="DT211" i="3"/>
  <c r="BL211" i="3"/>
  <c r="EI211" i="3"/>
  <c r="CA211" i="3"/>
  <c r="CM216" i="3"/>
  <c r="DQ216" i="3"/>
  <c r="BI216" i="3"/>
  <c r="BX216" i="3"/>
  <c r="EV216" i="3"/>
  <c r="EF216" i="3"/>
  <c r="CY216" i="3"/>
  <c r="FH216" i="3"/>
  <c r="CJ216" i="3"/>
  <c r="EC216" i="3"/>
  <c r="ER216" i="3"/>
  <c r="BU216" i="3"/>
  <c r="FD210" i="3"/>
  <c r="EN210" i="3"/>
  <c r="DY210" i="3"/>
  <c r="CU210" i="3"/>
  <c r="DV211" i="3"/>
  <c r="FA211" i="3"/>
  <c r="EK211" i="3"/>
  <c r="CR211" i="3"/>
  <c r="EX223" i="3"/>
  <c r="CO223" i="3"/>
  <c r="DS223" i="3"/>
  <c r="BK223" i="3"/>
  <c r="EH223" i="3"/>
  <c r="BZ223" i="3"/>
  <c r="EI192" i="3"/>
  <c r="CA192" i="3"/>
  <c r="DZ195" i="3"/>
  <c r="BR195" i="3"/>
  <c r="DO195" i="3"/>
  <c r="CC197" i="3"/>
  <c r="BK198" i="3"/>
  <c r="DY199" i="3"/>
  <c r="BQ199" i="3"/>
  <c r="CU199" i="3"/>
  <c r="ET200" i="3"/>
  <c r="CK200" i="3"/>
  <c r="FF200" i="3"/>
  <c r="CW200" i="3"/>
  <c r="CE200" i="3"/>
  <c r="CT200" i="3"/>
  <c r="EE201" i="3"/>
  <c r="BW201" i="3"/>
  <c r="DP201" i="3"/>
  <c r="BH201" i="3"/>
  <c r="EQ201" i="3"/>
  <c r="CI201" i="3"/>
  <c r="EB201" i="3"/>
  <c r="BT201" i="3"/>
  <c r="CX201" i="3"/>
  <c r="FG201" i="3"/>
  <c r="DP202" i="3"/>
  <c r="BH202" i="3"/>
  <c r="EB202" i="3"/>
  <c r="BT202" i="3"/>
  <c r="CI202" i="3"/>
  <c r="BG203" i="3"/>
  <c r="BW203" i="3"/>
  <c r="CK203" i="3"/>
  <c r="ED203" i="3"/>
  <c r="DV204" i="3"/>
  <c r="BN204" i="3"/>
  <c r="EK204" i="3"/>
  <c r="FA204" i="3"/>
  <c r="DO206" i="3"/>
  <c r="BG206" i="3"/>
  <c r="EA206" i="3"/>
  <c r="BS206" i="3"/>
  <c r="BP207" i="3"/>
  <c r="FC207" i="3"/>
  <c r="EM207" i="3"/>
  <c r="DX207" i="3"/>
  <c r="CE207" i="3"/>
  <c r="EH208" i="3"/>
  <c r="DS208" i="3"/>
  <c r="CO208" i="3"/>
  <c r="BZ208" i="3"/>
  <c r="Q208" i="3" s="1"/>
  <c r="DV209" i="3"/>
  <c r="CR209" i="3"/>
  <c r="CC209" i="3"/>
  <c r="BD210" i="3"/>
  <c r="AM210" i="3"/>
  <c r="EO210" i="3"/>
  <c r="CG210" i="3"/>
  <c r="FE210" i="3"/>
  <c r="DZ210" i="3"/>
  <c r="BR210" i="3"/>
  <c r="EL211" i="3"/>
  <c r="CD211" i="3"/>
  <c r="DW211" i="3"/>
  <c r="FB211" i="3"/>
  <c r="BO211" i="3"/>
  <c r="EK212" i="3"/>
  <c r="DV212" i="3"/>
  <c r="BN212" i="3"/>
  <c r="CR212" i="3"/>
  <c r="CC212" i="3"/>
  <c r="AM213" i="3"/>
  <c r="CV213" i="3"/>
  <c r="DZ213" i="3"/>
  <c r="BR213" i="3"/>
  <c r="FE213" i="3"/>
  <c r="EO213" i="3"/>
  <c r="CG213" i="3"/>
  <c r="DR215" i="3"/>
  <c r="BJ215" i="3"/>
  <c r="BY215" i="3"/>
  <c r="EG215" i="3"/>
  <c r="AM193" i="3"/>
  <c r="EN194" i="3"/>
  <c r="CF194" i="3"/>
  <c r="EH196" i="3"/>
  <c r="BZ196" i="3"/>
  <c r="EE197" i="3"/>
  <c r="BW197" i="3"/>
  <c r="EQ197" i="3"/>
  <c r="CI197" i="3"/>
  <c r="BP197" i="3"/>
  <c r="CR197" i="3"/>
  <c r="DV197" i="3"/>
  <c r="BD199" i="3"/>
  <c r="DZ199" i="3"/>
  <c r="BR199" i="3"/>
  <c r="CF199" i="3"/>
  <c r="CV199" i="3"/>
  <c r="EA200" i="3"/>
  <c r="EF201" i="3"/>
  <c r="BX201" i="3"/>
  <c r="ER201" i="3"/>
  <c r="CJ201" i="3"/>
  <c r="CY201" i="3"/>
  <c r="FH201" i="3"/>
  <c r="DQ202" i="3"/>
  <c r="BI202" i="3"/>
  <c r="EC202" i="3"/>
  <c r="BU202" i="3"/>
  <c r="CJ202" i="3"/>
  <c r="EE202" i="3"/>
  <c r="BH203" i="3"/>
  <c r="DO203" i="3"/>
  <c r="EE203" i="3"/>
  <c r="EU203" i="3"/>
  <c r="DW204" i="3"/>
  <c r="BO204" i="3"/>
  <c r="CR204" i="3"/>
  <c r="EL204" i="3"/>
  <c r="FB204" i="3"/>
  <c r="DP206" i="3"/>
  <c r="BH206" i="3"/>
  <c r="EU206" i="3"/>
  <c r="EB206" i="3"/>
  <c r="BT206" i="3"/>
  <c r="FG206" i="3"/>
  <c r="EG206" i="3"/>
  <c r="FD207" i="3"/>
  <c r="BQ207" i="3"/>
  <c r="CF207" i="3"/>
  <c r="EI208" i="3"/>
  <c r="CA208" i="3"/>
  <c r="DT208" i="3"/>
  <c r="CP208" i="3"/>
  <c r="BL208" i="3"/>
  <c r="BF209" i="3"/>
  <c r="EL209" i="3"/>
  <c r="CD209" i="3"/>
  <c r="CS209" i="3"/>
  <c r="BO209" i="3"/>
  <c r="FA209" i="3"/>
  <c r="BN211" i="3"/>
  <c r="CJ212" i="3"/>
  <c r="CN215" i="3"/>
  <c r="DT219" i="3"/>
  <c r="CP219" i="3"/>
  <c r="EI219" i="3"/>
  <c r="EY219" i="3"/>
  <c r="BL219" i="3"/>
  <c r="CB220" i="3"/>
  <c r="EJ220" i="3"/>
  <c r="EZ220" i="3"/>
  <c r="CQ220" i="3"/>
  <c r="DU220" i="3"/>
  <c r="BM220" i="3"/>
  <c r="CQ218" i="3"/>
  <c r="DU218" i="3"/>
  <c r="BM218" i="3"/>
  <c r="EZ218" i="3"/>
  <c r="CB218" i="3"/>
  <c r="DU196" i="3"/>
  <c r="BM196" i="3"/>
  <c r="DR197" i="3"/>
  <c r="BJ197" i="3"/>
  <c r="BC197" i="3"/>
  <c r="DX197" i="3"/>
  <c r="EN198" i="3"/>
  <c r="CF198" i="3"/>
  <c r="DY198" i="3"/>
  <c r="BQ198" i="3"/>
  <c r="BT199" i="3"/>
  <c r="DS201" i="3"/>
  <c r="BK201" i="3"/>
  <c r="BE202" i="3"/>
  <c r="CL202" i="3"/>
  <c r="S202" i="3" s="1"/>
  <c r="EU202" i="3"/>
  <c r="BF203" i="3"/>
  <c r="EK203" i="3"/>
  <c r="CC203" i="3"/>
  <c r="Q203" i="3" s="1"/>
  <c r="DV203" i="3"/>
  <c r="BN203" i="3"/>
  <c r="CR203" i="3"/>
  <c r="DY204" i="3"/>
  <c r="EN204" i="3"/>
  <c r="EF205" i="3"/>
  <c r="BX205" i="3"/>
  <c r="ER205" i="3"/>
  <c r="CJ205" i="3"/>
  <c r="CY205" i="3"/>
  <c r="BW206" i="3"/>
  <c r="CL206" i="3"/>
  <c r="S206" i="3" s="1"/>
  <c r="FA208" i="3"/>
  <c r="CR208" i="3"/>
  <c r="CC208" i="3"/>
  <c r="BN208" i="3"/>
  <c r="FD209" i="3"/>
  <c r="CU209" i="3"/>
  <c r="CF209" i="3"/>
  <c r="BQ209" i="3"/>
  <c r="CD210" i="3"/>
  <c r="AM211" i="3"/>
  <c r="DZ211" i="3"/>
  <c r="BR211" i="3"/>
  <c r="CV211" i="3"/>
  <c r="FE211" i="3"/>
  <c r="EO211" i="3"/>
  <c r="CG211" i="3"/>
  <c r="FA212" i="3"/>
  <c r="EJ218" i="3"/>
  <c r="DP194" i="3"/>
  <c r="BH194" i="3"/>
  <c r="EB194" i="3"/>
  <c r="BT194" i="3"/>
  <c r="EU194" i="3"/>
  <c r="CG195" i="3"/>
  <c r="DV196" i="3"/>
  <c r="BN196" i="3"/>
  <c r="DS197" i="3"/>
  <c r="BK197" i="3"/>
  <c r="CX197" i="3"/>
  <c r="EM197" i="3"/>
  <c r="EO198" i="3"/>
  <c r="CG198" i="3"/>
  <c r="CI199" i="3"/>
  <c r="EB199" i="3"/>
  <c r="FG199" i="3"/>
  <c r="EH200" i="3"/>
  <c r="BZ200" i="3"/>
  <c r="Q200" i="3" s="1"/>
  <c r="DS200" i="3"/>
  <c r="BK200" i="3"/>
  <c r="ED200" i="3"/>
  <c r="DT201" i="3"/>
  <c r="BL201" i="3"/>
  <c r="CL201" i="3"/>
  <c r="R201" i="3" s="1"/>
  <c r="EU201" i="3"/>
  <c r="CM202" i="3"/>
  <c r="EH202" i="3"/>
  <c r="EV202" i="3"/>
  <c r="EL203" i="3"/>
  <c r="CD203" i="3"/>
  <c r="CS203" i="3"/>
  <c r="FA203" i="3"/>
  <c r="DR205" i="3"/>
  <c r="BJ205" i="3"/>
  <c r="EC205" i="3"/>
  <c r="BE206" i="3"/>
  <c r="CN206" i="3"/>
  <c r="EE207" i="3"/>
  <c r="DP207" i="3"/>
  <c r="FG207" i="3"/>
  <c r="EQ207" i="3"/>
  <c r="EB207" i="3"/>
  <c r="BT207" i="3"/>
  <c r="CI207" i="3"/>
  <c r="EN207" i="3"/>
  <c r="EX208" i="3"/>
  <c r="EK209" i="3"/>
  <c r="Q211" i="3"/>
  <c r="CS218" i="3"/>
  <c r="FB218" i="3"/>
  <c r="CD218" i="3"/>
  <c r="BO218" i="3"/>
  <c r="EL218" i="3"/>
  <c r="DW218" i="3"/>
  <c r="ET204" i="3"/>
  <c r="CK204" i="3"/>
  <c r="FF204" i="3"/>
  <c r="CW204" i="3"/>
  <c r="EA204" i="3"/>
  <c r="EP204" i="3"/>
  <c r="DS205" i="3"/>
  <c r="BK205" i="3"/>
  <c r="CF210" i="3"/>
  <c r="CS211" i="3"/>
  <c r="ET215" i="3"/>
  <c r="ED215" i="3"/>
  <c r="DO215" i="3"/>
  <c r="FF215" i="3"/>
  <c r="EP215" i="3"/>
  <c r="EA215" i="3"/>
  <c r="CW215" i="3"/>
  <c r="BS215" i="3"/>
  <c r="DX211" i="3"/>
  <c r="BP211" i="3"/>
  <c r="EI212" i="3"/>
  <c r="EY212" i="3"/>
  <c r="CA212" i="3"/>
  <c r="CL215" i="3"/>
  <c r="EE215" i="3"/>
  <c r="BW215" i="3"/>
  <c r="DP215" i="3"/>
  <c r="BH215" i="3"/>
  <c r="EU215" i="3"/>
  <c r="CX215" i="3"/>
  <c r="EQ215" i="3"/>
  <c r="CI215" i="3"/>
  <c r="EB215" i="3"/>
  <c r="BT215" i="3"/>
  <c r="BE217" i="3"/>
  <c r="DY218" i="3"/>
  <c r="BQ218" i="3"/>
  <c r="CU218" i="3"/>
  <c r="EN218" i="3"/>
  <c r="FD218" i="3"/>
  <c r="CF218" i="3"/>
  <c r="CK207" i="3"/>
  <c r="DW208" i="3"/>
  <c r="BO208" i="3"/>
  <c r="CS208" i="3"/>
  <c r="CV209" i="3"/>
  <c r="DZ209" i="3"/>
  <c r="BR209" i="3"/>
  <c r="EC209" i="3"/>
  <c r="EQ209" i="3"/>
  <c r="DO210" i="3"/>
  <c r="BG210" i="3"/>
  <c r="EA210" i="3"/>
  <c r="BS210" i="3"/>
  <c r="CB212" i="3"/>
  <c r="EJ212" i="3"/>
  <c r="DU212" i="3"/>
  <c r="BM212" i="3"/>
  <c r="CB214" i="3"/>
  <c r="BV215" i="3"/>
  <c r="FG215" i="3"/>
  <c r="EZ217" i="3"/>
  <c r="EJ217" i="3"/>
  <c r="CB217" i="3"/>
  <c r="CQ217" i="3"/>
  <c r="DU217" i="3"/>
  <c r="EH203" i="3"/>
  <c r="BW204" i="3"/>
  <c r="Q204" i="3" s="1"/>
  <c r="CI204" i="3"/>
  <c r="EE204" i="3"/>
  <c r="EQ204" i="3"/>
  <c r="CF205" i="3"/>
  <c r="EN205" i="3"/>
  <c r="CC206" i="3"/>
  <c r="EK206" i="3"/>
  <c r="ER207" i="3"/>
  <c r="CJ207" i="3"/>
  <c r="BZ207" i="3"/>
  <c r="CM207" i="3"/>
  <c r="EA207" i="3"/>
  <c r="DO208" i="3"/>
  <c r="ED208" i="3"/>
  <c r="DQ210" i="3"/>
  <c r="BI210" i="3"/>
  <c r="CM210" i="3"/>
  <c r="EC210" i="3"/>
  <c r="BU210" i="3"/>
  <c r="CY210" i="3"/>
  <c r="CH210" i="3"/>
  <c r="CW210" i="3"/>
  <c r="CE211" i="3"/>
  <c r="CT211" i="3"/>
  <c r="DW212" i="3"/>
  <c r="EL212" i="3"/>
  <c r="BO212" i="3"/>
  <c r="CS212" i="3"/>
  <c r="CQ212" i="3"/>
  <c r="DP220" i="3"/>
  <c r="CL220" i="3"/>
  <c r="BH220" i="3"/>
  <c r="BW220" i="3"/>
  <c r="EU220" i="3"/>
  <c r="EB220" i="3"/>
  <c r="CI220" i="3"/>
  <c r="EQ220" i="3"/>
  <c r="CX220" i="3"/>
  <c r="EO208" i="3"/>
  <c r="CG208" i="3"/>
  <c r="EF209" i="3"/>
  <c r="BX209" i="3"/>
  <c r="Q209" i="3" s="1"/>
  <c r="ER209" i="3"/>
  <c r="CJ209" i="3"/>
  <c r="BL212" i="3"/>
  <c r="DT212" i="3"/>
  <c r="EZ213" i="3"/>
  <c r="EJ213" i="3"/>
  <c r="CB213" i="3"/>
  <c r="Q213" i="3" s="1"/>
  <c r="BM213" i="3"/>
  <c r="CP215" i="3"/>
  <c r="BL215" i="3"/>
  <c r="CA215" i="3"/>
  <c r="BG215" i="3"/>
  <c r="BC216" i="3"/>
  <c r="FC216" i="3"/>
  <c r="EM216" i="3"/>
  <c r="CE216" i="3"/>
  <c r="CT216" i="3"/>
  <c r="DX216" i="3"/>
  <c r="CT217" i="3"/>
  <c r="DX217" i="3"/>
  <c r="BP217" i="3"/>
  <c r="FC217" i="3"/>
  <c r="EM217" i="3"/>
  <c r="CL219" i="3"/>
  <c r="BW219" i="3"/>
  <c r="EU219" i="3"/>
  <c r="EE219" i="3"/>
  <c r="BH219" i="3"/>
  <c r="DP219" i="3"/>
  <c r="FG219" i="3"/>
  <c r="EQ219" i="3"/>
  <c r="CI219" i="3"/>
  <c r="BT219" i="3"/>
  <c r="CO207" i="3"/>
  <c r="DO207" i="3"/>
  <c r="EC207" i="3"/>
  <c r="EV209" i="3"/>
  <c r="BV210" i="3"/>
  <c r="CJ210" i="3"/>
  <c r="FF210" i="3"/>
  <c r="EV211" i="3"/>
  <c r="EF211" i="3"/>
  <c r="BX211" i="3"/>
  <c r="FH211" i="3"/>
  <c r="ER211" i="3"/>
  <c r="CJ211" i="3"/>
  <c r="EM211" i="3"/>
  <c r="DY212" i="3"/>
  <c r="FD212" i="3"/>
  <c r="CD212" i="3"/>
  <c r="CR213" i="3"/>
  <c r="EK213" i="3"/>
  <c r="CC213" i="3"/>
  <c r="FA213" i="3"/>
  <c r="BN213" i="3"/>
  <c r="FA214" i="3"/>
  <c r="EK214" i="3"/>
  <c r="CC214" i="3"/>
  <c r="DV214" i="3"/>
  <c r="BN214" i="3"/>
  <c r="CH215" i="3"/>
  <c r="AM216" i="3"/>
  <c r="CU216" i="3"/>
  <c r="EN216" i="3"/>
  <c r="CF216" i="3"/>
  <c r="DY216" i="3"/>
  <c r="BQ216" i="3"/>
  <c r="FD216" i="3"/>
  <c r="BC217" i="3"/>
  <c r="AM217" i="3"/>
  <c r="DR220" i="3"/>
  <c r="BJ220" i="3"/>
  <c r="CN220" i="3"/>
  <c r="S220" i="3" s="1"/>
  <c r="EW220" i="3"/>
  <c r="EG220" i="3"/>
  <c r="BY220" i="3"/>
  <c r="CL196" i="3"/>
  <c r="CX196" i="3"/>
  <c r="CU197" i="3"/>
  <c r="CR198" i="3"/>
  <c r="CO199" i="3"/>
  <c r="CL200" i="3"/>
  <c r="CX200" i="3"/>
  <c r="CU201" i="3"/>
  <c r="CR202" i="3"/>
  <c r="CO203" i="3"/>
  <c r="CL204" i="3"/>
  <c r="CX204" i="3"/>
  <c r="CU205" i="3"/>
  <c r="CR206" i="3"/>
  <c r="CP207" i="3"/>
  <c r="DT207" i="3"/>
  <c r="ED207" i="3"/>
  <c r="CD208" i="3"/>
  <c r="CG209" i="3"/>
  <c r="EY210" i="3"/>
  <c r="EI210" i="3"/>
  <c r="CA210" i="3"/>
  <c r="CK210" i="3"/>
  <c r="ED210" i="3"/>
  <c r="ER210" i="3"/>
  <c r="FH210" i="3"/>
  <c r="BT211" i="3"/>
  <c r="CX211" i="3"/>
  <c r="EN211" i="3"/>
  <c r="FC211" i="3"/>
  <c r="BD212" i="3"/>
  <c r="AM212" i="3"/>
  <c r="CU212" i="3"/>
  <c r="DZ212" i="3"/>
  <c r="CS214" i="3"/>
  <c r="CD214" i="3"/>
  <c r="BM214" i="3"/>
  <c r="DU214" i="3"/>
  <c r="EG219" i="3"/>
  <c r="CN219" i="3"/>
  <c r="EW219" i="3"/>
  <c r="BJ219" i="3"/>
  <c r="DR219" i="3"/>
  <c r="BY219" i="3"/>
  <c r="BC226" i="3"/>
  <c r="DQ207" i="3"/>
  <c r="FH207" i="3"/>
  <c r="CM208" i="3"/>
  <c r="DQ208" i="3"/>
  <c r="BI208" i="3"/>
  <c r="CY208" i="3"/>
  <c r="EC208" i="3"/>
  <c r="BU208" i="3"/>
  <c r="DT209" i="3"/>
  <c r="BL209" i="3"/>
  <c r="CP209" i="3"/>
  <c r="S209" i="3" s="1"/>
  <c r="EY209" i="3"/>
  <c r="BX210" i="3"/>
  <c r="BU211" i="3"/>
  <c r="CY211" i="3"/>
  <c r="DY211" i="3"/>
  <c r="CK212" i="3"/>
  <c r="ED212" i="3"/>
  <c r="BQ212" i="3"/>
  <c r="CF212" i="3"/>
  <c r="CV212" i="3"/>
  <c r="EA212" i="3"/>
  <c r="ET212" i="3"/>
  <c r="DX213" i="3"/>
  <c r="BP213" i="3"/>
  <c r="BO214" i="3"/>
  <c r="CQ214" i="3"/>
  <c r="DW214" i="3"/>
  <c r="CK215" i="3"/>
  <c r="DT215" i="3"/>
  <c r="CK216" i="3"/>
  <c r="DO216" i="3"/>
  <c r="BG216" i="3"/>
  <c r="ET216" i="3"/>
  <c r="CW216" i="3"/>
  <c r="EA216" i="3"/>
  <c r="BS216" i="3"/>
  <c r="EP216" i="3"/>
  <c r="FF216" i="3"/>
  <c r="CH216" i="3"/>
  <c r="EF221" i="3"/>
  <c r="BX221" i="3"/>
  <c r="Q221" i="3" s="1"/>
  <c r="EV221" i="3"/>
  <c r="DQ221" i="3"/>
  <c r="BI221" i="3"/>
  <c r="ER221" i="3"/>
  <c r="CJ221" i="3"/>
  <c r="CY221" i="3"/>
  <c r="FH221" i="3"/>
  <c r="EC221" i="3"/>
  <c r="EV222" i="3"/>
  <c r="CM222" i="3"/>
  <c r="DQ222" i="3"/>
  <c r="BI222" i="3"/>
  <c r="BX222" i="3"/>
  <c r="FH222" i="3"/>
  <c r="CY222" i="3"/>
  <c r="EC222" i="3"/>
  <c r="BU222" i="3"/>
  <c r="CJ222" i="3"/>
  <c r="BM224" i="3"/>
  <c r="CB224" i="3"/>
  <c r="FD226" i="3"/>
  <c r="EN226" i="3"/>
  <c r="CF226" i="3"/>
  <c r="BQ226" i="3"/>
  <c r="DS227" i="3"/>
  <c r="BK227" i="3"/>
  <c r="EX227" i="3"/>
  <c r="CO227" i="3"/>
  <c r="EQ212" i="3"/>
  <c r="FD213" i="3"/>
  <c r="EN213" i="3"/>
  <c r="CF213" i="3"/>
  <c r="DY213" i="3"/>
  <c r="BQ213" i="3"/>
  <c r="AM214" i="3"/>
  <c r="EP214" i="3"/>
  <c r="EX215" i="3"/>
  <c r="EH215" i="3"/>
  <c r="BZ215" i="3"/>
  <c r="DS215" i="3"/>
  <c r="BK215" i="3"/>
  <c r="CR217" i="3"/>
  <c r="EK217" i="3"/>
  <c r="CC217" i="3"/>
  <c r="DV217" i="3"/>
  <c r="BN217" i="3"/>
  <c r="AM218" i="3"/>
  <c r="BE220" i="3"/>
  <c r="EX221" i="3"/>
  <c r="DS221" i="3"/>
  <c r="CO221" i="3"/>
  <c r="BZ221" i="3"/>
  <c r="EW225" i="3"/>
  <c r="BY225" i="3"/>
  <c r="DR225" i="3"/>
  <c r="CN225" i="3"/>
  <c r="EI231" i="3"/>
  <c r="DT231" i="3"/>
  <c r="CP231" i="3"/>
  <c r="CA231" i="3"/>
  <c r="EY231" i="3"/>
  <c r="BL231" i="3"/>
  <c r="DT233" i="3"/>
  <c r="EY233" i="3"/>
  <c r="CA233" i="3"/>
  <c r="EI233" i="3"/>
  <c r="BL233" i="3"/>
  <c r="CP233" i="3"/>
  <c r="BC234" i="3"/>
  <c r="AM234" i="3"/>
  <c r="ED228" i="3"/>
  <c r="BV228" i="3"/>
  <c r="DO228" i="3"/>
  <c r="BG228" i="3"/>
  <c r="CK228" i="3"/>
  <c r="FF228" i="3"/>
  <c r="CH228" i="3"/>
  <c r="EP228" i="3"/>
  <c r="EA228" i="3"/>
  <c r="BS228" i="3"/>
  <c r="CW228" i="3"/>
  <c r="DP213" i="3"/>
  <c r="BH213" i="3"/>
  <c r="EB213" i="3"/>
  <c r="BT213" i="3"/>
  <c r="CH214" i="3"/>
  <c r="DV215" i="3"/>
  <c r="BN215" i="3"/>
  <c r="CR215" i="3"/>
  <c r="DS216" i="3"/>
  <c r="BK216" i="3"/>
  <c r="CO216" i="3"/>
  <c r="DO218" i="3"/>
  <c r="BG218" i="3"/>
  <c r="ET218" i="3"/>
  <c r="CK218" i="3"/>
  <c r="EA218" i="3"/>
  <c r="BS218" i="3"/>
  <c r="FF218" i="3"/>
  <c r="CW218" i="3"/>
  <c r="FA219" i="3"/>
  <c r="BN219" i="3"/>
  <c r="DV219" i="3"/>
  <c r="CR219" i="3"/>
  <c r="FA222" i="3"/>
  <c r="CR222" i="3"/>
  <c r="R222" i="3" s="1"/>
  <c r="BN222" i="3"/>
  <c r="DV222" i="3"/>
  <c r="CC222" i="3"/>
  <c r="EK222" i="3"/>
  <c r="EL223" i="3"/>
  <c r="CD223" i="3"/>
  <c r="CS223" i="3"/>
  <c r="BO223" i="3"/>
  <c r="DW223" i="3"/>
  <c r="AM224" i="3"/>
  <c r="EO224" i="3"/>
  <c r="CG224" i="3"/>
  <c r="AM227" i="3"/>
  <c r="BC227" i="3"/>
  <c r="DS230" i="3"/>
  <c r="EH230" i="3"/>
  <c r="CO230" i="3"/>
  <c r="S230" i="3" s="1"/>
  <c r="BK230" i="3"/>
  <c r="BZ230" i="3"/>
  <c r="EX230" i="3"/>
  <c r="EH212" i="3"/>
  <c r="EF213" i="3"/>
  <c r="BX213" i="3"/>
  <c r="ER213" i="3"/>
  <c r="CJ213" i="3"/>
  <c r="CX213" i="3"/>
  <c r="CL214" i="3"/>
  <c r="EE214" i="3"/>
  <c r="BW214" i="3"/>
  <c r="CX214" i="3"/>
  <c r="EQ214" i="3"/>
  <c r="CI214" i="3"/>
  <c r="ED214" i="3"/>
  <c r="EH216" i="3"/>
  <c r="BD217" i="3"/>
  <c r="EO217" i="3"/>
  <c r="FE217" i="3"/>
  <c r="BV218" i="3"/>
  <c r="BF219" i="3"/>
  <c r="CW222" i="3"/>
  <c r="BC223" i="3"/>
  <c r="AM223" i="3"/>
  <c r="EJ224" i="3"/>
  <c r="CI213" i="3"/>
  <c r="EQ213" i="3"/>
  <c r="FG213" i="3"/>
  <c r="BS214" i="3"/>
  <c r="CK214" i="3"/>
  <c r="AM215" i="3"/>
  <c r="CT215" i="3"/>
  <c r="DX215" i="3"/>
  <c r="DU216" i="3"/>
  <c r="BM216" i="3"/>
  <c r="EZ216" i="3"/>
  <c r="CQ216" i="3"/>
  <c r="EJ216" i="3"/>
  <c r="AM219" i="3"/>
  <c r="FC219" i="3"/>
  <c r="BP219" i="3"/>
  <c r="EM219" i="3"/>
  <c r="CT219" i="3"/>
  <c r="CK219" i="3"/>
  <c r="EP219" i="3"/>
  <c r="EM221" i="3"/>
  <c r="CE221" i="3"/>
  <c r="FC221" i="3"/>
  <c r="BP221" i="3"/>
  <c r="CT221" i="3"/>
  <c r="FD223" i="3"/>
  <c r="DY223" i="3"/>
  <c r="BQ223" i="3"/>
  <c r="CU223" i="3"/>
  <c r="EU224" i="3"/>
  <c r="CL224" i="3"/>
  <c r="EE224" i="3"/>
  <c r="BH224" i="3"/>
  <c r="BW224" i="3"/>
  <c r="FG224" i="3"/>
  <c r="CX224" i="3"/>
  <c r="CI224" i="3"/>
  <c r="EQ224" i="3"/>
  <c r="EL225" i="3"/>
  <c r="CD225" i="3"/>
  <c r="DW225" i="3"/>
  <c r="FB225" i="3"/>
  <c r="BO225" i="3"/>
  <c r="CS225" i="3"/>
  <c r="BZ227" i="3"/>
  <c r="DU230" i="3"/>
  <c r="BM230" i="3"/>
  <c r="CQ230" i="3"/>
  <c r="CB230" i="3"/>
  <c r="EJ230" i="3"/>
  <c r="EZ230" i="3"/>
  <c r="BE213" i="3"/>
  <c r="CO213" i="3"/>
  <c r="EH213" i="3"/>
  <c r="BU213" i="3"/>
  <c r="FH213" i="3"/>
  <c r="BC214" i="3"/>
  <c r="BT214" i="3"/>
  <c r="DO214" i="3"/>
  <c r="EG214" i="3"/>
  <c r="CU215" i="3"/>
  <c r="EN215" i="3"/>
  <c r="CF215" i="3"/>
  <c r="CC215" i="3"/>
  <c r="DY215" i="3"/>
  <c r="DP217" i="3"/>
  <c r="BH217" i="3"/>
  <c r="CL217" i="3"/>
  <c r="EB217" i="3"/>
  <c r="BT217" i="3"/>
  <c r="CX217" i="3"/>
  <c r="EQ217" i="3"/>
  <c r="FG217" i="3"/>
  <c r="EW218" i="3"/>
  <c r="EG218" i="3"/>
  <c r="BY218" i="3"/>
  <c r="BC218" i="3"/>
  <c r="ED218" i="3"/>
  <c r="AM221" i="3"/>
  <c r="CM221" i="3"/>
  <c r="EN222" i="3"/>
  <c r="CF222" i="3"/>
  <c r="DY222" i="3"/>
  <c r="CU222" i="3"/>
  <c r="FD222" i="3"/>
  <c r="FB223" i="3"/>
  <c r="EG225" i="3"/>
  <c r="EJ226" i="3"/>
  <c r="CB226" i="3"/>
  <c r="EZ226" i="3"/>
  <c r="CQ226" i="3"/>
  <c r="DU226" i="3"/>
  <c r="EH227" i="3"/>
  <c r="AM233" i="3"/>
  <c r="DT213" i="3"/>
  <c r="BL213" i="3"/>
  <c r="CL213" i="3"/>
  <c r="EC213" i="3"/>
  <c r="CO214" i="3"/>
  <c r="EH214" i="3"/>
  <c r="BZ214" i="3"/>
  <c r="DS214" i="3"/>
  <c r="BK214" i="3"/>
  <c r="BV214" i="3"/>
  <c r="CN214" i="3"/>
  <c r="DP214" i="3"/>
  <c r="CE215" i="3"/>
  <c r="BW217" i="3"/>
  <c r="DZ217" i="3"/>
  <c r="CO218" i="3"/>
  <c r="EH218" i="3"/>
  <c r="BZ218" i="3"/>
  <c r="DS218" i="3"/>
  <c r="BK218" i="3"/>
  <c r="DX219" i="3"/>
  <c r="BD220" i="3"/>
  <c r="AM220" i="3"/>
  <c r="EO220" i="3"/>
  <c r="CG220" i="3"/>
  <c r="DZ220" i="3"/>
  <c r="CV220" i="3"/>
  <c r="BR220" i="3"/>
  <c r="BU221" i="3"/>
  <c r="ER222" i="3"/>
  <c r="DP224" i="3"/>
  <c r="DY225" i="3"/>
  <c r="FD225" i="3"/>
  <c r="CU225" i="3"/>
  <c r="EN225" i="3"/>
  <c r="BQ225" i="3"/>
  <c r="BM226" i="3"/>
  <c r="DY226" i="3"/>
  <c r="DR217" i="3"/>
  <c r="BJ217" i="3"/>
  <c r="EW217" i="3"/>
  <c r="CN217" i="3"/>
  <c r="S217" i="3" s="1"/>
  <c r="BY217" i="3"/>
  <c r="BE218" i="3"/>
  <c r="DO219" i="3"/>
  <c r="BV219" i="3"/>
  <c r="CW219" i="3"/>
  <c r="EA219" i="3"/>
  <c r="CH219" i="3"/>
  <c r="BG222" i="3"/>
  <c r="DO222" i="3"/>
  <c r="BV222" i="3"/>
  <c r="EA222" i="3"/>
  <c r="CH222" i="3"/>
  <c r="FF222" i="3"/>
  <c r="EP222" i="3"/>
  <c r="ET222" i="3"/>
  <c r="BE224" i="3"/>
  <c r="DU224" i="3"/>
  <c r="EF227" i="3"/>
  <c r="BX227" i="3"/>
  <c r="DQ227" i="3"/>
  <c r="BI227" i="3"/>
  <c r="CM227" i="3"/>
  <c r="ER227" i="3"/>
  <c r="CJ227" i="3"/>
  <c r="EC227" i="3"/>
  <c r="BU227" i="3"/>
  <c r="CY227" i="3"/>
  <c r="CE230" i="3"/>
  <c r="BP230" i="3"/>
  <c r="EM230" i="3"/>
  <c r="DX230" i="3"/>
  <c r="CT230" i="3"/>
  <c r="CC216" i="3"/>
  <c r="EK216" i="3"/>
  <c r="BZ217" i="3"/>
  <c r="EH217" i="3"/>
  <c r="BW218" i="3"/>
  <c r="CI218" i="3"/>
  <c r="EE218" i="3"/>
  <c r="EQ218" i="3"/>
  <c r="CF219" i="3"/>
  <c r="DQ219" i="3"/>
  <c r="DQ220" i="3"/>
  <c r="BI220" i="3"/>
  <c r="EC220" i="3"/>
  <c r="BU220" i="3"/>
  <c r="CD220" i="3"/>
  <c r="CR220" i="3"/>
  <c r="DT220" i="3"/>
  <c r="EH220" i="3"/>
  <c r="EV220" i="3"/>
  <c r="EY221" i="3"/>
  <c r="CP221" i="3"/>
  <c r="DT221" i="3"/>
  <c r="BL221" i="3"/>
  <c r="CL221" i="3"/>
  <c r="CE223" i="3"/>
  <c r="DP228" i="3"/>
  <c r="BH228" i="3"/>
  <c r="CL228" i="3"/>
  <c r="EQ228" i="3"/>
  <c r="EB228" i="3"/>
  <c r="BT228" i="3"/>
  <c r="CX228" i="3"/>
  <c r="DT230" i="3"/>
  <c r="BL230" i="3"/>
  <c r="EI230" i="3"/>
  <c r="CP230" i="3"/>
  <c r="CA230" i="3"/>
  <c r="BE233" i="3"/>
  <c r="CB233" i="3"/>
  <c r="Q233" i="3" s="1"/>
  <c r="EJ233" i="3"/>
  <c r="BM233" i="3"/>
  <c r="DU233" i="3"/>
  <c r="CQ233" i="3"/>
  <c r="CS234" i="3"/>
  <c r="CD234" i="3"/>
  <c r="FB234" i="3"/>
  <c r="BO234" i="3"/>
  <c r="EL234" i="3"/>
  <c r="DW234" i="3"/>
  <c r="DV220" i="3"/>
  <c r="EX220" i="3"/>
  <c r="BF221" i="3"/>
  <c r="DP221" i="3"/>
  <c r="EE221" i="3"/>
  <c r="EI222" i="3"/>
  <c r="CA222" i="3"/>
  <c r="CP222" i="3"/>
  <c r="S222" i="3" s="1"/>
  <c r="FE223" i="3"/>
  <c r="CV223" i="3"/>
  <c r="DZ223" i="3"/>
  <c r="BR223" i="3"/>
  <c r="CG223" i="3"/>
  <c r="EH224" i="3"/>
  <c r="BZ224" i="3"/>
  <c r="CO224" i="3"/>
  <c r="DS224" i="3"/>
  <c r="EE225" i="3"/>
  <c r="BW225" i="3"/>
  <c r="Q225" i="3" s="1"/>
  <c r="EQ225" i="3"/>
  <c r="CI225" i="3"/>
  <c r="BD226" i="3"/>
  <c r="FE226" i="3"/>
  <c r="CV226" i="3"/>
  <c r="EO226" i="3"/>
  <c r="CG226" i="3"/>
  <c r="R226" i="3"/>
  <c r="FA227" i="3"/>
  <c r="EK227" i="3"/>
  <c r="CC227" i="3"/>
  <c r="BN227" i="3"/>
  <c r="EU228" i="3"/>
  <c r="FD234" i="3"/>
  <c r="BQ234" i="3"/>
  <c r="EN234" i="3"/>
  <c r="DY234" i="3"/>
  <c r="BH216" i="3"/>
  <c r="BT216" i="3"/>
  <c r="DP216" i="3"/>
  <c r="EB216" i="3"/>
  <c r="BQ217" i="3"/>
  <c r="DY217" i="3"/>
  <c r="BN218" i="3"/>
  <c r="DV218" i="3"/>
  <c r="BK219" i="3"/>
  <c r="CU219" i="3"/>
  <c r="EX219" i="3"/>
  <c r="EK220" i="3"/>
  <c r="EY220" i="3"/>
  <c r="EL221" i="3"/>
  <c r="CD221" i="3"/>
  <c r="EJ222" i="3"/>
  <c r="CB222" i="3"/>
  <c r="EZ222" i="3"/>
  <c r="CQ222" i="3"/>
  <c r="DT222" i="3"/>
  <c r="BP223" i="3"/>
  <c r="EI224" i="3"/>
  <c r="CA224" i="3"/>
  <c r="CP224" i="3"/>
  <c r="DT224" i="3"/>
  <c r="EF225" i="3"/>
  <c r="BX225" i="3"/>
  <c r="ER225" i="3"/>
  <c r="CJ225" i="3"/>
  <c r="BT225" i="3"/>
  <c r="CL225" i="3"/>
  <c r="R225" i="3" s="1"/>
  <c r="DP225" i="3"/>
  <c r="BF227" i="3"/>
  <c r="FB227" i="3"/>
  <c r="CS227" i="3"/>
  <c r="EL227" i="3"/>
  <c r="CD227" i="3"/>
  <c r="BO227" i="3"/>
  <c r="BE228" i="3"/>
  <c r="EX228" i="3"/>
  <c r="CO228" i="3"/>
  <c r="EH228" i="3"/>
  <c r="BZ228" i="3"/>
  <c r="BK228" i="3"/>
  <c r="EL232" i="3"/>
  <c r="CD232" i="3"/>
  <c r="DW232" i="3"/>
  <c r="FB232" i="3"/>
  <c r="BO232" i="3"/>
  <c r="BC222" i="3"/>
  <c r="DW222" i="3"/>
  <c r="BO222" i="3"/>
  <c r="CS222" i="3"/>
  <c r="EF223" i="3"/>
  <c r="BX223" i="3"/>
  <c r="ER223" i="3"/>
  <c r="CJ223" i="3"/>
  <c r="EV223" i="3"/>
  <c r="FA224" i="3"/>
  <c r="DV224" i="3"/>
  <c r="BN224" i="3"/>
  <c r="CR224" i="3"/>
  <c r="EX225" i="3"/>
  <c r="CO225" i="3"/>
  <c r="DS225" i="3"/>
  <c r="BK225" i="3"/>
  <c r="EV229" i="3"/>
  <c r="CM229" i="3"/>
  <c r="S229" i="3" s="1"/>
  <c r="EF229" i="3"/>
  <c r="DQ229" i="3"/>
  <c r="BX229" i="3"/>
  <c r="FH229" i="3"/>
  <c r="CY229" i="3"/>
  <c r="ER229" i="3"/>
  <c r="EC229" i="3"/>
  <c r="CJ229" i="3"/>
  <c r="BU229" i="3"/>
  <c r="AM230" i="3"/>
  <c r="EJ231" i="3"/>
  <c r="DU231" i="3"/>
  <c r="CQ231" i="3"/>
  <c r="CB231" i="3"/>
  <c r="BM231" i="3"/>
  <c r="DY232" i="3"/>
  <c r="BQ232" i="3"/>
  <c r="FD232" i="3"/>
  <c r="EN232" i="3"/>
  <c r="CU232" i="3"/>
  <c r="CF232" i="3"/>
  <c r="EM240" i="3"/>
  <c r="CE240" i="3"/>
  <c r="DX240" i="3"/>
  <c r="BP240" i="3"/>
  <c r="CT240" i="3"/>
  <c r="FC240" i="3"/>
  <c r="BW216" i="3"/>
  <c r="Q216" i="3" s="1"/>
  <c r="CI216" i="3"/>
  <c r="EE216" i="3"/>
  <c r="EQ216" i="3"/>
  <c r="CF217" i="3"/>
  <c r="EN217" i="3"/>
  <c r="CC218" i="3"/>
  <c r="EK218" i="3"/>
  <c r="CY219" i="3"/>
  <c r="DY219" i="3"/>
  <c r="FB220" i="3"/>
  <c r="CS220" i="3"/>
  <c r="BX220" i="3"/>
  <c r="DZ221" i="3"/>
  <c r="BR221" i="3"/>
  <c r="CV221" i="3"/>
  <c r="R221" i="3" s="1"/>
  <c r="BL222" i="3"/>
  <c r="CD222" i="3"/>
  <c r="EG223" i="3"/>
  <c r="BY223" i="3"/>
  <c r="EW223" i="3"/>
  <c r="BU223" i="3"/>
  <c r="CM223" i="3"/>
  <c r="R223" i="3" s="1"/>
  <c r="FB224" i="3"/>
  <c r="CS224" i="3"/>
  <c r="DW224" i="3"/>
  <c r="BO224" i="3"/>
  <c r="BK224" i="3"/>
  <c r="CC224" i="3"/>
  <c r="EY225" i="3"/>
  <c r="CP225" i="3"/>
  <c r="DT225" i="3"/>
  <c r="BL225" i="3"/>
  <c r="FG225" i="3"/>
  <c r="DV227" i="3"/>
  <c r="FA231" i="3"/>
  <c r="DV231" i="3"/>
  <c r="CR231" i="3"/>
  <c r="CC231" i="3"/>
  <c r="BN231" i="3"/>
  <c r="EZ233" i="3"/>
  <c r="EN221" i="3"/>
  <c r="BD222" i="3"/>
  <c r="AM222" i="3"/>
  <c r="EO222" i="3"/>
  <c r="CG222" i="3"/>
  <c r="DQ223" i="3"/>
  <c r="BI225" i="3"/>
  <c r="CA225" i="3"/>
  <c r="EI226" i="3"/>
  <c r="CA226" i="3"/>
  <c r="Q226" i="3" s="1"/>
  <c r="DT226" i="3"/>
  <c r="BL226" i="3"/>
  <c r="EY226" i="3"/>
  <c r="BW228" i="3"/>
  <c r="R231" i="3"/>
  <c r="CL232" i="3"/>
  <c r="BW232" i="3"/>
  <c r="BH232" i="3"/>
  <c r="FG232" i="3"/>
  <c r="EQ232" i="3"/>
  <c r="EB232" i="3"/>
  <c r="CX232" i="3"/>
  <c r="CI232" i="3"/>
  <c r="BT232" i="3"/>
  <c r="CF234" i="3"/>
  <c r="EU239" i="3"/>
  <c r="CL239" i="3"/>
  <c r="R239" i="3" s="1"/>
  <c r="BW239" i="3"/>
  <c r="DP239" i="3"/>
  <c r="BH239" i="3"/>
  <c r="EE239" i="3"/>
  <c r="FG239" i="3"/>
  <c r="BT239" i="3"/>
  <c r="CI239" i="3"/>
  <c r="EB239" i="3"/>
  <c r="CX239" i="3"/>
  <c r="EQ239" i="3"/>
  <c r="BI214" i="3"/>
  <c r="BU214" i="3"/>
  <c r="CG214" i="3"/>
  <c r="CD215" i="3"/>
  <c r="BO216" i="3"/>
  <c r="CA216" i="3"/>
  <c r="BL217" i="3"/>
  <c r="BX217" i="3"/>
  <c r="Q217" i="3" s="1"/>
  <c r="CJ217" i="3"/>
  <c r="BI218" i="3"/>
  <c r="BU218" i="3"/>
  <c r="CG218" i="3"/>
  <c r="BR219" i="3"/>
  <c r="EC219" i="3"/>
  <c r="ED220" i="3"/>
  <c r="BV220" i="3"/>
  <c r="EP220" i="3"/>
  <c r="CH220" i="3"/>
  <c r="BN220" i="3"/>
  <c r="EF220" i="3"/>
  <c r="ET220" i="3"/>
  <c r="FH220" i="3"/>
  <c r="BT221" i="3"/>
  <c r="DY221" i="3"/>
  <c r="EU222" i="3"/>
  <c r="DP222" i="3"/>
  <c r="FG222" i="3"/>
  <c r="EB222" i="3"/>
  <c r="BT222" i="3"/>
  <c r="BR222" i="3"/>
  <c r="EE222" i="3"/>
  <c r="BF223" i="3"/>
  <c r="EK223" i="3"/>
  <c r="CC223" i="3"/>
  <c r="Q223" i="3" s="1"/>
  <c r="BI223" i="3"/>
  <c r="EM223" i="3"/>
  <c r="ED224" i="3"/>
  <c r="BV224" i="3"/>
  <c r="Q224" i="3" s="1"/>
  <c r="ET224" i="3"/>
  <c r="EP224" i="3"/>
  <c r="CH224" i="3"/>
  <c r="FF224" i="3"/>
  <c r="AM225" i="3"/>
  <c r="BF225" i="3"/>
  <c r="EM225" i="3"/>
  <c r="CE225" i="3"/>
  <c r="FC225" i="3"/>
  <c r="CX225" i="3"/>
  <c r="EB225" i="3"/>
  <c r="DV226" i="3"/>
  <c r="BN226" i="3"/>
  <c r="FA226" i="3"/>
  <c r="CR226" i="3"/>
  <c r="EG227" i="3"/>
  <c r="BY227" i="3"/>
  <c r="DR227" i="3"/>
  <c r="BJ227" i="3"/>
  <c r="EW227" i="3"/>
  <c r="FE228" i="3"/>
  <c r="CG228" i="3"/>
  <c r="EO228" i="3"/>
  <c r="DZ228" i="3"/>
  <c r="BR228" i="3"/>
  <c r="CR229" i="3"/>
  <c r="BN229" i="3"/>
  <c r="CC229" i="3"/>
  <c r="FA229" i="3"/>
  <c r="DV229" i="3"/>
  <c r="BI229" i="3"/>
  <c r="EZ231" i="3"/>
  <c r="FD240" i="3"/>
  <c r="CF240" i="3"/>
  <c r="CU240" i="3"/>
  <c r="DY240" i="3"/>
  <c r="BQ240" i="3"/>
  <c r="DS247" i="3"/>
  <c r="BK247" i="3"/>
  <c r="EX247" i="3"/>
  <c r="CO247" i="3"/>
  <c r="BZ247" i="3"/>
  <c r="EH247" i="3"/>
  <c r="DQ239" i="3"/>
  <c r="BI239" i="3"/>
  <c r="EV239" i="3"/>
  <c r="CM239" i="3"/>
  <c r="BX239" i="3"/>
  <c r="EF239" i="3"/>
  <c r="EC239" i="3"/>
  <c r="BU239" i="3"/>
  <c r="FH239" i="3"/>
  <c r="CY239" i="3"/>
  <c r="CJ239" i="3"/>
  <c r="ER239" i="3"/>
  <c r="BQ227" i="3"/>
  <c r="DY227" i="3"/>
  <c r="BN228" i="3"/>
  <c r="DV228" i="3"/>
  <c r="EV228" i="3"/>
  <c r="EI229" i="3"/>
  <c r="CA229" i="3"/>
  <c r="DY230" i="3"/>
  <c r="FA230" i="3"/>
  <c r="FB231" i="3"/>
  <c r="CS231" i="3"/>
  <c r="BH231" i="3"/>
  <c r="CL231" i="3"/>
  <c r="S231" i="3" s="1"/>
  <c r="DZ231" i="3"/>
  <c r="DZ232" i="3"/>
  <c r="BR232" i="3"/>
  <c r="DS232" i="3"/>
  <c r="EV232" i="3"/>
  <c r="EK233" i="3"/>
  <c r="BN233" i="3"/>
  <c r="DV233" i="3"/>
  <c r="EM233" i="3"/>
  <c r="BD234" i="3"/>
  <c r="EO234" i="3"/>
  <c r="CG234" i="3"/>
  <c r="FE234" i="3"/>
  <c r="BR234" i="3"/>
  <c r="ED235" i="3"/>
  <c r="BV235" i="3"/>
  <c r="ET235" i="3"/>
  <c r="DO235" i="3"/>
  <c r="CK235" i="3"/>
  <c r="BG235" i="3"/>
  <c r="EP235" i="3"/>
  <c r="CH235" i="3"/>
  <c r="EA235" i="3"/>
  <c r="FF235" i="3"/>
  <c r="CW235" i="3"/>
  <c r="EV241" i="3"/>
  <c r="CM241" i="3"/>
  <c r="R241" i="3" s="1"/>
  <c r="EF241" i="3"/>
  <c r="BX241" i="3"/>
  <c r="DQ241" i="3"/>
  <c r="BI241" i="3"/>
  <c r="FH241" i="3"/>
  <c r="CY241" i="3"/>
  <c r="ER241" i="3"/>
  <c r="CJ241" i="3"/>
  <c r="EC241" i="3"/>
  <c r="BU241" i="3"/>
  <c r="EI242" i="3"/>
  <c r="BL242" i="3"/>
  <c r="EY242" i="3"/>
  <c r="CA242" i="3"/>
  <c r="CP223" i="3"/>
  <c r="CM224" i="3"/>
  <c r="CY224" i="3"/>
  <c r="CV225" i="3"/>
  <c r="BI226" i="3"/>
  <c r="BU226" i="3"/>
  <c r="CS226" i="3"/>
  <c r="DQ226" i="3"/>
  <c r="EC226" i="3"/>
  <c r="BR227" i="3"/>
  <c r="CP227" i="3"/>
  <c r="DZ227" i="3"/>
  <c r="BO228" i="3"/>
  <c r="CA228" i="3"/>
  <c r="CM228" i="3"/>
  <c r="CY228" i="3"/>
  <c r="DW228" i="3"/>
  <c r="EI228" i="3"/>
  <c r="EW228" i="3"/>
  <c r="EJ229" i="3"/>
  <c r="CB229" i="3"/>
  <c r="DY229" i="3"/>
  <c r="EN230" i="3"/>
  <c r="FB230" i="3"/>
  <c r="EQ231" i="3"/>
  <c r="DO232" i="3"/>
  <c r="BG232" i="3"/>
  <c r="EA232" i="3"/>
  <c r="BS232" i="3"/>
  <c r="BC233" i="3"/>
  <c r="EL233" i="3"/>
  <c r="BO233" i="3"/>
  <c r="DW233" i="3"/>
  <c r="ED234" i="3"/>
  <c r="DO234" i="3"/>
  <c r="EP234" i="3"/>
  <c r="EA234" i="3"/>
  <c r="CW234" i="3"/>
  <c r="BS234" i="3"/>
  <c r="EE235" i="3"/>
  <c r="CL235" i="3"/>
  <c r="BW235" i="3"/>
  <c r="BH235" i="3"/>
  <c r="EB235" i="3"/>
  <c r="FG235" i="3"/>
  <c r="EQ235" i="3"/>
  <c r="CX235" i="3"/>
  <c r="BP233" i="3"/>
  <c r="DX233" i="3"/>
  <c r="EE234" i="3"/>
  <c r="DP234" i="3"/>
  <c r="EQ234" i="3"/>
  <c r="EB234" i="3"/>
  <c r="BT234" i="3"/>
  <c r="FF234" i="3"/>
  <c r="CM235" i="3"/>
  <c r="BX235" i="3"/>
  <c r="BI235" i="3"/>
  <c r="EC235" i="3"/>
  <c r="FH235" i="3"/>
  <c r="ER235" i="3"/>
  <c r="CY235" i="3"/>
  <c r="CJ235" i="3"/>
  <c r="BU235" i="3"/>
  <c r="EK228" i="3"/>
  <c r="FA228" i="3"/>
  <c r="DW229" i="3"/>
  <c r="BO229" i="3"/>
  <c r="AM231" i="3"/>
  <c r="EO231" i="3"/>
  <c r="CG231" i="3"/>
  <c r="EE231" i="3"/>
  <c r="FD233" i="3"/>
  <c r="DY233" i="3"/>
  <c r="EP233" i="3"/>
  <c r="FF233" i="3"/>
  <c r="CL234" i="3"/>
  <c r="S234" i="3" s="1"/>
  <c r="FG234" i="3"/>
  <c r="DX237" i="3"/>
  <c r="BP237" i="3"/>
  <c r="FC237" i="3"/>
  <c r="BQ237" i="3"/>
  <c r="CP228" i="3"/>
  <c r="DX229" i="3"/>
  <c r="BP229" i="3"/>
  <c r="FD229" i="3"/>
  <c r="FE230" i="3"/>
  <c r="CV230" i="3"/>
  <c r="ED231" i="3"/>
  <c r="BV231" i="3"/>
  <c r="EP231" i="3"/>
  <c r="CH231" i="3"/>
  <c r="DP231" i="3"/>
  <c r="ET231" i="3"/>
  <c r="BU232" i="3"/>
  <c r="BD233" i="3"/>
  <c r="CD233" i="3"/>
  <c r="CT233" i="3"/>
  <c r="DZ233" i="3"/>
  <c r="BW234" i="3"/>
  <c r="Q234" i="3" s="1"/>
  <c r="EX235" i="3"/>
  <c r="CO235" i="3"/>
  <c r="BZ235" i="3"/>
  <c r="BK235" i="3"/>
  <c r="DP235" i="3"/>
  <c r="EL236" i="3"/>
  <c r="CD236" i="3"/>
  <c r="DW236" i="3"/>
  <c r="BO236" i="3"/>
  <c r="CS236" i="3"/>
  <c r="AM238" i="3"/>
  <c r="S243" i="3"/>
  <c r="EX232" i="3"/>
  <c r="CO232" i="3"/>
  <c r="CJ232" i="3"/>
  <c r="CY232" i="3"/>
  <c r="BQ233" i="3"/>
  <c r="CE233" i="3"/>
  <c r="CU233" i="3"/>
  <c r="EA233" i="3"/>
  <c r="CP235" i="3"/>
  <c r="CA235" i="3"/>
  <c r="BL235" i="3"/>
  <c r="EY235" i="3"/>
  <c r="EI235" i="3"/>
  <c r="DT235" i="3"/>
  <c r="DQ235" i="3"/>
  <c r="FE237" i="3"/>
  <c r="CV237" i="3"/>
  <c r="DZ237" i="3"/>
  <c r="CG237" i="3"/>
  <c r="BR237" i="3"/>
  <c r="FA241" i="3"/>
  <c r="EK241" i="3"/>
  <c r="BN241" i="3"/>
  <c r="CR241" i="3"/>
  <c r="CC241" i="3"/>
  <c r="DV241" i="3"/>
  <c r="CU227" i="3"/>
  <c r="BD229" i="3"/>
  <c r="AM229" i="3"/>
  <c r="BM229" i="3"/>
  <c r="CQ229" i="3"/>
  <c r="BO230" i="3"/>
  <c r="CC230" i="3"/>
  <c r="DQ231" i="3"/>
  <c r="BI231" i="3"/>
  <c r="EC231" i="3"/>
  <c r="BU231" i="3"/>
  <c r="CD231" i="3"/>
  <c r="EV231" i="3"/>
  <c r="CK232" i="3"/>
  <c r="EP232" i="3"/>
  <c r="FE232" i="3"/>
  <c r="BR233" i="3"/>
  <c r="CF233" i="3"/>
  <c r="CV233" i="3"/>
  <c r="EB233" i="3"/>
  <c r="ET233" i="3"/>
  <c r="BH234" i="3"/>
  <c r="ET234" i="3"/>
  <c r="CI235" i="3"/>
  <c r="DS235" i="3"/>
  <c r="BL223" i="3"/>
  <c r="BI224" i="3"/>
  <c r="BU224" i="3"/>
  <c r="BR225" i="3"/>
  <c r="BO226" i="3"/>
  <c r="CM226" i="3"/>
  <c r="S226" i="3" s="1"/>
  <c r="CY226" i="3"/>
  <c r="BL227" i="3"/>
  <c r="CV227" i="3"/>
  <c r="BI228" i="3"/>
  <c r="BU228" i="3"/>
  <c r="CS228" i="3"/>
  <c r="EC228" i="3"/>
  <c r="CD229" i="3"/>
  <c r="EE229" i="3"/>
  <c r="EF230" i="3"/>
  <c r="BX230" i="3"/>
  <c r="Q230" i="3" s="1"/>
  <c r="ER230" i="3"/>
  <c r="CJ230" i="3"/>
  <c r="CD230" i="3"/>
  <c r="EV230" i="3"/>
  <c r="DR231" i="3"/>
  <c r="BJ231" i="3"/>
  <c r="EW231" i="3"/>
  <c r="BI232" i="3"/>
  <c r="BX232" i="3"/>
  <c r="EC232" i="3"/>
  <c r="FF232" i="3"/>
  <c r="BS233" i="3"/>
  <c r="EU233" i="3"/>
  <c r="CQ234" i="3"/>
  <c r="CB234" i="3"/>
  <c r="EU234" i="3"/>
  <c r="EU235" i="3"/>
  <c r="AM236" i="3"/>
  <c r="DZ236" i="3"/>
  <c r="BR236" i="3"/>
  <c r="CV236" i="3"/>
  <c r="CG236" i="3"/>
  <c r="EO236" i="3"/>
  <c r="CT237" i="3"/>
  <c r="DY237" i="3"/>
  <c r="EG238" i="3"/>
  <c r="BY238" i="3"/>
  <c r="DR238" i="3"/>
  <c r="BJ238" i="3"/>
  <c r="CN238" i="3"/>
  <c r="S238" i="3" s="1"/>
  <c r="BG221" i="3"/>
  <c r="BS221" i="3"/>
  <c r="BP222" i="3"/>
  <c r="BM223" i="3"/>
  <c r="BJ224" i="3"/>
  <c r="BG225" i="3"/>
  <c r="BS225" i="3"/>
  <c r="BP226" i="3"/>
  <c r="BM227" i="3"/>
  <c r="BJ228" i="3"/>
  <c r="CT228" i="3"/>
  <c r="CE229" i="3"/>
  <c r="CS229" i="3"/>
  <c r="EG230" i="3"/>
  <c r="BY230" i="3"/>
  <c r="BQ230" i="3"/>
  <c r="EW230" i="3"/>
  <c r="BR231" i="3"/>
  <c r="CV231" i="3"/>
  <c r="BF232" i="3"/>
  <c r="BJ232" i="3"/>
  <c r="BY232" i="3"/>
  <c r="ED232" i="3"/>
  <c r="BT233" i="3"/>
  <c r="CH233" i="3"/>
  <c r="ED233" i="3"/>
  <c r="FA234" i="3"/>
  <c r="CR234" i="3"/>
  <c r="CC234" i="3"/>
  <c r="DV234" i="3"/>
  <c r="EV235" i="3"/>
  <c r="EV237" i="3"/>
  <c r="CM237" i="3"/>
  <c r="R237" i="3" s="1"/>
  <c r="EF237" i="3"/>
  <c r="BX237" i="3"/>
  <c r="DQ237" i="3"/>
  <c r="BI237" i="3"/>
  <c r="FH237" i="3"/>
  <c r="CY237" i="3"/>
  <c r="ER237" i="3"/>
  <c r="CJ237" i="3"/>
  <c r="EC237" i="3"/>
  <c r="BU237" i="3"/>
  <c r="CU237" i="3"/>
  <c r="EX238" i="3"/>
  <c r="BK238" i="3"/>
  <c r="DS238" i="3"/>
  <c r="CO238" i="3"/>
  <c r="BZ238" i="3"/>
  <c r="DT238" i="3"/>
  <c r="BL238" i="3"/>
  <c r="EY238" i="3"/>
  <c r="DZ240" i="3"/>
  <c r="BR240" i="3"/>
  <c r="FE240" i="3"/>
  <c r="CV240" i="3"/>
  <c r="EW243" i="3"/>
  <c r="DR243" i="3"/>
  <c r="EG243" i="3"/>
  <c r="DV246" i="3"/>
  <c r="BN246" i="3"/>
  <c r="FA246" i="3"/>
  <c r="CR246" i="3"/>
  <c r="EK246" i="3"/>
  <c r="CC246" i="3"/>
  <c r="DR235" i="3"/>
  <c r="BJ235" i="3"/>
  <c r="EM236" i="3"/>
  <c r="CE236" i="3"/>
  <c r="DX236" i="3"/>
  <c r="FC236" i="3"/>
  <c r="DU238" i="3"/>
  <c r="BM238" i="3"/>
  <c r="EZ238" i="3"/>
  <c r="CQ238" i="3"/>
  <c r="EI241" i="3"/>
  <c r="CA241" i="3"/>
  <c r="DT241" i="3"/>
  <c r="BL241" i="3"/>
  <c r="BY243" i="3"/>
  <c r="EN236" i="3"/>
  <c r="FD236" i="3"/>
  <c r="EJ241" i="3"/>
  <c r="CB241" i="3"/>
  <c r="DU241" i="3"/>
  <c r="BM241" i="3"/>
  <c r="AM244" i="3"/>
  <c r="EO244" i="3"/>
  <c r="CG244" i="3"/>
  <c r="DZ244" i="3"/>
  <c r="BR244" i="3"/>
  <c r="FE244" i="3"/>
  <c r="DP248" i="3"/>
  <c r="BH248" i="3"/>
  <c r="EU248" i="3"/>
  <c r="CL248" i="3"/>
  <c r="R248" i="3" s="1"/>
  <c r="BW248" i="3"/>
  <c r="EB248" i="3"/>
  <c r="BT248" i="3"/>
  <c r="FG248" i="3"/>
  <c r="CX248" i="3"/>
  <c r="EQ248" i="3"/>
  <c r="CI248" i="3"/>
  <c r="EE248" i="3"/>
  <c r="DO236" i="3"/>
  <c r="BG236" i="3"/>
  <c r="EA236" i="3"/>
  <c r="BS236" i="3"/>
  <c r="EP236" i="3"/>
  <c r="FF236" i="3"/>
  <c r="EO240" i="3"/>
  <c r="DW241" i="3"/>
  <c r="BO241" i="3"/>
  <c r="FB241" i="3"/>
  <c r="CS241" i="3"/>
  <c r="AM242" i="3"/>
  <c r="EO242" i="3"/>
  <c r="CG242" i="3"/>
  <c r="DZ242" i="3"/>
  <c r="FE242" i="3"/>
  <c r="CV242" i="3"/>
  <c r="BR242" i="3"/>
  <c r="BJ243" i="3"/>
  <c r="EL245" i="3"/>
  <c r="CD245" i="3"/>
  <c r="DW245" i="3"/>
  <c r="BO245" i="3"/>
  <c r="CS245" i="3"/>
  <c r="BQ236" i="3"/>
  <c r="CH236" i="3"/>
  <c r="CW236" i="3"/>
  <c r="EQ236" i="3"/>
  <c r="FB239" i="3"/>
  <c r="CS239" i="3"/>
  <c r="EL239" i="3"/>
  <c r="CD239" i="3"/>
  <c r="DW239" i="3"/>
  <c r="BO239" i="3"/>
  <c r="BC241" i="3"/>
  <c r="AM241" i="3"/>
  <c r="EL243" i="3"/>
  <c r="CD243" i="3"/>
  <c r="FB243" i="3"/>
  <c r="BO243" i="3"/>
  <c r="CS243" i="3"/>
  <c r="DQ244" i="3"/>
  <c r="BI244" i="3"/>
  <c r="EV244" i="3"/>
  <c r="CM244" i="3"/>
  <c r="EF244" i="3"/>
  <c r="EC244" i="3"/>
  <c r="BU244" i="3"/>
  <c r="FH244" i="3"/>
  <c r="CY244" i="3"/>
  <c r="CJ244" i="3"/>
  <c r="DQ234" i="3"/>
  <c r="BI234" i="3"/>
  <c r="EC234" i="3"/>
  <c r="BU234" i="3"/>
  <c r="FB235" i="3"/>
  <c r="EL235" i="3"/>
  <c r="CD235" i="3"/>
  <c r="EV236" i="3"/>
  <c r="CM236" i="3"/>
  <c r="FH236" i="3"/>
  <c r="CY236" i="3"/>
  <c r="BT236" i="3"/>
  <c r="CI236" i="3"/>
  <c r="CX236" i="3"/>
  <c r="EB236" i="3"/>
  <c r="ER236" i="3"/>
  <c r="EI237" i="3"/>
  <c r="CA237" i="3"/>
  <c r="DT237" i="3"/>
  <c r="BL237" i="3"/>
  <c r="EY237" i="3"/>
  <c r="FE238" i="3"/>
  <c r="CV238" i="3"/>
  <c r="EO238" i="3"/>
  <c r="CG238" i="3"/>
  <c r="DZ238" i="3"/>
  <c r="EY240" i="3"/>
  <c r="CP240" i="3"/>
  <c r="EI240" i="3"/>
  <c r="CA240" i="3"/>
  <c r="DT240" i="3"/>
  <c r="BL240" i="3"/>
  <c r="EY241" i="3"/>
  <c r="AM243" i="3"/>
  <c r="EM243" i="3"/>
  <c r="CE243" i="3"/>
  <c r="DX243" i="3"/>
  <c r="BP243" i="3"/>
  <c r="CT243" i="3"/>
  <c r="BY235" i="3"/>
  <c r="BU236" i="3"/>
  <c r="CJ236" i="3"/>
  <c r="EC236" i="3"/>
  <c r="EJ237" i="3"/>
  <c r="CB237" i="3"/>
  <c r="DU237" i="3"/>
  <c r="BM237" i="3"/>
  <c r="CP237" i="3"/>
  <c r="EZ237" i="3"/>
  <c r="EZ241" i="3"/>
  <c r="CM242" i="3"/>
  <c r="DQ242" i="3"/>
  <c r="BI242" i="3"/>
  <c r="CY242" i="3"/>
  <c r="EC242" i="3"/>
  <c r="BU242" i="3"/>
  <c r="CJ242" i="3"/>
  <c r="ER244" i="3"/>
  <c r="CP232" i="3"/>
  <c r="CM233" i="3"/>
  <c r="S233" i="3" s="1"/>
  <c r="CY233" i="3"/>
  <c r="CN235" i="3"/>
  <c r="BV236" i="3"/>
  <c r="Q236" i="3" s="1"/>
  <c r="CK236" i="3"/>
  <c r="ED236" i="3"/>
  <c r="ET236" i="3"/>
  <c r="CQ237" i="3"/>
  <c r="EK237" i="3"/>
  <c r="FA237" i="3"/>
  <c r="BD239" i="3"/>
  <c r="AM239" i="3"/>
  <c r="EO239" i="3"/>
  <c r="CG239" i="3"/>
  <c r="DZ239" i="3"/>
  <c r="BR239" i="3"/>
  <c r="BD241" i="3"/>
  <c r="S241" i="3"/>
  <c r="DR242" i="3"/>
  <c r="CN242" i="3"/>
  <c r="BY242" i="3"/>
  <c r="BJ242" i="3"/>
  <c r="R243" i="3"/>
  <c r="CP244" i="3"/>
  <c r="EI244" i="3"/>
  <c r="CA244" i="3"/>
  <c r="DT244" i="3"/>
  <c r="EY244" i="3"/>
  <c r="BL244" i="3"/>
  <c r="EF247" i="3"/>
  <c r="BX247" i="3"/>
  <c r="DQ247" i="3"/>
  <c r="BI247" i="3"/>
  <c r="CM247" i="3"/>
  <c r="ER247" i="3"/>
  <c r="CJ247" i="3"/>
  <c r="EC247" i="3"/>
  <c r="BU247" i="3"/>
  <c r="CY247" i="3"/>
  <c r="FH247" i="3"/>
  <c r="ER234" i="3"/>
  <c r="EO235" i="3"/>
  <c r="DZ235" i="3"/>
  <c r="BR235" i="3"/>
  <c r="EY236" i="3"/>
  <c r="CP236" i="3"/>
  <c r="EI236" i="3"/>
  <c r="CA236" i="3"/>
  <c r="BH236" i="3"/>
  <c r="BW236" i="3"/>
  <c r="CL236" i="3"/>
  <c r="EE236" i="3"/>
  <c r="BC237" i="3"/>
  <c r="DW237" i="3"/>
  <c r="BO237" i="3"/>
  <c r="FB237" i="3"/>
  <c r="CC237" i="3"/>
  <c r="EL237" i="3"/>
  <c r="EF238" i="3"/>
  <c r="BX238" i="3"/>
  <c r="DQ238" i="3"/>
  <c r="BI238" i="3"/>
  <c r="ER238" i="3"/>
  <c r="CJ238" i="3"/>
  <c r="EC238" i="3"/>
  <c r="BU238" i="3"/>
  <c r="BR238" i="3"/>
  <c r="EV238" i="3"/>
  <c r="ED239" i="3"/>
  <c r="BV239" i="3"/>
  <c r="DO239" i="3"/>
  <c r="BG239" i="3"/>
  <c r="EP239" i="3"/>
  <c r="CH239" i="3"/>
  <c r="EA239" i="3"/>
  <c r="BS239" i="3"/>
  <c r="BC240" i="3"/>
  <c r="BF240" i="3"/>
  <c r="EL240" i="3"/>
  <c r="CD240" i="3"/>
  <c r="DW240" i="3"/>
  <c r="BO240" i="3"/>
  <c r="CG240" i="3"/>
  <c r="EL241" i="3"/>
  <c r="CO242" i="3"/>
  <c r="DS242" i="3"/>
  <c r="ER242" i="3"/>
  <c r="BD243" i="3"/>
  <c r="BC245" i="3"/>
  <c r="AM245" i="3"/>
  <c r="DU242" i="3"/>
  <c r="EZ242" i="3"/>
  <c r="DY245" i="3"/>
  <c r="BQ245" i="3"/>
  <c r="FD245" i="3"/>
  <c r="CU245" i="3"/>
  <c r="CN239" i="3"/>
  <c r="CK240" i="3"/>
  <c r="CW240" i="3"/>
  <c r="CT241" i="3"/>
  <c r="DV242" i="3"/>
  <c r="CV243" i="3"/>
  <c r="DZ243" i="3"/>
  <c r="BR243" i="3"/>
  <c r="FA244" i="3"/>
  <c r="CR244" i="3"/>
  <c r="EW239" i="3"/>
  <c r="ET240" i="3"/>
  <c r="FF240" i="3"/>
  <c r="FC241" i="3"/>
  <c r="DW242" i="3"/>
  <c r="FB242" i="3"/>
  <c r="CS242" i="3"/>
  <c r="FD242" i="3"/>
  <c r="DS243" i="3"/>
  <c r="BD245" i="3"/>
  <c r="CF245" i="3"/>
  <c r="AM251" i="3"/>
  <c r="CS238" i="3"/>
  <c r="CP239" i="3"/>
  <c r="CM240" i="3"/>
  <c r="CY240" i="3"/>
  <c r="CV241" i="3"/>
  <c r="BV242" i="3"/>
  <c r="CW242" i="3"/>
  <c r="DY242" i="3"/>
  <c r="BN244" i="3"/>
  <c r="AM247" i="3"/>
  <c r="EJ236" i="3"/>
  <c r="EG237" i="3"/>
  <c r="ED238" i="3"/>
  <c r="EM239" i="3"/>
  <c r="CB240" i="3"/>
  <c r="Q240" i="3" s="1"/>
  <c r="EJ240" i="3"/>
  <c r="BY241" i="3"/>
  <c r="EG241" i="3"/>
  <c r="FF242" i="3"/>
  <c r="EF243" i="3"/>
  <c r="BX243" i="3"/>
  <c r="Q243" i="3" s="1"/>
  <c r="ER243" i="3"/>
  <c r="CJ243" i="3"/>
  <c r="CF243" i="3"/>
  <c r="CU243" i="3"/>
  <c r="EN244" i="3"/>
  <c r="CF244" i="3"/>
  <c r="BQ244" i="3"/>
  <c r="CK244" i="3"/>
  <c r="DO244" i="3"/>
  <c r="EI250" i="3"/>
  <c r="CA250" i="3"/>
  <c r="DT250" i="3"/>
  <c r="BL250" i="3"/>
  <c r="EY250" i="3"/>
  <c r="CP250" i="3"/>
  <c r="EO243" i="3"/>
  <c r="FE243" i="3"/>
  <c r="EI246" i="3"/>
  <c r="CA246" i="3"/>
  <c r="DT246" i="3"/>
  <c r="BL246" i="3"/>
  <c r="CP246" i="3"/>
  <c r="BD248" i="3"/>
  <c r="AM248" i="3"/>
  <c r="EO248" i="3"/>
  <c r="CG248" i="3"/>
  <c r="DZ248" i="3"/>
  <c r="BR248" i="3"/>
  <c r="FE248" i="3"/>
  <c r="CV248" i="3"/>
  <c r="EL249" i="3"/>
  <c r="CD249" i="3"/>
  <c r="DW249" i="3"/>
  <c r="BO249" i="3"/>
  <c r="FB249" i="3"/>
  <c r="CS249" i="3"/>
  <c r="BJ239" i="3"/>
  <c r="BG240" i="3"/>
  <c r="BS240" i="3"/>
  <c r="BP241" i="3"/>
  <c r="EE242" i="3"/>
  <c r="ET242" i="3"/>
  <c r="DT243" i="3"/>
  <c r="BL243" i="3"/>
  <c r="EY243" i="3"/>
  <c r="CP243" i="3"/>
  <c r="BT243" i="3"/>
  <c r="CY243" i="3"/>
  <c r="DY243" i="3"/>
  <c r="DP244" i="3"/>
  <c r="BH244" i="3"/>
  <c r="EU244" i="3"/>
  <c r="EB244" i="3"/>
  <c r="BT244" i="3"/>
  <c r="FG244" i="3"/>
  <c r="BW244" i="3"/>
  <c r="Q244" i="3" s="1"/>
  <c r="EP244" i="3"/>
  <c r="BC249" i="3"/>
  <c r="AM249" i="3"/>
  <c r="EF251" i="3"/>
  <c r="BX251" i="3"/>
  <c r="DQ251" i="3"/>
  <c r="BI251" i="3"/>
  <c r="EV251" i="3"/>
  <c r="CM251" i="3"/>
  <c r="S251" i="3" s="1"/>
  <c r="ER251" i="3"/>
  <c r="CJ251" i="3"/>
  <c r="EC251" i="3"/>
  <c r="BU251" i="3"/>
  <c r="FH251" i="3"/>
  <c r="CY251" i="3"/>
  <c r="BI245" i="3"/>
  <c r="BU245" i="3"/>
  <c r="DQ245" i="3"/>
  <c r="EC245" i="3"/>
  <c r="EO245" i="3"/>
  <c r="FA245" i="3"/>
  <c r="BR246" i="3"/>
  <c r="CD246" i="3"/>
  <c r="DZ246" i="3"/>
  <c r="EL246" i="3"/>
  <c r="BC247" i="3"/>
  <c r="BO247" i="3"/>
  <c r="CA247" i="3"/>
  <c r="DW247" i="3"/>
  <c r="EI247" i="3"/>
  <c r="DT248" i="3"/>
  <c r="EF248" i="3"/>
  <c r="ER248" i="3"/>
  <c r="CA251" i="3"/>
  <c r="EI251" i="3"/>
  <c r="BK245" i="3"/>
  <c r="DS245" i="3"/>
  <c r="FC245" i="3"/>
  <c r="BH246" i="3"/>
  <c r="BT246" i="3"/>
  <c r="DP246" i="3"/>
  <c r="EB246" i="3"/>
  <c r="EZ246" i="3"/>
  <c r="DY247" i="3"/>
  <c r="EW247" i="3"/>
  <c r="DV248" i="3"/>
  <c r="ET248" i="3"/>
  <c r="FF248" i="3"/>
  <c r="CU249" i="3"/>
  <c r="FC249" i="3"/>
  <c r="CR250" i="3"/>
  <c r="EZ250" i="3"/>
  <c r="CO251" i="3"/>
  <c r="R251" i="3" s="1"/>
  <c r="EW251" i="3"/>
  <c r="BO244" i="3"/>
  <c r="DW244" i="3"/>
  <c r="BL245" i="3"/>
  <c r="BX245" i="3"/>
  <c r="CJ245" i="3"/>
  <c r="CV245" i="3"/>
  <c r="DT245" i="3"/>
  <c r="EF245" i="3"/>
  <c r="ER245" i="3"/>
  <c r="BI246" i="3"/>
  <c r="BU246" i="3"/>
  <c r="CG246" i="3"/>
  <c r="CS246" i="3"/>
  <c r="DQ246" i="3"/>
  <c r="EC246" i="3"/>
  <c r="EO246" i="3"/>
  <c r="BR247" i="3"/>
  <c r="CD247" i="3"/>
  <c r="CP247" i="3"/>
  <c r="DZ247" i="3"/>
  <c r="EL247" i="3"/>
  <c r="BO248" i="3"/>
  <c r="CA248" i="3"/>
  <c r="CM248" i="3"/>
  <c r="CY248" i="3"/>
  <c r="S248" i="3" s="1"/>
  <c r="DW248" i="3"/>
  <c r="EI248" i="3"/>
  <c r="BL249" i="3"/>
  <c r="BX249" i="3"/>
  <c r="Q249" i="3" s="1"/>
  <c r="CJ249" i="3"/>
  <c r="CV249" i="3"/>
  <c r="DT249" i="3"/>
  <c r="EF249" i="3"/>
  <c r="ER249" i="3"/>
  <c r="FD249" i="3"/>
  <c r="BI250" i="3"/>
  <c r="BU250" i="3"/>
  <c r="CG250" i="3"/>
  <c r="CS250" i="3"/>
  <c r="DQ250" i="3"/>
  <c r="EC250" i="3"/>
  <c r="EO250" i="3"/>
  <c r="FA250" i="3"/>
  <c r="BR251" i="3"/>
  <c r="CD251" i="3"/>
  <c r="CP251" i="3"/>
  <c r="DZ251" i="3"/>
  <c r="EL251" i="3"/>
  <c r="EX251" i="3"/>
  <c r="BP244" i="3"/>
  <c r="CB244" i="3"/>
  <c r="EJ244" i="3"/>
  <c r="BM245" i="3"/>
  <c r="BY245" i="3"/>
  <c r="EG245" i="3"/>
  <c r="FE245" i="3"/>
  <c r="BJ246" i="3"/>
  <c r="BV246" i="3"/>
  <c r="CH246" i="3"/>
  <c r="ED246" i="3"/>
  <c r="EP246" i="3"/>
  <c r="FB246" i="3"/>
  <c r="BG247" i="3"/>
  <c r="BS247" i="3"/>
  <c r="CE247" i="3"/>
  <c r="EM247" i="3"/>
  <c r="EY247" i="3"/>
  <c r="BP248" i="3"/>
  <c r="CB248" i="3"/>
  <c r="EJ248" i="3"/>
  <c r="EV248" i="3"/>
  <c r="FH248" i="3"/>
  <c r="BM249" i="3"/>
  <c r="BY249" i="3"/>
  <c r="DU249" i="3"/>
  <c r="EG249" i="3"/>
  <c r="FE249" i="3"/>
  <c r="BJ250" i="3"/>
  <c r="BV250" i="3"/>
  <c r="CH250" i="3"/>
  <c r="CT250" i="3"/>
  <c r="DR250" i="3"/>
  <c r="ED250" i="3"/>
  <c r="EP250" i="3"/>
  <c r="FB250" i="3"/>
  <c r="BG251" i="3"/>
  <c r="BS251" i="3"/>
  <c r="CE251" i="3"/>
  <c r="CQ251" i="3"/>
  <c r="DO251" i="3"/>
  <c r="EA251" i="3"/>
  <c r="EM251" i="3"/>
  <c r="EY251" i="3"/>
  <c r="BZ245" i="3"/>
  <c r="DV245" i="3"/>
  <c r="EH245" i="3"/>
  <c r="AM246" i="3"/>
  <c r="BW246" i="3"/>
  <c r="CI246" i="3"/>
  <c r="DS246" i="3"/>
  <c r="EE246" i="3"/>
  <c r="EQ246" i="3"/>
  <c r="EN247" i="3"/>
  <c r="CC248" i="3"/>
  <c r="DY248" i="3"/>
  <c r="EK248" i="3"/>
  <c r="BN249" i="3"/>
  <c r="DV249" i="3"/>
  <c r="EH249" i="3"/>
  <c r="AM250" i="3"/>
  <c r="BW250" i="3"/>
  <c r="DS250" i="3"/>
  <c r="EE250" i="3"/>
  <c r="EQ250" i="3"/>
  <c r="FC250" i="3"/>
  <c r="BH251" i="3"/>
  <c r="BT251" i="3"/>
  <c r="CF251" i="3"/>
  <c r="CR251" i="3"/>
  <c r="DP251" i="3"/>
  <c r="EB251" i="3"/>
  <c r="EN251" i="3"/>
  <c r="EZ251" i="3"/>
  <c r="CD244" i="3"/>
  <c r="EL244" i="3"/>
  <c r="CA245" i="3"/>
  <c r="CM245" i="3"/>
  <c r="CY245" i="3"/>
  <c r="EI245" i="3"/>
  <c r="BX246" i="3"/>
  <c r="CJ246" i="3"/>
  <c r="CV246" i="3"/>
  <c r="EF246" i="3"/>
  <c r="ER246" i="3"/>
  <c r="CG247" i="3"/>
  <c r="CS247" i="3"/>
  <c r="S247" i="3" s="1"/>
  <c r="EO247" i="3"/>
  <c r="CD248" i="3"/>
  <c r="CP248" i="3"/>
  <c r="EL248" i="3"/>
  <c r="CA249" i="3"/>
  <c r="CM249" i="3"/>
  <c r="S249" i="3" s="1"/>
  <c r="CY249" i="3"/>
  <c r="EI249" i="3"/>
  <c r="BX250" i="3"/>
  <c r="CJ250" i="3"/>
  <c r="CV250" i="3"/>
  <c r="EF250" i="3"/>
  <c r="ER250" i="3"/>
  <c r="CG251" i="3"/>
  <c r="CS251" i="3"/>
  <c r="EO251" i="3"/>
  <c r="BP245" i="3"/>
  <c r="DX245" i="3"/>
  <c r="BM246" i="3"/>
  <c r="DU246" i="3"/>
  <c r="BJ247" i="3"/>
  <c r="DR247" i="3"/>
  <c r="BG248" i="3"/>
  <c r="BS248" i="3"/>
  <c r="CQ248" i="3"/>
  <c r="DO248" i="3"/>
  <c r="EA248" i="3"/>
  <c r="BP249" i="3"/>
  <c r="CB249" i="3"/>
  <c r="CN249" i="3"/>
  <c r="DX249" i="3"/>
  <c r="BM250" i="3"/>
  <c r="BY250" i="3"/>
  <c r="CK250" i="3"/>
  <c r="CW250" i="3"/>
  <c r="DU250" i="3"/>
  <c r="EG250" i="3"/>
  <c r="BJ251" i="3"/>
  <c r="BV251" i="3"/>
  <c r="CH251" i="3"/>
  <c r="CT251" i="3"/>
  <c r="DR251" i="3"/>
  <c r="ED251" i="3"/>
  <c r="EP251" i="3"/>
  <c r="CC245" i="3"/>
  <c r="CO245" i="3"/>
  <c r="BZ246" i="3"/>
  <c r="CL246" i="3"/>
  <c r="CX246" i="3"/>
  <c r="BW247" i="3"/>
  <c r="Q247" i="3" s="1"/>
  <c r="CI247" i="3"/>
  <c r="CU247" i="3"/>
  <c r="CF248" i="3"/>
  <c r="CR248" i="3"/>
  <c r="BQ249" i="3"/>
  <c r="CC249" i="3"/>
  <c r="BN250" i="3"/>
  <c r="BK251" i="3"/>
  <c r="BW251" i="3"/>
  <c r="CI251" i="3"/>
  <c r="CU251" i="3"/>
  <c r="BR245" i="3"/>
  <c r="CP245" i="3"/>
  <c r="R245" i="3" s="1"/>
  <c r="BO246" i="3"/>
  <c r="CM246" i="3"/>
  <c r="CY246" i="3"/>
  <c r="BL247" i="3"/>
  <c r="CV247" i="3"/>
  <c r="BI248" i="3"/>
  <c r="BU248" i="3"/>
  <c r="CS248" i="3"/>
  <c r="BR249" i="3"/>
  <c r="CP249" i="3"/>
  <c r="BO250" i="3"/>
  <c r="CM250" i="3"/>
  <c r="CY250" i="3"/>
  <c r="BL251" i="3"/>
  <c r="CV251" i="3"/>
  <c r="CE245" i="3"/>
  <c r="CB246" i="3"/>
  <c r="BY247" i="3"/>
  <c r="BV248" i="3"/>
  <c r="CH248" i="3"/>
  <c r="CE249" i="3"/>
  <c r="BP250" i="3"/>
  <c r="CB250" i="3"/>
  <c r="BM251" i="3"/>
  <c r="BY251" i="3"/>
  <c r="U93" i="3" l="1"/>
  <c r="U200" i="3"/>
  <c r="U86" i="3"/>
  <c r="ES70" i="3"/>
  <c r="U243" i="3"/>
  <c r="U164" i="3"/>
  <c r="V175" i="3"/>
  <c r="ES175" i="3"/>
  <c r="ES26" i="3"/>
  <c r="EU11" i="2" s="1"/>
  <c r="V88" i="3"/>
  <c r="ES85" i="3"/>
  <c r="U247" i="3"/>
  <c r="U197" i="3"/>
  <c r="ES203" i="3"/>
  <c r="U204" i="3"/>
  <c r="V192" i="3"/>
  <c r="ES195" i="3"/>
  <c r="U181" i="3"/>
  <c r="V160" i="3"/>
  <c r="ES55" i="3"/>
  <c r="ES48" i="3"/>
  <c r="ES228" i="3"/>
  <c r="V167" i="3"/>
  <c r="U115" i="3"/>
  <c r="ES96" i="3"/>
  <c r="ES4" i="3"/>
  <c r="ES15" i="3"/>
  <c r="V68" i="3"/>
  <c r="ES63" i="3"/>
  <c r="ES167" i="3"/>
  <c r="ES152" i="3"/>
  <c r="ES214" i="3"/>
  <c r="V208" i="3"/>
  <c r="V177" i="3"/>
  <c r="U91" i="3"/>
  <c r="V85" i="3"/>
  <c r="U49" i="3"/>
  <c r="ES32" i="3"/>
  <c r="V26" i="3"/>
  <c r="ES19" i="3"/>
  <c r="U8" i="3"/>
  <c r="ES17" i="3"/>
  <c r="ES193" i="3"/>
  <c r="U52" i="3"/>
  <c r="U249" i="3"/>
  <c r="V245" i="3"/>
  <c r="ES116" i="3"/>
  <c r="ES95" i="3"/>
  <c r="U87" i="3"/>
  <c r="U62" i="3"/>
  <c r="U44" i="3"/>
  <c r="ES21" i="3"/>
  <c r="V140" i="3"/>
  <c r="U121" i="3"/>
  <c r="U48" i="3"/>
  <c r="V18" i="3"/>
  <c r="ES247" i="3"/>
  <c r="V232" i="3"/>
  <c r="V231" i="3"/>
  <c r="V226" i="3"/>
  <c r="V217" i="3"/>
  <c r="V108" i="3"/>
  <c r="ES86" i="3"/>
  <c r="V74" i="3"/>
  <c r="V70" i="3"/>
  <c r="ES190" i="3"/>
  <c r="ES81" i="3"/>
  <c r="ES244" i="3"/>
  <c r="U97" i="3"/>
  <c r="ES71" i="3"/>
  <c r="V5" i="3"/>
  <c r="ES251" i="3"/>
  <c r="ES246" i="3"/>
  <c r="V216" i="3"/>
  <c r="V184" i="3"/>
  <c r="V156" i="3"/>
  <c r="ES139" i="3"/>
  <c r="V128" i="3"/>
  <c r="ES133" i="3"/>
  <c r="V96" i="3"/>
  <c r="ES114" i="3"/>
  <c r="U209" i="3"/>
  <c r="U245" i="3"/>
  <c r="ES239" i="3"/>
  <c r="U239" i="3"/>
  <c r="U236" i="3"/>
  <c r="ES230" i="3"/>
  <c r="V222" i="3"/>
  <c r="ES219" i="3"/>
  <c r="V182" i="3"/>
  <c r="U162" i="3"/>
  <c r="ES160" i="3"/>
  <c r="U175" i="3"/>
  <c r="U172" i="3"/>
  <c r="U141" i="3"/>
  <c r="ES151" i="3"/>
  <c r="V130" i="3"/>
  <c r="V136" i="3"/>
  <c r="V115" i="3"/>
  <c r="ES120" i="3"/>
  <c r="U118" i="3"/>
  <c r="U113" i="3"/>
  <c r="U84" i="3"/>
  <c r="U92" i="3"/>
  <c r="V66" i="3"/>
  <c r="ES68" i="3"/>
  <c r="U78" i="3"/>
  <c r="U31" i="3"/>
  <c r="ES39" i="3"/>
  <c r="U246" i="3"/>
  <c r="ES250" i="3"/>
  <c r="ES241" i="3"/>
  <c r="ES237" i="3"/>
  <c r="U227" i="3"/>
  <c r="ES208" i="3"/>
  <c r="U193" i="3"/>
  <c r="V194" i="3"/>
  <c r="V185" i="3"/>
  <c r="ES171" i="3"/>
  <c r="U186" i="3"/>
  <c r="U158" i="3"/>
  <c r="ES162" i="3"/>
  <c r="V144" i="3"/>
  <c r="V135" i="3"/>
  <c r="V109" i="3"/>
  <c r="ES102" i="3"/>
  <c r="ES75" i="3"/>
  <c r="ES73" i="3"/>
  <c r="U64" i="3"/>
  <c r="ES66" i="3"/>
  <c r="ES52" i="3"/>
  <c r="V49" i="3"/>
  <c r="ES64" i="3"/>
  <c r="ES50" i="3"/>
  <c r="ES45" i="3"/>
  <c r="ES38" i="3"/>
  <c r="V28" i="3"/>
  <c r="ES13" i="3"/>
  <c r="ES6" i="3"/>
  <c r="ES36" i="3"/>
  <c r="U223" i="3"/>
  <c r="U229" i="3"/>
  <c r="ES223" i="3"/>
  <c r="ES210" i="3"/>
  <c r="V188" i="3"/>
  <c r="V206" i="3"/>
  <c r="ES192" i="3"/>
  <c r="V180" i="3"/>
  <c r="V176" i="3"/>
  <c r="ES163" i="3"/>
  <c r="U173" i="3"/>
  <c r="V142" i="3"/>
  <c r="U130" i="3"/>
  <c r="ES107" i="3"/>
  <c r="V97" i="3"/>
  <c r="V92" i="3"/>
  <c r="U74" i="3"/>
  <c r="U42" i="3"/>
  <c r="U41" i="3"/>
  <c r="V50" i="3"/>
  <c r="U33" i="3"/>
  <c r="U14" i="3"/>
  <c r="V251" i="3"/>
  <c r="V249" i="3"/>
  <c r="ES249" i="3"/>
  <c r="U240" i="3"/>
  <c r="V244" i="3"/>
  <c r="V209" i="3"/>
  <c r="U211" i="3"/>
  <c r="U190" i="3"/>
  <c r="V186" i="3"/>
  <c r="U184" i="3"/>
  <c r="ES179" i="3"/>
  <c r="ES182" i="3"/>
  <c r="U171" i="3"/>
  <c r="ES187" i="3"/>
  <c r="U174" i="3"/>
  <c r="ES178" i="3"/>
  <c r="V143" i="3"/>
  <c r="ES140" i="3"/>
  <c r="ES135" i="3"/>
  <c r="ES100" i="3"/>
  <c r="ES89" i="3"/>
  <c r="U68" i="3"/>
  <c r="U56" i="3"/>
  <c r="V45" i="3"/>
  <c r="ES40" i="3"/>
  <c r="V25" i="3"/>
  <c r="V21" i="3"/>
  <c r="ES20" i="3"/>
  <c r="U55" i="3"/>
  <c r="ES9" i="3"/>
  <c r="ES14" i="3"/>
  <c r="ES11" i="3"/>
  <c r="ES232" i="3"/>
  <c r="ES110" i="3"/>
  <c r="V63" i="3"/>
  <c r="U38" i="3"/>
  <c r="U28" i="3"/>
  <c r="V202" i="3"/>
  <c r="V247" i="3"/>
  <c r="V236" i="3"/>
  <c r="V230" i="3"/>
  <c r="ES229" i="3"/>
  <c r="ES221" i="3"/>
  <c r="U187" i="3"/>
  <c r="V190" i="3"/>
  <c r="U152" i="3"/>
  <c r="U131" i="3"/>
  <c r="ES111" i="3"/>
  <c r="V100" i="3"/>
  <c r="ES88" i="3"/>
  <c r="V89" i="3"/>
  <c r="U70" i="3"/>
  <c r="U73" i="3"/>
  <c r="V84" i="3"/>
  <c r="U30" i="3"/>
  <c r="ES49" i="3"/>
  <c r="EU7" i="2" s="1"/>
  <c r="EV7" i="2" s="1"/>
  <c r="A7" i="2" s="1"/>
  <c r="ES42" i="3"/>
  <c r="ES37" i="3"/>
  <c r="ES30" i="3"/>
  <c r="V27" i="3"/>
  <c r="U15" i="3"/>
  <c r="U248" i="3"/>
  <c r="U242" i="3"/>
  <c r="V234" i="3"/>
  <c r="U179" i="3"/>
  <c r="ES181" i="3"/>
  <c r="V171" i="3"/>
  <c r="V161" i="3"/>
  <c r="ES164" i="3"/>
  <c r="V141" i="3"/>
  <c r="U139" i="3"/>
  <c r="ES132" i="3"/>
  <c r="ES109" i="3"/>
  <c r="ES93" i="3"/>
  <c r="U95" i="3"/>
  <c r="ES80" i="3"/>
  <c r="U71" i="3"/>
  <c r="V72" i="3"/>
  <c r="U45" i="3"/>
  <c r="V38" i="3"/>
  <c r="ES27" i="3"/>
  <c r="EU6" i="2" s="1"/>
  <c r="U225" i="3"/>
  <c r="U251" i="3"/>
  <c r="ES238" i="3"/>
  <c r="V221" i="3"/>
  <c r="U217" i="3"/>
  <c r="V228" i="3"/>
  <c r="V219" i="3"/>
  <c r="U212" i="3"/>
  <c r="ES207" i="3"/>
  <c r="U161" i="3"/>
  <c r="ES154" i="3"/>
  <c r="V151" i="3"/>
  <c r="U109" i="3"/>
  <c r="V112" i="3"/>
  <c r="ES103" i="3"/>
  <c r="U75" i="3"/>
  <c r="ES69" i="3"/>
  <c r="U60" i="3"/>
  <c r="V52" i="3"/>
  <c r="U34" i="3"/>
  <c r="ES61" i="3"/>
  <c r="U27" i="3"/>
  <c r="V29" i="3"/>
  <c r="V22" i="3"/>
  <c r="V10" i="3"/>
  <c r="ES47" i="3"/>
  <c r="ES5" i="3"/>
  <c r="V243" i="3"/>
  <c r="U168" i="3"/>
  <c r="V154" i="3"/>
  <c r="U148" i="3"/>
  <c r="V131" i="3"/>
  <c r="V120" i="3"/>
  <c r="V117" i="3"/>
  <c r="ES97" i="3"/>
  <c r="U80" i="3"/>
  <c r="U46" i="3"/>
  <c r="U54" i="3"/>
  <c r="V53" i="3"/>
  <c r="V23" i="3"/>
  <c r="ES22" i="3"/>
  <c r="V17" i="3"/>
  <c r="U6" i="3"/>
  <c r="V240" i="3"/>
  <c r="U221" i="3"/>
  <c r="V248" i="3"/>
  <c r="ES245" i="3"/>
  <c r="V242" i="3"/>
  <c r="ES227" i="3"/>
  <c r="ES226" i="3"/>
  <c r="ES213" i="3"/>
  <c r="U189" i="3"/>
  <c r="ES189" i="3"/>
  <c r="ES183" i="3"/>
  <c r="EU12" i="2" s="1"/>
  <c r="ES184" i="3"/>
  <c r="V173" i="3"/>
  <c r="U160" i="3"/>
  <c r="U177" i="3"/>
  <c r="ES115" i="3"/>
  <c r="U100" i="3"/>
  <c r="U96" i="3"/>
  <c r="V81" i="3"/>
  <c r="V62" i="3"/>
  <c r="V41" i="3"/>
  <c r="V37" i="3"/>
  <c r="ES67" i="3"/>
  <c r="ES46" i="3"/>
  <c r="ES34" i="3"/>
  <c r="V42" i="3"/>
  <c r="U26" i="3"/>
  <c r="V16" i="3"/>
  <c r="U16" i="3"/>
  <c r="U22" i="3"/>
  <c r="U250" i="3"/>
  <c r="U224" i="3"/>
  <c r="U238" i="3"/>
  <c r="U237" i="3"/>
  <c r="V223" i="3"/>
  <c r="V225" i="3"/>
  <c r="ES217" i="3"/>
  <c r="V213" i="3"/>
  <c r="ES202" i="3"/>
  <c r="ES197" i="3"/>
  <c r="U188" i="3"/>
  <c r="U178" i="3"/>
  <c r="U182" i="3"/>
  <c r="V164" i="3"/>
  <c r="V157" i="3"/>
  <c r="ES128" i="3"/>
  <c r="U85" i="3"/>
  <c r="V94" i="3"/>
  <c r="ES54" i="3"/>
  <c r="ES44" i="3"/>
  <c r="EB6" i="2"/>
  <c r="DZ6" i="2"/>
  <c r="DZ14" i="2"/>
  <c r="DS14" i="2"/>
  <c r="EC6" i="2"/>
  <c r="DZ10" i="2"/>
  <c r="EB14" i="2"/>
  <c r="EB27" i="2" s="1"/>
  <c r="DV7" i="2"/>
  <c r="DP14" i="2"/>
  <c r="DP26" i="2" s="1"/>
  <c r="EC11" i="2"/>
  <c r="DT14" i="2"/>
  <c r="DT26" i="2" s="1"/>
  <c r="EB7" i="2"/>
  <c r="EC5" i="2"/>
  <c r="DP5" i="2"/>
  <c r="EB9" i="2"/>
  <c r="H14" i="2"/>
  <c r="DQ14" i="2"/>
  <c r="DZ9" i="2"/>
  <c r="H20" i="2"/>
  <c r="H17" i="2"/>
  <c r="H22" i="2"/>
  <c r="DP6" i="2"/>
  <c r="DT10" i="2"/>
  <c r="H13" i="2"/>
  <c r="DP12" i="2"/>
  <c r="DY10" i="2"/>
  <c r="EA6" i="2"/>
  <c r="EA7" i="2"/>
  <c r="DY9" i="2"/>
  <c r="EA9" i="2"/>
  <c r="DV5" i="2"/>
  <c r="EA8" i="2"/>
  <c r="BN12" i="2"/>
  <c r="BN1" i="2" s="1"/>
  <c r="F16" i="2" s="1"/>
  <c r="CC12" i="2"/>
  <c r="CC1" i="2" s="1"/>
  <c r="G16" i="2" s="1"/>
  <c r="AJ12" i="2"/>
  <c r="AJ1" i="2" s="1"/>
  <c r="D16" i="2" s="1"/>
  <c r="S224" i="3"/>
  <c r="S215" i="3"/>
  <c r="R215" i="3"/>
  <c r="S183" i="3"/>
  <c r="AA12" i="2" s="1"/>
  <c r="R183" i="3"/>
  <c r="S151" i="3"/>
  <c r="R151" i="3"/>
  <c r="DW14" i="2"/>
  <c r="ES248" i="3"/>
  <c r="R236" i="3"/>
  <c r="S236" i="3"/>
  <c r="R249" i="3"/>
  <c r="V229" i="3"/>
  <c r="V224" i="3"/>
  <c r="ES222" i="3"/>
  <c r="Q219" i="3"/>
  <c r="R228" i="3"/>
  <c r="S228" i="3"/>
  <c r="ES225" i="3"/>
  <c r="V211" i="3"/>
  <c r="U208" i="3"/>
  <c r="Q202" i="3"/>
  <c r="S189" i="3"/>
  <c r="R189" i="3"/>
  <c r="R205" i="3"/>
  <c r="S205" i="3"/>
  <c r="S201" i="3"/>
  <c r="R202" i="3"/>
  <c r="S181" i="3"/>
  <c r="R181" i="3"/>
  <c r="S192" i="3"/>
  <c r="U191" i="3"/>
  <c r="Q187" i="3"/>
  <c r="ES198" i="3"/>
  <c r="S184" i="3"/>
  <c r="Q179" i="3"/>
  <c r="U183" i="3"/>
  <c r="Q170" i="3"/>
  <c r="S187" i="3"/>
  <c r="U157" i="3"/>
  <c r="ES156" i="3"/>
  <c r="S165" i="3"/>
  <c r="R165" i="3"/>
  <c r="ES169" i="3"/>
  <c r="S152" i="3"/>
  <c r="R152" i="3"/>
  <c r="ES145" i="3"/>
  <c r="U151" i="3"/>
  <c r="S173" i="3"/>
  <c r="R137" i="3"/>
  <c r="S137" i="3"/>
  <c r="U132" i="3"/>
  <c r="U110" i="3"/>
  <c r="R112" i="3"/>
  <c r="V101" i="3"/>
  <c r="R115" i="3"/>
  <c r="ES92" i="3"/>
  <c r="ES101" i="3"/>
  <c r="ES56" i="3"/>
  <c r="Q34" i="3"/>
  <c r="V46" i="3"/>
  <c r="S36" i="3"/>
  <c r="R36" i="3"/>
  <c r="S11" i="3"/>
  <c r="R11" i="3"/>
  <c r="V6" i="3"/>
  <c r="V233" i="3"/>
  <c r="R234" i="3"/>
  <c r="U219" i="3"/>
  <c r="S219" i="3"/>
  <c r="R219" i="3"/>
  <c r="U230" i="3"/>
  <c r="S208" i="3"/>
  <c r="V210" i="3"/>
  <c r="ES211" i="3"/>
  <c r="R209" i="3"/>
  <c r="Q212" i="3"/>
  <c r="ES205" i="3"/>
  <c r="Q181" i="3"/>
  <c r="V191" i="3"/>
  <c r="V187" i="3"/>
  <c r="S179" i="3"/>
  <c r="V183" i="3"/>
  <c r="U176" i="3"/>
  <c r="V165" i="3"/>
  <c r="V150" i="3"/>
  <c r="U155" i="3"/>
  <c r="Q148" i="3"/>
  <c r="S149" i="3"/>
  <c r="R149" i="3"/>
  <c r="Q153" i="3"/>
  <c r="U138" i="3"/>
  <c r="R122" i="3"/>
  <c r="S127" i="3"/>
  <c r="R127" i="3"/>
  <c r="U107" i="3"/>
  <c r="S95" i="3"/>
  <c r="R95" i="3"/>
  <c r="Q94" i="3"/>
  <c r="U76" i="3"/>
  <c r="V64" i="3"/>
  <c r="Q4" i="3"/>
  <c r="S45" i="3"/>
  <c r="V33" i="3"/>
  <c r="DY14" i="2"/>
  <c r="AY1" i="2"/>
  <c r="E16" i="2" s="1"/>
  <c r="ES25" i="3"/>
  <c r="H15" i="2"/>
  <c r="ES180" i="3"/>
  <c r="S246" i="3"/>
  <c r="Q245" i="3"/>
  <c r="ES242" i="3"/>
  <c r="R246" i="3"/>
  <c r="S242" i="3"/>
  <c r="R242" i="3"/>
  <c r="Q214" i="3"/>
  <c r="R229" i="3"/>
  <c r="Q218" i="3"/>
  <c r="R218" i="3"/>
  <c r="S218" i="3"/>
  <c r="U228" i="3"/>
  <c r="U233" i="3"/>
  <c r="R210" i="3"/>
  <c r="S210" i="3"/>
  <c r="U215" i="3"/>
  <c r="V200" i="3"/>
  <c r="R200" i="3"/>
  <c r="S200" i="3"/>
  <c r="U194" i="3"/>
  <c r="U202" i="3"/>
  <c r="Q190" i="3"/>
  <c r="ES194" i="3"/>
  <c r="R199" i="3"/>
  <c r="Q196" i="3"/>
  <c r="U185" i="3"/>
  <c r="ES191" i="3"/>
  <c r="U198" i="3"/>
  <c r="Q175" i="3"/>
  <c r="V162" i="3"/>
  <c r="U156" i="3"/>
  <c r="U167" i="3"/>
  <c r="R179" i="3"/>
  <c r="U159" i="3"/>
  <c r="U169" i="3"/>
  <c r="Q139" i="3"/>
  <c r="ES150" i="3"/>
  <c r="ES166" i="3"/>
  <c r="ES149" i="3"/>
  <c r="ES137" i="3"/>
  <c r="S135" i="3"/>
  <c r="R135" i="3"/>
  <c r="U153" i="3"/>
  <c r="S138" i="3"/>
  <c r="R138" i="3"/>
  <c r="V124" i="3"/>
  <c r="Q120" i="3"/>
  <c r="ES121" i="3"/>
  <c r="ES127" i="3"/>
  <c r="S120" i="3"/>
  <c r="U106" i="3"/>
  <c r="U111" i="3"/>
  <c r="V93" i="3"/>
  <c r="S75" i="3"/>
  <c r="R75" i="3"/>
  <c r="ES77" i="3"/>
  <c r="V82" i="3"/>
  <c r="R60" i="3"/>
  <c r="S33" i="3"/>
  <c r="R33" i="3"/>
  <c r="Q22" i="3"/>
  <c r="Q29" i="3"/>
  <c r="U9" i="3"/>
  <c r="R24" i="3"/>
  <c r="S24" i="3"/>
  <c r="U11" i="3"/>
  <c r="U4" i="3"/>
  <c r="Q169" i="3"/>
  <c r="DS12" i="2"/>
  <c r="DS9" i="2"/>
  <c r="DS11" i="2"/>
  <c r="DS5" i="2"/>
  <c r="DS8" i="2"/>
  <c r="DS7" i="2"/>
  <c r="DS10" i="2"/>
  <c r="DS6" i="2"/>
  <c r="Q248" i="3"/>
  <c r="S250" i="3"/>
  <c r="R250" i="3"/>
  <c r="ES240" i="3"/>
  <c r="R214" i="3"/>
  <c r="S214" i="3"/>
  <c r="ES218" i="3"/>
  <c r="Q228" i="3"/>
  <c r="V215" i="3"/>
  <c r="R204" i="3"/>
  <c r="S204" i="3"/>
  <c r="V203" i="3"/>
  <c r="ES200" i="3"/>
  <c r="U205" i="3"/>
  <c r="U196" i="3"/>
  <c r="Q176" i="3"/>
  <c r="Q164" i="3"/>
  <c r="S164" i="3"/>
  <c r="V170" i="3"/>
  <c r="V163" i="3"/>
  <c r="Q159" i="3"/>
  <c r="U165" i="3"/>
  <c r="Q150" i="3"/>
  <c r="S171" i="3"/>
  <c r="S175" i="3"/>
  <c r="Q141" i="3"/>
  <c r="ES141" i="3"/>
  <c r="Q133" i="3"/>
  <c r="V166" i="3"/>
  <c r="R134" i="3"/>
  <c r="R139" i="3"/>
  <c r="V134" i="3"/>
  <c r="ES122" i="3"/>
  <c r="Q134" i="3"/>
  <c r="U89" i="3"/>
  <c r="Q69" i="3"/>
  <c r="R77" i="3"/>
  <c r="S77" i="3"/>
  <c r="R72" i="3"/>
  <c r="Q63" i="3"/>
  <c r="R54" i="3"/>
  <c r="S54" i="3"/>
  <c r="S39" i="3"/>
  <c r="R39" i="3"/>
  <c r="V7" i="3"/>
  <c r="DU14" i="2"/>
  <c r="R18" i="3"/>
  <c r="Z10" i="2" s="1"/>
  <c r="Q15" i="3"/>
  <c r="DO6" i="2"/>
  <c r="DO12" i="2"/>
  <c r="DO11" i="2"/>
  <c r="DO7" i="2"/>
  <c r="DO5" i="2"/>
  <c r="DO10" i="2"/>
  <c r="R238" i="3"/>
  <c r="Q210" i="3"/>
  <c r="ES215" i="3"/>
  <c r="S203" i="3"/>
  <c r="R203" i="3"/>
  <c r="U226" i="3"/>
  <c r="Q205" i="3"/>
  <c r="Q199" i="3"/>
  <c r="V196" i="3"/>
  <c r="Q191" i="3"/>
  <c r="S185" i="3"/>
  <c r="R185" i="3"/>
  <c r="Q167" i="3"/>
  <c r="ES170" i="3"/>
  <c r="S191" i="3"/>
  <c r="S182" i="3"/>
  <c r="V159" i="3"/>
  <c r="S148" i="3"/>
  <c r="R148" i="3"/>
  <c r="ES159" i="3"/>
  <c r="S130" i="3"/>
  <c r="R130" i="3"/>
  <c r="U114" i="3"/>
  <c r="V119" i="3"/>
  <c r="S59" i="3"/>
  <c r="V11" i="3"/>
  <c r="V15" i="3"/>
  <c r="DR14" i="2"/>
  <c r="EW11" i="2"/>
  <c r="EV11" i="2"/>
  <c r="A11" i="2" s="1"/>
  <c r="DS27" i="2"/>
  <c r="DS26" i="2"/>
  <c r="R212" i="3"/>
  <c r="S212" i="3"/>
  <c r="R233" i="3"/>
  <c r="ES220" i="3"/>
  <c r="R230" i="3"/>
  <c r="ES204" i="3"/>
  <c r="V246" i="3"/>
  <c r="U244" i="3"/>
  <c r="S240" i="3"/>
  <c r="R240" i="3"/>
  <c r="R247" i="3"/>
  <c r="Q238" i="3"/>
  <c r="S239" i="3"/>
  <c r="S237" i="3"/>
  <c r="V237" i="3"/>
  <c r="R224" i="3"/>
  <c r="S227" i="3"/>
  <c r="Q222" i="3"/>
  <c r="S223" i="3"/>
  <c r="R227" i="3"/>
  <c r="U218" i="3"/>
  <c r="U213" i="3"/>
  <c r="ES212" i="3"/>
  <c r="ES209" i="3"/>
  <c r="R220" i="3"/>
  <c r="S207" i="3"/>
  <c r="R207" i="3"/>
  <c r="V205" i="3"/>
  <c r="R196" i="3"/>
  <c r="S196" i="3"/>
  <c r="ES186" i="3"/>
  <c r="ES188" i="3"/>
  <c r="ES185" i="3"/>
  <c r="V178" i="3"/>
  <c r="V181" i="3"/>
  <c r="R176" i="3"/>
  <c r="ES174" i="3"/>
  <c r="R195" i="3"/>
  <c r="ES176" i="3"/>
  <c r="U170" i="3"/>
  <c r="Q157" i="3"/>
  <c r="ES148" i="3"/>
  <c r="Q156" i="3"/>
  <c r="S141" i="3"/>
  <c r="R141" i="3"/>
  <c r="U163" i="3"/>
  <c r="S128" i="3"/>
  <c r="R128" i="3"/>
  <c r="R126" i="3"/>
  <c r="Q112" i="3"/>
  <c r="U120" i="3"/>
  <c r="V114" i="3"/>
  <c r="V116" i="3"/>
  <c r="U88" i="3"/>
  <c r="S119" i="3"/>
  <c r="ES83" i="3"/>
  <c r="V56" i="3"/>
  <c r="U66" i="3"/>
  <c r="U32" i="3"/>
  <c r="S51" i="3"/>
  <c r="R51" i="3"/>
  <c r="Q25" i="3"/>
  <c r="ES29" i="3"/>
  <c r="Q12" i="3"/>
  <c r="U21" i="3"/>
  <c r="DU12" i="2"/>
  <c r="S43" i="3"/>
  <c r="R43" i="3"/>
  <c r="Q237" i="3"/>
  <c r="ES231" i="3"/>
  <c r="U222" i="3"/>
  <c r="U214" i="3"/>
  <c r="S225" i="3"/>
  <c r="ES216" i="3"/>
  <c r="U220" i="3"/>
  <c r="U203" i="3"/>
  <c r="S211" i="3"/>
  <c r="V204" i="3"/>
  <c r="R208" i="3"/>
  <c r="ES196" i="3"/>
  <c r="S168" i="3"/>
  <c r="R168" i="3"/>
  <c r="V168" i="3"/>
  <c r="R177" i="3"/>
  <c r="S170" i="3"/>
  <c r="R170" i="3"/>
  <c r="ES158" i="3"/>
  <c r="V169" i="3"/>
  <c r="S161" i="3"/>
  <c r="R161" i="3"/>
  <c r="ES157" i="3"/>
  <c r="R156" i="3"/>
  <c r="Q144" i="3"/>
  <c r="S143" i="3"/>
  <c r="R143" i="3"/>
  <c r="ES142" i="3"/>
  <c r="Q145" i="3"/>
  <c r="U146" i="3"/>
  <c r="U136" i="3"/>
  <c r="S113" i="3"/>
  <c r="R113" i="3"/>
  <c r="S105" i="3"/>
  <c r="R105" i="3"/>
  <c r="Q109" i="3"/>
  <c r="Q46" i="3"/>
  <c r="R55" i="3"/>
  <c r="R42" i="3"/>
  <c r="S42" i="3"/>
  <c r="U13" i="3"/>
  <c r="U36" i="3"/>
  <c r="V235" i="3"/>
  <c r="ES243" i="3"/>
  <c r="Q246" i="3"/>
  <c r="Q242" i="3"/>
  <c r="Q239" i="3"/>
  <c r="ES234" i="3"/>
  <c r="U231" i="3"/>
  <c r="U232" i="3"/>
  <c r="S235" i="3"/>
  <c r="R235" i="3"/>
  <c r="S221" i="3"/>
  <c r="V214" i="3"/>
  <c r="U207" i="3"/>
  <c r="U210" i="3"/>
  <c r="Q197" i="3"/>
  <c r="U201" i="3"/>
  <c r="S193" i="3"/>
  <c r="R193" i="3"/>
  <c r="U192" i="3"/>
  <c r="Q186" i="3"/>
  <c r="Q178" i="3"/>
  <c r="Q158" i="3"/>
  <c r="Q174" i="3"/>
  <c r="S163" i="3"/>
  <c r="R163" i="3"/>
  <c r="R159" i="3"/>
  <c r="S154" i="3"/>
  <c r="ES161" i="3"/>
  <c r="V158" i="3"/>
  <c r="V155" i="3"/>
  <c r="S147" i="3"/>
  <c r="ES144" i="3"/>
  <c r="R133" i="3"/>
  <c r="S133" i="3"/>
  <c r="R142" i="3"/>
  <c r="S142" i="3"/>
  <c r="ES143" i="3"/>
  <c r="V145" i="3"/>
  <c r="S132" i="3"/>
  <c r="R132" i="3"/>
  <c r="Q116" i="3"/>
  <c r="Q74" i="3"/>
  <c r="V69" i="3"/>
  <c r="Q62" i="3"/>
  <c r="S87" i="3"/>
  <c r="ES59" i="3"/>
  <c r="U58" i="3"/>
  <c r="S25" i="3"/>
  <c r="R25" i="3"/>
  <c r="Q16" i="3"/>
  <c r="Y9" i="2" s="1"/>
  <c r="ES16" i="3"/>
  <c r="EU9" i="2" s="1"/>
  <c r="V4" i="3"/>
  <c r="EV6" i="2"/>
  <c r="A6" i="2" s="1"/>
  <c r="EW6" i="2"/>
  <c r="DQ6" i="2"/>
  <c r="DQ5" i="2"/>
  <c r="DQ8" i="2"/>
  <c r="DQ7" i="2"/>
  <c r="DQ10" i="2"/>
  <c r="DQ11" i="2"/>
  <c r="DQ9" i="2"/>
  <c r="DQ12" i="2"/>
  <c r="H16" i="2"/>
  <c r="V239" i="3"/>
  <c r="U241" i="3"/>
  <c r="U235" i="3"/>
  <c r="Q227" i="3"/>
  <c r="U216" i="3"/>
  <c r="V207" i="3"/>
  <c r="ES206" i="3"/>
  <c r="V197" i="3"/>
  <c r="Q201" i="3"/>
  <c r="R194" i="3"/>
  <c r="S194" i="3"/>
  <c r="V199" i="3"/>
  <c r="S190" i="3"/>
  <c r="R190" i="3"/>
  <c r="R180" i="3"/>
  <c r="S180" i="3"/>
  <c r="R174" i="3"/>
  <c r="R150" i="3"/>
  <c r="S150" i="3"/>
  <c r="ES155" i="3"/>
  <c r="ES147" i="3"/>
  <c r="S140" i="3"/>
  <c r="R140" i="3"/>
  <c r="V146" i="3"/>
  <c r="U137" i="3"/>
  <c r="S114" i="3"/>
  <c r="R114" i="3"/>
  <c r="S124" i="3"/>
  <c r="S97" i="3"/>
  <c r="R97" i="3"/>
  <c r="R92" i="3"/>
  <c r="R87" i="3"/>
  <c r="S109" i="3"/>
  <c r="Q119" i="3"/>
  <c r="ES98" i="3"/>
  <c r="V78" i="3"/>
  <c r="U37" i="3"/>
  <c r="Q27" i="3"/>
  <c r="Y6" i="2" s="1"/>
  <c r="U20" i="3"/>
  <c r="V19" i="3"/>
  <c r="V13" i="3"/>
  <c r="V9" i="3"/>
  <c r="DQ27" i="2"/>
  <c r="DQ26" i="2"/>
  <c r="DO8" i="2"/>
  <c r="V250" i="3"/>
  <c r="S244" i="3"/>
  <c r="R244" i="3"/>
  <c r="ES233" i="3"/>
  <c r="Q241" i="3"/>
  <c r="ES235" i="3"/>
  <c r="Q220" i="3"/>
  <c r="Q232" i="3"/>
  <c r="V227" i="3"/>
  <c r="S213" i="3"/>
  <c r="R213" i="3"/>
  <c r="R217" i="3"/>
  <c r="R216" i="3"/>
  <c r="S216" i="3"/>
  <c r="V201" i="3"/>
  <c r="U195" i="3"/>
  <c r="Q193" i="3"/>
  <c r="V189" i="3"/>
  <c r="U199" i="3"/>
  <c r="ES173" i="3"/>
  <c r="R198" i="3"/>
  <c r="S198" i="3"/>
  <c r="V179" i="3"/>
  <c r="Q162" i="3"/>
  <c r="U180" i="3"/>
  <c r="V174" i="3"/>
  <c r="ES165" i="3"/>
  <c r="S162" i="3"/>
  <c r="R162" i="3"/>
  <c r="Q155" i="3"/>
  <c r="V172" i="3"/>
  <c r="V152" i="3"/>
  <c r="S159" i="3"/>
  <c r="U147" i="3"/>
  <c r="R146" i="3"/>
  <c r="S146" i="3"/>
  <c r="R129" i="3"/>
  <c r="S129" i="3"/>
  <c r="Q85" i="3"/>
  <c r="Q68" i="3"/>
  <c r="U40" i="3"/>
  <c r="U12" i="3"/>
  <c r="V14" i="3"/>
  <c r="DV14" i="2"/>
  <c r="DZ27" i="2"/>
  <c r="DZ26" i="2"/>
  <c r="S232" i="3"/>
  <c r="R232" i="3"/>
  <c r="Q251" i="3"/>
  <c r="S245" i="3"/>
  <c r="Q250" i="3"/>
  <c r="V238" i="3"/>
  <c r="ES236" i="3"/>
  <c r="Q231" i="3"/>
  <c r="U234" i="3"/>
  <c r="V241" i="3"/>
  <c r="Q235" i="3"/>
  <c r="ES224" i="3"/>
  <c r="V220" i="3"/>
  <c r="Q229" i="3"/>
  <c r="V218" i="3"/>
  <c r="V212" i="3"/>
  <c r="Q215" i="3"/>
  <c r="ES201" i="3"/>
  <c r="U206" i="3"/>
  <c r="V193" i="3"/>
  <c r="ES199" i="3"/>
  <c r="V195" i="3"/>
  <c r="Q168" i="3"/>
  <c r="ES177" i="3"/>
  <c r="V198" i="3"/>
  <c r="Q183" i="3"/>
  <c r="Q182" i="3"/>
  <c r="ES168" i="3"/>
  <c r="Q171" i="3"/>
  <c r="ES172" i="3"/>
  <c r="U154" i="3"/>
  <c r="U150" i="3"/>
  <c r="S169" i="3"/>
  <c r="R169" i="3"/>
  <c r="V148" i="3"/>
  <c r="V137" i="3"/>
  <c r="U135" i="3"/>
  <c r="ES129" i="3"/>
  <c r="U124" i="3"/>
  <c r="V122" i="3"/>
  <c r="V126" i="3"/>
  <c r="Q136" i="3"/>
  <c r="V113" i="3"/>
  <c r="R98" i="3"/>
  <c r="S98" i="3"/>
  <c r="Q77" i="3"/>
  <c r="V58" i="3"/>
  <c r="R48" i="3"/>
  <c r="S28" i="3"/>
  <c r="R28" i="3"/>
  <c r="U18" i="3"/>
  <c r="ES41" i="3"/>
  <c r="U10" i="3"/>
  <c r="H10" i="2"/>
  <c r="DT9" i="2"/>
  <c r="DT12" i="2"/>
  <c r="DT7" i="2"/>
  <c r="DT6" i="2"/>
  <c r="DT5" i="2"/>
  <c r="DT11" i="2"/>
  <c r="DT8" i="2"/>
  <c r="R50" i="3"/>
  <c r="H19" i="2"/>
  <c r="DV11" i="2"/>
  <c r="DV8" i="2"/>
  <c r="DV10" i="2"/>
  <c r="U140" i="3"/>
  <c r="S144" i="3"/>
  <c r="R144" i="3"/>
  <c r="Q140" i="3"/>
  <c r="U142" i="3"/>
  <c r="V133" i="3"/>
  <c r="Q146" i="3"/>
  <c r="Q128" i="3"/>
  <c r="V127" i="3"/>
  <c r="Q126" i="3"/>
  <c r="S110" i="3"/>
  <c r="R110" i="3"/>
  <c r="ES118" i="3"/>
  <c r="ES113" i="3"/>
  <c r="S117" i="3"/>
  <c r="R117" i="3"/>
  <c r="V104" i="3"/>
  <c r="ES99" i="3"/>
  <c r="R101" i="3"/>
  <c r="S101" i="3"/>
  <c r="S93" i="3"/>
  <c r="R93" i="3"/>
  <c r="Q100" i="3"/>
  <c r="R91" i="3"/>
  <c r="V87" i="3"/>
  <c r="Q96" i="3"/>
  <c r="R83" i="3"/>
  <c r="S83" i="3"/>
  <c r="U94" i="3"/>
  <c r="Q70" i="3"/>
  <c r="S71" i="3"/>
  <c r="R71" i="3"/>
  <c r="S82" i="3"/>
  <c r="R82" i="3"/>
  <c r="V73" i="3"/>
  <c r="U77" i="3"/>
  <c r="U82" i="3"/>
  <c r="V48" i="3"/>
  <c r="V36" i="3"/>
  <c r="S73" i="3"/>
  <c r="R73" i="3"/>
  <c r="U23" i="3"/>
  <c r="R61" i="3"/>
  <c r="S61" i="3"/>
  <c r="ES23" i="3"/>
  <c r="Q13" i="3"/>
  <c r="ES28" i="3"/>
  <c r="R17" i="3"/>
  <c r="EC9" i="2"/>
  <c r="S47" i="3"/>
  <c r="R47" i="3"/>
  <c r="U7" i="3"/>
  <c r="ES43" i="3"/>
  <c r="DY7" i="2"/>
  <c r="U5" i="3"/>
  <c r="EC10" i="2"/>
  <c r="DP9" i="2"/>
  <c r="EB12" i="2"/>
  <c r="EA11" i="2"/>
  <c r="DY12" i="2"/>
  <c r="Q24" i="3"/>
  <c r="Q105" i="3"/>
  <c r="V102" i="3"/>
  <c r="V106" i="3"/>
  <c r="Q87" i="3"/>
  <c r="U119" i="3"/>
  <c r="V98" i="3"/>
  <c r="S80" i="3"/>
  <c r="R80" i="3"/>
  <c r="S74" i="3"/>
  <c r="R74" i="3"/>
  <c r="ES76" i="3"/>
  <c r="U69" i="3"/>
  <c r="Q75" i="3"/>
  <c r="S78" i="3"/>
  <c r="R78" i="3"/>
  <c r="ES84" i="3"/>
  <c r="S52" i="3"/>
  <c r="R52" i="3"/>
  <c r="S53" i="3"/>
  <c r="Q48" i="3"/>
  <c r="Q36" i="3"/>
  <c r="U25" i="3"/>
  <c r="U51" i="3"/>
  <c r="Q6" i="3"/>
  <c r="R31" i="3"/>
  <c r="S31" i="3"/>
  <c r="ES24" i="3"/>
  <c r="EC14" i="2"/>
  <c r="U24" i="3"/>
  <c r="EC7" i="2"/>
  <c r="DU10" i="2"/>
  <c r="U43" i="3"/>
  <c r="ES7" i="3"/>
  <c r="V24" i="3"/>
  <c r="R46" i="3"/>
  <c r="DY8" i="2"/>
  <c r="U144" i="3"/>
  <c r="ES131" i="3"/>
  <c r="S131" i="3"/>
  <c r="R131" i="3"/>
  <c r="ES146" i="3"/>
  <c r="Q122" i="3"/>
  <c r="U122" i="3"/>
  <c r="U129" i="3"/>
  <c r="S136" i="3"/>
  <c r="R136" i="3"/>
  <c r="V111" i="3"/>
  <c r="V107" i="3"/>
  <c r="Q118" i="3"/>
  <c r="U99" i="3"/>
  <c r="Q106" i="3"/>
  <c r="S115" i="3"/>
  <c r="Q102" i="3"/>
  <c r="R109" i="3"/>
  <c r="ES74" i="3"/>
  <c r="V75" i="3"/>
  <c r="ES78" i="3"/>
  <c r="R84" i="3"/>
  <c r="ES82" i="3"/>
  <c r="R65" i="3"/>
  <c r="S65" i="3"/>
  <c r="V51" i="3"/>
  <c r="U61" i="3"/>
  <c r="S38" i="3"/>
  <c r="ES31" i="3"/>
  <c r="V8" i="3"/>
  <c r="DU8" i="2"/>
  <c r="S23" i="3"/>
  <c r="R14" i="3"/>
  <c r="U47" i="3"/>
  <c r="EC8" i="2"/>
  <c r="ES18" i="3"/>
  <c r="EU10" i="2" s="1"/>
  <c r="Q43" i="3"/>
  <c r="S57" i="3"/>
  <c r="EA12" i="2"/>
  <c r="ES138" i="3"/>
  <c r="Q149" i="3"/>
  <c r="U133" i="3"/>
  <c r="R153" i="3"/>
  <c r="S153" i="3"/>
  <c r="Q132" i="3"/>
  <c r="Q129" i="3"/>
  <c r="Q124" i="3"/>
  <c r="ES130" i="3"/>
  <c r="ES124" i="3"/>
  <c r="U127" i="3"/>
  <c r="Q108" i="3"/>
  <c r="Q123" i="3"/>
  <c r="ES136" i="3"/>
  <c r="V118" i="3"/>
  <c r="R111" i="3"/>
  <c r="ES105" i="3"/>
  <c r="S106" i="3"/>
  <c r="R106" i="3"/>
  <c r="R125" i="3"/>
  <c r="S125" i="3"/>
  <c r="V95" i="3"/>
  <c r="U98" i="3"/>
  <c r="Q99" i="3"/>
  <c r="S108" i="3"/>
  <c r="Q83" i="3"/>
  <c r="Q82" i="3"/>
  <c r="ES65" i="3"/>
  <c r="V40" i="3"/>
  <c r="Q28" i="3"/>
  <c r="S72" i="3"/>
  <c r="R29" i="3"/>
  <c r="Q14" i="3"/>
  <c r="Q61" i="3"/>
  <c r="U39" i="3"/>
  <c r="S27" i="3"/>
  <c r="AA6" i="2" s="1"/>
  <c r="Q31" i="3"/>
  <c r="DU11" i="2"/>
  <c r="Q47" i="3"/>
  <c r="H12" i="2"/>
  <c r="V43" i="3"/>
  <c r="H21" i="2"/>
  <c r="DY11" i="2"/>
  <c r="DU7" i="2"/>
  <c r="EA10" i="2"/>
  <c r="V147" i="3"/>
  <c r="U145" i="3"/>
  <c r="Q142" i="3"/>
  <c r="U149" i="3"/>
  <c r="U166" i="3"/>
  <c r="V149" i="3"/>
  <c r="V138" i="3"/>
  <c r="U143" i="3"/>
  <c r="V132" i="3"/>
  <c r="U128" i="3"/>
  <c r="V129" i="3"/>
  <c r="Q130" i="3"/>
  <c r="ES126" i="3"/>
  <c r="S123" i="3"/>
  <c r="R123" i="3"/>
  <c r="R118" i="3"/>
  <c r="R102" i="3"/>
  <c r="S116" i="3"/>
  <c r="R116" i="3"/>
  <c r="U101" i="3"/>
  <c r="ES106" i="3"/>
  <c r="V125" i="3"/>
  <c r="S90" i="3"/>
  <c r="R90" i="3"/>
  <c r="ES87" i="3"/>
  <c r="S99" i="3"/>
  <c r="V83" i="3"/>
  <c r="V71" i="3"/>
  <c r="S79" i="3"/>
  <c r="R79" i="3"/>
  <c r="ES51" i="3"/>
  <c r="V61" i="3"/>
  <c r="Q39" i="3"/>
  <c r="Q17" i="3"/>
  <c r="Q9" i="3"/>
  <c r="R35" i="3"/>
  <c r="S35" i="3"/>
  <c r="V30" i="3"/>
  <c r="ES57" i="3"/>
  <c r="V31" i="3"/>
  <c r="ES10" i="3"/>
  <c r="EU8" i="2" s="1"/>
  <c r="S7" i="3"/>
  <c r="V47" i="3"/>
  <c r="DU5" i="2"/>
  <c r="H23" i="2"/>
  <c r="H9" i="2"/>
  <c r="DZ8" i="2"/>
  <c r="DZ11" i="2"/>
  <c r="DZ7" i="2"/>
  <c r="DZ5" i="2"/>
  <c r="EC12" i="2"/>
  <c r="V123" i="3"/>
  <c r="Q115" i="3"/>
  <c r="Q107" i="3"/>
  <c r="V99" i="3"/>
  <c r="U105" i="3"/>
  <c r="Q125" i="3"/>
  <c r="Q95" i="3"/>
  <c r="ES90" i="3"/>
  <c r="Q92" i="3"/>
  <c r="S70" i="3"/>
  <c r="R70" i="3"/>
  <c r="ES79" i="3"/>
  <c r="S66" i="3"/>
  <c r="U63" i="3"/>
  <c r="U65" i="3"/>
  <c r="Q40" i="3"/>
  <c r="Q19" i="3"/>
  <c r="Q51" i="3"/>
  <c r="Q20" i="3"/>
  <c r="V39" i="3"/>
  <c r="ES33" i="3"/>
  <c r="Q23" i="3"/>
  <c r="ES35" i="3"/>
  <c r="R64" i="3"/>
  <c r="U17" i="3"/>
  <c r="DV12" i="2"/>
  <c r="DV9" i="2"/>
  <c r="DV6" i="2"/>
  <c r="DX10" i="2"/>
  <c r="DX5" i="2"/>
  <c r="DX6" i="2"/>
  <c r="DX8" i="2"/>
  <c r="DX12" i="2"/>
  <c r="DX9" i="2"/>
  <c r="DX11" i="2"/>
  <c r="DX7" i="2"/>
  <c r="H11" i="2"/>
  <c r="ES12" i="3"/>
  <c r="Q5" i="3"/>
  <c r="DX14" i="2"/>
  <c r="R30" i="3"/>
  <c r="DP10" i="2"/>
  <c r="EB10" i="2"/>
  <c r="U117" i="3"/>
  <c r="ES112" i="3"/>
  <c r="Q103" i="3"/>
  <c r="V91" i="3"/>
  <c r="U83" i="3"/>
  <c r="R86" i="3"/>
  <c r="S86" i="3"/>
  <c r="ES72" i="3"/>
  <c r="Q76" i="3"/>
  <c r="U59" i="3"/>
  <c r="Q54" i="3"/>
  <c r="S67" i="3"/>
  <c r="R67" i="3"/>
  <c r="Q65" i="3"/>
  <c r="ES58" i="3"/>
  <c r="EU5" i="2" s="1"/>
  <c r="ES53" i="3"/>
  <c r="R53" i="3"/>
  <c r="V20" i="3"/>
  <c r="R34" i="3"/>
  <c r="U35" i="3"/>
  <c r="U57" i="3"/>
  <c r="R26" i="3"/>
  <c r="Z11" i="2" s="1"/>
  <c r="U19" i="3"/>
  <c r="U29" i="3"/>
  <c r="R15" i="3"/>
  <c r="R8" i="3"/>
  <c r="Q7" i="3"/>
  <c r="EA14" i="2"/>
  <c r="S21" i="3"/>
  <c r="DY6" i="2"/>
  <c r="DP8" i="2"/>
  <c r="EB5" i="2"/>
  <c r="V153" i="3"/>
  <c r="V121" i="3"/>
  <c r="U123" i="3"/>
  <c r="ES117" i="3"/>
  <c r="U116" i="3"/>
  <c r="ES104" i="3"/>
  <c r="V103" i="3"/>
  <c r="S85" i="3"/>
  <c r="R85" i="3"/>
  <c r="U125" i="3"/>
  <c r="U102" i="3"/>
  <c r="ES134" i="3"/>
  <c r="U90" i="3"/>
  <c r="Q88" i="3"/>
  <c r="Q86" i="3"/>
  <c r="S96" i="3"/>
  <c r="V80" i="3"/>
  <c r="V77" i="3"/>
  <c r="V76" i="3"/>
  <c r="U79" i="3"/>
  <c r="V54" i="3"/>
  <c r="V65" i="3"/>
  <c r="V44" i="3"/>
  <c r="V32" i="3"/>
  <c r="Q35" i="3"/>
  <c r="Q57" i="3"/>
  <c r="R58" i="3"/>
  <c r="Z5" i="2" s="1"/>
  <c r="V55" i="3"/>
  <c r="S26" i="3"/>
  <c r="AA11" i="2" s="1"/>
  <c r="V12" i="3"/>
  <c r="S44" i="3"/>
  <c r="ES8" i="3"/>
  <c r="DO14" i="2"/>
  <c r="DZ12" i="2"/>
  <c r="DW11" i="2"/>
  <c r="DW8" i="2"/>
  <c r="DW5" i="2"/>
  <c r="DW9" i="2"/>
  <c r="DW12" i="2"/>
  <c r="DW10" i="2"/>
  <c r="DW7" i="2"/>
  <c r="DW6" i="2"/>
  <c r="DU9" i="2"/>
  <c r="DU6" i="2"/>
  <c r="DP11" i="2"/>
  <c r="EB8" i="2"/>
  <c r="DO9" i="2"/>
  <c r="DY5" i="2"/>
  <c r="S145" i="3"/>
  <c r="R145" i="3"/>
  <c r="V139" i="3"/>
  <c r="Q166" i="3"/>
  <c r="ES153" i="3"/>
  <c r="ES119" i="3"/>
  <c r="ES123" i="3"/>
  <c r="U112" i="3"/>
  <c r="V110" i="3"/>
  <c r="S103" i="3"/>
  <c r="R103" i="3"/>
  <c r="S107" i="3"/>
  <c r="ES125" i="3"/>
  <c r="Q91" i="3"/>
  <c r="Q90" i="3"/>
  <c r="S94" i="3"/>
  <c r="R94" i="3"/>
  <c r="V86" i="3"/>
  <c r="S104" i="3"/>
  <c r="R104" i="3"/>
  <c r="S100" i="3"/>
  <c r="U81" i="3"/>
  <c r="Q71" i="3"/>
  <c r="U72" i="3"/>
  <c r="R69" i="3"/>
  <c r="R76" i="3"/>
  <c r="S76" i="3"/>
  <c r="Q79" i="3"/>
  <c r="V59" i="3"/>
  <c r="R62" i="3"/>
  <c r="S56" i="3"/>
  <c r="R56" i="3"/>
  <c r="V60" i="3"/>
  <c r="R63" i="3"/>
  <c r="U67" i="3"/>
  <c r="U53" i="3"/>
  <c r="Q10" i="3"/>
  <c r="Y8" i="2" s="1"/>
  <c r="V35" i="3"/>
  <c r="V57" i="3"/>
  <c r="S55" i="3"/>
  <c r="S10" i="3"/>
  <c r="AA8" i="2" s="1"/>
  <c r="S49" i="3"/>
  <c r="AA7" i="2" s="1"/>
  <c r="H18" i="2"/>
  <c r="DP7" i="2"/>
  <c r="EB11" i="2"/>
  <c r="EA5" i="2"/>
  <c r="EA15" i="2" s="1"/>
  <c r="S166" i="3"/>
  <c r="R166" i="3"/>
  <c r="S122" i="3"/>
  <c r="U126" i="3"/>
  <c r="U108" i="3"/>
  <c r="ES108" i="3"/>
  <c r="Q117" i="3"/>
  <c r="U104" i="3"/>
  <c r="S89" i="3"/>
  <c r="R89" i="3"/>
  <c r="S118" i="3"/>
  <c r="U103" i="3"/>
  <c r="U134" i="3"/>
  <c r="V90" i="3"/>
  <c r="ES94" i="3"/>
  <c r="Q80" i="3"/>
  <c r="V79" i="3"/>
  <c r="V67" i="3"/>
  <c r="Q44" i="3"/>
  <c r="Q32" i="3"/>
  <c r="V34" i="3"/>
  <c r="Q64" i="3"/>
  <c r="ES62" i="3"/>
  <c r="DR9" i="2"/>
  <c r="DR12" i="2"/>
  <c r="DR6" i="2"/>
  <c r="DR7" i="2"/>
  <c r="DR11" i="2"/>
  <c r="DR8" i="2"/>
  <c r="DR5" i="2"/>
  <c r="DR10" i="2"/>
  <c r="EB15" i="2" l="1"/>
  <c r="EA18" i="2"/>
  <c r="EW7" i="2"/>
  <c r="DU16" i="2"/>
  <c r="EW12" i="2"/>
  <c r="EV12" i="2"/>
  <c r="A12" i="2" s="1"/>
  <c r="EB26" i="2"/>
  <c r="EA21" i="2"/>
  <c r="DT27" i="2"/>
  <c r="DO16" i="2"/>
  <c r="DP27" i="2"/>
  <c r="EA22" i="2"/>
  <c r="EC19" i="2"/>
  <c r="EB21" i="2"/>
  <c r="DZ15" i="2"/>
  <c r="Z1" i="2"/>
  <c r="G6" i="2" s="1"/>
  <c r="DY16" i="2"/>
  <c r="Y1" i="2"/>
  <c r="C6" i="2" s="1"/>
  <c r="DV21" i="2"/>
  <c r="AE6" i="2"/>
  <c r="BI6" i="2"/>
  <c r="AT6" i="2"/>
  <c r="BX6" i="2"/>
  <c r="DY15" i="2"/>
  <c r="CB11" i="2"/>
  <c r="AI11" i="2"/>
  <c r="BM11" i="2"/>
  <c r="AX11" i="2"/>
  <c r="DX16" i="2"/>
  <c r="DZ17" i="2"/>
  <c r="DS15" i="2"/>
  <c r="DZ16" i="2"/>
  <c r="AR7" i="2"/>
  <c r="BG7" i="2"/>
  <c r="BI7" i="2"/>
  <c r="BV7" i="2"/>
  <c r="BX7" i="2"/>
  <c r="AE7" i="2"/>
  <c r="AT7" i="2"/>
  <c r="AC7" i="2"/>
  <c r="EB16" i="2"/>
  <c r="DO15" i="2"/>
  <c r="DX19" i="2"/>
  <c r="DX17" i="2"/>
  <c r="DX18" i="2"/>
  <c r="DP16" i="2"/>
  <c r="DT20" i="2"/>
  <c r="DT21" i="2"/>
  <c r="DT22" i="2"/>
  <c r="EA17" i="2"/>
  <c r="DR22" i="2"/>
  <c r="DR20" i="2"/>
  <c r="DR21" i="2"/>
  <c r="DW18" i="2"/>
  <c r="DW17" i="2"/>
  <c r="DW19" i="2"/>
  <c r="DW16" i="2"/>
  <c r="DX15" i="2"/>
  <c r="DU22" i="2"/>
  <c r="DU20" i="2"/>
  <c r="DU21" i="2"/>
  <c r="DW15" i="2"/>
  <c r="EW10" i="2"/>
  <c r="EV10" i="2"/>
  <c r="A10" i="2" s="1"/>
  <c r="EC27" i="2"/>
  <c r="EC26" i="2"/>
  <c r="DT16" i="2"/>
  <c r="DQ20" i="2"/>
  <c r="DQ22" i="2"/>
  <c r="DQ21" i="2"/>
  <c r="BK7" i="2"/>
  <c r="AH7" i="2"/>
  <c r="BY7" i="2"/>
  <c r="CD7" i="2"/>
  <c r="AZ7" i="2"/>
  <c r="AM7" i="2"/>
  <c r="AG7" i="2"/>
  <c r="BC7" i="2"/>
  <c r="BJ7" i="2"/>
  <c r="CF7" i="2"/>
  <c r="AV7" i="2"/>
  <c r="BO7" i="2"/>
  <c r="CA7" i="2"/>
  <c r="AU7" i="2"/>
  <c r="BQ7" i="2"/>
  <c r="AF7" i="2"/>
  <c r="AI7" i="2"/>
  <c r="AK7" i="2"/>
  <c r="AW7" i="2"/>
  <c r="BB7" i="2"/>
  <c r="AL7" i="2"/>
  <c r="BZ7" i="2"/>
  <c r="BL7" i="2"/>
  <c r="CE7" i="2"/>
  <c r="AX7" i="2"/>
  <c r="CG7" i="2"/>
  <c r="BM7" i="2"/>
  <c r="BM1" i="2" s="1"/>
  <c r="F15" i="2" s="1"/>
  <c r="BA7" i="2"/>
  <c r="BR7" i="2"/>
  <c r="AN7" i="2"/>
  <c r="BP7" i="2"/>
  <c r="CB7" i="2"/>
  <c r="DO20" i="2"/>
  <c r="DO22" i="2"/>
  <c r="DO21" i="2"/>
  <c r="DS16" i="2"/>
  <c r="EA19" i="2"/>
  <c r="EB17" i="2"/>
  <c r="DP21" i="2"/>
  <c r="DP20" i="2"/>
  <c r="DP22" i="2"/>
  <c r="DV18" i="2"/>
  <c r="DV17" i="2"/>
  <c r="DV19" i="2"/>
  <c r="EA30" i="2"/>
  <c r="AA1" i="2" s="1"/>
  <c r="D6" i="2" s="1"/>
  <c r="DP15" i="2"/>
  <c r="DR15" i="2"/>
  <c r="DV16" i="2"/>
  <c r="DY21" i="2"/>
  <c r="DY20" i="2"/>
  <c r="DY22" i="2"/>
  <c r="EB22" i="2"/>
  <c r="DQ15" i="2"/>
  <c r="EB18" i="2"/>
  <c r="CJ11" i="2"/>
  <c r="BU11" i="2"/>
  <c r="BF11" i="2"/>
  <c r="AQ11" i="2"/>
  <c r="DU19" i="2"/>
  <c r="DU18" i="2"/>
  <c r="DU17" i="2"/>
  <c r="DX27" i="2"/>
  <c r="DX26" i="2"/>
  <c r="DY18" i="2"/>
  <c r="DY17" i="2"/>
  <c r="DY19" i="2"/>
  <c r="DV27" i="2"/>
  <c r="DV26" i="2"/>
  <c r="EB20" i="2"/>
  <c r="DQ18" i="2"/>
  <c r="DQ17" i="2"/>
  <c r="DQ19" i="2"/>
  <c r="EB19" i="2"/>
  <c r="DR26" i="2"/>
  <c r="DR27" i="2"/>
  <c r="DU30" i="2"/>
  <c r="DO19" i="2"/>
  <c r="DO18" i="2"/>
  <c r="DO17" i="2"/>
  <c r="EV5" i="2"/>
  <c r="A5" i="2" s="1"/>
  <c r="EW5" i="2"/>
  <c r="DU15" i="2"/>
  <c r="DO26" i="2"/>
  <c r="DT30" i="2"/>
  <c r="DO27" i="2"/>
  <c r="EA16" i="2"/>
  <c r="DP17" i="2"/>
  <c r="EW8" i="2"/>
  <c r="EV8" i="2"/>
  <c r="A8" i="2" s="1"/>
  <c r="BG6" i="2"/>
  <c r="BV6" i="2"/>
  <c r="AR6" i="2"/>
  <c r="AC6" i="2"/>
  <c r="DZ18" i="2"/>
  <c r="DP18" i="2"/>
  <c r="DV15" i="2"/>
  <c r="DV20" i="2"/>
  <c r="DX22" i="2"/>
  <c r="DX21" i="2"/>
  <c r="DX20" i="2"/>
  <c r="DR19" i="2"/>
  <c r="DR18" i="2"/>
  <c r="DR17" i="2"/>
  <c r="EA26" i="2"/>
  <c r="DW40" i="2" s="1"/>
  <c r="EA27" i="2"/>
  <c r="DZ19" i="2"/>
  <c r="EC17" i="2"/>
  <c r="DS18" i="2"/>
  <c r="DS17" i="2"/>
  <c r="DS19" i="2"/>
  <c r="DP19" i="2"/>
  <c r="DY27" i="2"/>
  <c r="DY26" i="2"/>
  <c r="DV22" i="2"/>
  <c r="EC15" i="2"/>
  <c r="EC18" i="2"/>
  <c r="DR16" i="2"/>
  <c r="DW21" i="2"/>
  <c r="DW20" i="2"/>
  <c r="DW22" i="2"/>
  <c r="DZ21" i="2"/>
  <c r="DZ20" i="2"/>
  <c r="DZ22" i="2"/>
  <c r="EC16" i="2"/>
  <c r="DT15" i="2"/>
  <c r="EW9" i="2"/>
  <c r="EV9" i="2"/>
  <c r="A9" i="2" s="1"/>
  <c r="DU27" i="2"/>
  <c r="DU26" i="2"/>
  <c r="DS22" i="2"/>
  <c r="DS20" i="2"/>
  <c r="DS21" i="2"/>
  <c r="EA20" i="2"/>
  <c r="EC20" i="2"/>
  <c r="EC22" i="2"/>
  <c r="EC21" i="2"/>
  <c r="DT18" i="2"/>
  <c r="DT17" i="2"/>
  <c r="DT19" i="2"/>
  <c r="DW30" i="2"/>
  <c r="DQ16" i="2"/>
  <c r="DW27" i="2"/>
  <c r="DW26" i="2"/>
  <c r="DV30" i="2"/>
  <c r="DT32" i="2" l="1"/>
  <c r="DW31" i="2"/>
  <c r="DT31" i="2"/>
  <c r="AX1" i="2"/>
  <c r="E15" i="2" s="1"/>
  <c r="BJ12" i="2"/>
  <c r="CH12" i="2"/>
  <c r="BB12" i="2"/>
  <c r="BO12" i="2"/>
  <c r="AZ12" i="2"/>
  <c r="BY12" i="2"/>
  <c r="BQ12" i="2"/>
  <c r="AK12" i="2"/>
  <c r="AN12" i="2"/>
  <c r="AU12" i="2"/>
  <c r="CG12" i="2"/>
  <c r="AP12" i="2"/>
  <c r="BR12" i="2"/>
  <c r="CE12" i="2"/>
  <c r="CI12" i="2"/>
  <c r="AF12" i="2"/>
  <c r="CD12" i="2"/>
  <c r="BC12" i="2"/>
  <c r="AM12" i="2"/>
  <c r="BP12" i="2"/>
  <c r="BA12" i="2"/>
  <c r="BD12" i="2"/>
  <c r="AO12" i="2"/>
  <c r="BE12" i="2"/>
  <c r="CF12" i="2"/>
  <c r="BS12" i="2"/>
  <c r="AL12" i="2"/>
  <c r="BT12" i="2"/>
  <c r="DV32" i="2"/>
  <c r="DV38" i="2" s="1"/>
  <c r="DU32" i="2"/>
  <c r="DU38" i="2" s="1"/>
  <c r="DV31" i="2"/>
  <c r="DV37" i="2" s="1"/>
  <c r="DW32" i="2"/>
  <c r="DW38" i="2" s="1"/>
  <c r="DU40" i="2"/>
  <c r="BH5" i="2"/>
  <c r="BH1" i="2" s="1"/>
  <c r="F10" i="2" s="1"/>
  <c r="AT5" i="2"/>
  <c r="AT1" i="2" s="1"/>
  <c r="E11" i="2" s="1"/>
  <c r="AE5" i="2"/>
  <c r="AE1" i="2" s="1"/>
  <c r="D11" i="2" s="1"/>
  <c r="AS5" i="2"/>
  <c r="AS1" i="2" s="1"/>
  <c r="E10" i="2" s="1"/>
  <c r="BI5" i="2"/>
  <c r="BI1" i="2" s="1"/>
  <c r="F11" i="2" s="1"/>
  <c r="BW5" i="2"/>
  <c r="BW1" i="2" s="1"/>
  <c r="G10" i="2" s="1"/>
  <c r="BX5" i="2"/>
  <c r="BX1" i="2" s="1"/>
  <c r="G11" i="2" s="1"/>
  <c r="AD5" i="2"/>
  <c r="AD1" i="2" s="1"/>
  <c r="D10" i="2" s="1"/>
  <c r="CB1" i="2"/>
  <c r="G15" i="2" s="1"/>
  <c r="BK9" i="2"/>
  <c r="AV9" i="2"/>
  <c r="AG9" i="2"/>
  <c r="BZ9" i="2"/>
  <c r="AI1" i="2"/>
  <c r="D15" i="2" s="1"/>
  <c r="BL10" i="2"/>
  <c r="CA10" i="2"/>
  <c r="AW10" i="2"/>
  <c r="AH10" i="2"/>
  <c r="DT38" i="2"/>
  <c r="DW34" i="2"/>
  <c r="DU35" i="2"/>
  <c r="DY35" i="2" s="1"/>
  <c r="DT37" i="2"/>
  <c r="DT36" i="2"/>
  <c r="E26" i="2" s="1"/>
  <c r="BD10" i="2"/>
  <c r="CH10" i="2"/>
  <c r="BE10" i="2"/>
  <c r="BE1" i="2" s="1"/>
  <c r="E22" i="2" s="1"/>
  <c r="BT10" i="2"/>
  <c r="AO10" i="2"/>
  <c r="CI10" i="2"/>
  <c r="BS10" i="2"/>
  <c r="AQ10" i="2"/>
  <c r="AQ1" i="2" s="1"/>
  <c r="D23" i="2" s="1"/>
  <c r="AP10" i="2"/>
  <c r="AP1" i="2" s="1"/>
  <c r="D22" i="2" s="1"/>
  <c r="BC10" i="2"/>
  <c r="BR10" i="2"/>
  <c r="BU10" i="2"/>
  <c r="BU1" i="2" s="1"/>
  <c r="F23" i="2" s="1"/>
  <c r="AN10" i="2"/>
  <c r="CG10" i="2"/>
  <c r="BF10" i="2"/>
  <c r="BF1" i="2" s="1"/>
  <c r="E23" i="2" s="1"/>
  <c r="CJ10" i="2"/>
  <c r="CJ1" i="2" s="1"/>
  <c r="G23" i="2" s="1"/>
  <c r="DV34" i="2"/>
  <c r="DT40" i="2"/>
  <c r="BZ8" i="2"/>
  <c r="AH8" i="2"/>
  <c r="BA8" i="2"/>
  <c r="AZ8" i="2"/>
  <c r="AZ1" i="2" s="1"/>
  <c r="E17" i="2" s="1"/>
  <c r="AU8" i="2"/>
  <c r="BP8" i="2"/>
  <c r="BP1" i="2" s="1"/>
  <c r="F18" i="2" s="1"/>
  <c r="BL8" i="2"/>
  <c r="CE8" i="2"/>
  <c r="BK8" i="2"/>
  <c r="AK8" i="2"/>
  <c r="AW8" i="2"/>
  <c r="AF8" i="2"/>
  <c r="AF1" i="2" s="1"/>
  <c r="D12" i="2" s="1"/>
  <c r="AV8" i="2"/>
  <c r="CD8" i="2"/>
  <c r="AG8" i="2"/>
  <c r="BJ8" i="2"/>
  <c r="BJ1" i="2" s="1"/>
  <c r="F12" i="2" s="1"/>
  <c r="BY8" i="2"/>
  <c r="BY1" i="2" s="1"/>
  <c r="G12" i="2" s="1"/>
  <c r="BB8" i="2"/>
  <c r="BO8" i="2"/>
  <c r="BQ8" i="2"/>
  <c r="CA8" i="2"/>
  <c r="CF8" i="2"/>
  <c r="AL8" i="2"/>
  <c r="AM8" i="2"/>
  <c r="DW33" i="2"/>
  <c r="DU31" i="2"/>
  <c r="DW37" i="2"/>
  <c r="DW36" i="2"/>
  <c r="E29" i="2" s="1"/>
  <c r="BV5" i="2"/>
  <c r="BV1" i="2" s="1"/>
  <c r="BG5" i="2"/>
  <c r="BG1" i="2" s="1"/>
  <c r="F9" i="2" s="1"/>
  <c r="AC5" i="2"/>
  <c r="AC1" i="2" s="1"/>
  <c r="D9" i="2" s="1"/>
  <c r="AR5" i="2"/>
  <c r="AR1" i="2" s="1"/>
  <c r="E9" i="2" s="1"/>
  <c r="DU33" i="2"/>
  <c r="DV33" i="2"/>
  <c r="DV40" i="2"/>
  <c r="CH9" i="2"/>
  <c r="CF9" i="2"/>
  <c r="BB9" i="2"/>
  <c r="BS9" i="2"/>
  <c r="BS1" i="2" s="1"/>
  <c r="F21" i="2" s="1"/>
  <c r="BQ9" i="2"/>
  <c r="AN9" i="2"/>
  <c r="AN1" i="2" s="1"/>
  <c r="D20" i="2" s="1"/>
  <c r="BD9" i="2"/>
  <c r="BC9" i="2"/>
  <c r="AO9" i="2"/>
  <c r="CG9" i="2"/>
  <c r="AM9" i="2"/>
  <c r="BR9" i="2"/>
  <c r="DT33" i="2"/>
  <c r="DU34" i="2"/>
  <c r="BL1" i="2" l="1"/>
  <c r="F14" i="2" s="1"/>
  <c r="CI1" i="2"/>
  <c r="G22" i="2" s="1"/>
  <c r="AG1" i="2"/>
  <c r="D13" i="2" s="1"/>
  <c r="DW39" i="2"/>
  <c r="CA1" i="2"/>
  <c r="G14" i="2" s="1"/>
  <c r="BA1" i="2"/>
  <c r="E18" i="2" s="1"/>
  <c r="CD1" i="2"/>
  <c r="G17" i="2" s="1"/>
  <c r="BT1" i="2"/>
  <c r="F22" i="2" s="1"/>
  <c r="DV36" i="2"/>
  <c r="E28" i="2" s="1"/>
  <c r="AL1" i="2"/>
  <c r="D18" i="2" s="1"/>
  <c r="AK1" i="2"/>
  <c r="D17" i="2" s="1"/>
  <c r="CE1" i="2"/>
  <c r="G18" i="2" s="1"/>
  <c r="BO1" i="2"/>
  <c r="F17" i="2" s="1"/>
  <c r="AV1" i="2"/>
  <c r="E13" i="2" s="1"/>
  <c r="BR1" i="2"/>
  <c r="F20" i="2" s="1"/>
  <c r="AU1" i="2"/>
  <c r="E12" i="2" s="1"/>
  <c r="BZ1" i="2"/>
  <c r="G13" i="2" s="1"/>
  <c r="BC1" i="2"/>
  <c r="E20" i="2" s="1"/>
  <c r="DY32" i="2"/>
  <c r="BQ1" i="2"/>
  <c r="F19" i="2" s="1"/>
  <c r="AH1" i="2"/>
  <c r="D14" i="2" s="1"/>
  <c r="BB1" i="2"/>
  <c r="E19" i="2" s="1"/>
  <c r="DY34" i="2"/>
  <c r="CH1" i="2"/>
  <c r="G21" i="2" s="1"/>
  <c r="AM1" i="2"/>
  <c r="D19" i="2" s="1"/>
  <c r="CG1" i="2"/>
  <c r="G20" i="2" s="1"/>
  <c r="AW1" i="2"/>
  <c r="E14" i="2" s="1"/>
  <c r="BK1" i="2"/>
  <c r="F13" i="2" s="1"/>
  <c r="CF1" i="2"/>
  <c r="G19" i="2" s="1"/>
  <c r="F29" i="2"/>
  <c r="DV39" i="2"/>
  <c r="F28" i="2" s="1"/>
  <c r="DT39" i="2"/>
  <c r="F26" i="2" s="1"/>
  <c r="DY33" i="2"/>
  <c r="DU36" i="2"/>
  <c r="E27" i="2" s="1"/>
  <c r="DU37" i="2"/>
  <c r="AO1" i="2"/>
  <c r="D21" i="2" s="1"/>
  <c r="DY31" i="2"/>
  <c r="BD1" i="2"/>
  <c r="E21" i="2" s="1"/>
  <c r="DU39" i="2"/>
  <c r="G9" i="2"/>
  <c r="DY36" i="2" l="1"/>
  <c r="F6" i="2"/>
  <c r="F27" i="2"/>
</calcChain>
</file>

<file path=xl/sharedStrings.xml><?xml version="1.0" encoding="utf-8"?>
<sst xmlns="http://schemas.openxmlformats.org/spreadsheetml/2006/main" count="2541" uniqueCount="429">
  <si>
    <t>HMK page 113</t>
  </si>
  <si>
    <t>HMK page 114</t>
  </si>
  <si>
    <t>HMK page 115</t>
  </si>
  <si>
    <t>HMK page 116</t>
  </si>
  <si>
    <t>Suit Name:</t>
  </si>
  <si>
    <t>Light Clothing</t>
  </si>
  <si>
    <t>Kûrbúl Cuirass</t>
  </si>
  <si>
    <t>Gambeson</t>
  </si>
  <si>
    <t>Mail Hauberk</t>
  </si>
  <si>
    <t>Item List</t>
  </si>
  <si>
    <t>Suit is NOT LEGAL!!</t>
  </si>
  <si>
    <t>Buckram Vest</t>
  </si>
  <si>
    <t>Price</t>
  </si>
  <si>
    <t>ENC</t>
  </si>
  <si>
    <t>PER</t>
  </si>
  <si>
    <t>Area</t>
  </si>
  <si>
    <t>LB</t>
  </si>
  <si>
    <t>Plate Helm</t>
  </si>
  <si>
    <t>Mail Cowl</t>
  </si>
  <si>
    <t>Buckram Tunic</t>
  </si>
  <si>
    <t>Padded Cap</t>
  </si>
  <si>
    <t>Padded Cowl</t>
  </si>
  <si>
    <t>Buckram Breeches</t>
  </si>
  <si>
    <t>Kûrbúl Spaulders</t>
  </si>
  <si>
    <t>Gambeson Coat</t>
  </si>
  <si>
    <t>Plate Coudes</t>
  </si>
  <si>
    <t>Buckram Swaddle</t>
  </si>
  <si>
    <t>Loc</t>
  </si>
  <si>
    <t>B</t>
  </si>
  <si>
    <t>E</t>
  </si>
  <si>
    <t>P</t>
  </si>
  <si>
    <t>F</t>
  </si>
  <si>
    <t>Kûrbúl Rerebraces</t>
  </si>
  <si>
    <t>Mail Mittens</t>
  </si>
  <si>
    <t>Sk</t>
  </si>
  <si>
    <t>Kûrbúl Kneecops</t>
  </si>
  <si>
    <t>Padded Mittens</t>
  </si>
  <si>
    <t>Fa</t>
  </si>
  <si>
    <t>Padded Tunic, Sleeved</t>
  </si>
  <si>
    <t>Padded Cuisses</t>
  </si>
  <si>
    <t>Nk</t>
  </si>
  <si>
    <t>Buckram Trousers</t>
  </si>
  <si>
    <t>Padded Coat</t>
  </si>
  <si>
    <t>Sh</t>
  </si>
  <si>
    <t>Ua</t>
  </si>
  <si>
    <t>Leather Boots</t>
  </si>
  <si>
    <t>Plate Kneecops</t>
  </si>
  <si>
    <t>El</t>
  </si>
  <si>
    <t>Mail Leggings</t>
  </si>
  <si>
    <t>Fo</t>
  </si>
  <si>
    <t>Padded Leggings</t>
  </si>
  <si>
    <t>Ha</t>
  </si>
  <si>
    <t>Tx</t>
  </si>
  <si>
    <t>Ab</t>
  </si>
  <si>
    <t>Pv</t>
  </si>
  <si>
    <t>Th</t>
  </si>
  <si>
    <t>Kn</t>
  </si>
  <si>
    <t>Cf</t>
  </si>
  <si>
    <t>Ft</t>
  </si>
  <si>
    <t>Bulk Penalty:</t>
  </si>
  <si>
    <t>Head</t>
  </si>
  <si>
    <t>Arms</t>
  </si>
  <si>
    <t>Torso</t>
  </si>
  <si>
    <t>Legs</t>
  </si>
  <si>
    <t>Heavy Clothing</t>
  </si>
  <si>
    <t>Scale Byrnie</t>
  </si>
  <si>
    <t>Scale Habergeoun</t>
  </si>
  <si>
    <t>Kûrbúl &amp; Mail</t>
  </si>
  <si>
    <t>Leather Cap</t>
  </si>
  <si>
    <t>Plate 3/4-Helm</t>
  </si>
  <si>
    <t>Padded Shirt</t>
  </si>
  <si>
    <t>Buckram Tunic, Sleeved</t>
  </si>
  <si>
    <t>Buckram Surcoat</t>
  </si>
  <si>
    <t>Kûrbúl Coudes</t>
  </si>
  <si>
    <t>Leather Gauntlets</t>
  </si>
  <si>
    <t>Leather Shoes</t>
  </si>
  <si>
    <t>Plate Greaves</t>
  </si>
  <si>
    <t>Quilted Coat</t>
  </si>
  <si>
    <t>Mail Byrnie</t>
  </si>
  <si>
    <t>Mail Habergeoun</t>
  </si>
  <si>
    <t>Plate &amp; Mail</t>
  </si>
  <si>
    <t>Kûrbúl Helm</t>
  </si>
  <si>
    <t>Plate Greathelm</t>
  </si>
  <si>
    <t>Padded Tunic</t>
  </si>
  <si>
    <t>Plate Spaulders</t>
  </si>
  <si>
    <t>Plate Rerebraces</t>
  </si>
  <si>
    <t>Buckram Leggings</t>
  </si>
  <si>
    <t>Plate Vambraces</t>
  </si>
  <si>
    <t>Plate Cuirass</t>
  </si>
  <si>
    <t>HârnMaster Kèthîra Armour Calculator</t>
  </si>
  <si>
    <t>Layers</t>
  </si>
  <si>
    <t>Types</t>
  </si>
  <si>
    <t>Layers by Type</t>
  </si>
  <si>
    <t>Rigidity</t>
  </si>
  <si>
    <t>Test Suit</t>
  </si>
  <si>
    <t>Green areas may be edited to create new armour suits.</t>
  </si>
  <si>
    <t>Weight</t>
  </si>
  <si>
    <t>MWS</t>
  </si>
  <si>
    <t>AQ</t>
  </si>
  <si>
    <t>AV</t>
  </si>
  <si>
    <t>The item list is limited to items in the Item Builder sheet,; a drop-down is provided for convenience.</t>
  </si>
  <si>
    <t>D</t>
  </si>
  <si>
    <t>The suit name may be entered freely.</t>
  </si>
  <si>
    <t>Q</t>
  </si>
  <si>
    <t>G</t>
  </si>
  <si>
    <t>L</t>
  </si>
  <si>
    <t>K</t>
  </si>
  <si>
    <t>S</t>
  </si>
  <si>
    <t>M</t>
  </si>
  <si>
    <t>Total</t>
  </si>
  <si>
    <t>DQG</t>
  </si>
  <si>
    <t>MKSP</t>
  </si>
  <si>
    <t>QGLKSP</t>
  </si>
  <si>
    <t>QGL</t>
  </si>
  <si>
    <t>Torso &amp; Arms</t>
  </si>
  <si>
    <t>QGLS</t>
  </si>
  <si>
    <t>GLKSP</t>
  </si>
  <si>
    <t>SGL</t>
  </si>
  <si>
    <t>GLKP</t>
  </si>
  <si>
    <t>Arms &amp; Legs</t>
  </si>
  <si>
    <t>Total Lim</t>
  </si>
  <si>
    <t>Front</t>
  </si>
  <si>
    <t>Bulk</t>
  </si>
  <si>
    <t>Lim</t>
  </si>
  <si>
    <t>H</t>
  </si>
  <si>
    <t>A</t>
  </si>
  <si>
    <t>T</t>
  </si>
  <si>
    <t>Blk</t>
  </si>
  <si>
    <t>Arm Pieces</t>
  </si>
  <si>
    <t>Padded</t>
  </si>
  <si>
    <t>Mail</t>
  </si>
  <si>
    <t>C</t>
  </si>
  <si>
    <t>BLK</t>
  </si>
  <si>
    <t>ABC</t>
  </si>
  <si>
    <t>Armour Item List</t>
  </si>
  <si>
    <t>Armour Types</t>
  </si>
  <si>
    <t>Prices</t>
  </si>
  <si>
    <t>Hours</t>
  </si>
  <si>
    <t>Materials Cost</t>
  </si>
  <si>
    <t>Masterwork</t>
  </si>
  <si>
    <t>Coverage</t>
  </si>
  <si>
    <t>Item Name</t>
  </si>
  <si>
    <t>Cost</t>
  </si>
  <si>
    <t>Supported Materials</t>
  </si>
  <si>
    <t>Buckram Cap</t>
  </si>
  <si>
    <t>Linen Homespun</t>
  </si>
  <si>
    <t>Xh</t>
  </si>
  <si>
    <t>Xhb</t>
  </si>
  <si>
    <t>Same as for the base material, but covers only the back and attacks from behind.</t>
  </si>
  <si>
    <t>Buckram Cowl</t>
  </si>
  <si>
    <t>Woolen Homespun</t>
  </si>
  <si>
    <t>Ch</t>
  </si>
  <si>
    <t>Chb</t>
  </si>
  <si>
    <t>Buckram Mantle</t>
  </si>
  <si>
    <t>Linen</t>
  </si>
  <si>
    <t>Xl</t>
  </si>
  <si>
    <t>Xlb</t>
  </si>
  <si>
    <t>Buckram Gauntlets</t>
  </si>
  <si>
    <t>Buckram</t>
  </si>
  <si>
    <t>Cb</t>
  </si>
  <si>
    <t>Serge</t>
  </si>
  <si>
    <t>Xg</t>
  </si>
  <si>
    <t>Xgb</t>
  </si>
  <si>
    <t>Buckram Shirt</t>
  </si>
  <si>
    <t>Russet</t>
  </si>
  <si>
    <t>Cr</t>
  </si>
  <si>
    <t>Crb</t>
  </si>
  <si>
    <t>Worsted</t>
  </si>
  <si>
    <t>Cw</t>
  </si>
  <si>
    <t>Cwb</t>
  </si>
  <si>
    <t>Cotton</t>
  </si>
  <si>
    <t>Xc</t>
  </si>
  <si>
    <t>Xcb</t>
  </si>
  <si>
    <t>Buckram Coat</t>
  </si>
  <si>
    <t>Silk</t>
  </si>
  <si>
    <t>Xs</t>
  </si>
  <si>
    <t>Xsb</t>
  </si>
  <si>
    <t>Padded Cloth</t>
  </si>
  <si>
    <t>Db</t>
  </si>
  <si>
    <t>Buckram Cloak</t>
  </si>
  <si>
    <t>Quilted Cloth</t>
  </si>
  <si>
    <t>Buckram Robe</t>
  </si>
  <si>
    <t>Light Fur</t>
  </si>
  <si>
    <t>Df</t>
  </si>
  <si>
    <t>Dfb</t>
  </si>
  <si>
    <t>Heavy Fur/Fleece</t>
  </si>
  <si>
    <t>Qf</t>
  </si>
  <si>
    <t>Calfskin</t>
  </si>
  <si>
    <t>Lc</t>
  </si>
  <si>
    <t>Rawhide</t>
  </si>
  <si>
    <t>Kûrbúl</t>
  </si>
  <si>
    <t>Kf</t>
  </si>
  <si>
    <t>Same as for the base material, but covers only the front and attacks from in front.</t>
  </si>
  <si>
    <t>Leather Bracers</t>
  </si>
  <si>
    <t>Scale</t>
  </si>
  <si>
    <t>Leather Vest</t>
  </si>
  <si>
    <t>Plate</t>
  </si>
  <si>
    <t>Pf</t>
  </si>
  <si>
    <t>Leather Long Vest</t>
  </si>
  <si>
    <t>Create new items by entering a name in the left hand column and a material code in each of the location columns.</t>
  </si>
  <si>
    <t>If desired, enter a number of masterwork stars (MWS) in the remaining green column (headed 'MWS').</t>
  </si>
  <si>
    <t>Your new item can then be included in a suit in the 'Suit Builder' sheet.</t>
  </si>
  <si>
    <t>Padded Mantle</t>
  </si>
  <si>
    <t>Padded Vest</t>
  </si>
  <si>
    <t>Padded Surcoat</t>
  </si>
  <si>
    <t>Padded Short Cloak</t>
  </si>
  <si>
    <t>Padded Cloak</t>
  </si>
  <si>
    <t>Padded Trousers</t>
  </si>
  <si>
    <t>Quilted Cap</t>
  </si>
  <si>
    <t>Quilted Cowl</t>
  </si>
  <si>
    <t>Quilted Mantle</t>
  </si>
  <si>
    <t>Quilted Vest</t>
  </si>
  <si>
    <t>Quilted Shirt</t>
  </si>
  <si>
    <t>Quilted Tunic</t>
  </si>
  <si>
    <t>Quilted Tunic, Sleeved</t>
  </si>
  <si>
    <t>Quilted Surcoat</t>
  </si>
  <si>
    <t>Quilted Cuisses</t>
  </si>
  <si>
    <t>Gambeson Vest</t>
  </si>
  <si>
    <t>Gambeson Shirt</t>
  </si>
  <si>
    <t>Gambeson Long Vest</t>
  </si>
  <si>
    <t>Gambeson Tunic</t>
  </si>
  <si>
    <t>Gambeson Tunic, Sleeved</t>
  </si>
  <si>
    <t>Kûrbúl 3/4-Helm</t>
  </si>
  <si>
    <t>Kûrbúl Vambraces</t>
  </si>
  <si>
    <t>Kûrbúl Breastplate</t>
  </si>
  <si>
    <t>Kûrbúl Greaves</t>
  </si>
  <si>
    <t>Scale Cowl</t>
  </si>
  <si>
    <t>Scale Gauntlets</t>
  </si>
  <si>
    <t>Scale Vest</t>
  </si>
  <si>
    <t>Scale Byrnie, Sleeved</t>
  </si>
  <si>
    <t>Scale Hauberk</t>
  </si>
  <si>
    <t>Scale Cuisses</t>
  </si>
  <si>
    <t>Scale Leggings</t>
  </si>
  <si>
    <t>Mail Vest</t>
  </si>
  <si>
    <t>Mail Byrnie, Sleeved</t>
  </si>
  <si>
    <t>Mail Cuisses</t>
  </si>
  <si>
    <t>Plate Breastplate</t>
  </si>
  <si>
    <t>Linen Cap</t>
  </si>
  <si>
    <t>Linen Cowl</t>
  </si>
  <si>
    <t>Linen Mantle</t>
  </si>
  <si>
    <t>Linen Gloves</t>
  </si>
  <si>
    <t>Linen Vest</t>
  </si>
  <si>
    <t>Linen Shirt</t>
  </si>
  <si>
    <t>Linen Tunic</t>
  </si>
  <si>
    <t>Linen Tunic, Sleeved</t>
  </si>
  <si>
    <t>Linen Coat</t>
  </si>
  <si>
    <t>Linen Surcoat</t>
  </si>
  <si>
    <t>Linen Cloak</t>
  </si>
  <si>
    <t>Linen Robe</t>
  </si>
  <si>
    <t>Linen Breeches</t>
  </si>
  <si>
    <t>Linen Trousers</t>
  </si>
  <si>
    <t>Linen Leggings</t>
  </si>
  <si>
    <t>Linen Swaddle</t>
  </si>
  <si>
    <t>Serge Cap</t>
  </si>
  <si>
    <t>Serge Cowl</t>
  </si>
  <si>
    <t>Serge Mantle</t>
  </si>
  <si>
    <t>Serge Gloves</t>
  </si>
  <si>
    <t>Serge Vest</t>
  </si>
  <si>
    <t>Serge Shirt</t>
  </si>
  <si>
    <t>Serge Tunic</t>
  </si>
  <si>
    <t>Serge Tunic, Sleeved</t>
  </si>
  <si>
    <t>Serge Coat</t>
  </si>
  <si>
    <t>Serge Surcoat</t>
  </si>
  <si>
    <t>Serge Cloak</t>
  </si>
  <si>
    <t>Serge Robe</t>
  </si>
  <si>
    <t>Serge Breeches</t>
  </si>
  <si>
    <t>Serge Trousers</t>
  </si>
  <si>
    <t>Serge Leggings</t>
  </si>
  <si>
    <t>Russet Cap</t>
  </si>
  <si>
    <t>Russet Cowl</t>
  </si>
  <si>
    <t>Russet Mantle</t>
  </si>
  <si>
    <t>Russet Gloves</t>
  </si>
  <si>
    <t>Russet Vest</t>
  </si>
  <si>
    <t>Russet Shirt</t>
  </si>
  <si>
    <t>Russet Tunic</t>
  </si>
  <si>
    <t>Russet Tunic, Sleeved</t>
  </si>
  <si>
    <t>Russet Coat</t>
  </si>
  <si>
    <t>Russet Surcoat</t>
  </si>
  <si>
    <t>Russet Cloak</t>
  </si>
  <si>
    <t>Russet Robe</t>
  </si>
  <si>
    <t>Russet Breeches</t>
  </si>
  <si>
    <t>Russet Trousers</t>
  </si>
  <si>
    <t>Russet Leggings</t>
  </si>
  <si>
    <t>Worsted Cap</t>
  </si>
  <si>
    <t>Worsted Cowl</t>
  </si>
  <si>
    <t>Worsted Mantle</t>
  </si>
  <si>
    <t>Worsted Gloves</t>
  </si>
  <si>
    <t>Worsted Vest</t>
  </si>
  <si>
    <t>Worsted Shirt</t>
  </si>
  <si>
    <t>Worsted Tunic</t>
  </si>
  <si>
    <t>Worsted Tunic, Sleeved</t>
  </si>
  <si>
    <t>Worsted Coat</t>
  </si>
  <si>
    <t>Worsted Surcoat</t>
  </si>
  <si>
    <t>Worsted Cloak</t>
  </si>
  <si>
    <t>Worsted Robe</t>
  </si>
  <si>
    <t>Worsted Breeches</t>
  </si>
  <si>
    <t>Worsted Trousers</t>
  </si>
  <si>
    <t>Worsted Leggings</t>
  </si>
  <si>
    <t>Cotton Cap</t>
  </si>
  <si>
    <t>Cotton Cowl</t>
  </si>
  <si>
    <t>Cotton Mantle</t>
  </si>
  <si>
    <t>Cotton Gloves</t>
  </si>
  <si>
    <t>Cotton Vest</t>
  </si>
  <si>
    <t>Cotton Shirt</t>
  </si>
  <si>
    <t>Cotton Tunic</t>
  </si>
  <si>
    <t>Cotton Tunic, Sleeved</t>
  </si>
  <si>
    <t>Cotton Coat</t>
  </si>
  <si>
    <t>Cotton Surcoat</t>
  </si>
  <si>
    <t>Cotton Cloak</t>
  </si>
  <si>
    <t>Cotton Robe</t>
  </si>
  <si>
    <t>Cotton Breeches</t>
  </si>
  <si>
    <t>Cotton Trousers</t>
  </si>
  <si>
    <t>Cotton Leggings</t>
  </si>
  <si>
    <t>Cotton Swaddle</t>
  </si>
  <si>
    <t>Silk Cap</t>
  </si>
  <si>
    <t>Silk Mantle</t>
  </si>
  <si>
    <t>Silk Gloves</t>
  </si>
  <si>
    <t>Silk Vest</t>
  </si>
  <si>
    <t>Silk Shirt</t>
  </si>
  <si>
    <t>Silk Tunic</t>
  </si>
  <si>
    <t>Silk Tunic, Sleeved</t>
  </si>
  <si>
    <t>Silk Coat</t>
  </si>
  <si>
    <t>Silk Surcoat</t>
  </si>
  <si>
    <t>Silk Cloak</t>
  </si>
  <si>
    <t>Silk Robe</t>
  </si>
  <si>
    <t>Silk Breeches</t>
  </si>
  <si>
    <t>Silk Trousers</t>
  </si>
  <si>
    <t>Silk Leggings</t>
  </si>
  <si>
    <t>Homespun Linen Cap</t>
  </si>
  <si>
    <t>Homespun Linen Cowl</t>
  </si>
  <si>
    <t>Homespun Linen Gloves</t>
  </si>
  <si>
    <t>Homespun Linen Vest</t>
  </si>
  <si>
    <t>Homespun Linen Shirt</t>
  </si>
  <si>
    <t>Homespun Linen Tunic</t>
  </si>
  <si>
    <t>Homespun Linen Tunic, Sleeved</t>
  </si>
  <si>
    <t>Homespun Linen Coat</t>
  </si>
  <si>
    <t>Homespun Linen Robe</t>
  </si>
  <si>
    <t>Homespun Linen Breeches</t>
  </si>
  <si>
    <t>Homespun Linen Trousers</t>
  </si>
  <si>
    <t>Homespun Linen Leggings</t>
  </si>
  <si>
    <t>Homespun Linen Swaddle</t>
  </si>
  <si>
    <t>Homespun Wool Cap</t>
  </si>
  <si>
    <t>Homespun Wool Cowl</t>
  </si>
  <si>
    <t>Homespun Wool Mantle</t>
  </si>
  <si>
    <t>Homespun Wool Gloves</t>
  </si>
  <si>
    <t>Homespun Wool Vest</t>
  </si>
  <si>
    <t>Homespun Wool Shirt</t>
  </si>
  <si>
    <t>Homespun Wool Tunic</t>
  </si>
  <si>
    <t>Homespun Wool Tunic, Sleeved</t>
  </si>
  <si>
    <t>Homespun Wool Coat</t>
  </si>
  <si>
    <t>Homespun Wool Cloak</t>
  </si>
  <si>
    <t>Homespun Wool Robe</t>
  </si>
  <si>
    <t>Homespun Wool Breeches</t>
  </si>
  <si>
    <t>Homespun Wool Trousers</t>
  </si>
  <si>
    <t>Homespun Wool Leggings</t>
  </si>
  <si>
    <t>Homespun Wool Swaddle</t>
  </si>
  <si>
    <t>Light Fur Cap</t>
  </si>
  <si>
    <t>Light Fur Mantle</t>
  </si>
  <si>
    <t>Light Fur Mittens</t>
  </si>
  <si>
    <t>Light Fur Vest</t>
  </si>
  <si>
    <t>Light Fur Long Vest</t>
  </si>
  <si>
    <t>Light Fur Cloak</t>
  </si>
  <si>
    <t>Light Fur Boots</t>
  </si>
  <si>
    <t>Fleece Cap</t>
  </si>
  <si>
    <t>Fleece Mantle</t>
  </si>
  <si>
    <t>Fleece Mittens</t>
  </si>
  <si>
    <t>Fleece Vest</t>
  </si>
  <si>
    <t>Fleece Long Vest</t>
  </si>
  <si>
    <t>Fleece Tunic</t>
  </si>
  <si>
    <t>Fleece Boots</t>
  </si>
  <si>
    <t>Calfskin Hood</t>
  </si>
  <si>
    <t>Calfskin Gloves</t>
  </si>
  <si>
    <t>Calfskin Shirt</t>
  </si>
  <si>
    <t>Calfskin Tunic</t>
  </si>
  <si>
    <t>Fine Plate Greathelm (4MWS)</t>
  </si>
  <si>
    <t>Fine Mail Hauberk (3MWS)</t>
  </si>
  <si>
    <t>Good Bascinet</t>
  </si>
  <si>
    <t>Good Bascinet Lining</t>
  </si>
  <si>
    <t>Neck Standard</t>
  </si>
  <si>
    <t>Suit Storage</t>
  </si>
  <si>
    <t>Courtesan's Dress</t>
  </si>
  <si>
    <t>Mail Hauberk II</t>
  </si>
  <si>
    <t>Plate &amp; Mail II</t>
  </si>
  <si>
    <t>Superior Plate &amp; Mail</t>
  </si>
  <si>
    <t>Table 1: Materials</t>
  </si>
  <si>
    <t>Table 2: Coverage</t>
  </si>
  <si>
    <t>Table 3: Masterwork Success</t>
  </si>
  <si>
    <t>Table 4: Layers</t>
  </si>
  <si>
    <t>Material</t>
  </si>
  <si>
    <t>Code</t>
  </si>
  <si>
    <t>Rigid?</t>
  </si>
  <si>
    <t>ENC Mult</t>
  </si>
  <si>
    <t>Max MWS</t>
  </si>
  <si>
    <t>Raw price</t>
  </si>
  <si>
    <t>Profit</t>
  </si>
  <si>
    <t>Margin</t>
  </si>
  <si>
    <t>Body Part</t>
  </si>
  <si>
    <t>Value</t>
  </si>
  <si>
    <t>Combo</t>
  </si>
  <si>
    <t>Layer count</t>
  </si>
  <si>
    <t>Light Homespun</t>
  </si>
  <si>
    <t>X</t>
  </si>
  <si>
    <t>Light Homespun, back only</t>
  </si>
  <si>
    <t>Heavy Homespun</t>
  </si>
  <si>
    <t>Heavy Homespun, back only</t>
  </si>
  <si>
    <t>Linen, back only</t>
  </si>
  <si>
    <t>Buckram Cloth, back only</t>
  </si>
  <si>
    <t>Serge, back only</t>
  </si>
  <si>
    <t>Russet, back only</t>
  </si>
  <si>
    <t>Worsted, back only</t>
  </si>
  <si>
    <t>Back</t>
  </si>
  <si>
    <t>Cotton, back only</t>
  </si>
  <si>
    <t>Silk, back only</t>
  </si>
  <si>
    <t>Padded Cloth, back only</t>
  </si>
  <si>
    <t>Light Fur, back only</t>
  </si>
  <si>
    <t>Kûrbúl, front only</t>
  </si>
  <si>
    <t>Plate, front only</t>
  </si>
  <si>
    <t>HMK RAW materials</t>
  </si>
  <si>
    <t>All types count 1 for one layer in any layer count, except D and Q count 2 and G counts 3</t>
  </si>
  <si>
    <t>Layer count may be no more than 6 on the skull, face, neck, calves and feet or 7 elsewhere, with a bulk penalty above 4 on skull, face, neck, calves and feet or 5 elsewhere for the zone (regardless of how many locations in the zone are above the limit)</t>
  </si>
  <si>
    <t>Layer count counting just D, Q and G may be no more than 5 and has a bulk penalty for 4 or more</t>
  </si>
  <si>
    <t>Layer count counting just M, K, S and P may not exceed 2</t>
  </si>
  <si>
    <t>Each location may have no more than one layer in total of Q, G, L, K, S or P, except:</t>
  </si>
  <si>
    <t>Q may be combined with K, S or P on torso and arms and with K or P on the legs</t>
  </si>
  <si>
    <t>S may be combined with K or P on arms and legs</t>
  </si>
  <si>
    <t>One of Q, G or L; one of G, L, K, S or P</t>
  </si>
  <si>
    <t>One of Q, G or L; one of S, G or L; one of G, L, K or P</t>
  </si>
  <si>
    <t>One of Q, G, L or S; one of G, L, K or P</t>
  </si>
  <si>
    <t>An item covering both Sk and Nk gives a -5 PER penalty; one covering Fa gives a separate PER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</si>
</sst>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AQ +&quot;#,##0;\-#,##0;\-"/>
    <numFmt numFmtId="165" formatCode="#,##0&quot; d&quot;;\-#0&quot;ERR&quot;;\-"/>
    <numFmt numFmtId="166" formatCode="#,##0;\-#0&quot;ERR&quot;;\-"/>
    <numFmt numFmtId="167" formatCode="&quot;F &quot;#,##0;\-#0&quot;ERR&quot;;\-"/>
    <numFmt numFmtId="168" formatCode="#,##0.0&quot; lb&quot;;\-#0.0&quot;ERR&quot;;\-"/>
    <numFmt numFmtId="169" formatCode="\+#,##0;\-#,##0;\-"/>
    <numFmt numFmtId="170" formatCode="#,##0&quot; d&quot;"/>
    <numFmt numFmtId="171" formatCode="#,##0&quot; lb&quot;"/>
    <numFmt numFmtId="172" formatCode="#,##0_);\(#,##0\)"/>
    <numFmt numFmtId="173" formatCode="#,##0.0&quot; lb&quot;;\-#0&quot;ERR&quot;;\-"/>
    <numFmt numFmtId="174" formatCode="#,##0;\-#,##0;\-"/>
    <numFmt numFmtId="175" formatCode="#,##0.0;\-#0.0&quot;ERR&quot;;\-"/>
    <numFmt numFmtId="176" formatCode="#,##0.0&quot; d&quot;;\-#0.0&quot;ERR&quot;;\-"/>
    <numFmt numFmtId="177" formatCode="0%;\-0%;\-"/>
    <numFmt numFmtId="178" formatCode="\+#,##0;\-#,##0;#0"/>
    <numFmt numFmtId="179" formatCode="\x#,##0"/>
  </numFmts>
  <fonts count="16" x14ac:knownFonts="1">
    <font>
      <sz val="11"/>
      <color theme="1"/>
      <name val="Aptos Narrow"/>
      <family val="2"/>
      <charset val="1"/>
    </font>
    <font>
      <b/>
      <sz val="14"/>
      <color rgb="FFFFFFFF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sz val="10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u/>
      <sz val="16"/>
      <color theme="1"/>
      <name val="Aptos Narrow"/>
      <family val="2"/>
      <charset val="1"/>
    </font>
    <font>
      <sz val="11"/>
      <name val="Aptos Narrow"/>
      <family val="2"/>
      <charset val="1"/>
    </font>
    <font>
      <sz val="12"/>
      <color theme="1"/>
      <name val="Arial Black"/>
      <family val="2"/>
      <charset val="1"/>
    </font>
    <font>
      <b/>
      <u/>
      <sz val="14"/>
      <color theme="1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5" tint="0.79979857783745845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theme="9" tint="0.79979857783745845"/>
        <bgColor rgb="FFDDDDDD"/>
      </patternFill>
    </fill>
    <fill>
      <patternFill patternType="solid">
        <fgColor theme="9" tint="0.59987182226020086"/>
        <bgColor rgb="FFD1D1D1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FF0000"/>
      </patternFill>
    </fill>
    <fill>
      <patternFill patternType="solid">
        <fgColor rgb="FFDDDDDD"/>
        <bgColor rgb="FFD1D1D1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15" fillId="0" borderId="0" applyBorder="0" applyProtection="0"/>
  </cellStyleXfs>
  <cellXfs count="117">
    <xf numFmtId="0" fontId="0" fillId="0" borderId="0" xfId="0"/>
    <xf numFmtId="0" fontId="0" fillId="0" borderId="26" xfId="0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9" fontId="10" fillId="0" borderId="6" xfId="1" applyFont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3" fillId="0" borderId="6" xfId="0" applyFont="1" applyBorder="1"/>
    <xf numFmtId="164" fontId="5" fillId="0" borderId="4" xfId="0" applyNumberFormat="1" applyFont="1" applyBorder="1"/>
    <xf numFmtId="0" fontId="0" fillId="5" borderId="0" xfId="0" applyFill="1"/>
    <xf numFmtId="0" fontId="0" fillId="3" borderId="6" xfId="0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6" fillId="0" borderId="5" xfId="0" applyNumberFormat="1" applyFont="1" applyBorder="1"/>
    <xf numFmtId="166" fontId="0" fillId="0" borderId="6" xfId="0" applyNumberForma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0" xfId="0" applyFont="1"/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9" fontId="10" fillId="0" borderId="0" xfId="1" applyFont="1" applyBorder="1" applyProtection="1"/>
    <xf numFmtId="0" fontId="0" fillId="0" borderId="12" xfId="0" applyBorder="1"/>
    <xf numFmtId="0" fontId="0" fillId="0" borderId="6" xfId="0" applyBorder="1"/>
    <xf numFmtId="0" fontId="0" fillId="0" borderId="13" xfId="0" applyBorder="1"/>
    <xf numFmtId="169" fontId="0" fillId="0" borderId="0" xfId="0" applyNumberForma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7" borderId="14" xfId="0" applyNumberFormat="1" applyFill="1" applyBorder="1" applyAlignment="1">
      <alignment horizontal="center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 applyAlignment="1">
      <alignment horizontal="center"/>
    </xf>
    <xf numFmtId="0" fontId="12" fillId="0" borderId="0" xfId="0" applyFont="1"/>
    <xf numFmtId="9" fontId="6" fillId="0" borderId="0" xfId="1" applyFont="1" applyBorder="1" applyAlignment="1" applyProtection="1">
      <alignment horizontal="center"/>
    </xf>
    <xf numFmtId="0" fontId="12" fillId="0" borderId="0" xfId="0" applyFont="1" applyAlignment="1">
      <alignment horizontal="center"/>
    </xf>
    <xf numFmtId="9" fontId="10" fillId="0" borderId="6" xfId="1" applyFont="1" applyBorder="1" applyAlignment="1" applyProtection="1">
      <alignment horizontal="center"/>
    </xf>
    <xf numFmtId="0" fontId="10" fillId="0" borderId="0" xfId="1" applyNumberFormat="1" applyFont="1" applyBorder="1" applyProtection="1"/>
    <xf numFmtId="0" fontId="10" fillId="0" borderId="0" xfId="1" applyNumberFormat="1" applyFont="1" applyBorder="1" applyAlignment="1" applyProtection="1">
      <alignment horizontal="center"/>
    </xf>
    <xf numFmtId="172" fontId="6" fillId="0" borderId="0" xfId="0" applyNumberFormat="1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70" fontId="0" fillId="0" borderId="6" xfId="0" applyNumberFormat="1" applyBorder="1"/>
    <xf numFmtId="171" fontId="0" fillId="0" borderId="6" xfId="0" applyNumberFormat="1" applyBorder="1"/>
    <xf numFmtId="172" fontId="0" fillId="0" borderId="6" xfId="0" applyNumberFormat="1" applyBorder="1" applyAlignment="1">
      <alignment horizontal="center"/>
    </xf>
    <xf numFmtId="0" fontId="0" fillId="5" borderId="10" xfId="0" applyFill="1" applyBorder="1"/>
    <xf numFmtId="0" fontId="0" fillId="5" borderId="2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5" fontId="0" fillId="0" borderId="0" xfId="0" applyNumberFormat="1"/>
    <xf numFmtId="173" fontId="0" fillId="0" borderId="0" xfId="0" applyNumberFormat="1"/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4" fontId="0" fillId="5" borderId="11" xfId="0" applyNumberFormat="1" applyFill="1" applyBorder="1" applyAlignment="1">
      <alignment horizontal="center"/>
    </xf>
    <xf numFmtId="174" fontId="0" fillId="0" borderId="22" xfId="0" applyNumberFormat="1" applyBorder="1"/>
    <xf numFmtId="174" fontId="0" fillId="0" borderId="0" xfId="0" applyNumberFormat="1"/>
    <xf numFmtId="174" fontId="0" fillId="0" borderId="23" xfId="0" applyNumberFormat="1" applyBorder="1"/>
    <xf numFmtId="9" fontId="15" fillId="0" borderId="0" xfId="1" applyBorder="1" applyAlignment="1" applyProtection="1">
      <alignment horizontal="center"/>
    </xf>
    <xf numFmtId="0" fontId="0" fillId="0" borderId="22" xfId="0" applyBorder="1"/>
    <xf numFmtId="0" fontId="0" fillId="0" borderId="23" xfId="0" applyBorder="1"/>
    <xf numFmtId="177" fontId="15" fillId="0" borderId="0" xfId="1" applyNumberFormat="1" applyBorder="1" applyAlignment="1" applyProtection="1">
      <alignment horizontal="center"/>
    </xf>
    <xf numFmtId="165" fontId="0" fillId="0" borderId="22" xfId="0" applyNumberFormat="1" applyBorder="1"/>
    <xf numFmtId="165" fontId="0" fillId="0" borderId="23" xfId="0" applyNumberFormat="1" applyBorder="1"/>
    <xf numFmtId="173" fontId="0" fillId="0" borderId="22" xfId="0" applyNumberFormat="1" applyBorder="1"/>
    <xf numFmtId="173" fontId="0" fillId="0" borderId="23" xfId="0" applyNumberFormat="1" applyBorder="1"/>
    <xf numFmtId="175" fontId="0" fillId="0" borderId="22" xfId="0" applyNumberFormat="1" applyBorder="1" applyAlignment="1">
      <alignment horizontal="center"/>
    </xf>
    <xf numFmtId="175" fontId="0" fillId="0" borderId="23" xfId="0" applyNumberFormat="1" applyBorder="1" applyAlignment="1">
      <alignment horizontal="center"/>
    </xf>
    <xf numFmtId="175" fontId="0" fillId="0" borderId="22" xfId="0" applyNumberFormat="1" applyBorder="1"/>
    <xf numFmtId="175" fontId="0" fillId="0" borderId="0" xfId="0" applyNumberFormat="1"/>
    <xf numFmtId="175" fontId="0" fillId="0" borderId="23" xfId="0" applyNumberFormat="1" applyBorder="1"/>
    <xf numFmtId="166" fontId="0" fillId="0" borderId="0" xfId="0" applyNumberFormat="1"/>
    <xf numFmtId="166" fontId="0" fillId="0" borderId="22" xfId="0" applyNumberFormat="1" applyBorder="1"/>
    <xf numFmtId="166" fontId="0" fillId="0" borderId="24" xfId="0" applyNumberFormat="1" applyBorder="1"/>
    <xf numFmtId="0" fontId="0" fillId="0" borderId="25" xfId="0" applyBorder="1" applyAlignment="1">
      <alignment horizontal="center"/>
    </xf>
    <xf numFmtId="166" fontId="0" fillId="0" borderId="17" xfId="0" applyNumberFormat="1" applyBorder="1"/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174" fontId="0" fillId="4" borderId="0" xfId="0" applyNumberFormat="1" applyFill="1" applyAlignment="1">
      <alignment horizontal="center"/>
    </xf>
    <xf numFmtId="174" fontId="0" fillId="8" borderId="0" xfId="0" applyNumberFormat="1" applyFill="1" applyAlignment="1">
      <alignment horizontal="center"/>
    </xf>
    <xf numFmtId="174" fontId="0" fillId="7" borderId="0" xfId="0" applyNumberFormat="1" applyFill="1" applyAlignment="1">
      <alignment horizontal="center"/>
    </xf>
    <xf numFmtId="174" fontId="0" fillId="9" borderId="0" xfId="0" applyNumberFormat="1" applyFill="1" applyAlignment="1">
      <alignment horizontal="center"/>
    </xf>
    <xf numFmtId="166" fontId="13" fillId="2" borderId="0" xfId="0" applyNumberFormat="1" applyFont="1" applyFill="1" applyAlignment="1">
      <alignment horizontal="center"/>
    </xf>
    <xf numFmtId="166" fontId="13" fillId="2" borderId="6" xfId="0" applyNumberFormat="1" applyFont="1" applyFill="1" applyBorder="1" applyAlignment="1">
      <alignment horizontal="center"/>
    </xf>
    <xf numFmtId="166" fontId="0" fillId="10" borderId="6" xfId="0" applyNumberFormat="1" applyFill="1" applyBorder="1" applyAlignment="1">
      <alignment horizontal="center"/>
    </xf>
    <xf numFmtId="166" fontId="14" fillId="10" borderId="6" xfId="0" applyNumberFormat="1" applyFont="1" applyFill="1" applyBorder="1" applyAlignment="1">
      <alignment horizontal="center"/>
    </xf>
    <xf numFmtId="166" fontId="0" fillId="10" borderId="0" xfId="0" applyNumberFormat="1" applyFill="1" applyAlignment="1">
      <alignment horizontal="center"/>
    </xf>
    <xf numFmtId="9" fontId="15" fillId="0" borderId="0" xfId="1" applyBorder="1" applyProtection="1"/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3" borderId="27" xfId="0" applyFill="1" applyBorder="1"/>
    <xf numFmtId="0" fontId="0" fillId="3" borderId="27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137"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  <dxf>
      <fill>
        <patternFill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BE3D6"/>
      <rgbColor rgb="FFDDDDDD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98"/>
  <sheetViews>
    <sheetView zoomScale="85" zoomScaleNormal="85" workbookViewId="0"/>
  </sheetViews>
  <sheetFormatPr defaultColWidth="8.7109375" defaultRowHeight="15" x14ac:dyDescent="0.25"/>
  <cols>
    <col min="2" max="2" width="32.7109375" customWidth="1"/>
    <col min="3" max="7" width="7.7109375" customWidth="1"/>
    <col min="9" max="9" width="4.7109375" customWidth="1"/>
    <col min="11" max="11" width="32.7109375" customWidth="1"/>
    <col min="12" max="16" width="7.7109375" customWidth="1"/>
    <col min="18" max="18" width="4.7109375" customWidth="1"/>
    <col min="20" max="20" width="32.7109375" customWidth="1"/>
    <col min="21" max="25" width="7.7109375" customWidth="1"/>
    <col min="27" max="27" width="4.7109375" customWidth="1"/>
    <col min="29" max="29" width="32.7109375" customWidth="1"/>
    <col min="30" max="34" width="7.7109375" customWidth="1"/>
    <col min="36" max="36" width="32.7109375" customWidth="1"/>
    <col min="37" max="41" width="7.7109375" customWidth="1"/>
    <col min="16374" max="16384" width="12.85546875" customWidth="1"/>
  </cols>
  <sheetData>
    <row r="1" spans="1:35" ht="18" customHeight="1" x14ac:dyDescent="0.3">
      <c r="A1" s="15"/>
      <c r="B1" s="16"/>
      <c r="C1" s="14" t="s">
        <v>0</v>
      </c>
      <c r="D1" s="14"/>
      <c r="E1" s="14"/>
      <c r="F1" s="14"/>
      <c r="G1" s="14"/>
      <c r="H1" s="17"/>
      <c r="J1" s="15"/>
      <c r="K1" s="18"/>
      <c r="L1" s="14" t="s">
        <v>1</v>
      </c>
      <c r="M1" s="14"/>
      <c r="N1" s="14"/>
      <c r="O1" s="14"/>
      <c r="P1" s="14"/>
      <c r="Q1" s="17"/>
      <c r="S1" s="15"/>
      <c r="T1" s="16"/>
      <c r="U1" s="14" t="s">
        <v>2</v>
      </c>
      <c r="V1" s="14"/>
      <c r="W1" s="14"/>
      <c r="X1" s="14"/>
      <c r="Y1" s="14"/>
      <c r="Z1" s="17"/>
      <c r="AB1" s="15"/>
      <c r="AC1" s="16"/>
      <c r="AD1" s="14" t="s">
        <v>3</v>
      </c>
      <c r="AE1" s="14"/>
      <c r="AF1" s="14"/>
      <c r="AG1" s="14"/>
      <c r="AH1" s="14"/>
      <c r="AI1" s="17"/>
    </row>
    <row r="2" spans="1:35" ht="18.75" x14ac:dyDescent="0.3">
      <c r="A2" s="19"/>
      <c r="B2" s="20" t="s">
        <v>4</v>
      </c>
      <c r="C2" s="13" t="s">
        <v>5</v>
      </c>
      <c r="D2" s="13"/>
      <c r="E2" s="13"/>
      <c r="F2" s="13"/>
      <c r="G2" s="13"/>
      <c r="H2" s="21"/>
      <c r="J2" s="19"/>
      <c r="K2" s="20" t="s">
        <v>4</v>
      </c>
      <c r="L2" s="13" t="s">
        <v>6</v>
      </c>
      <c r="M2" s="13"/>
      <c r="N2" s="13"/>
      <c r="O2" s="13"/>
      <c r="P2" s="13"/>
      <c r="Q2" s="21"/>
      <c r="S2" s="19"/>
      <c r="T2" s="20" t="s">
        <v>4</v>
      </c>
      <c r="U2" s="13" t="s">
        <v>7</v>
      </c>
      <c r="V2" s="13"/>
      <c r="W2" s="13"/>
      <c r="X2" s="13"/>
      <c r="Y2" s="13"/>
      <c r="Z2" s="21"/>
      <c r="AB2" s="19"/>
      <c r="AC2" s="20" t="s">
        <v>4</v>
      </c>
      <c r="AD2" s="13" t="s">
        <v>8</v>
      </c>
      <c r="AE2" s="13"/>
      <c r="AF2" s="13"/>
      <c r="AG2" s="13"/>
      <c r="AH2" s="13"/>
      <c r="AI2" s="21"/>
    </row>
    <row r="3" spans="1:35" ht="15" customHeight="1" x14ac:dyDescent="0.25">
      <c r="A3" s="19"/>
      <c r="B3" s="22" t="s">
        <v>9</v>
      </c>
      <c r="C3" s="12" t="s">
        <v>10</v>
      </c>
      <c r="D3" s="12"/>
      <c r="E3" s="12"/>
      <c r="F3" s="12"/>
      <c r="G3" s="12"/>
      <c r="H3" s="21"/>
      <c r="J3" s="19"/>
      <c r="K3" s="22" t="s">
        <v>9</v>
      </c>
      <c r="L3" s="12"/>
      <c r="M3" s="12"/>
      <c r="N3" s="12"/>
      <c r="O3" s="12"/>
      <c r="P3" s="12"/>
      <c r="Q3" s="21"/>
      <c r="S3" s="19"/>
      <c r="T3" s="22" t="s">
        <v>9</v>
      </c>
      <c r="U3" s="12"/>
      <c r="V3" s="12"/>
      <c r="W3" s="12"/>
      <c r="X3" s="12"/>
      <c r="Y3" s="12"/>
      <c r="Z3" s="21"/>
      <c r="AB3" s="19"/>
      <c r="AC3" s="22" t="s">
        <v>9</v>
      </c>
      <c r="AD3" s="12"/>
      <c r="AE3" s="12"/>
      <c r="AF3" s="12"/>
      <c r="AG3" s="12"/>
      <c r="AH3" s="12"/>
      <c r="AI3" s="21"/>
    </row>
    <row r="4" spans="1:35" ht="15" customHeight="1" x14ac:dyDescent="0.25">
      <c r="A4" s="23">
        <v>0</v>
      </c>
      <c r="B4" s="24" t="s">
        <v>11</v>
      </c>
      <c r="C4" s="25" t="s">
        <v>12</v>
      </c>
      <c r="D4" s="25" t="s">
        <v>13</v>
      </c>
      <c r="E4" s="25" t="s">
        <v>14</v>
      </c>
      <c r="F4" s="25" t="s">
        <v>15</v>
      </c>
      <c r="G4" s="25" t="s">
        <v>16</v>
      </c>
      <c r="H4" s="21"/>
      <c r="J4" s="23">
        <v>0</v>
      </c>
      <c r="K4" s="24" t="s">
        <v>17</v>
      </c>
      <c r="L4" s="25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1"/>
      <c r="S4" s="23">
        <v>0</v>
      </c>
      <c r="T4" s="24" t="s">
        <v>17</v>
      </c>
      <c r="U4" s="25" t="s">
        <v>12</v>
      </c>
      <c r="V4" s="25" t="s">
        <v>13</v>
      </c>
      <c r="W4" s="25" t="s">
        <v>14</v>
      </c>
      <c r="X4" s="25" t="s">
        <v>15</v>
      </c>
      <c r="Y4" s="25" t="s">
        <v>16</v>
      </c>
      <c r="Z4" s="21"/>
      <c r="AB4" s="23">
        <v>0</v>
      </c>
      <c r="AC4" s="24" t="s">
        <v>18</v>
      </c>
      <c r="AD4" s="25" t="s">
        <v>12</v>
      </c>
      <c r="AE4" s="25" t="s">
        <v>13</v>
      </c>
      <c r="AF4" s="25" t="s">
        <v>14</v>
      </c>
      <c r="AG4" s="25" t="s">
        <v>15</v>
      </c>
      <c r="AH4" s="25" t="s">
        <v>16</v>
      </c>
      <c r="AI4" s="21"/>
    </row>
    <row r="5" spans="1:35" ht="15" customHeight="1" x14ac:dyDescent="0.25">
      <c r="A5" s="23">
        <v>0</v>
      </c>
      <c r="B5" s="24" t="s">
        <v>19</v>
      </c>
      <c r="C5" s="26">
        <v>115</v>
      </c>
      <c r="D5" s="27">
        <v>0</v>
      </c>
      <c r="E5" s="27">
        <v>0</v>
      </c>
      <c r="F5" s="28">
        <v>1</v>
      </c>
      <c r="G5" s="29">
        <v>5.75</v>
      </c>
      <c r="H5" s="21"/>
      <c r="J5" s="23">
        <v>0</v>
      </c>
      <c r="K5" s="24" t="s">
        <v>20</v>
      </c>
      <c r="L5" s="26">
        <v>487</v>
      </c>
      <c r="M5" s="27">
        <v>5</v>
      </c>
      <c r="N5" s="27">
        <v>0</v>
      </c>
      <c r="O5" s="28">
        <v>4</v>
      </c>
      <c r="P5" s="29">
        <v>25.65</v>
      </c>
      <c r="Q5" s="21"/>
      <c r="S5" s="23">
        <v>0</v>
      </c>
      <c r="T5" s="24" t="s">
        <v>20</v>
      </c>
      <c r="U5" s="26">
        <v>811</v>
      </c>
      <c r="V5" s="27">
        <v>10</v>
      </c>
      <c r="W5" s="27">
        <v>0</v>
      </c>
      <c r="X5" s="28">
        <v>5</v>
      </c>
      <c r="Y5" s="29">
        <v>30.69</v>
      </c>
      <c r="Z5" s="21"/>
      <c r="AB5" s="23">
        <v>0</v>
      </c>
      <c r="AC5" s="24" t="s">
        <v>21</v>
      </c>
      <c r="AD5" s="26">
        <v>2014</v>
      </c>
      <c r="AE5" s="27">
        <v>25</v>
      </c>
      <c r="AF5" s="27">
        <v>10</v>
      </c>
      <c r="AG5" s="28">
        <v>6</v>
      </c>
      <c r="AH5" s="29">
        <v>62.08</v>
      </c>
      <c r="AI5" s="21"/>
    </row>
    <row r="6" spans="1:35" ht="15" customHeight="1" x14ac:dyDescent="0.25">
      <c r="A6" s="23">
        <v>0</v>
      </c>
      <c r="B6" s="24" t="s">
        <v>22</v>
      </c>
      <c r="H6" s="21"/>
      <c r="J6" s="23">
        <v>0</v>
      </c>
      <c r="K6" s="24" t="s">
        <v>23</v>
      </c>
      <c r="Q6" s="21"/>
      <c r="S6" s="23">
        <v>0</v>
      </c>
      <c r="T6" s="24" t="s">
        <v>24</v>
      </c>
      <c r="Z6" s="21"/>
      <c r="AB6" s="23">
        <v>0</v>
      </c>
      <c r="AC6" s="24" t="s">
        <v>25</v>
      </c>
      <c r="AI6" s="21"/>
    </row>
    <row r="7" spans="1:35" ht="15" customHeight="1" x14ac:dyDescent="0.25">
      <c r="A7" s="23">
        <v>0</v>
      </c>
      <c r="B7" s="24" t="s">
        <v>26</v>
      </c>
      <c r="C7" s="30" t="s">
        <v>27</v>
      </c>
      <c r="D7" s="30" t="s">
        <v>28</v>
      </c>
      <c r="E7" s="30" t="s">
        <v>29</v>
      </c>
      <c r="F7" s="30" t="s">
        <v>30</v>
      </c>
      <c r="G7" s="30" t="s">
        <v>31</v>
      </c>
      <c r="H7" s="21"/>
      <c r="J7" s="23">
        <v>0</v>
      </c>
      <c r="K7" s="24" t="s">
        <v>32</v>
      </c>
      <c r="L7" s="30" t="s">
        <v>27</v>
      </c>
      <c r="M7" s="30" t="s">
        <v>28</v>
      </c>
      <c r="N7" s="30" t="s">
        <v>29</v>
      </c>
      <c r="O7" s="30" t="s">
        <v>30</v>
      </c>
      <c r="P7" s="30" t="s">
        <v>31</v>
      </c>
      <c r="Q7" s="21"/>
      <c r="S7" s="23">
        <v>0</v>
      </c>
      <c r="T7" s="24" t="s">
        <v>11</v>
      </c>
      <c r="U7" s="30" t="s">
        <v>27</v>
      </c>
      <c r="V7" s="30" t="s">
        <v>28</v>
      </c>
      <c r="W7" s="30" t="s">
        <v>29</v>
      </c>
      <c r="X7" s="30" t="s">
        <v>30</v>
      </c>
      <c r="Y7" s="30" t="s">
        <v>31</v>
      </c>
      <c r="Z7" s="21"/>
      <c r="AB7" s="23">
        <v>0</v>
      </c>
      <c r="AC7" s="24" t="s">
        <v>33</v>
      </c>
      <c r="AD7" s="30" t="s">
        <v>27</v>
      </c>
      <c r="AE7" s="30" t="s">
        <v>28</v>
      </c>
      <c r="AF7" s="30" t="s">
        <v>29</v>
      </c>
      <c r="AG7" s="30" t="s">
        <v>30</v>
      </c>
      <c r="AH7" s="30" t="s">
        <v>31</v>
      </c>
      <c r="AI7" s="21"/>
    </row>
    <row r="8" spans="1:35" x14ac:dyDescent="0.25">
      <c r="A8" s="23">
        <v>0</v>
      </c>
      <c r="B8" s="24"/>
      <c r="C8" s="31" t="s">
        <v>34</v>
      </c>
      <c r="D8" s="32">
        <v>0</v>
      </c>
      <c r="E8" s="32">
        <v>0</v>
      </c>
      <c r="F8" s="32">
        <v>0</v>
      </c>
      <c r="G8" s="32">
        <v>0</v>
      </c>
      <c r="H8" s="33">
        <v>0</v>
      </c>
      <c r="J8" s="23">
        <v>0</v>
      </c>
      <c r="K8" s="24" t="s">
        <v>6</v>
      </c>
      <c r="L8" s="31" t="s">
        <v>34</v>
      </c>
      <c r="M8" s="32">
        <v>8</v>
      </c>
      <c r="N8" s="32">
        <v>13</v>
      </c>
      <c r="O8" s="32">
        <v>10</v>
      </c>
      <c r="P8" s="32">
        <v>7</v>
      </c>
      <c r="Q8" s="33">
        <v>4</v>
      </c>
      <c r="S8" s="23">
        <v>0</v>
      </c>
      <c r="T8" s="24" t="s">
        <v>35</v>
      </c>
      <c r="U8" s="31" t="s">
        <v>34</v>
      </c>
      <c r="V8" s="32">
        <v>8</v>
      </c>
      <c r="W8" s="32">
        <v>13</v>
      </c>
      <c r="X8" s="32">
        <v>10</v>
      </c>
      <c r="Y8" s="32">
        <v>7</v>
      </c>
      <c r="Z8" s="33">
        <v>4</v>
      </c>
      <c r="AB8" s="23">
        <v>0</v>
      </c>
      <c r="AC8" s="24" t="s">
        <v>36</v>
      </c>
      <c r="AD8" s="31" t="s">
        <v>34</v>
      </c>
      <c r="AE8" s="32">
        <v>4</v>
      </c>
      <c r="AF8" s="32">
        <v>10</v>
      </c>
      <c r="AG8" s="32">
        <v>8</v>
      </c>
      <c r="AH8" s="32">
        <v>5</v>
      </c>
      <c r="AI8" s="33">
        <v>3</v>
      </c>
    </row>
    <row r="9" spans="1:35" x14ac:dyDescent="0.25">
      <c r="A9" s="23">
        <v>0</v>
      </c>
      <c r="B9" s="24"/>
      <c r="C9" s="31" t="s">
        <v>37</v>
      </c>
      <c r="D9" s="32">
        <v>0</v>
      </c>
      <c r="E9" s="32">
        <v>0</v>
      </c>
      <c r="F9" s="32">
        <v>0</v>
      </c>
      <c r="G9" s="32">
        <v>0</v>
      </c>
      <c r="H9" s="33">
        <v>0</v>
      </c>
      <c r="J9" s="23">
        <v>0</v>
      </c>
      <c r="K9" s="24" t="s">
        <v>38</v>
      </c>
      <c r="L9" s="31" t="s">
        <v>37</v>
      </c>
      <c r="M9" s="32">
        <v>0</v>
      </c>
      <c r="N9" s="32">
        <v>0</v>
      </c>
      <c r="O9" s="32">
        <v>0</v>
      </c>
      <c r="P9" s="32">
        <v>0</v>
      </c>
      <c r="Q9" s="33">
        <v>0</v>
      </c>
      <c r="S9" s="23">
        <v>0</v>
      </c>
      <c r="T9" s="24" t="s">
        <v>39</v>
      </c>
      <c r="U9" s="31" t="s">
        <v>37</v>
      </c>
      <c r="V9" s="32">
        <v>0</v>
      </c>
      <c r="W9" s="32">
        <v>0</v>
      </c>
      <c r="X9" s="32">
        <v>0</v>
      </c>
      <c r="Y9" s="32">
        <v>0</v>
      </c>
      <c r="Z9" s="33">
        <v>0</v>
      </c>
      <c r="AB9" s="23">
        <v>0</v>
      </c>
      <c r="AC9" s="24" t="s">
        <v>8</v>
      </c>
      <c r="AD9" s="31" t="s">
        <v>37</v>
      </c>
      <c r="AE9" s="32">
        <v>0</v>
      </c>
      <c r="AF9" s="32">
        <v>0</v>
      </c>
      <c r="AG9" s="32">
        <v>0</v>
      </c>
      <c r="AH9" s="32">
        <v>0</v>
      </c>
      <c r="AI9" s="33">
        <v>0</v>
      </c>
    </row>
    <row r="10" spans="1:35" x14ac:dyDescent="0.25">
      <c r="A10" s="23">
        <v>0</v>
      </c>
      <c r="B10" s="24"/>
      <c r="C10" s="30" t="s">
        <v>40</v>
      </c>
      <c r="D10" s="34">
        <v>0</v>
      </c>
      <c r="E10" s="34">
        <v>0</v>
      </c>
      <c r="F10" s="34">
        <v>0</v>
      </c>
      <c r="G10" s="34">
        <v>0</v>
      </c>
      <c r="H10" s="33">
        <v>0</v>
      </c>
      <c r="J10" s="23">
        <v>0</v>
      </c>
      <c r="K10" s="24" t="s">
        <v>41</v>
      </c>
      <c r="L10" s="30" t="s">
        <v>40</v>
      </c>
      <c r="M10" s="34">
        <v>0</v>
      </c>
      <c r="N10" s="34">
        <v>0</v>
      </c>
      <c r="O10" s="34">
        <v>0</v>
      </c>
      <c r="P10" s="34">
        <v>0</v>
      </c>
      <c r="Q10" s="33">
        <v>0</v>
      </c>
      <c r="S10" s="23">
        <v>0</v>
      </c>
      <c r="T10" s="24" t="s">
        <v>22</v>
      </c>
      <c r="U10" s="30" t="s">
        <v>40</v>
      </c>
      <c r="V10" s="34">
        <v>6</v>
      </c>
      <c r="W10" s="34">
        <v>5</v>
      </c>
      <c r="X10" s="34">
        <v>4</v>
      </c>
      <c r="Y10" s="34">
        <v>5</v>
      </c>
      <c r="Z10" s="33">
        <v>1</v>
      </c>
      <c r="AB10" s="23">
        <v>0</v>
      </c>
      <c r="AC10" s="24" t="s">
        <v>42</v>
      </c>
      <c r="AD10" s="30" t="s">
        <v>40</v>
      </c>
      <c r="AE10" s="34">
        <v>4</v>
      </c>
      <c r="AF10" s="34">
        <v>10</v>
      </c>
      <c r="AG10" s="34">
        <v>8</v>
      </c>
      <c r="AH10" s="34">
        <v>5</v>
      </c>
      <c r="AI10" s="33">
        <v>3</v>
      </c>
    </row>
    <row r="11" spans="1:35" x14ac:dyDescent="0.25">
      <c r="A11" s="23">
        <v>0</v>
      </c>
      <c r="B11" s="24"/>
      <c r="C11" s="31" t="s">
        <v>43</v>
      </c>
      <c r="D11" s="32">
        <v>0</v>
      </c>
      <c r="E11" s="32">
        <v>1</v>
      </c>
      <c r="F11" s="32">
        <v>0</v>
      </c>
      <c r="G11" s="32">
        <v>1</v>
      </c>
      <c r="H11" s="33">
        <v>0</v>
      </c>
      <c r="J11" s="23">
        <v>0</v>
      </c>
      <c r="K11" s="24" t="s">
        <v>26</v>
      </c>
      <c r="L11" s="31" t="s">
        <v>43</v>
      </c>
      <c r="M11" s="32">
        <v>6</v>
      </c>
      <c r="N11" s="32">
        <v>8</v>
      </c>
      <c r="O11" s="32">
        <v>6</v>
      </c>
      <c r="P11" s="32">
        <v>6</v>
      </c>
      <c r="Q11" s="33">
        <v>2</v>
      </c>
      <c r="S11" s="23">
        <v>0</v>
      </c>
      <c r="T11" s="24" t="s">
        <v>26</v>
      </c>
      <c r="U11" s="31" t="s">
        <v>43</v>
      </c>
      <c r="V11" s="32">
        <v>6</v>
      </c>
      <c r="W11" s="32">
        <v>5</v>
      </c>
      <c r="X11" s="32">
        <v>4</v>
      </c>
      <c r="Y11" s="32">
        <v>5</v>
      </c>
      <c r="Z11" s="33">
        <v>1</v>
      </c>
      <c r="AB11" s="23">
        <v>0</v>
      </c>
      <c r="AC11" s="24" t="s">
        <v>22</v>
      </c>
      <c r="AD11" s="31" t="s">
        <v>43</v>
      </c>
      <c r="AE11" s="32">
        <v>4</v>
      </c>
      <c r="AF11" s="32">
        <v>10</v>
      </c>
      <c r="AG11" s="32">
        <v>8</v>
      </c>
      <c r="AH11" s="32">
        <v>5</v>
      </c>
      <c r="AI11" s="33">
        <v>3</v>
      </c>
    </row>
    <row r="12" spans="1:35" x14ac:dyDescent="0.25">
      <c r="A12" s="23">
        <v>0</v>
      </c>
      <c r="B12" s="24"/>
      <c r="C12" s="31" t="s">
        <v>44</v>
      </c>
      <c r="D12" s="32">
        <v>0</v>
      </c>
      <c r="E12" s="32">
        <v>1</v>
      </c>
      <c r="F12" s="32">
        <v>0</v>
      </c>
      <c r="G12" s="32">
        <v>1</v>
      </c>
      <c r="H12" s="33">
        <v>0</v>
      </c>
      <c r="J12" s="23">
        <v>0</v>
      </c>
      <c r="K12" s="24" t="s">
        <v>45</v>
      </c>
      <c r="L12" s="31" t="s">
        <v>44</v>
      </c>
      <c r="M12" s="32">
        <v>6</v>
      </c>
      <c r="N12" s="32">
        <v>8</v>
      </c>
      <c r="O12" s="32">
        <v>6</v>
      </c>
      <c r="P12" s="32">
        <v>6</v>
      </c>
      <c r="Q12" s="33">
        <v>2</v>
      </c>
      <c r="S12" s="23">
        <v>0</v>
      </c>
      <c r="T12" s="24" t="s">
        <v>45</v>
      </c>
      <c r="U12" s="31" t="s">
        <v>44</v>
      </c>
      <c r="V12" s="32">
        <v>6</v>
      </c>
      <c r="W12" s="32">
        <v>5</v>
      </c>
      <c r="X12" s="32">
        <v>4</v>
      </c>
      <c r="Y12" s="32">
        <v>5</v>
      </c>
      <c r="Z12" s="33">
        <v>1</v>
      </c>
      <c r="AB12" s="23">
        <v>0</v>
      </c>
      <c r="AC12" s="24" t="s">
        <v>46</v>
      </c>
      <c r="AD12" s="31" t="s">
        <v>44</v>
      </c>
      <c r="AE12" s="32">
        <v>4</v>
      </c>
      <c r="AF12" s="32">
        <v>10</v>
      </c>
      <c r="AG12" s="32">
        <v>8</v>
      </c>
      <c r="AH12" s="32">
        <v>5</v>
      </c>
      <c r="AI12" s="33">
        <v>3</v>
      </c>
    </row>
    <row r="13" spans="1:35" x14ac:dyDescent="0.25">
      <c r="A13" s="23">
        <v>0</v>
      </c>
      <c r="B13" s="24"/>
      <c r="C13" s="31" t="s">
        <v>47</v>
      </c>
      <c r="D13" s="32">
        <v>0</v>
      </c>
      <c r="E13" s="32">
        <v>1</v>
      </c>
      <c r="F13" s="32">
        <v>0</v>
      </c>
      <c r="G13" s="32">
        <v>1</v>
      </c>
      <c r="H13" s="33">
        <v>0</v>
      </c>
      <c r="J13" s="23">
        <v>0</v>
      </c>
      <c r="K13" s="24"/>
      <c r="L13" s="31" t="s">
        <v>47</v>
      </c>
      <c r="M13" s="32">
        <v>2</v>
      </c>
      <c r="N13" s="32">
        <v>2</v>
      </c>
      <c r="O13" s="32">
        <v>1</v>
      </c>
      <c r="P13" s="32">
        <v>2</v>
      </c>
      <c r="Q13" s="33">
        <v>0</v>
      </c>
      <c r="S13" s="23">
        <v>0</v>
      </c>
      <c r="T13" s="24"/>
      <c r="U13" s="31" t="s">
        <v>47</v>
      </c>
      <c r="V13" s="32">
        <v>6</v>
      </c>
      <c r="W13" s="32">
        <v>5</v>
      </c>
      <c r="X13" s="32">
        <v>4</v>
      </c>
      <c r="Y13" s="32">
        <v>5</v>
      </c>
      <c r="Z13" s="33">
        <v>1</v>
      </c>
      <c r="AB13" s="23">
        <v>0</v>
      </c>
      <c r="AC13" s="24" t="s">
        <v>48</v>
      </c>
      <c r="AD13" s="31" t="s">
        <v>47</v>
      </c>
      <c r="AE13" s="32">
        <v>10</v>
      </c>
      <c r="AF13" s="32">
        <v>21</v>
      </c>
      <c r="AG13" s="32">
        <v>17</v>
      </c>
      <c r="AH13" s="32">
        <v>10</v>
      </c>
      <c r="AI13" s="33">
        <v>4</v>
      </c>
    </row>
    <row r="14" spans="1:35" x14ac:dyDescent="0.25">
      <c r="A14" s="23">
        <v>0</v>
      </c>
      <c r="B14" s="24"/>
      <c r="C14" s="31" t="s">
        <v>49</v>
      </c>
      <c r="D14" s="32">
        <v>0</v>
      </c>
      <c r="E14" s="32">
        <v>0</v>
      </c>
      <c r="F14" s="32">
        <v>0</v>
      </c>
      <c r="G14" s="32">
        <v>0</v>
      </c>
      <c r="H14" s="33">
        <v>0</v>
      </c>
      <c r="J14" s="23">
        <v>0</v>
      </c>
      <c r="K14" s="24"/>
      <c r="L14" s="31" t="s">
        <v>49</v>
      </c>
      <c r="M14" s="32">
        <v>2</v>
      </c>
      <c r="N14" s="32">
        <v>2</v>
      </c>
      <c r="O14" s="32">
        <v>1</v>
      </c>
      <c r="P14" s="32">
        <v>2</v>
      </c>
      <c r="Q14" s="33">
        <v>0</v>
      </c>
      <c r="S14" s="23">
        <v>0</v>
      </c>
      <c r="T14" s="24"/>
      <c r="U14" s="31" t="s">
        <v>49</v>
      </c>
      <c r="V14" s="32">
        <v>6</v>
      </c>
      <c r="W14" s="32">
        <v>5</v>
      </c>
      <c r="X14" s="32">
        <v>4</v>
      </c>
      <c r="Y14" s="32">
        <v>5</v>
      </c>
      <c r="Z14" s="33">
        <v>1</v>
      </c>
      <c r="AB14" s="23">
        <v>0</v>
      </c>
      <c r="AC14" s="24" t="s">
        <v>50</v>
      </c>
      <c r="AD14" s="31" t="s">
        <v>49</v>
      </c>
      <c r="AE14" s="32">
        <v>4</v>
      </c>
      <c r="AF14" s="32">
        <v>10</v>
      </c>
      <c r="AG14" s="32">
        <v>8</v>
      </c>
      <c r="AH14" s="32">
        <v>5</v>
      </c>
      <c r="AI14" s="33">
        <v>3</v>
      </c>
    </row>
    <row r="15" spans="1:35" x14ac:dyDescent="0.25">
      <c r="A15" s="23">
        <v>0</v>
      </c>
      <c r="B15" s="24"/>
      <c r="C15" s="30" t="s">
        <v>51</v>
      </c>
      <c r="D15" s="34">
        <v>0</v>
      </c>
      <c r="E15" s="34">
        <v>0</v>
      </c>
      <c r="F15" s="34">
        <v>0</v>
      </c>
      <c r="G15" s="34">
        <v>0</v>
      </c>
      <c r="H15" s="33">
        <v>0</v>
      </c>
      <c r="J15" s="23">
        <v>0</v>
      </c>
      <c r="K15" s="24"/>
      <c r="L15" s="30" t="s">
        <v>51</v>
      </c>
      <c r="M15" s="34">
        <v>0</v>
      </c>
      <c r="N15" s="34">
        <v>0</v>
      </c>
      <c r="O15" s="34">
        <v>0</v>
      </c>
      <c r="P15" s="34">
        <v>0</v>
      </c>
      <c r="Q15" s="33">
        <v>0</v>
      </c>
      <c r="S15" s="23">
        <v>0</v>
      </c>
      <c r="T15" s="24"/>
      <c r="U15" s="30" t="s">
        <v>51</v>
      </c>
      <c r="V15" s="34">
        <v>0</v>
      </c>
      <c r="W15" s="34">
        <v>0</v>
      </c>
      <c r="X15" s="34">
        <v>0</v>
      </c>
      <c r="Y15" s="34">
        <v>0</v>
      </c>
      <c r="Z15" s="33">
        <v>0</v>
      </c>
      <c r="AB15" s="23">
        <v>0</v>
      </c>
      <c r="AC15" s="24"/>
      <c r="AD15" s="30" t="s">
        <v>51</v>
      </c>
      <c r="AE15" s="34">
        <v>4</v>
      </c>
      <c r="AF15" s="34">
        <v>10</v>
      </c>
      <c r="AG15" s="34">
        <v>8</v>
      </c>
      <c r="AH15" s="34">
        <v>5</v>
      </c>
      <c r="AI15" s="33">
        <v>3</v>
      </c>
    </row>
    <row r="16" spans="1:35" x14ac:dyDescent="0.25">
      <c r="A16" s="23">
        <v>0</v>
      </c>
      <c r="B16" s="24"/>
      <c r="C16" s="31" t="s">
        <v>52</v>
      </c>
      <c r="D16" s="32">
        <v>0</v>
      </c>
      <c r="E16" s="32">
        <v>2</v>
      </c>
      <c r="F16" s="32">
        <v>0</v>
      </c>
      <c r="G16" s="32">
        <v>2</v>
      </c>
      <c r="H16" s="33">
        <v>0</v>
      </c>
      <c r="J16" s="23">
        <v>0</v>
      </c>
      <c r="K16" s="24"/>
      <c r="L16" s="31" t="s">
        <v>52</v>
      </c>
      <c r="M16" s="32">
        <v>6</v>
      </c>
      <c r="N16" s="32">
        <v>8</v>
      </c>
      <c r="O16" s="32">
        <v>6</v>
      </c>
      <c r="P16" s="32">
        <v>6</v>
      </c>
      <c r="Q16" s="33">
        <v>2</v>
      </c>
      <c r="S16" s="23">
        <v>0</v>
      </c>
      <c r="T16" s="24"/>
      <c r="U16" s="31" t="s">
        <v>52</v>
      </c>
      <c r="V16" s="32">
        <v>6</v>
      </c>
      <c r="W16" s="32">
        <v>6</v>
      </c>
      <c r="X16" s="32">
        <v>4</v>
      </c>
      <c r="Y16" s="32">
        <v>6</v>
      </c>
      <c r="Z16" s="33">
        <v>1</v>
      </c>
      <c r="AB16" s="23">
        <v>0</v>
      </c>
      <c r="AC16" s="24"/>
      <c r="AD16" s="31" t="s">
        <v>52</v>
      </c>
      <c r="AE16" s="32">
        <v>4</v>
      </c>
      <c r="AF16" s="32">
        <v>10</v>
      </c>
      <c r="AG16" s="32">
        <v>8</v>
      </c>
      <c r="AH16" s="32">
        <v>5</v>
      </c>
      <c r="AI16" s="33">
        <v>3</v>
      </c>
    </row>
    <row r="17" spans="1:35" x14ac:dyDescent="0.25">
      <c r="A17" s="23">
        <v>0</v>
      </c>
      <c r="B17" s="24"/>
      <c r="C17" s="31" t="s">
        <v>53</v>
      </c>
      <c r="D17" s="32">
        <v>0</v>
      </c>
      <c r="E17" s="32">
        <v>2</v>
      </c>
      <c r="F17" s="32">
        <v>0</v>
      </c>
      <c r="G17" s="32">
        <v>2</v>
      </c>
      <c r="H17" s="33">
        <v>0</v>
      </c>
      <c r="J17" s="23">
        <v>0</v>
      </c>
      <c r="K17" s="24"/>
      <c r="L17" s="31" t="s">
        <v>53</v>
      </c>
      <c r="M17" s="32">
        <v>6</v>
      </c>
      <c r="N17" s="32">
        <v>8</v>
      </c>
      <c r="O17" s="32">
        <v>6</v>
      </c>
      <c r="P17" s="32">
        <v>6</v>
      </c>
      <c r="Q17" s="33">
        <v>2</v>
      </c>
      <c r="S17" s="23">
        <v>0</v>
      </c>
      <c r="T17" s="24"/>
      <c r="U17" s="31" t="s">
        <v>53</v>
      </c>
      <c r="V17" s="32">
        <v>6</v>
      </c>
      <c r="W17" s="32">
        <v>6</v>
      </c>
      <c r="X17" s="32">
        <v>4</v>
      </c>
      <c r="Y17" s="32">
        <v>6</v>
      </c>
      <c r="Z17" s="33">
        <v>1</v>
      </c>
      <c r="AB17" s="23">
        <v>0</v>
      </c>
      <c r="AC17" s="24"/>
      <c r="AD17" s="31" t="s">
        <v>53</v>
      </c>
      <c r="AE17" s="32">
        <v>4</v>
      </c>
      <c r="AF17" s="32">
        <v>10</v>
      </c>
      <c r="AG17" s="32">
        <v>8</v>
      </c>
      <c r="AH17" s="32">
        <v>5</v>
      </c>
      <c r="AI17" s="33">
        <v>3</v>
      </c>
    </row>
    <row r="18" spans="1:35" x14ac:dyDescent="0.25">
      <c r="A18" s="23">
        <v>0</v>
      </c>
      <c r="B18" s="24"/>
      <c r="C18" s="30" t="s">
        <v>54</v>
      </c>
      <c r="D18" s="34">
        <v>0</v>
      </c>
      <c r="E18" s="34">
        <v>2</v>
      </c>
      <c r="F18" s="34">
        <v>0</v>
      </c>
      <c r="G18" s="34">
        <v>2</v>
      </c>
      <c r="H18" s="33">
        <v>0</v>
      </c>
      <c r="J18" s="23">
        <v>0</v>
      </c>
      <c r="K18" s="24"/>
      <c r="L18" s="30" t="s">
        <v>54</v>
      </c>
      <c r="M18" s="34">
        <v>2</v>
      </c>
      <c r="N18" s="34">
        <v>3</v>
      </c>
      <c r="O18" s="34">
        <v>1</v>
      </c>
      <c r="P18" s="34">
        <v>3</v>
      </c>
      <c r="Q18" s="33">
        <v>0</v>
      </c>
      <c r="S18" s="23">
        <v>0</v>
      </c>
      <c r="T18" s="24"/>
      <c r="U18" s="30" t="s">
        <v>54</v>
      </c>
      <c r="V18" s="34">
        <v>6</v>
      </c>
      <c r="W18" s="34">
        <v>6</v>
      </c>
      <c r="X18" s="34">
        <v>4</v>
      </c>
      <c r="Y18" s="34">
        <v>6</v>
      </c>
      <c r="Z18" s="33">
        <v>1</v>
      </c>
      <c r="AB18" s="23">
        <v>0</v>
      </c>
      <c r="AC18" s="24"/>
      <c r="AD18" s="30" t="s">
        <v>54</v>
      </c>
      <c r="AE18" s="34">
        <v>4</v>
      </c>
      <c r="AF18" s="34">
        <v>11</v>
      </c>
      <c r="AG18" s="34">
        <v>8</v>
      </c>
      <c r="AH18" s="34">
        <v>6</v>
      </c>
      <c r="AI18" s="33">
        <v>3</v>
      </c>
    </row>
    <row r="19" spans="1:35" x14ac:dyDescent="0.25">
      <c r="A19" s="23">
        <v>0</v>
      </c>
      <c r="B19" s="24"/>
      <c r="C19" s="31" t="s">
        <v>55</v>
      </c>
      <c r="D19" s="32">
        <v>0</v>
      </c>
      <c r="E19" s="32">
        <v>1</v>
      </c>
      <c r="F19" s="32">
        <v>0</v>
      </c>
      <c r="G19" s="32">
        <v>1</v>
      </c>
      <c r="H19" s="33">
        <v>0</v>
      </c>
      <c r="J19" s="23">
        <v>0</v>
      </c>
      <c r="K19" s="24"/>
      <c r="L19" s="31" t="s">
        <v>55</v>
      </c>
      <c r="M19" s="32">
        <v>0</v>
      </c>
      <c r="N19" s="32">
        <v>1</v>
      </c>
      <c r="O19" s="32">
        <v>0</v>
      </c>
      <c r="P19" s="32">
        <v>1</v>
      </c>
      <c r="Q19" s="33">
        <v>0</v>
      </c>
      <c r="S19" s="23">
        <v>0</v>
      </c>
      <c r="T19" s="24"/>
      <c r="U19" s="31" t="s">
        <v>55</v>
      </c>
      <c r="V19" s="32">
        <v>8</v>
      </c>
      <c r="W19" s="32">
        <v>8</v>
      </c>
      <c r="X19" s="32">
        <v>5</v>
      </c>
      <c r="Y19" s="32">
        <v>8</v>
      </c>
      <c r="Z19" s="33">
        <v>1</v>
      </c>
      <c r="AB19" s="23">
        <v>0</v>
      </c>
      <c r="AC19" s="24"/>
      <c r="AD19" s="31" t="s">
        <v>55</v>
      </c>
      <c r="AE19" s="32">
        <v>8</v>
      </c>
      <c r="AF19" s="32">
        <v>21</v>
      </c>
      <c r="AG19" s="32">
        <v>16</v>
      </c>
      <c r="AH19" s="32">
        <v>11</v>
      </c>
      <c r="AI19" s="33">
        <v>3</v>
      </c>
    </row>
    <row r="20" spans="1:35" x14ac:dyDescent="0.25">
      <c r="A20" s="23">
        <v>0</v>
      </c>
      <c r="B20" s="24"/>
      <c r="C20" s="31" t="s">
        <v>56</v>
      </c>
      <c r="D20" s="32">
        <v>0</v>
      </c>
      <c r="E20" s="32">
        <v>1</v>
      </c>
      <c r="F20" s="32">
        <v>0</v>
      </c>
      <c r="G20" s="32">
        <v>1</v>
      </c>
      <c r="H20" s="33">
        <v>0</v>
      </c>
      <c r="J20" s="23">
        <v>0</v>
      </c>
      <c r="K20" s="24"/>
      <c r="L20" s="31" t="s">
        <v>56</v>
      </c>
      <c r="M20" s="32">
        <v>0</v>
      </c>
      <c r="N20" s="32">
        <v>1</v>
      </c>
      <c r="O20" s="32">
        <v>0</v>
      </c>
      <c r="P20" s="32">
        <v>1</v>
      </c>
      <c r="Q20" s="33">
        <v>0</v>
      </c>
      <c r="S20" s="23">
        <v>0</v>
      </c>
      <c r="T20" s="24"/>
      <c r="U20" s="31" t="s">
        <v>56</v>
      </c>
      <c r="V20" s="32">
        <v>6</v>
      </c>
      <c r="W20" s="32">
        <v>9</v>
      </c>
      <c r="X20" s="32">
        <v>6</v>
      </c>
      <c r="Y20" s="32">
        <v>7</v>
      </c>
      <c r="Z20" s="33">
        <v>2</v>
      </c>
      <c r="AB20" s="23">
        <v>0</v>
      </c>
      <c r="AC20" s="24"/>
      <c r="AD20" s="31" t="s">
        <v>56</v>
      </c>
      <c r="AE20" s="32">
        <v>10</v>
      </c>
      <c r="AF20" s="32">
        <v>22</v>
      </c>
      <c r="AG20" s="32">
        <v>17</v>
      </c>
      <c r="AH20" s="32">
        <v>11</v>
      </c>
      <c r="AI20" s="33">
        <v>4</v>
      </c>
    </row>
    <row r="21" spans="1:35" x14ac:dyDescent="0.25">
      <c r="A21" s="23">
        <v>0</v>
      </c>
      <c r="B21" s="24"/>
      <c r="C21" s="31" t="s">
        <v>57</v>
      </c>
      <c r="D21" s="32">
        <v>0</v>
      </c>
      <c r="E21" s="32">
        <v>1</v>
      </c>
      <c r="F21" s="32">
        <v>0</v>
      </c>
      <c r="G21" s="32">
        <v>1</v>
      </c>
      <c r="H21" s="33">
        <v>0</v>
      </c>
      <c r="J21" s="23">
        <v>0</v>
      </c>
      <c r="K21" s="24"/>
      <c r="L21" s="31" t="s">
        <v>57</v>
      </c>
      <c r="M21" s="32">
        <v>1</v>
      </c>
      <c r="N21" s="32">
        <v>4</v>
      </c>
      <c r="O21" s="32">
        <v>1</v>
      </c>
      <c r="P21" s="32">
        <v>5</v>
      </c>
      <c r="Q21" s="33">
        <v>0</v>
      </c>
      <c r="S21" s="23">
        <v>0</v>
      </c>
      <c r="T21" s="24"/>
      <c r="U21" s="31" t="s">
        <v>57</v>
      </c>
      <c r="V21" s="32">
        <v>1</v>
      </c>
      <c r="W21" s="32">
        <v>3</v>
      </c>
      <c r="X21" s="32">
        <v>1</v>
      </c>
      <c r="Y21" s="32">
        <v>4</v>
      </c>
      <c r="Z21" s="33">
        <v>0</v>
      </c>
      <c r="AB21" s="23">
        <v>0</v>
      </c>
      <c r="AC21" s="24"/>
      <c r="AD21" s="31" t="s">
        <v>57</v>
      </c>
      <c r="AE21" s="32">
        <v>4</v>
      </c>
      <c r="AF21" s="32">
        <v>10</v>
      </c>
      <c r="AG21" s="32">
        <v>8</v>
      </c>
      <c r="AH21" s="32">
        <v>5</v>
      </c>
      <c r="AI21" s="33">
        <v>3</v>
      </c>
    </row>
    <row r="22" spans="1:35" x14ac:dyDescent="0.25">
      <c r="A22" s="23">
        <v>0</v>
      </c>
      <c r="B22" s="24"/>
      <c r="C22" s="31" t="s">
        <v>58</v>
      </c>
      <c r="D22" s="32">
        <v>0</v>
      </c>
      <c r="E22" s="32">
        <v>1</v>
      </c>
      <c r="F22" s="32">
        <v>0</v>
      </c>
      <c r="G22" s="32">
        <v>1</v>
      </c>
      <c r="H22" s="33">
        <v>0</v>
      </c>
      <c r="J22" s="23">
        <v>0</v>
      </c>
      <c r="K22" s="24"/>
      <c r="L22" s="31" t="s">
        <v>58</v>
      </c>
      <c r="M22" s="32">
        <v>1</v>
      </c>
      <c r="N22" s="32">
        <v>3</v>
      </c>
      <c r="O22" s="32">
        <v>1</v>
      </c>
      <c r="P22" s="32">
        <v>4</v>
      </c>
      <c r="Q22" s="33">
        <v>0</v>
      </c>
      <c r="S22" s="23">
        <v>0</v>
      </c>
      <c r="T22" s="24"/>
      <c r="U22" s="31" t="s">
        <v>58</v>
      </c>
      <c r="V22" s="32">
        <v>1</v>
      </c>
      <c r="W22" s="32">
        <v>3</v>
      </c>
      <c r="X22" s="32">
        <v>1</v>
      </c>
      <c r="Y22" s="32">
        <v>4</v>
      </c>
      <c r="Z22" s="33">
        <v>0</v>
      </c>
      <c r="AB22" s="23">
        <v>0</v>
      </c>
      <c r="AC22" s="24"/>
      <c r="AD22" s="31" t="s">
        <v>58</v>
      </c>
      <c r="AE22" s="32">
        <v>4</v>
      </c>
      <c r="AF22" s="32">
        <v>10</v>
      </c>
      <c r="AG22" s="32">
        <v>8</v>
      </c>
      <c r="AH22" s="32">
        <v>5</v>
      </c>
      <c r="AI22" s="33">
        <v>3</v>
      </c>
    </row>
    <row r="23" spans="1:35" x14ac:dyDescent="0.25">
      <c r="A23" s="23">
        <v>0</v>
      </c>
      <c r="B23" s="24"/>
      <c r="H23" s="21"/>
      <c r="J23" s="23">
        <v>0</v>
      </c>
      <c r="K23" s="24"/>
      <c r="Q23" s="21"/>
      <c r="S23" s="23">
        <v>0</v>
      </c>
      <c r="T23" s="24"/>
      <c r="Z23" s="21"/>
      <c r="AB23" s="23">
        <v>0</v>
      </c>
      <c r="AC23" s="24"/>
      <c r="AI23" s="21"/>
    </row>
    <row r="24" spans="1:35" x14ac:dyDescent="0.25">
      <c r="A24" s="23">
        <v>0</v>
      </c>
      <c r="B24" s="24"/>
      <c r="D24" s="35" t="s">
        <v>59</v>
      </c>
      <c r="H24" s="21"/>
      <c r="J24" s="23">
        <v>0</v>
      </c>
      <c r="K24" s="24"/>
      <c r="M24" s="35" t="s">
        <v>59</v>
      </c>
      <c r="Q24" s="21"/>
      <c r="S24" s="23">
        <v>0</v>
      </c>
      <c r="T24" s="24"/>
      <c r="V24" s="35" t="s">
        <v>59</v>
      </c>
      <c r="Z24" s="21"/>
      <c r="AB24" s="23">
        <v>0</v>
      </c>
      <c r="AC24" s="24"/>
      <c r="AE24" s="35" t="s">
        <v>59</v>
      </c>
      <c r="AI24" s="21"/>
    </row>
    <row r="25" spans="1:35" x14ac:dyDescent="0.25">
      <c r="A25" s="23">
        <v>0</v>
      </c>
      <c r="B25" s="24"/>
      <c r="D25" s="31" t="s">
        <v>60</v>
      </c>
      <c r="E25" s="27">
        <v>0</v>
      </c>
      <c r="F25" s="36"/>
      <c r="H25" s="21"/>
      <c r="J25" s="23">
        <v>0</v>
      </c>
      <c r="K25" s="24"/>
      <c r="M25" s="31" t="s">
        <v>60</v>
      </c>
      <c r="N25" s="27">
        <v>0</v>
      </c>
      <c r="O25" s="36"/>
      <c r="Q25" s="21"/>
      <c r="S25" s="23">
        <v>0</v>
      </c>
      <c r="T25" s="24"/>
      <c r="V25" s="31" t="s">
        <v>60</v>
      </c>
      <c r="W25" s="27">
        <v>0</v>
      </c>
      <c r="X25" s="36"/>
      <c r="Z25" s="21"/>
      <c r="AB25" s="23">
        <v>0</v>
      </c>
      <c r="AC25" s="24"/>
      <c r="AE25" s="31" t="s">
        <v>60</v>
      </c>
      <c r="AF25" s="27">
        <v>0</v>
      </c>
      <c r="AG25" s="36"/>
      <c r="AI25" s="21"/>
    </row>
    <row r="26" spans="1:35" x14ac:dyDescent="0.25">
      <c r="A26" s="23">
        <v>0</v>
      </c>
      <c r="B26" s="24"/>
      <c r="D26" s="31" t="s">
        <v>61</v>
      </c>
      <c r="E26" s="27">
        <v>0</v>
      </c>
      <c r="F26" s="36"/>
      <c r="H26" s="21"/>
      <c r="J26" s="23">
        <v>0</v>
      </c>
      <c r="K26" s="24"/>
      <c r="M26" s="31" t="s">
        <v>61</v>
      </c>
      <c r="N26" s="27">
        <v>0</v>
      </c>
      <c r="O26" s="36"/>
      <c r="Q26" s="21"/>
      <c r="S26" s="23">
        <v>0</v>
      </c>
      <c r="T26" s="24"/>
      <c r="V26" s="31" t="s">
        <v>61</v>
      </c>
      <c r="W26" s="27">
        <v>0</v>
      </c>
      <c r="X26" s="36"/>
      <c r="Z26" s="21"/>
      <c r="AB26" s="23">
        <v>0</v>
      </c>
      <c r="AC26" s="24"/>
      <c r="AE26" s="31" t="s">
        <v>61</v>
      </c>
      <c r="AF26" s="27">
        <v>0</v>
      </c>
      <c r="AG26" s="36"/>
      <c r="AI26" s="21"/>
    </row>
    <row r="27" spans="1:35" x14ac:dyDescent="0.25">
      <c r="A27" s="23">
        <v>0</v>
      </c>
      <c r="B27" s="24"/>
      <c r="D27" s="31" t="s">
        <v>62</v>
      </c>
      <c r="E27" s="27">
        <v>0</v>
      </c>
      <c r="F27" s="36"/>
      <c r="H27" s="21"/>
      <c r="J27" s="23">
        <v>0</v>
      </c>
      <c r="K27" s="24"/>
      <c r="M27" s="31" t="s">
        <v>62</v>
      </c>
      <c r="N27" s="27">
        <v>0</v>
      </c>
      <c r="O27" s="36"/>
      <c r="Q27" s="21"/>
      <c r="S27" s="23">
        <v>0</v>
      </c>
      <c r="T27" s="24"/>
      <c r="V27" s="31" t="s">
        <v>62</v>
      </c>
      <c r="W27" s="27">
        <v>0</v>
      </c>
      <c r="X27" s="36"/>
      <c r="Z27" s="21"/>
      <c r="AB27" s="23">
        <v>0</v>
      </c>
      <c r="AC27" s="24"/>
      <c r="AE27" s="31" t="s">
        <v>62</v>
      </c>
      <c r="AF27" s="27">
        <v>0</v>
      </c>
      <c r="AG27" s="36"/>
      <c r="AI27" s="21"/>
    </row>
    <row r="28" spans="1:35" x14ac:dyDescent="0.25">
      <c r="A28" s="23">
        <v>0</v>
      </c>
      <c r="B28" s="24"/>
      <c r="D28" s="31" t="s">
        <v>63</v>
      </c>
      <c r="E28" s="27">
        <v>0</v>
      </c>
      <c r="F28" s="36"/>
      <c r="H28" s="21"/>
      <c r="J28" s="23">
        <v>0</v>
      </c>
      <c r="K28" s="24"/>
      <c r="M28" s="31" t="s">
        <v>63</v>
      </c>
      <c r="N28" s="27">
        <v>0</v>
      </c>
      <c r="O28" s="36"/>
      <c r="Q28" s="21"/>
      <c r="S28" s="23">
        <v>0</v>
      </c>
      <c r="T28" s="24"/>
      <c r="V28" s="31" t="s">
        <v>63</v>
      </c>
      <c r="W28" s="27">
        <v>0</v>
      </c>
      <c r="X28" s="36"/>
      <c r="Z28" s="21"/>
      <c r="AB28" s="23">
        <v>0</v>
      </c>
      <c r="AC28" s="24"/>
      <c r="AE28" s="31" t="s">
        <v>63</v>
      </c>
      <c r="AF28" s="27">
        <v>0</v>
      </c>
      <c r="AG28" s="36"/>
      <c r="AI28" s="21"/>
    </row>
    <row r="29" spans="1:35" x14ac:dyDescent="0.25">
      <c r="A29" s="23">
        <v>0</v>
      </c>
      <c r="B29" s="24"/>
      <c r="H29" s="21"/>
      <c r="J29" s="23">
        <v>0</v>
      </c>
      <c r="K29" s="24"/>
      <c r="Q29" s="21"/>
      <c r="S29" s="23">
        <v>0</v>
      </c>
      <c r="T29" s="24"/>
      <c r="Z29" s="21"/>
      <c r="AB29" s="23">
        <v>0</v>
      </c>
      <c r="AC29" s="24"/>
      <c r="AI29" s="21"/>
    </row>
    <row r="30" spans="1:35" x14ac:dyDescent="0.25">
      <c r="A30" s="23">
        <v>0</v>
      </c>
      <c r="B30" s="24"/>
      <c r="H30" s="21"/>
      <c r="J30" s="23">
        <v>0</v>
      </c>
      <c r="K30" s="24"/>
      <c r="Q30" s="21"/>
      <c r="S30" s="23">
        <v>0</v>
      </c>
      <c r="T30" s="24"/>
      <c r="Z30" s="21"/>
      <c r="AB30" s="23">
        <v>0</v>
      </c>
      <c r="AC30" s="24"/>
      <c r="AI30" s="21"/>
    </row>
    <row r="31" spans="1:35" x14ac:dyDescent="0.25">
      <c r="A31" s="23">
        <v>0</v>
      </c>
      <c r="B31" s="24"/>
      <c r="H31" s="21"/>
      <c r="J31" s="23">
        <v>0</v>
      </c>
      <c r="K31" s="24"/>
      <c r="Q31" s="21"/>
      <c r="S31" s="23">
        <v>0</v>
      </c>
      <c r="T31" s="24"/>
      <c r="Z31" s="21"/>
      <c r="AB31" s="23">
        <v>0</v>
      </c>
      <c r="AC31" s="24"/>
      <c r="AI31" s="21"/>
    </row>
    <row r="32" spans="1:35" x14ac:dyDescent="0.25">
      <c r="A32" s="37"/>
      <c r="B32" s="38"/>
      <c r="C32" s="38"/>
      <c r="D32" s="38"/>
      <c r="E32" s="38"/>
      <c r="F32" s="38"/>
      <c r="G32" s="38"/>
      <c r="H32" s="39"/>
      <c r="J32" s="37"/>
      <c r="K32" s="38"/>
      <c r="L32" s="38"/>
      <c r="M32" s="38"/>
      <c r="N32" s="38"/>
      <c r="O32" s="38"/>
      <c r="P32" s="38"/>
      <c r="Q32" s="39"/>
      <c r="S32" s="37"/>
      <c r="T32" s="38"/>
      <c r="U32" s="38"/>
      <c r="V32" s="38"/>
      <c r="W32" s="38"/>
      <c r="X32" s="38"/>
      <c r="Y32" s="38"/>
      <c r="Z32" s="39"/>
      <c r="AB32" s="37"/>
      <c r="AC32" s="38"/>
      <c r="AD32" s="38"/>
      <c r="AE32" s="38"/>
      <c r="AF32" s="38"/>
      <c r="AG32" s="38"/>
      <c r="AH32" s="38"/>
      <c r="AI32" s="39"/>
    </row>
    <row r="34" spans="1:35" x14ac:dyDescent="0.25">
      <c r="A34" s="15"/>
      <c r="B34" s="18"/>
      <c r="C34" s="18"/>
      <c r="D34" s="18"/>
      <c r="E34" s="18"/>
      <c r="F34" s="18"/>
      <c r="G34" s="18"/>
      <c r="H34" s="17"/>
      <c r="J34" s="15"/>
      <c r="K34" s="18"/>
      <c r="L34" s="18"/>
      <c r="M34" s="18"/>
      <c r="N34" s="18"/>
      <c r="O34" s="18"/>
      <c r="P34" s="18"/>
      <c r="Q34" s="17"/>
      <c r="S34" s="15"/>
      <c r="T34" s="18"/>
      <c r="U34" s="18"/>
      <c r="V34" s="18"/>
      <c r="W34" s="18"/>
      <c r="X34" s="18"/>
      <c r="Y34" s="18"/>
      <c r="Z34" s="17"/>
      <c r="AB34" s="15"/>
      <c r="AC34" s="18"/>
      <c r="AD34" s="18"/>
      <c r="AE34" s="18"/>
      <c r="AF34" s="18"/>
      <c r="AG34" s="18"/>
      <c r="AH34" s="18"/>
      <c r="AI34" s="17"/>
    </row>
    <row r="35" spans="1:35" ht="18.75" x14ac:dyDescent="0.3">
      <c r="A35" s="19"/>
      <c r="B35" s="20" t="s">
        <v>4</v>
      </c>
      <c r="C35" s="13" t="s">
        <v>64</v>
      </c>
      <c r="D35" s="13"/>
      <c r="E35" s="13"/>
      <c r="F35" s="13"/>
      <c r="G35" s="13"/>
      <c r="H35" s="21"/>
      <c r="J35" s="19"/>
      <c r="K35" s="20" t="s">
        <v>4</v>
      </c>
      <c r="L35" s="13" t="s">
        <v>65</v>
      </c>
      <c r="M35" s="13"/>
      <c r="N35" s="13"/>
      <c r="O35" s="13"/>
      <c r="P35" s="13"/>
      <c r="Q35" s="21"/>
      <c r="S35" s="19"/>
      <c r="T35" s="20" t="s">
        <v>4</v>
      </c>
      <c r="U35" s="13" t="s">
        <v>66</v>
      </c>
      <c r="V35" s="13"/>
      <c r="W35" s="13"/>
      <c r="X35" s="13"/>
      <c r="Y35" s="13"/>
      <c r="Z35" s="21"/>
      <c r="AB35" s="19"/>
      <c r="AC35" s="20" t="s">
        <v>4</v>
      </c>
      <c r="AD35" s="13" t="s">
        <v>67</v>
      </c>
      <c r="AE35" s="13"/>
      <c r="AF35" s="13"/>
      <c r="AG35" s="13"/>
      <c r="AH35" s="13"/>
      <c r="AI35" s="21"/>
    </row>
    <row r="36" spans="1:35" ht="15.75" x14ac:dyDescent="0.25">
      <c r="A36" s="19"/>
      <c r="B36" s="22" t="s">
        <v>9</v>
      </c>
      <c r="C36" s="12"/>
      <c r="D36" s="12"/>
      <c r="E36" s="12"/>
      <c r="F36" s="12"/>
      <c r="G36" s="12"/>
      <c r="H36" s="21"/>
      <c r="J36" s="19"/>
      <c r="K36" s="22" t="s">
        <v>9</v>
      </c>
      <c r="L36" s="12"/>
      <c r="M36" s="12"/>
      <c r="N36" s="12"/>
      <c r="O36" s="12"/>
      <c r="P36" s="12"/>
      <c r="Q36" s="21"/>
      <c r="S36" s="19"/>
      <c r="T36" s="22" t="s">
        <v>9</v>
      </c>
      <c r="U36" s="12"/>
      <c r="V36" s="12"/>
      <c r="W36" s="12"/>
      <c r="X36" s="12"/>
      <c r="Y36" s="12"/>
      <c r="Z36" s="21"/>
      <c r="AB36" s="19"/>
      <c r="AC36" s="22" t="s">
        <v>9</v>
      </c>
      <c r="AD36" s="12"/>
      <c r="AE36" s="12"/>
      <c r="AF36" s="12"/>
      <c r="AG36" s="12"/>
      <c r="AH36" s="12"/>
      <c r="AI36" s="21"/>
    </row>
    <row r="37" spans="1:35" x14ac:dyDescent="0.25">
      <c r="A37" s="23">
        <v>0</v>
      </c>
      <c r="B37" s="24" t="s">
        <v>68</v>
      </c>
      <c r="C37" s="25" t="s">
        <v>12</v>
      </c>
      <c r="D37" s="25" t="s">
        <v>13</v>
      </c>
      <c r="E37" s="25" t="s">
        <v>14</v>
      </c>
      <c r="F37" s="25" t="s">
        <v>15</v>
      </c>
      <c r="G37" s="25" t="s">
        <v>16</v>
      </c>
      <c r="H37" s="21"/>
      <c r="J37" s="23">
        <v>0</v>
      </c>
      <c r="K37" s="24" t="s">
        <v>17</v>
      </c>
      <c r="L37" s="25" t="s">
        <v>12</v>
      </c>
      <c r="M37" s="25" t="s">
        <v>13</v>
      </c>
      <c r="N37" s="25" t="s">
        <v>14</v>
      </c>
      <c r="O37" s="25" t="s">
        <v>15</v>
      </c>
      <c r="P37" s="25" t="s">
        <v>16</v>
      </c>
      <c r="Q37" s="21"/>
      <c r="S37" s="23">
        <v>0</v>
      </c>
      <c r="T37" s="24" t="s">
        <v>69</v>
      </c>
      <c r="U37" s="25" t="s">
        <v>12</v>
      </c>
      <c r="V37" s="25" t="s">
        <v>13</v>
      </c>
      <c r="W37" s="25" t="s">
        <v>14</v>
      </c>
      <c r="X37" s="25" t="s">
        <v>15</v>
      </c>
      <c r="Y37" s="25" t="s">
        <v>16</v>
      </c>
      <c r="Z37" s="21"/>
      <c r="AB37" s="23">
        <v>0</v>
      </c>
      <c r="AC37" s="24" t="s">
        <v>69</v>
      </c>
      <c r="AD37" s="25" t="s">
        <v>12</v>
      </c>
      <c r="AE37" s="25" t="s">
        <v>13</v>
      </c>
      <c r="AF37" s="25" t="s">
        <v>14</v>
      </c>
      <c r="AG37" s="25" t="s">
        <v>15</v>
      </c>
      <c r="AH37" s="25" t="s">
        <v>16</v>
      </c>
      <c r="AI37" s="21"/>
    </row>
    <row r="38" spans="1:35" x14ac:dyDescent="0.25">
      <c r="A38" s="23">
        <v>0</v>
      </c>
      <c r="B38" s="24" t="s">
        <v>70</v>
      </c>
      <c r="C38" s="26">
        <v>260</v>
      </c>
      <c r="D38" s="27">
        <v>0</v>
      </c>
      <c r="E38" s="27">
        <v>0</v>
      </c>
      <c r="F38" s="28">
        <v>2</v>
      </c>
      <c r="G38" s="29">
        <v>11.79</v>
      </c>
      <c r="H38" s="21"/>
      <c r="J38" s="23">
        <v>0</v>
      </c>
      <c r="K38" s="24" t="s">
        <v>20</v>
      </c>
      <c r="L38" s="26">
        <v>680</v>
      </c>
      <c r="M38" s="27">
        <v>10</v>
      </c>
      <c r="N38" s="27">
        <v>0</v>
      </c>
      <c r="O38" s="28">
        <v>4</v>
      </c>
      <c r="P38" s="29">
        <v>32.380000000000003</v>
      </c>
      <c r="Q38" s="21"/>
      <c r="S38" s="23">
        <v>0</v>
      </c>
      <c r="T38" s="24" t="s">
        <v>20</v>
      </c>
      <c r="U38" s="26">
        <v>961</v>
      </c>
      <c r="V38" s="27">
        <v>15</v>
      </c>
      <c r="W38" s="27">
        <v>5</v>
      </c>
      <c r="X38" s="28">
        <v>6</v>
      </c>
      <c r="Y38" s="29">
        <v>46.38</v>
      </c>
      <c r="Z38" s="21"/>
      <c r="AB38" s="23">
        <v>0</v>
      </c>
      <c r="AC38" s="24" t="s">
        <v>18</v>
      </c>
      <c r="AD38" s="26">
        <v>2484</v>
      </c>
      <c r="AE38" s="27">
        <v>40</v>
      </c>
      <c r="AF38" s="27">
        <v>15</v>
      </c>
      <c r="AG38" s="28">
        <v>8</v>
      </c>
      <c r="AH38" s="29">
        <v>84.5</v>
      </c>
      <c r="AI38" s="21"/>
    </row>
    <row r="39" spans="1:35" x14ac:dyDescent="0.25">
      <c r="A39" s="23">
        <v>0</v>
      </c>
      <c r="B39" s="24" t="s">
        <v>71</v>
      </c>
      <c r="H39" s="21"/>
      <c r="J39" s="23">
        <v>0</v>
      </c>
      <c r="K39" s="24" t="s">
        <v>65</v>
      </c>
      <c r="Q39" s="21"/>
      <c r="S39" s="23">
        <v>0</v>
      </c>
      <c r="T39" s="24" t="s">
        <v>23</v>
      </c>
      <c r="Z39" s="21"/>
      <c r="AB39" s="23">
        <v>0</v>
      </c>
      <c r="AC39" s="24" t="s">
        <v>21</v>
      </c>
      <c r="AI39" s="21"/>
    </row>
    <row r="40" spans="1:35" x14ac:dyDescent="0.25">
      <c r="A40" s="23">
        <v>0</v>
      </c>
      <c r="B40" s="24" t="s">
        <v>72</v>
      </c>
      <c r="C40" s="30" t="s">
        <v>27</v>
      </c>
      <c r="D40" s="30" t="s">
        <v>28</v>
      </c>
      <c r="E40" s="30" t="s">
        <v>29</v>
      </c>
      <c r="F40" s="30" t="s">
        <v>30</v>
      </c>
      <c r="G40" s="30" t="s">
        <v>31</v>
      </c>
      <c r="H40" s="21"/>
      <c r="J40" s="23">
        <v>0</v>
      </c>
      <c r="K40" s="24" t="s">
        <v>42</v>
      </c>
      <c r="L40" s="30" t="s">
        <v>27</v>
      </c>
      <c r="M40" s="30" t="s">
        <v>28</v>
      </c>
      <c r="N40" s="30" t="s">
        <v>29</v>
      </c>
      <c r="O40" s="30" t="s">
        <v>30</v>
      </c>
      <c r="P40" s="30" t="s">
        <v>31</v>
      </c>
      <c r="Q40" s="21"/>
      <c r="S40" s="23">
        <v>0</v>
      </c>
      <c r="T40" s="24" t="s">
        <v>73</v>
      </c>
      <c r="U40" s="30" t="s">
        <v>27</v>
      </c>
      <c r="V40" s="30" t="s">
        <v>28</v>
      </c>
      <c r="W40" s="30" t="s">
        <v>29</v>
      </c>
      <c r="X40" s="30" t="s">
        <v>30</v>
      </c>
      <c r="Y40" s="30" t="s">
        <v>31</v>
      </c>
      <c r="Z40" s="21"/>
      <c r="AB40" s="23">
        <v>0</v>
      </c>
      <c r="AC40" s="24" t="s">
        <v>23</v>
      </c>
      <c r="AD40" s="30" t="s">
        <v>27</v>
      </c>
      <c r="AE40" s="30" t="s">
        <v>28</v>
      </c>
      <c r="AF40" s="30" t="s">
        <v>29</v>
      </c>
      <c r="AG40" s="30" t="s">
        <v>30</v>
      </c>
      <c r="AH40" s="30" t="s">
        <v>31</v>
      </c>
      <c r="AI40" s="21"/>
    </row>
    <row r="41" spans="1:35" x14ac:dyDescent="0.25">
      <c r="A41" s="23">
        <v>0</v>
      </c>
      <c r="B41" s="24" t="s">
        <v>22</v>
      </c>
      <c r="C41" s="31" t="s">
        <v>34</v>
      </c>
      <c r="D41" s="32">
        <v>1</v>
      </c>
      <c r="E41" s="32">
        <v>2</v>
      </c>
      <c r="F41" s="32">
        <v>1</v>
      </c>
      <c r="G41" s="32">
        <v>3</v>
      </c>
      <c r="H41" s="33">
        <v>2</v>
      </c>
      <c r="J41" s="23">
        <v>0</v>
      </c>
      <c r="K41" s="24" t="s">
        <v>41</v>
      </c>
      <c r="L41" s="31" t="s">
        <v>34</v>
      </c>
      <c r="M41" s="32">
        <v>8</v>
      </c>
      <c r="N41" s="32">
        <v>13</v>
      </c>
      <c r="O41" s="32">
        <v>10</v>
      </c>
      <c r="P41" s="32">
        <v>7</v>
      </c>
      <c r="Q41" s="33">
        <v>4</v>
      </c>
      <c r="S41" s="23">
        <v>0</v>
      </c>
      <c r="T41" s="24" t="s">
        <v>74</v>
      </c>
      <c r="U41" s="31" t="s">
        <v>34</v>
      </c>
      <c r="V41" s="32">
        <v>8</v>
      </c>
      <c r="W41" s="32">
        <v>13</v>
      </c>
      <c r="X41" s="32">
        <v>10</v>
      </c>
      <c r="Y41" s="32">
        <v>7</v>
      </c>
      <c r="Z41" s="33">
        <v>4</v>
      </c>
      <c r="AB41" s="23">
        <v>0</v>
      </c>
      <c r="AC41" s="24" t="s">
        <v>32</v>
      </c>
      <c r="AD41" s="31" t="s">
        <v>34</v>
      </c>
      <c r="AE41" s="32">
        <v>10</v>
      </c>
      <c r="AF41" s="32">
        <v>21</v>
      </c>
      <c r="AG41" s="32">
        <v>17</v>
      </c>
      <c r="AH41" s="32">
        <v>10</v>
      </c>
      <c r="AI41" s="33">
        <v>3</v>
      </c>
    </row>
    <row r="42" spans="1:35" x14ac:dyDescent="0.25">
      <c r="A42" s="23">
        <v>0</v>
      </c>
      <c r="B42" s="24" t="s">
        <v>26</v>
      </c>
      <c r="C42" s="31" t="s">
        <v>37</v>
      </c>
      <c r="D42" s="32">
        <v>0</v>
      </c>
      <c r="E42" s="32">
        <v>0</v>
      </c>
      <c r="F42" s="32">
        <v>0</v>
      </c>
      <c r="G42" s="32">
        <v>0</v>
      </c>
      <c r="H42" s="33">
        <v>0</v>
      </c>
      <c r="J42" s="23">
        <v>0</v>
      </c>
      <c r="K42" s="24" t="s">
        <v>26</v>
      </c>
      <c r="L42" s="31" t="s">
        <v>37</v>
      </c>
      <c r="M42" s="32">
        <v>0</v>
      </c>
      <c r="N42" s="32">
        <v>0</v>
      </c>
      <c r="O42" s="32">
        <v>0</v>
      </c>
      <c r="P42" s="32">
        <v>0</v>
      </c>
      <c r="Q42" s="33">
        <v>0</v>
      </c>
      <c r="S42" s="23">
        <v>0</v>
      </c>
      <c r="T42" s="24" t="s">
        <v>66</v>
      </c>
      <c r="U42" s="31" t="s">
        <v>37</v>
      </c>
      <c r="V42" s="32">
        <v>6</v>
      </c>
      <c r="W42" s="32">
        <v>11</v>
      </c>
      <c r="X42" s="32">
        <v>9</v>
      </c>
      <c r="Y42" s="32">
        <v>5</v>
      </c>
      <c r="Z42" s="33">
        <v>0</v>
      </c>
      <c r="AB42" s="23">
        <v>0</v>
      </c>
      <c r="AC42" s="24" t="s">
        <v>73</v>
      </c>
      <c r="AD42" s="31" t="s">
        <v>37</v>
      </c>
      <c r="AE42" s="32">
        <v>6</v>
      </c>
      <c r="AF42" s="32">
        <v>11</v>
      </c>
      <c r="AG42" s="32">
        <v>9</v>
      </c>
      <c r="AH42" s="32">
        <v>5</v>
      </c>
      <c r="AI42" s="33">
        <v>0</v>
      </c>
    </row>
    <row r="43" spans="1:35" x14ac:dyDescent="0.25">
      <c r="A43" s="23">
        <v>0</v>
      </c>
      <c r="B43" s="24" t="s">
        <v>75</v>
      </c>
      <c r="C43" s="30" t="s">
        <v>40</v>
      </c>
      <c r="D43" s="34">
        <v>0</v>
      </c>
      <c r="E43" s="34">
        <v>0</v>
      </c>
      <c r="F43" s="34">
        <v>0</v>
      </c>
      <c r="G43" s="34">
        <v>0</v>
      </c>
      <c r="H43" s="33">
        <v>0</v>
      </c>
      <c r="J43" s="23">
        <v>0</v>
      </c>
      <c r="K43" s="24" t="s">
        <v>45</v>
      </c>
      <c r="L43" s="30" t="s">
        <v>40</v>
      </c>
      <c r="M43" s="34">
        <v>0</v>
      </c>
      <c r="N43" s="34">
        <v>0</v>
      </c>
      <c r="O43" s="34">
        <v>0</v>
      </c>
      <c r="P43" s="34">
        <v>0</v>
      </c>
      <c r="Q43" s="33">
        <v>0</v>
      </c>
      <c r="S43" s="23">
        <v>0</v>
      </c>
      <c r="T43" s="24" t="s">
        <v>42</v>
      </c>
      <c r="U43" s="30" t="s">
        <v>40</v>
      </c>
      <c r="V43" s="34">
        <v>0</v>
      </c>
      <c r="W43" s="34">
        <v>0</v>
      </c>
      <c r="X43" s="34">
        <v>0</v>
      </c>
      <c r="Y43" s="34">
        <v>0</v>
      </c>
      <c r="Z43" s="33">
        <v>0</v>
      </c>
      <c r="AB43" s="23">
        <v>0</v>
      </c>
      <c r="AC43" s="24" t="s">
        <v>33</v>
      </c>
      <c r="AD43" s="30" t="s">
        <v>40</v>
      </c>
      <c r="AE43" s="34">
        <v>4</v>
      </c>
      <c r="AF43" s="34">
        <v>10</v>
      </c>
      <c r="AG43" s="34">
        <v>8</v>
      </c>
      <c r="AH43" s="34">
        <v>5</v>
      </c>
      <c r="AI43" s="33">
        <v>3</v>
      </c>
    </row>
    <row r="44" spans="1:35" x14ac:dyDescent="0.25">
      <c r="A44" s="23">
        <v>0</v>
      </c>
      <c r="B44" s="24"/>
      <c r="C44" s="31" t="s">
        <v>43</v>
      </c>
      <c r="D44" s="32">
        <v>2</v>
      </c>
      <c r="E44" s="32">
        <v>4</v>
      </c>
      <c r="F44" s="32">
        <v>1</v>
      </c>
      <c r="G44" s="32">
        <v>4</v>
      </c>
      <c r="H44" s="33">
        <v>0</v>
      </c>
      <c r="J44" s="23">
        <v>0</v>
      </c>
      <c r="K44" s="24"/>
      <c r="L44" s="31" t="s">
        <v>43</v>
      </c>
      <c r="M44" s="32">
        <v>6</v>
      </c>
      <c r="N44" s="32">
        <v>10</v>
      </c>
      <c r="O44" s="32">
        <v>6</v>
      </c>
      <c r="P44" s="32">
        <v>7</v>
      </c>
      <c r="Q44" s="33">
        <v>3</v>
      </c>
      <c r="S44" s="23">
        <v>0</v>
      </c>
      <c r="T44" s="24" t="s">
        <v>22</v>
      </c>
      <c r="U44" s="31" t="s">
        <v>43</v>
      </c>
      <c r="V44" s="32">
        <v>10</v>
      </c>
      <c r="W44" s="32">
        <v>16</v>
      </c>
      <c r="X44" s="32">
        <v>11</v>
      </c>
      <c r="Y44" s="32">
        <v>11</v>
      </c>
      <c r="Z44" s="33">
        <v>3</v>
      </c>
      <c r="AB44" s="23">
        <v>0</v>
      </c>
      <c r="AC44" s="24" t="s">
        <v>36</v>
      </c>
      <c r="AD44" s="31" t="s">
        <v>43</v>
      </c>
      <c r="AE44" s="32">
        <v>8</v>
      </c>
      <c r="AF44" s="32">
        <v>16</v>
      </c>
      <c r="AG44" s="32">
        <v>13</v>
      </c>
      <c r="AH44" s="32">
        <v>9</v>
      </c>
      <c r="AI44" s="33">
        <v>3</v>
      </c>
    </row>
    <row r="45" spans="1:35" x14ac:dyDescent="0.25">
      <c r="A45" s="23">
        <v>0</v>
      </c>
      <c r="B45" s="24"/>
      <c r="C45" s="31" t="s">
        <v>44</v>
      </c>
      <c r="D45" s="32">
        <v>2</v>
      </c>
      <c r="E45" s="32">
        <v>3</v>
      </c>
      <c r="F45" s="32">
        <v>1</v>
      </c>
      <c r="G45" s="32">
        <v>3</v>
      </c>
      <c r="H45" s="33">
        <v>0</v>
      </c>
      <c r="J45" s="23">
        <v>0</v>
      </c>
      <c r="K45" s="24"/>
      <c r="L45" s="31" t="s">
        <v>44</v>
      </c>
      <c r="M45" s="32">
        <v>6</v>
      </c>
      <c r="N45" s="32">
        <v>10</v>
      </c>
      <c r="O45" s="32">
        <v>6</v>
      </c>
      <c r="P45" s="32">
        <v>7</v>
      </c>
      <c r="Q45" s="33">
        <v>3</v>
      </c>
      <c r="S45" s="23">
        <v>0</v>
      </c>
      <c r="T45" s="24" t="s">
        <v>35</v>
      </c>
      <c r="U45" s="31" t="s">
        <v>44</v>
      </c>
      <c r="V45" s="32">
        <v>6</v>
      </c>
      <c r="W45" s="32">
        <v>10</v>
      </c>
      <c r="X45" s="32">
        <v>6</v>
      </c>
      <c r="Y45" s="32">
        <v>7</v>
      </c>
      <c r="Z45" s="33">
        <v>3</v>
      </c>
      <c r="AB45" s="23">
        <v>0</v>
      </c>
      <c r="AC45" s="24" t="s">
        <v>6</v>
      </c>
      <c r="AD45" s="31" t="s">
        <v>44</v>
      </c>
      <c r="AE45" s="32">
        <v>8</v>
      </c>
      <c r="AF45" s="32">
        <v>16</v>
      </c>
      <c r="AG45" s="32">
        <v>13</v>
      </c>
      <c r="AH45" s="32">
        <v>9</v>
      </c>
      <c r="AI45" s="33">
        <v>3</v>
      </c>
    </row>
    <row r="46" spans="1:35" x14ac:dyDescent="0.25">
      <c r="A46" s="23">
        <v>0</v>
      </c>
      <c r="B46" s="24"/>
      <c r="C46" s="31" t="s">
        <v>47</v>
      </c>
      <c r="D46" s="32">
        <v>0</v>
      </c>
      <c r="E46" s="32">
        <v>1</v>
      </c>
      <c r="F46" s="32">
        <v>0</v>
      </c>
      <c r="G46" s="32">
        <v>1</v>
      </c>
      <c r="H46" s="33">
        <v>0</v>
      </c>
      <c r="J46" s="23">
        <v>0</v>
      </c>
      <c r="K46" s="24"/>
      <c r="L46" s="31" t="s">
        <v>47</v>
      </c>
      <c r="M46" s="32">
        <v>2</v>
      </c>
      <c r="N46" s="32">
        <v>2</v>
      </c>
      <c r="O46" s="32">
        <v>1</v>
      </c>
      <c r="P46" s="32">
        <v>2</v>
      </c>
      <c r="Q46" s="33">
        <v>0</v>
      </c>
      <c r="S46" s="23">
        <v>0</v>
      </c>
      <c r="T46" s="24" t="s">
        <v>50</v>
      </c>
      <c r="U46" s="31" t="s">
        <v>47</v>
      </c>
      <c r="V46" s="32">
        <v>10</v>
      </c>
      <c r="W46" s="32">
        <v>16</v>
      </c>
      <c r="X46" s="32">
        <v>11</v>
      </c>
      <c r="Y46" s="32">
        <v>11</v>
      </c>
      <c r="Z46" s="33">
        <v>0</v>
      </c>
      <c r="AB46" s="23">
        <v>0</v>
      </c>
      <c r="AC46" s="24" t="s">
        <v>8</v>
      </c>
      <c r="AD46" s="31" t="s">
        <v>47</v>
      </c>
      <c r="AE46" s="32">
        <v>8</v>
      </c>
      <c r="AF46" s="32">
        <v>16</v>
      </c>
      <c r="AG46" s="32">
        <v>13</v>
      </c>
      <c r="AH46" s="32">
        <v>9</v>
      </c>
      <c r="AI46" s="33">
        <v>4</v>
      </c>
    </row>
    <row r="47" spans="1:35" x14ac:dyDescent="0.25">
      <c r="A47" s="23">
        <v>0</v>
      </c>
      <c r="B47" s="24"/>
      <c r="C47" s="31" t="s">
        <v>49</v>
      </c>
      <c r="D47" s="32">
        <v>0</v>
      </c>
      <c r="E47" s="32">
        <v>1</v>
      </c>
      <c r="F47" s="32">
        <v>0</v>
      </c>
      <c r="G47" s="32">
        <v>1</v>
      </c>
      <c r="H47" s="33">
        <v>0</v>
      </c>
      <c r="J47" s="23">
        <v>0</v>
      </c>
      <c r="K47" s="24"/>
      <c r="L47" s="31" t="s">
        <v>49</v>
      </c>
      <c r="M47" s="32">
        <v>2</v>
      </c>
      <c r="N47" s="32">
        <v>2</v>
      </c>
      <c r="O47" s="32">
        <v>1</v>
      </c>
      <c r="P47" s="32">
        <v>2</v>
      </c>
      <c r="Q47" s="33">
        <v>0</v>
      </c>
      <c r="S47" s="23">
        <v>0</v>
      </c>
      <c r="T47" s="24" t="s">
        <v>45</v>
      </c>
      <c r="U47" s="31" t="s">
        <v>49</v>
      </c>
      <c r="V47" s="32">
        <v>2</v>
      </c>
      <c r="W47" s="32">
        <v>2</v>
      </c>
      <c r="X47" s="32">
        <v>1</v>
      </c>
      <c r="Y47" s="32">
        <v>2</v>
      </c>
      <c r="Z47" s="33">
        <v>0</v>
      </c>
      <c r="AB47" s="23">
        <v>0</v>
      </c>
      <c r="AC47" s="24" t="s">
        <v>42</v>
      </c>
      <c r="AD47" s="31" t="s">
        <v>49</v>
      </c>
      <c r="AE47" s="32">
        <v>4</v>
      </c>
      <c r="AF47" s="32">
        <v>10</v>
      </c>
      <c r="AG47" s="32">
        <v>8</v>
      </c>
      <c r="AH47" s="32">
        <v>5</v>
      </c>
      <c r="AI47" s="33">
        <v>3</v>
      </c>
    </row>
    <row r="48" spans="1:35" x14ac:dyDescent="0.25">
      <c r="A48" s="23">
        <v>0</v>
      </c>
      <c r="B48" s="24"/>
      <c r="C48" s="30" t="s">
        <v>51</v>
      </c>
      <c r="D48" s="34">
        <v>0</v>
      </c>
      <c r="E48" s="34">
        <v>0</v>
      </c>
      <c r="F48" s="34">
        <v>0</v>
      </c>
      <c r="G48" s="34">
        <v>0</v>
      </c>
      <c r="H48" s="33">
        <v>0</v>
      </c>
      <c r="J48" s="23">
        <v>0</v>
      </c>
      <c r="K48" s="24"/>
      <c r="L48" s="30" t="s">
        <v>51</v>
      </c>
      <c r="M48" s="34">
        <v>0</v>
      </c>
      <c r="N48" s="34">
        <v>0</v>
      </c>
      <c r="O48" s="34">
        <v>0</v>
      </c>
      <c r="P48" s="34">
        <v>0</v>
      </c>
      <c r="Q48" s="33">
        <v>0</v>
      </c>
      <c r="S48" s="23">
        <v>0</v>
      </c>
      <c r="T48" s="24"/>
      <c r="U48" s="30" t="s">
        <v>51</v>
      </c>
      <c r="V48" s="34">
        <v>1</v>
      </c>
      <c r="W48" s="34">
        <v>2</v>
      </c>
      <c r="X48" s="34">
        <v>1</v>
      </c>
      <c r="Y48" s="34">
        <v>3</v>
      </c>
      <c r="Z48" s="33">
        <v>0</v>
      </c>
      <c r="AB48" s="23">
        <v>0</v>
      </c>
      <c r="AC48" s="24" t="s">
        <v>22</v>
      </c>
      <c r="AD48" s="30" t="s">
        <v>51</v>
      </c>
      <c r="AE48" s="34">
        <v>4</v>
      </c>
      <c r="AF48" s="34">
        <v>10</v>
      </c>
      <c r="AG48" s="34">
        <v>8</v>
      </c>
      <c r="AH48" s="34">
        <v>5</v>
      </c>
      <c r="AI48" s="33">
        <v>3</v>
      </c>
    </row>
    <row r="49" spans="1:35" x14ac:dyDescent="0.25">
      <c r="A49" s="23">
        <v>0</v>
      </c>
      <c r="B49" s="24"/>
      <c r="C49" s="31" t="s">
        <v>52</v>
      </c>
      <c r="D49" s="32">
        <v>2</v>
      </c>
      <c r="E49" s="32">
        <v>4</v>
      </c>
      <c r="F49" s="32">
        <v>1</v>
      </c>
      <c r="G49" s="32">
        <v>4</v>
      </c>
      <c r="H49" s="33">
        <v>0</v>
      </c>
      <c r="J49" s="23">
        <v>0</v>
      </c>
      <c r="K49" s="24"/>
      <c r="L49" s="31" t="s">
        <v>52</v>
      </c>
      <c r="M49" s="32">
        <v>6</v>
      </c>
      <c r="N49" s="32">
        <v>10</v>
      </c>
      <c r="O49" s="32">
        <v>6</v>
      </c>
      <c r="P49" s="32">
        <v>7</v>
      </c>
      <c r="Q49" s="33">
        <v>3</v>
      </c>
      <c r="S49" s="23">
        <v>0</v>
      </c>
      <c r="T49" s="24"/>
      <c r="U49" s="31" t="s">
        <v>52</v>
      </c>
      <c r="V49" s="32">
        <v>6</v>
      </c>
      <c r="W49" s="32">
        <v>10</v>
      </c>
      <c r="X49" s="32">
        <v>6</v>
      </c>
      <c r="Y49" s="32">
        <v>7</v>
      </c>
      <c r="Z49" s="33">
        <v>3</v>
      </c>
      <c r="AB49" s="23">
        <v>0</v>
      </c>
      <c r="AC49" s="24" t="s">
        <v>35</v>
      </c>
      <c r="AD49" s="31" t="s">
        <v>52</v>
      </c>
      <c r="AE49" s="32">
        <v>8</v>
      </c>
      <c r="AF49" s="32">
        <v>16</v>
      </c>
      <c r="AG49" s="32">
        <v>13</v>
      </c>
      <c r="AH49" s="32">
        <v>9</v>
      </c>
      <c r="AI49" s="33">
        <v>3</v>
      </c>
    </row>
    <row r="50" spans="1:35" x14ac:dyDescent="0.25">
      <c r="A50" s="23">
        <v>0</v>
      </c>
      <c r="B50" s="24"/>
      <c r="C50" s="31" t="s">
        <v>53</v>
      </c>
      <c r="D50" s="32">
        <v>2</v>
      </c>
      <c r="E50" s="32">
        <v>4</v>
      </c>
      <c r="F50" s="32">
        <v>1</v>
      </c>
      <c r="G50" s="32">
        <v>4</v>
      </c>
      <c r="H50" s="33">
        <v>0</v>
      </c>
      <c r="J50" s="23">
        <v>0</v>
      </c>
      <c r="K50" s="24"/>
      <c r="L50" s="31" t="s">
        <v>53</v>
      </c>
      <c r="M50" s="32">
        <v>6</v>
      </c>
      <c r="N50" s="32">
        <v>10</v>
      </c>
      <c r="O50" s="32">
        <v>6</v>
      </c>
      <c r="P50" s="32">
        <v>7</v>
      </c>
      <c r="Q50" s="33">
        <v>3</v>
      </c>
      <c r="S50" s="23">
        <v>0</v>
      </c>
      <c r="T50" s="24"/>
      <c r="U50" s="31" t="s">
        <v>53</v>
      </c>
      <c r="V50" s="32">
        <v>6</v>
      </c>
      <c r="W50" s="32">
        <v>10</v>
      </c>
      <c r="X50" s="32">
        <v>6</v>
      </c>
      <c r="Y50" s="32">
        <v>7</v>
      </c>
      <c r="Z50" s="33">
        <v>3</v>
      </c>
      <c r="AB50" s="23">
        <v>0</v>
      </c>
      <c r="AC50" s="24" t="s">
        <v>76</v>
      </c>
      <c r="AD50" s="31" t="s">
        <v>53</v>
      </c>
      <c r="AE50" s="32">
        <v>8</v>
      </c>
      <c r="AF50" s="32">
        <v>16</v>
      </c>
      <c r="AG50" s="32">
        <v>13</v>
      </c>
      <c r="AH50" s="32">
        <v>9</v>
      </c>
      <c r="AI50" s="33">
        <v>3</v>
      </c>
    </row>
    <row r="51" spans="1:35" x14ac:dyDescent="0.25">
      <c r="A51" s="23">
        <v>0</v>
      </c>
      <c r="B51" s="24"/>
      <c r="C51" s="30" t="s">
        <v>54</v>
      </c>
      <c r="D51" s="34">
        <v>0</v>
      </c>
      <c r="E51" s="34">
        <v>3</v>
      </c>
      <c r="F51" s="34">
        <v>0</v>
      </c>
      <c r="G51" s="34">
        <v>3</v>
      </c>
      <c r="H51" s="33">
        <v>0</v>
      </c>
      <c r="J51" s="23">
        <v>0</v>
      </c>
      <c r="K51" s="24"/>
      <c r="L51" s="30" t="s">
        <v>54</v>
      </c>
      <c r="M51" s="34">
        <v>2</v>
      </c>
      <c r="N51" s="34">
        <v>3</v>
      </c>
      <c r="O51" s="34">
        <v>1</v>
      </c>
      <c r="P51" s="34">
        <v>3</v>
      </c>
      <c r="Q51" s="33">
        <v>0</v>
      </c>
      <c r="S51" s="23">
        <v>0</v>
      </c>
      <c r="T51" s="24"/>
      <c r="U51" s="30" t="s">
        <v>54</v>
      </c>
      <c r="V51" s="34">
        <v>6</v>
      </c>
      <c r="W51" s="34">
        <v>11</v>
      </c>
      <c r="X51" s="34">
        <v>6</v>
      </c>
      <c r="Y51" s="34">
        <v>8</v>
      </c>
      <c r="Z51" s="33">
        <v>0</v>
      </c>
      <c r="AB51" s="23">
        <v>0</v>
      </c>
      <c r="AC51" s="24" t="s">
        <v>48</v>
      </c>
      <c r="AD51" s="30" t="s">
        <v>54</v>
      </c>
      <c r="AE51" s="34">
        <v>4</v>
      </c>
      <c r="AF51" s="34">
        <v>11</v>
      </c>
      <c r="AG51" s="34">
        <v>8</v>
      </c>
      <c r="AH51" s="34">
        <v>6</v>
      </c>
      <c r="AI51" s="33">
        <v>3</v>
      </c>
    </row>
    <row r="52" spans="1:35" x14ac:dyDescent="0.25">
      <c r="A52" s="23">
        <v>0</v>
      </c>
      <c r="B52" s="24"/>
      <c r="C52" s="31" t="s">
        <v>55</v>
      </c>
      <c r="D52" s="32">
        <v>0</v>
      </c>
      <c r="E52" s="32">
        <v>2</v>
      </c>
      <c r="F52" s="32">
        <v>0</v>
      </c>
      <c r="G52" s="32">
        <v>2</v>
      </c>
      <c r="H52" s="33">
        <v>0</v>
      </c>
      <c r="J52" s="23">
        <v>0</v>
      </c>
      <c r="K52" s="24"/>
      <c r="L52" s="31" t="s">
        <v>55</v>
      </c>
      <c r="M52" s="32">
        <v>2</v>
      </c>
      <c r="N52" s="32">
        <v>3</v>
      </c>
      <c r="O52" s="32">
        <v>1</v>
      </c>
      <c r="P52" s="32">
        <v>3</v>
      </c>
      <c r="Q52" s="33">
        <v>0</v>
      </c>
      <c r="S52" s="23">
        <v>0</v>
      </c>
      <c r="T52" s="24"/>
      <c r="U52" s="31" t="s">
        <v>55</v>
      </c>
      <c r="V52" s="32">
        <v>4</v>
      </c>
      <c r="W52" s="32">
        <v>5</v>
      </c>
      <c r="X52" s="32">
        <v>2</v>
      </c>
      <c r="Y52" s="32">
        <v>5</v>
      </c>
      <c r="Z52" s="33">
        <v>0</v>
      </c>
      <c r="AB52" s="23">
        <v>0</v>
      </c>
      <c r="AC52" s="24" t="s">
        <v>50</v>
      </c>
      <c r="AD52" s="31" t="s">
        <v>55</v>
      </c>
      <c r="AE52" s="32">
        <v>8</v>
      </c>
      <c r="AF52" s="32">
        <v>21</v>
      </c>
      <c r="AG52" s="32">
        <v>16</v>
      </c>
      <c r="AH52" s="32">
        <v>11</v>
      </c>
      <c r="AI52" s="33">
        <v>3</v>
      </c>
    </row>
    <row r="53" spans="1:35" x14ac:dyDescent="0.25">
      <c r="A53" s="23">
        <v>0</v>
      </c>
      <c r="B53" s="24"/>
      <c r="C53" s="31" t="s">
        <v>56</v>
      </c>
      <c r="D53" s="32">
        <v>0</v>
      </c>
      <c r="E53" s="32">
        <v>2</v>
      </c>
      <c r="F53" s="32">
        <v>0</v>
      </c>
      <c r="G53" s="32">
        <v>2</v>
      </c>
      <c r="H53" s="33">
        <v>0</v>
      </c>
      <c r="J53" s="23">
        <v>0</v>
      </c>
      <c r="K53" s="24"/>
      <c r="L53" s="31" t="s">
        <v>56</v>
      </c>
      <c r="M53" s="32">
        <v>0</v>
      </c>
      <c r="N53" s="32">
        <v>1</v>
      </c>
      <c r="O53" s="32">
        <v>0</v>
      </c>
      <c r="P53" s="32">
        <v>1</v>
      </c>
      <c r="Q53" s="33">
        <v>0</v>
      </c>
      <c r="S53" s="23">
        <v>0</v>
      </c>
      <c r="T53" s="24"/>
      <c r="U53" s="31" t="s">
        <v>56</v>
      </c>
      <c r="V53" s="32">
        <v>6</v>
      </c>
      <c r="W53" s="32">
        <v>9</v>
      </c>
      <c r="X53" s="32">
        <v>6</v>
      </c>
      <c r="Y53" s="32">
        <v>7</v>
      </c>
      <c r="Z53" s="33">
        <v>0</v>
      </c>
      <c r="AB53" s="23">
        <v>0</v>
      </c>
      <c r="AC53" s="24"/>
      <c r="AD53" s="31" t="s">
        <v>56</v>
      </c>
      <c r="AE53" s="32">
        <v>8</v>
      </c>
      <c r="AF53" s="32">
        <v>17</v>
      </c>
      <c r="AG53" s="32">
        <v>13</v>
      </c>
      <c r="AH53" s="32">
        <v>10</v>
      </c>
      <c r="AI53" s="33">
        <v>4</v>
      </c>
    </row>
    <row r="54" spans="1:35" x14ac:dyDescent="0.25">
      <c r="A54" s="23">
        <v>0</v>
      </c>
      <c r="B54" s="24"/>
      <c r="C54" s="31" t="s">
        <v>57</v>
      </c>
      <c r="D54" s="32">
        <v>0</v>
      </c>
      <c r="E54" s="32">
        <v>1</v>
      </c>
      <c r="F54" s="32">
        <v>0</v>
      </c>
      <c r="G54" s="32">
        <v>1</v>
      </c>
      <c r="H54" s="33">
        <v>0</v>
      </c>
      <c r="J54" s="23">
        <v>0</v>
      </c>
      <c r="K54" s="24"/>
      <c r="L54" s="31" t="s">
        <v>57</v>
      </c>
      <c r="M54" s="32">
        <v>1</v>
      </c>
      <c r="N54" s="32">
        <v>4</v>
      </c>
      <c r="O54" s="32">
        <v>1</v>
      </c>
      <c r="P54" s="32">
        <v>5</v>
      </c>
      <c r="Q54" s="33">
        <v>0</v>
      </c>
      <c r="S54" s="23">
        <v>0</v>
      </c>
      <c r="T54" s="24"/>
      <c r="U54" s="31" t="s">
        <v>57</v>
      </c>
      <c r="V54" s="32">
        <v>3</v>
      </c>
      <c r="W54" s="32">
        <v>4</v>
      </c>
      <c r="X54" s="32">
        <v>2</v>
      </c>
      <c r="Y54" s="32">
        <v>5</v>
      </c>
      <c r="Z54" s="33">
        <v>0</v>
      </c>
      <c r="AB54" s="23">
        <v>0</v>
      </c>
      <c r="AC54" s="24"/>
      <c r="AD54" s="31" t="s">
        <v>57</v>
      </c>
      <c r="AE54" s="32">
        <v>10</v>
      </c>
      <c r="AF54" s="32">
        <v>21</v>
      </c>
      <c r="AG54" s="32">
        <v>17</v>
      </c>
      <c r="AH54" s="32">
        <v>10</v>
      </c>
      <c r="AI54" s="33">
        <v>3</v>
      </c>
    </row>
    <row r="55" spans="1:35" x14ac:dyDescent="0.25">
      <c r="A55" s="23">
        <v>0</v>
      </c>
      <c r="B55" s="24"/>
      <c r="C55" s="31" t="s">
        <v>58</v>
      </c>
      <c r="D55" s="32">
        <v>1</v>
      </c>
      <c r="E55" s="32">
        <v>3</v>
      </c>
      <c r="F55" s="32">
        <v>1</v>
      </c>
      <c r="G55" s="32">
        <v>4</v>
      </c>
      <c r="H55" s="33">
        <v>0</v>
      </c>
      <c r="J55" s="23">
        <v>0</v>
      </c>
      <c r="K55" s="24"/>
      <c r="L55" s="31" t="s">
        <v>58</v>
      </c>
      <c r="M55" s="32">
        <v>1</v>
      </c>
      <c r="N55" s="32">
        <v>3</v>
      </c>
      <c r="O55" s="32">
        <v>1</v>
      </c>
      <c r="P55" s="32">
        <v>4</v>
      </c>
      <c r="Q55" s="33">
        <v>0</v>
      </c>
      <c r="S55" s="23">
        <v>0</v>
      </c>
      <c r="T55" s="24"/>
      <c r="U55" s="31" t="s">
        <v>58</v>
      </c>
      <c r="V55" s="32">
        <v>3</v>
      </c>
      <c r="W55" s="32">
        <v>4</v>
      </c>
      <c r="X55" s="32">
        <v>2</v>
      </c>
      <c r="Y55" s="32">
        <v>5</v>
      </c>
      <c r="Z55" s="33">
        <v>0</v>
      </c>
      <c r="AB55" s="23">
        <v>0</v>
      </c>
      <c r="AC55" s="24"/>
      <c r="AD55" s="31" t="s">
        <v>58</v>
      </c>
      <c r="AE55" s="32">
        <v>4</v>
      </c>
      <c r="AF55" s="32">
        <v>10</v>
      </c>
      <c r="AG55" s="32">
        <v>8</v>
      </c>
      <c r="AH55" s="32">
        <v>5</v>
      </c>
      <c r="AI55" s="33">
        <v>3</v>
      </c>
    </row>
    <row r="56" spans="1:35" x14ac:dyDescent="0.25">
      <c r="A56" s="23">
        <v>0</v>
      </c>
      <c r="B56" s="24"/>
      <c r="H56" s="21"/>
      <c r="J56" s="23">
        <v>0</v>
      </c>
      <c r="K56" s="24"/>
      <c r="Q56" s="21"/>
      <c r="S56" s="23">
        <v>0</v>
      </c>
      <c r="T56" s="24"/>
      <c r="Z56" s="21"/>
      <c r="AB56" s="23">
        <v>0</v>
      </c>
      <c r="AC56" s="24"/>
      <c r="AI56" s="21"/>
    </row>
    <row r="57" spans="1:35" x14ac:dyDescent="0.25">
      <c r="A57" s="23">
        <v>0</v>
      </c>
      <c r="B57" s="24"/>
      <c r="D57" s="35" t="s">
        <v>59</v>
      </c>
      <c r="H57" s="21"/>
      <c r="J57" s="23">
        <v>0</v>
      </c>
      <c r="K57" s="24"/>
      <c r="M57" s="35" t="s">
        <v>59</v>
      </c>
      <c r="Q57" s="21"/>
      <c r="S57" s="23">
        <v>0</v>
      </c>
      <c r="T57" s="24"/>
      <c r="V57" s="35" t="s">
        <v>59</v>
      </c>
      <c r="Z57" s="21"/>
      <c r="AB57" s="23">
        <v>0</v>
      </c>
      <c r="AC57" s="24"/>
      <c r="AE57" s="35" t="s">
        <v>59</v>
      </c>
      <c r="AI57" s="21"/>
    </row>
    <row r="58" spans="1:35" x14ac:dyDescent="0.25">
      <c r="A58" s="23">
        <v>0</v>
      </c>
      <c r="B58" s="24"/>
      <c r="D58" s="31" t="s">
        <v>60</v>
      </c>
      <c r="E58" s="27">
        <v>0</v>
      </c>
      <c r="F58" s="36"/>
      <c r="H58" s="21"/>
      <c r="J58" s="23">
        <v>0</v>
      </c>
      <c r="K58" s="24"/>
      <c r="M58" s="31" t="s">
        <v>60</v>
      </c>
      <c r="N58" s="27">
        <v>0</v>
      </c>
      <c r="O58" s="36"/>
      <c r="Q58" s="21"/>
      <c r="S58" s="23">
        <v>0</v>
      </c>
      <c r="T58" s="24"/>
      <c r="V58" s="31" t="s">
        <v>60</v>
      </c>
      <c r="W58" s="27">
        <v>0</v>
      </c>
      <c r="X58" s="36"/>
      <c r="Z58" s="21"/>
      <c r="AB58" s="23">
        <v>0</v>
      </c>
      <c r="AC58" s="24"/>
      <c r="AE58" s="31" t="s">
        <v>60</v>
      </c>
      <c r="AF58" s="27">
        <v>0</v>
      </c>
      <c r="AG58" s="36"/>
      <c r="AI58" s="21"/>
    </row>
    <row r="59" spans="1:35" x14ac:dyDescent="0.25">
      <c r="A59" s="23">
        <v>0</v>
      </c>
      <c r="B59" s="24"/>
      <c r="D59" s="31" t="s">
        <v>61</v>
      </c>
      <c r="E59" s="27">
        <v>0</v>
      </c>
      <c r="F59" s="36"/>
      <c r="H59" s="21"/>
      <c r="J59" s="23">
        <v>0</v>
      </c>
      <c r="K59" s="24"/>
      <c r="M59" s="31" t="s">
        <v>61</v>
      </c>
      <c r="N59" s="27">
        <v>0</v>
      </c>
      <c r="O59" s="36"/>
      <c r="Q59" s="21"/>
      <c r="S59" s="23">
        <v>0</v>
      </c>
      <c r="T59" s="24"/>
      <c r="V59" s="31" t="s">
        <v>61</v>
      </c>
      <c r="W59" s="27">
        <v>0</v>
      </c>
      <c r="X59" s="36"/>
      <c r="Z59" s="21"/>
      <c r="AB59" s="23">
        <v>0</v>
      </c>
      <c r="AC59" s="24"/>
      <c r="AE59" s="31" t="s">
        <v>61</v>
      </c>
      <c r="AF59" s="27">
        <v>0</v>
      </c>
      <c r="AG59" s="36"/>
      <c r="AI59" s="21"/>
    </row>
    <row r="60" spans="1:35" x14ac:dyDescent="0.25">
      <c r="A60" s="23">
        <v>0</v>
      </c>
      <c r="B60" s="24"/>
      <c r="D60" s="31" t="s">
        <v>62</v>
      </c>
      <c r="E60" s="27">
        <v>0</v>
      </c>
      <c r="F60" s="36"/>
      <c r="H60" s="21"/>
      <c r="J60" s="23">
        <v>0</v>
      </c>
      <c r="K60" s="24"/>
      <c r="M60" s="31" t="s">
        <v>62</v>
      </c>
      <c r="N60" s="27">
        <v>0</v>
      </c>
      <c r="O60" s="36"/>
      <c r="Q60" s="21"/>
      <c r="S60" s="23">
        <v>0</v>
      </c>
      <c r="T60" s="24"/>
      <c r="V60" s="31" t="s">
        <v>62</v>
      </c>
      <c r="W60" s="27">
        <v>0</v>
      </c>
      <c r="X60" s="36"/>
      <c r="Z60" s="21"/>
      <c r="AB60" s="23">
        <v>0</v>
      </c>
      <c r="AC60" s="24"/>
      <c r="AE60" s="31" t="s">
        <v>62</v>
      </c>
      <c r="AF60" s="27">
        <v>0</v>
      </c>
      <c r="AG60" s="36"/>
      <c r="AI60" s="21"/>
    </row>
    <row r="61" spans="1:35" x14ac:dyDescent="0.25">
      <c r="A61" s="23">
        <v>0</v>
      </c>
      <c r="B61" s="24"/>
      <c r="D61" s="31" t="s">
        <v>63</v>
      </c>
      <c r="E61" s="27">
        <v>0</v>
      </c>
      <c r="F61" s="36"/>
      <c r="H61" s="21"/>
      <c r="J61" s="23">
        <v>0</v>
      </c>
      <c r="K61" s="24"/>
      <c r="M61" s="31" t="s">
        <v>63</v>
      </c>
      <c r="N61" s="27">
        <v>0</v>
      </c>
      <c r="O61" s="36"/>
      <c r="Q61" s="21"/>
      <c r="S61" s="23">
        <v>0</v>
      </c>
      <c r="T61" s="24"/>
      <c r="V61" s="31" t="s">
        <v>63</v>
      </c>
      <c r="W61" s="27">
        <v>0</v>
      </c>
      <c r="X61" s="36"/>
      <c r="Z61" s="21"/>
      <c r="AB61" s="23">
        <v>0</v>
      </c>
      <c r="AC61" s="24"/>
      <c r="AE61" s="31" t="s">
        <v>63</v>
      </c>
      <c r="AF61" s="27">
        <v>0</v>
      </c>
      <c r="AG61" s="36"/>
      <c r="AI61" s="21"/>
    </row>
    <row r="62" spans="1:35" x14ac:dyDescent="0.25">
      <c r="A62" s="23">
        <v>0</v>
      </c>
      <c r="B62" s="24"/>
      <c r="H62" s="21"/>
      <c r="J62" s="23">
        <v>0</v>
      </c>
      <c r="K62" s="24"/>
      <c r="Q62" s="21"/>
      <c r="S62" s="23">
        <v>0</v>
      </c>
      <c r="T62" s="24"/>
      <c r="Z62" s="21"/>
      <c r="AB62" s="23">
        <v>0</v>
      </c>
      <c r="AC62" s="24"/>
      <c r="AI62" s="21"/>
    </row>
    <row r="63" spans="1:35" x14ac:dyDescent="0.25">
      <c r="A63" s="23">
        <v>0</v>
      </c>
      <c r="B63" s="24"/>
      <c r="H63" s="21"/>
      <c r="J63" s="23">
        <v>0</v>
      </c>
      <c r="K63" s="24"/>
      <c r="Q63" s="21"/>
      <c r="S63" s="23">
        <v>0</v>
      </c>
      <c r="T63" s="24"/>
      <c r="Z63" s="21"/>
      <c r="AB63" s="23">
        <v>0</v>
      </c>
      <c r="AC63" s="24"/>
      <c r="AI63" s="21"/>
    </row>
    <row r="64" spans="1:35" x14ac:dyDescent="0.25">
      <c r="A64" s="23">
        <v>0</v>
      </c>
      <c r="B64" s="24"/>
      <c r="H64" s="21"/>
      <c r="J64" s="23">
        <v>0</v>
      </c>
      <c r="K64" s="24"/>
      <c r="Q64" s="21"/>
      <c r="S64" s="23">
        <v>0</v>
      </c>
      <c r="T64" s="24"/>
      <c r="Z64" s="21"/>
      <c r="AB64" s="23">
        <v>0</v>
      </c>
      <c r="AC64" s="24"/>
      <c r="AI64" s="21"/>
    </row>
    <row r="65" spans="1:35" x14ac:dyDescent="0.25">
      <c r="A65" s="37"/>
      <c r="B65" s="38"/>
      <c r="C65" s="38"/>
      <c r="D65" s="38"/>
      <c r="E65" s="38"/>
      <c r="F65" s="38"/>
      <c r="G65" s="38"/>
      <c r="H65" s="39"/>
      <c r="J65" s="37"/>
      <c r="K65" s="38"/>
      <c r="L65" s="38"/>
      <c r="M65" s="38"/>
      <c r="N65" s="38"/>
      <c r="O65" s="38"/>
      <c r="P65" s="38"/>
      <c r="Q65" s="39"/>
      <c r="S65" s="37"/>
      <c r="T65" s="38"/>
      <c r="U65" s="38"/>
      <c r="V65" s="38"/>
      <c r="W65" s="38"/>
      <c r="X65" s="38"/>
      <c r="Y65" s="38"/>
      <c r="Z65" s="39"/>
      <c r="AB65" s="37"/>
      <c r="AC65" s="38"/>
      <c r="AD65" s="38"/>
      <c r="AE65" s="38"/>
      <c r="AF65" s="38"/>
      <c r="AG65" s="38"/>
      <c r="AH65" s="38"/>
      <c r="AI65" s="39"/>
    </row>
    <row r="67" spans="1:35" x14ac:dyDescent="0.25">
      <c r="A67" s="15"/>
      <c r="B67" s="18"/>
      <c r="C67" s="18"/>
      <c r="D67" s="18"/>
      <c r="E67" s="18"/>
      <c r="F67" s="18"/>
      <c r="G67" s="18"/>
      <c r="H67" s="17"/>
      <c r="J67" s="15"/>
      <c r="K67" s="18"/>
      <c r="L67" s="18"/>
      <c r="M67" s="18"/>
      <c r="N67" s="18"/>
      <c r="O67" s="18"/>
      <c r="P67" s="18"/>
      <c r="Q67" s="17"/>
      <c r="S67" s="15"/>
      <c r="T67" s="18"/>
      <c r="U67" s="18"/>
      <c r="V67" s="18"/>
      <c r="W67" s="18"/>
      <c r="X67" s="18"/>
      <c r="Y67" s="18"/>
      <c r="Z67" s="17"/>
      <c r="AB67" s="15"/>
      <c r="AC67" s="18"/>
      <c r="AD67" s="18"/>
      <c r="AE67" s="18"/>
      <c r="AF67" s="18"/>
      <c r="AG67" s="18"/>
      <c r="AH67" s="18"/>
      <c r="AI67" s="17"/>
    </row>
    <row r="68" spans="1:35" ht="18.75" x14ac:dyDescent="0.3">
      <c r="A68" s="19"/>
      <c r="B68" s="20" t="s">
        <v>4</v>
      </c>
      <c r="C68" s="13" t="s">
        <v>77</v>
      </c>
      <c r="D68" s="13"/>
      <c r="E68" s="13"/>
      <c r="F68" s="13"/>
      <c r="G68" s="13"/>
      <c r="H68" s="21"/>
      <c r="J68" s="19"/>
      <c r="K68" s="20" t="s">
        <v>4</v>
      </c>
      <c r="L68" s="13" t="s">
        <v>78</v>
      </c>
      <c r="M68" s="13"/>
      <c r="N68" s="13"/>
      <c r="O68" s="13"/>
      <c r="P68" s="13"/>
      <c r="Q68" s="21"/>
      <c r="S68" s="19"/>
      <c r="T68" s="20" t="s">
        <v>4</v>
      </c>
      <c r="U68" s="13" t="s">
        <v>79</v>
      </c>
      <c r="V68" s="13"/>
      <c r="W68" s="13"/>
      <c r="X68" s="13"/>
      <c r="Y68" s="13"/>
      <c r="Z68" s="21"/>
      <c r="AB68" s="19"/>
      <c r="AC68" s="20" t="s">
        <v>4</v>
      </c>
      <c r="AD68" s="13" t="s">
        <v>80</v>
      </c>
      <c r="AE68" s="13"/>
      <c r="AF68" s="13"/>
      <c r="AG68" s="13"/>
      <c r="AH68" s="13"/>
      <c r="AI68" s="21"/>
    </row>
    <row r="69" spans="1:35" ht="15.75" x14ac:dyDescent="0.25">
      <c r="A69" s="19"/>
      <c r="B69" s="22" t="s">
        <v>9</v>
      </c>
      <c r="C69" s="12"/>
      <c r="D69" s="12"/>
      <c r="E69" s="12"/>
      <c r="F69" s="12"/>
      <c r="G69" s="12"/>
      <c r="H69" s="21"/>
      <c r="J69" s="19"/>
      <c r="K69" s="22" t="s">
        <v>9</v>
      </c>
      <c r="L69" s="12"/>
      <c r="M69" s="12"/>
      <c r="N69" s="12"/>
      <c r="O69" s="12"/>
      <c r="P69" s="12"/>
      <c r="Q69" s="21"/>
      <c r="S69" s="19"/>
      <c r="T69" s="22" t="s">
        <v>9</v>
      </c>
      <c r="U69" s="12"/>
      <c r="V69" s="12"/>
      <c r="W69" s="12"/>
      <c r="X69" s="12"/>
      <c r="Y69" s="12"/>
      <c r="Z69" s="21"/>
      <c r="AB69" s="19"/>
      <c r="AC69" s="22" t="s">
        <v>9</v>
      </c>
      <c r="AD69" s="12"/>
      <c r="AE69" s="12"/>
      <c r="AF69" s="12"/>
      <c r="AG69" s="12"/>
      <c r="AH69" s="12"/>
      <c r="AI69" s="21"/>
    </row>
    <row r="70" spans="1:35" x14ac:dyDescent="0.25">
      <c r="A70" s="23">
        <v>0</v>
      </c>
      <c r="B70" s="24" t="s">
        <v>81</v>
      </c>
      <c r="C70" s="25" t="s">
        <v>12</v>
      </c>
      <c r="D70" s="25" t="s">
        <v>13</v>
      </c>
      <c r="E70" s="25" t="s">
        <v>14</v>
      </c>
      <c r="F70" s="25" t="s">
        <v>15</v>
      </c>
      <c r="G70" s="25" t="s">
        <v>16</v>
      </c>
      <c r="H70" s="21"/>
      <c r="J70" s="23">
        <v>0</v>
      </c>
      <c r="K70" s="24" t="s">
        <v>17</v>
      </c>
      <c r="L70" s="25" t="s">
        <v>12</v>
      </c>
      <c r="M70" s="25" t="s">
        <v>13</v>
      </c>
      <c r="N70" s="25" t="s">
        <v>14</v>
      </c>
      <c r="O70" s="25" t="s">
        <v>15</v>
      </c>
      <c r="P70" s="25" t="s">
        <v>16</v>
      </c>
      <c r="Q70" s="21"/>
      <c r="S70" s="23">
        <v>0</v>
      </c>
      <c r="T70" s="24" t="s">
        <v>17</v>
      </c>
      <c r="U70" s="25" t="s">
        <v>12</v>
      </c>
      <c r="V70" s="25" t="s">
        <v>13</v>
      </c>
      <c r="W70" s="25" t="s">
        <v>14</v>
      </c>
      <c r="X70" s="25" t="s">
        <v>15</v>
      </c>
      <c r="Y70" s="25" t="s">
        <v>16</v>
      </c>
      <c r="Z70" s="21"/>
      <c r="AB70" s="23">
        <v>0</v>
      </c>
      <c r="AC70" s="24" t="s">
        <v>82</v>
      </c>
      <c r="AD70" s="25" t="s">
        <v>12</v>
      </c>
      <c r="AE70" s="25" t="s">
        <v>13</v>
      </c>
      <c r="AF70" s="25" t="s">
        <v>14</v>
      </c>
      <c r="AG70" s="25" t="s">
        <v>15</v>
      </c>
      <c r="AH70" s="25" t="s">
        <v>16</v>
      </c>
      <c r="AI70" s="21"/>
    </row>
    <row r="71" spans="1:35" x14ac:dyDescent="0.25">
      <c r="A71" s="23">
        <v>0</v>
      </c>
      <c r="B71" s="24" t="s">
        <v>20</v>
      </c>
      <c r="C71" s="26">
        <v>420</v>
      </c>
      <c r="D71" s="27">
        <v>5</v>
      </c>
      <c r="E71" s="27">
        <v>0</v>
      </c>
      <c r="F71" s="28">
        <v>3</v>
      </c>
      <c r="G71" s="29">
        <v>21.33</v>
      </c>
      <c r="H71" s="21"/>
      <c r="J71" s="23">
        <v>0</v>
      </c>
      <c r="K71" s="24" t="s">
        <v>20</v>
      </c>
      <c r="L71" s="26">
        <v>807</v>
      </c>
      <c r="M71" s="27">
        <v>5</v>
      </c>
      <c r="N71" s="27">
        <v>0</v>
      </c>
      <c r="O71" s="28">
        <v>3</v>
      </c>
      <c r="P71" s="29">
        <v>27.56</v>
      </c>
      <c r="Q71" s="21"/>
      <c r="S71" s="23">
        <v>0</v>
      </c>
      <c r="T71" s="24" t="s">
        <v>20</v>
      </c>
      <c r="U71" s="26">
        <v>1081</v>
      </c>
      <c r="V71" s="27">
        <v>10</v>
      </c>
      <c r="W71" s="27">
        <v>0</v>
      </c>
      <c r="X71" s="28">
        <v>5</v>
      </c>
      <c r="Y71" s="29">
        <v>36.950000000000003</v>
      </c>
      <c r="Z71" s="21"/>
      <c r="AB71" s="23">
        <v>0</v>
      </c>
      <c r="AC71" s="24" t="s">
        <v>18</v>
      </c>
      <c r="AD71" s="26">
        <v>3194</v>
      </c>
      <c r="AE71" s="27">
        <v>40</v>
      </c>
      <c r="AF71" s="27">
        <v>20</v>
      </c>
      <c r="AG71" s="28">
        <v>9</v>
      </c>
      <c r="AH71" s="29">
        <v>87.92</v>
      </c>
      <c r="AI71" s="21"/>
    </row>
    <row r="72" spans="1:35" x14ac:dyDescent="0.25">
      <c r="A72" s="23">
        <v>0</v>
      </c>
      <c r="B72" s="24" t="s">
        <v>77</v>
      </c>
      <c r="H72" s="21"/>
      <c r="J72" s="23">
        <v>0</v>
      </c>
      <c r="K72" s="24" t="s">
        <v>78</v>
      </c>
      <c r="Q72" s="21"/>
      <c r="S72" s="23">
        <v>0</v>
      </c>
      <c r="T72" s="24" t="s">
        <v>79</v>
      </c>
      <c r="Z72" s="21"/>
      <c r="AB72" s="23">
        <v>0</v>
      </c>
      <c r="AC72" s="24" t="s">
        <v>21</v>
      </c>
      <c r="AI72" s="21"/>
    </row>
    <row r="73" spans="1:35" x14ac:dyDescent="0.25">
      <c r="A73" s="23">
        <v>0</v>
      </c>
      <c r="B73" s="24" t="s">
        <v>19</v>
      </c>
      <c r="C73" s="30" t="s">
        <v>27</v>
      </c>
      <c r="D73" s="30" t="s">
        <v>28</v>
      </c>
      <c r="E73" s="30" t="s">
        <v>29</v>
      </c>
      <c r="F73" s="30" t="s">
        <v>30</v>
      </c>
      <c r="G73" s="30" t="s">
        <v>31</v>
      </c>
      <c r="H73" s="21"/>
      <c r="J73" s="23">
        <v>0</v>
      </c>
      <c r="K73" s="24" t="s">
        <v>83</v>
      </c>
      <c r="L73" s="30" t="s">
        <v>27</v>
      </c>
      <c r="M73" s="30" t="s">
        <v>28</v>
      </c>
      <c r="N73" s="30" t="s">
        <v>29</v>
      </c>
      <c r="O73" s="30" t="s">
        <v>30</v>
      </c>
      <c r="P73" s="30" t="s">
        <v>31</v>
      </c>
      <c r="Q73" s="21"/>
      <c r="S73" s="23">
        <v>0</v>
      </c>
      <c r="T73" s="24" t="s">
        <v>42</v>
      </c>
      <c r="U73" s="30" t="s">
        <v>27</v>
      </c>
      <c r="V73" s="30" t="s">
        <v>28</v>
      </c>
      <c r="W73" s="30" t="s">
        <v>29</v>
      </c>
      <c r="X73" s="30" t="s">
        <v>30</v>
      </c>
      <c r="Y73" s="30" t="s">
        <v>31</v>
      </c>
      <c r="Z73" s="21"/>
      <c r="AB73" s="23">
        <v>0</v>
      </c>
      <c r="AC73" s="24" t="s">
        <v>84</v>
      </c>
      <c r="AD73" s="30" t="s">
        <v>27</v>
      </c>
      <c r="AE73" s="30" t="s">
        <v>28</v>
      </c>
      <c r="AF73" s="30" t="s">
        <v>29</v>
      </c>
      <c r="AG73" s="30" t="s">
        <v>30</v>
      </c>
      <c r="AH73" s="30" t="s">
        <v>31</v>
      </c>
      <c r="AI73" s="21"/>
    </row>
    <row r="74" spans="1:35" x14ac:dyDescent="0.25">
      <c r="A74" s="23">
        <v>0</v>
      </c>
      <c r="B74" s="24" t="s">
        <v>22</v>
      </c>
      <c r="C74" s="31" t="s">
        <v>34</v>
      </c>
      <c r="D74" s="32">
        <v>6</v>
      </c>
      <c r="E74" s="32">
        <v>8</v>
      </c>
      <c r="F74" s="32">
        <v>6</v>
      </c>
      <c r="G74" s="32">
        <v>6</v>
      </c>
      <c r="H74" s="33">
        <v>4</v>
      </c>
      <c r="J74" s="23">
        <v>0</v>
      </c>
      <c r="K74" s="24" t="s">
        <v>41</v>
      </c>
      <c r="L74" s="31" t="s">
        <v>34</v>
      </c>
      <c r="M74" s="32">
        <v>8</v>
      </c>
      <c r="N74" s="32">
        <v>13</v>
      </c>
      <c r="O74" s="32">
        <v>10</v>
      </c>
      <c r="P74" s="32">
        <v>7</v>
      </c>
      <c r="Q74" s="33">
        <v>4</v>
      </c>
      <c r="S74" s="23">
        <v>0</v>
      </c>
      <c r="T74" s="24" t="s">
        <v>22</v>
      </c>
      <c r="U74" s="31" t="s">
        <v>34</v>
      </c>
      <c r="V74" s="32">
        <v>8</v>
      </c>
      <c r="W74" s="32">
        <v>13</v>
      </c>
      <c r="X74" s="32">
        <v>10</v>
      </c>
      <c r="Y74" s="32">
        <v>7</v>
      </c>
      <c r="Z74" s="33">
        <v>4</v>
      </c>
      <c r="AB74" s="23">
        <v>0</v>
      </c>
      <c r="AC74" s="24" t="s">
        <v>85</v>
      </c>
      <c r="AD74" s="31" t="s">
        <v>34</v>
      </c>
      <c r="AE74" s="32">
        <v>10</v>
      </c>
      <c r="AF74" s="32">
        <v>21</v>
      </c>
      <c r="AG74" s="32">
        <v>17</v>
      </c>
      <c r="AH74" s="32">
        <v>10</v>
      </c>
      <c r="AI74" s="33">
        <v>4</v>
      </c>
    </row>
    <row r="75" spans="1:35" x14ac:dyDescent="0.25">
      <c r="A75" s="23">
        <v>0</v>
      </c>
      <c r="B75" s="24" t="s">
        <v>86</v>
      </c>
      <c r="C75" s="31" t="s">
        <v>37</v>
      </c>
      <c r="D75" s="32">
        <v>0</v>
      </c>
      <c r="E75" s="32">
        <v>0</v>
      </c>
      <c r="F75" s="32">
        <v>0</v>
      </c>
      <c r="G75" s="32">
        <v>0</v>
      </c>
      <c r="H75" s="33">
        <v>0</v>
      </c>
      <c r="J75" s="23">
        <v>0</v>
      </c>
      <c r="K75" s="24" t="s">
        <v>26</v>
      </c>
      <c r="L75" s="31" t="s">
        <v>37</v>
      </c>
      <c r="M75" s="32">
        <v>0</v>
      </c>
      <c r="N75" s="32">
        <v>0</v>
      </c>
      <c r="O75" s="32">
        <v>0</v>
      </c>
      <c r="P75" s="32">
        <v>0</v>
      </c>
      <c r="Q75" s="33">
        <v>0</v>
      </c>
      <c r="S75" s="23">
        <v>0</v>
      </c>
      <c r="T75" s="24" t="s">
        <v>35</v>
      </c>
      <c r="U75" s="31" t="s">
        <v>37</v>
      </c>
      <c r="V75" s="32">
        <v>0</v>
      </c>
      <c r="W75" s="32">
        <v>0</v>
      </c>
      <c r="X75" s="32">
        <v>0</v>
      </c>
      <c r="Y75" s="32">
        <v>0</v>
      </c>
      <c r="Z75" s="33">
        <v>0</v>
      </c>
      <c r="AB75" s="23">
        <v>0</v>
      </c>
      <c r="AC75" s="24" t="s">
        <v>25</v>
      </c>
      <c r="AD75" s="31" t="s">
        <v>37</v>
      </c>
      <c r="AE75" s="32">
        <v>6</v>
      </c>
      <c r="AF75" s="32">
        <v>11</v>
      </c>
      <c r="AG75" s="32">
        <v>9</v>
      </c>
      <c r="AH75" s="32">
        <v>5</v>
      </c>
      <c r="AI75" s="33">
        <v>4</v>
      </c>
    </row>
    <row r="76" spans="1:35" x14ac:dyDescent="0.25">
      <c r="A76" s="23">
        <v>0</v>
      </c>
      <c r="B76" s="24" t="s">
        <v>75</v>
      </c>
      <c r="C76" s="30" t="s">
        <v>40</v>
      </c>
      <c r="D76" s="34">
        <v>0</v>
      </c>
      <c r="E76" s="34">
        <v>0</v>
      </c>
      <c r="F76" s="34">
        <v>0</v>
      </c>
      <c r="G76" s="34">
        <v>0</v>
      </c>
      <c r="H76" s="33">
        <v>1</v>
      </c>
      <c r="J76" s="23">
        <v>0</v>
      </c>
      <c r="K76" s="24" t="s">
        <v>45</v>
      </c>
      <c r="L76" s="30" t="s">
        <v>40</v>
      </c>
      <c r="M76" s="34">
        <v>0</v>
      </c>
      <c r="N76" s="34">
        <v>0</v>
      </c>
      <c r="O76" s="34">
        <v>0</v>
      </c>
      <c r="P76" s="34">
        <v>0</v>
      </c>
      <c r="Q76" s="33">
        <v>0</v>
      </c>
      <c r="S76" s="23">
        <v>0</v>
      </c>
      <c r="T76" s="24" t="s">
        <v>50</v>
      </c>
      <c r="U76" s="30" t="s">
        <v>40</v>
      </c>
      <c r="V76" s="34">
        <v>0</v>
      </c>
      <c r="W76" s="34">
        <v>0</v>
      </c>
      <c r="X76" s="34">
        <v>0</v>
      </c>
      <c r="Y76" s="34">
        <v>0</v>
      </c>
      <c r="Z76" s="33">
        <v>0</v>
      </c>
      <c r="AB76" s="23">
        <v>0</v>
      </c>
      <c r="AC76" s="24" t="s">
        <v>87</v>
      </c>
      <c r="AD76" s="30" t="s">
        <v>40</v>
      </c>
      <c r="AE76" s="34">
        <v>10</v>
      </c>
      <c r="AF76" s="34">
        <v>21</v>
      </c>
      <c r="AG76" s="34">
        <v>17</v>
      </c>
      <c r="AH76" s="34">
        <v>10</v>
      </c>
      <c r="AI76" s="33">
        <v>4</v>
      </c>
    </row>
    <row r="77" spans="1:35" x14ac:dyDescent="0.25">
      <c r="A77" s="23">
        <v>0</v>
      </c>
      <c r="B77" s="24"/>
      <c r="C77" s="31" t="s">
        <v>43</v>
      </c>
      <c r="D77" s="32">
        <v>4</v>
      </c>
      <c r="E77" s="32">
        <v>4</v>
      </c>
      <c r="F77" s="32">
        <v>2</v>
      </c>
      <c r="G77" s="32">
        <v>4</v>
      </c>
      <c r="H77" s="33">
        <v>1</v>
      </c>
      <c r="J77" s="23">
        <v>0</v>
      </c>
      <c r="K77" s="24"/>
      <c r="L77" s="31" t="s">
        <v>43</v>
      </c>
      <c r="M77" s="32">
        <v>4</v>
      </c>
      <c r="N77" s="32">
        <v>10</v>
      </c>
      <c r="O77" s="32">
        <v>8</v>
      </c>
      <c r="P77" s="32">
        <v>5</v>
      </c>
      <c r="Q77" s="33">
        <v>3</v>
      </c>
      <c r="S77" s="23">
        <v>0</v>
      </c>
      <c r="T77" s="24" t="s">
        <v>45</v>
      </c>
      <c r="U77" s="31" t="s">
        <v>43</v>
      </c>
      <c r="V77" s="32">
        <v>4</v>
      </c>
      <c r="W77" s="32">
        <v>10</v>
      </c>
      <c r="X77" s="32">
        <v>8</v>
      </c>
      <c r="Y77" s="32">
        <v>5</v>
      </c>
      <c r="Z77" s="33">
        <v>3</v>
      </c>
      <c r="AB77" s="23">
        <v>0</v>
      </c>
      <c r="AC77" s="24" t="s">
        <v>33</v>
      </c>
      <c r="AD77" s="31" t="s">
        <v>43</v>
      </c>
      <c r="AE77" s="32">
        <v>10</v>
      </c>
      <c r="AF77" s="32">
        <v>21</v>
      </c>
      <c r="AG77" s="32">
        <v>17</v>
      </c>
      <c r="AH77" s="32">
        <v>10</v>
      </c>
      <c r="AI77" s="33">
        <v>4</v>
      </c>
    </row>
    <row r="78" spans="1:35" x14ac:dyDescent="0.25">
      <c r="A78" s="23">
        <v>0</v>
      </c>
      <c r="B78" s="24"/>
      <c r="C78" s="31" t="s">
        <v>44</v>
      </c>
      <c r="D78" s="32">
        <v>4</v>
      </c>
      <c r="E78" s="32">
        <v>4</v>
      </c>
      <c r="F78" s="32">
        <v>2</v>
      </c>
      <c r="G78" s="32">
        <v>4</v>
      </c>
      <c r="H78" s="33">
        <v>1</v>
      </c>
      <c r="J78" s="23">
        <v>0</v>
      </c>
      <c r="K78" s="24"/>
      <c r="L78" s="31" t="s">
        <v>44</v>
      </c>
      <c r="M78" s="32">
        <v>4</v>
      </c>
      <c r="N78" s="32">
        <v>10</v>
      </c>
      <c r="O78" s="32">
        <v>8</v>
      </c>
      <c r="P78" s="32">
        <v>5</v>
      </c>
      <c r="Q78" s="33">
        <v>3</v>
      </c>
      <c r="S78" s="23">
        <v>0</v>
      </c>
      <c r="T78" s="24"/>
      <c r="U78" s="31" t="s">
        <v>44</v>
      </c>
      <c r="V78" s="32">
        <v>4</v>
      </c>
      <c r="W78" s="32">
        <v>10</v>
      </c>
      <c r="X78" s="32">
        <v>8</v>
      </c>
      <c r="Y78" s="32">
        <v>5</v>
      </c>
      <c r="Z78" s="33">
        <v>3</v>
      </c>
      <c r="AB78" s="23">
        <v>0</v>
      </c>
      <c r="AC78" s="24" t="s">
        <v>36</v>
      </c>
      <c r="AD78" s="31" t="s">
        <v>44</v>
      </c>
      <c r="AE78" s="32">
        <v>10</v>
      </c>
      <c r="AF78" s="32">
        <v>21</v>
      </c>
      <c r="AG78" s="32">
        <v>17</v>
      </c>
      <c r="AH78" s="32">
        <v>10</v>
      </c>
      <c r="AI78" s="33">
        <v>4</v>
      </c>
    </row>
    <row r="79" spans="1:35" x14ac:dyDescent="0.25">
      <c r="A79" s="23">
        <v>0</v>
      </c>
      <c r="B79" s="24"/>
      <c r="C79" s="31" t="s">
        <v>47</v>
      </c>
      <c r="D79" s="32">
        <v>4</v>
      </c>
      <c r="E79" s="32">
        <v>4</v>
      </c>
      <c r="F79" s="32">
        <v>2</v>
      </c>
      <c r="G79" s="32">
        <v>4</v>
      </c>
      <c r="H79" s="33">
        <v>1</v>
      </c>
      <c r="J79" s="23">
        <v>0</v>
      </c>
      <c r="K79" s="24"/>
      <c r="L79" s="31" t="s">
        <v>47</v>
      </c>
      <c r="M79" s="32">
        <v>2</v>
      </c>
      <c r="N79" s="32">
        <v>2</v>
      </c>
      <c r="O79" s="32">
        <v>1</v>
      </c>
      <c r="P79" s="32">
        <v>2</v>
      </c>
      <c r="Q79" s="33">
        <v>0</v>
      </c>
      <c r="S79" s="23">
        <v>0</v>
      </c>
      <c r="T79" s="24"/>
      <c r="U79" s="31" t="s">
        <v>47</v>
      </c>
      <c r="V79" s="32">
        <v>4</v>
      </c>
      <c r="W79" s="32">
        <v>10</v>
      </c>
      <c r="X79" s="32">
        <v>8</v>
      </c>
      <c r="Y79" s="32">
        <v>5</v>
      </c>
      <c r="Z79" s="33">
        <v>3</v>
      </c>
      <c r="AB79" s="23">
        <v>0</v>
      </c>
      <c r="AC79" s="24" t="s">
        <v>88</v>
      </c>
      <c r="AD79" s="31" t="s">
        <v>47</v>
      </c>
      <c r="AE79" s="32">
        <v>10</v>
      </c>
      <c r="AF79" s="32">
        <v>21</v>
      </c>
      <c r="AG79" s="32">
        <v>17</v>
      </c>
      <c r="AH79" s="32">
        <v>10</v>
      </c>
      <c r="AI79" s="33">
        <v>4</v>
      </c>
    </row>
    <row r="80" spans="1:35" x14ac:dyDescent="0.25">
      <c r="A80" s="23">
        <v>0</v>
      </c>
      <c r="B80" s="24"/>
      <c r="C80" s="31" t="s">
        <v>49</v>
      </c>
      <c r="D80" s="32">
        <v>4</v>
      </c>
      <c r="E80" s="32">
        <v>3</v>
      </c>
      <c r="F80" s="32">
        <v>2</v>
      </c>
      <c r="G80" s="32">
        <v>3</v>
      </c>
      <c r="H80" s="33">
        <v>1</v>
      </c>
      <c r="J80" s="23">
        <v>0</v>
      </c>
      <c r="K80" s="24"/>
      <c r="L80" s="31" t="s">
        <v>49</v>
      </c>
      <c r="M80" s="32">
        <v>0</v>
      </c>
      <c r="N80" s="32">
        <v>0</v>
      </c>
      <c r="O80" s="32">
        <v>0</v>
      </c>
      <c r="P80" s="32">
        <v>0</v>
      </c>
      <c r="Q80" s="33">
        <v>0</v>
      </c>
      <c r="S80" s="23">
        <v>0</v>
      </c>
      <c r="T80" s="24"/>
      <c r="U80" s="31" t="s">
        <v>49</v>
      </c>
      <c r="V80" s="32">
        <v>2</v>
      </c>
      <c r="W80" s="32">
        <v>2</v>
      </c>
      <c r="X80" s="32">
        <v>1</v>
      </c>
      <c r="Y80" s="32">
        <v>2</v>
      </c>
      <c r="Z80" s="33">
        <v>0</v>
      </c>
      <c r="AB80" s="23">
        <v>0</v>
      </c>
      <c r="AC80" s="24" t="s">
        <v>8</v>
      </c>
      <c r="AD80" s="31" t="s">
        <v>49</v>
      </c>
      <c r="AE80" s="32">
        <v>10</v>
      </c>
      <c r="AF80" s="32">
        <v>21</v>
      </c>
      <c r="AG80" s="32">
        <v>17</v>
      </c>
      <c r="AH80" s="32">
        <v>10</v>
      </c>
      <c r="AI80" s="33">
        <v>4</v>
      </c>
    </row>
    <row r="81" spans="1:35" x14ac:dyDescent="0.25">
      <c r="A81" s="23">
        <v>0</v>
      </c>
      <c r="B81" s="24"/>
      <c r="C81" s="30" t="s">
        <v>51</v>
      </c>
      <c r="D81" s="34">
        <v>0</v>
      </c>
      <c r="E81" s="34">
        <v>0</v>
      </c>
      <c r="F81" s="34">
        <v>0</v>
      </c>
      <c r="G81" s="34">
        <v>0</v>
      </c>
      <c r="H81" s="33">
        <v>0</v>
      </c>
      <c r="J81" s="23">
        <v>0</v>
      </c>
      <c r="K81" s="24"/>
      <c r="L81" s="30" t="s">
        <v>51</v>
      </c>
      <c r="M81" s="34">
        <v>0</v>
      </c>
      <c r="N81" s="34">
        <v>0</v>
      </c>
      <c r="O81" s="34">
        <v>0</v>
      </c>
      <c r="P81" s="34">
        <v>0</v>
      </c>
      <c r="Q81" s="33">
        <v>0</v>
      </c>
      <c r="S81" s="23">
        <v>0</v>
      </c>
      <c r="T81" s="24"/>
      <c r="U81" s="30" t="s">
        <v>51</v>
      </c>
      <c r="V81" s="34">
        <v>0</v>
      </c>
      <c r="W81" s="34">
        <v>0</v>
      </c>
      <c r="X81" s="34">
        <v>0</v>
      </c>
      <c r="Y81" s="34">
        <v>0</v>
      </c>
      <c r="Z81" s="33">
        <v>0</v>
      </c>
      <c r="AB81" s="23">
        <v>0</v>
      </c>
      <c r="AC81" s="24" t="s">
        <v>42</v>
      </c>
      <c r="AD81" s="30" t="s">
        <v>51</v>
      </c>
      <c r="AE81" s="34">
        <v>4</v>
      </c>
      <c r="AF81" s="34">
        <v>10</v>
      </c>
      <c r="AG81" s="34">
        <v>8</v>
      </c>
      <c r="AH81" s="34">
        <v>5</v>
      </c>
      <c r="AI81" s="33">
        <v>3</v>
      </c>
    </row>
    <row r="82" spans="1:35" x14ac:dyDescent="0.25">
      <c r="A82" s="23">
        <v>0</v>
      </c>
      <c r="B82" s="24"/>
      <c r="C82" s="31" t="s">
        <v>52</v>
      </c>
      <c r="D82" s="32">
        <v>4</v>
      </c>
      <c r="E82" s="32">
        <v>4</v>
      </c>
      <c r="F82" s="32">
        <v>2</v>
      </c>
      <c r="G82" s="32">
        <v>4</v>
      </c>
      <c r="H82" s="33">
        <v>1</v>
      </c>
      <c r="J82" s="23">
        <v>0</v>
      </c>
      <c r="K82" s="24"/>
      <c r="L82" s="31" t="s">
        <v>52</v>
      </c>
      <c r="M82" s="32">
        <v>4</v>
      </c>
      <c r="N82" s="32">
        <v>10</v>
      </c>
      <c r="O82" s="32">
        <v>8</v>
      </c>
      <c r="P82" s="32">
        <v>5</v>
      </c>
      <c r="Q82" s="33">
        <v>3</v>
      </c>
      <c r="S82" s="23">
        <v>0</v>
      </c>
      <c r="T82" s="24"/>
      <c r="U82" s="31" t="s">
        <v>52</v>
      </c>
      <c r="V82" s="32">
        <v>4</v>
      </c>
      <c r="W82" s="32">
        <v>10</v>
      </c>
      <c r="X82" s="32">
        <v>8</v>
      </c>
      <c r="Y82" s="32">
        <v>5</v>
      </c>
      <c r="Z82" s="33">
        <v>3</v>
      </c>
      <c r="AB82" s="23">
        <v>0</v>
      </c>
      <c r="AC82" s="24" t="s">
        <v>22</v>
      </c>
      <c r="AD82" s="31" t="s">
        <v>52</v>
      </c>
      <c r="AE82" s="32">
        <v>10</v>
      </c>
      <c r="AF82" s="32">
        <v>21</v>
      </c>
      <c r="AG82" s="32">
        <v>17</v>
      </c>
      <c r="AH82" s="32">
        <v>10</v>
      </c>
      <c r="AI82" s="33">
        <v>4</v>
      </c>
    </row>
    <row r="83" spans="1:35" x14ac:dyDescent="0.25">
      <c r="A83" s="23">
        <v>0</v>
      </c>
      <c r="B83" s="24"/>
      <c r="C83" s="31" t="s">
        <v>53</v>
      </c>
      <c r="D83" s="32">
        <v>4</v>
      </c>
      <c r="E83" s="32">
        <v>4</v>
      </c>
      <c r="F83" s="32">
        <v>2</v>
      </c>
      <c r="G83" s="32">
        <v>4</v>
      </c>
      <c r="H83" s="33">
        <v>1</v>
      </c>
      <c r="J83" s="23">
        <v>0</v>
      </c>
      <c r="K83" s="24"/>
      <c r="L83" s="31" t="s">
        <v>53</v>
      </c>
      <c r="M83" s="32">
        <v>4</v>
      </c>
      <c r="N83" s="32">
        <v>10</v>
      </c>
      <c r="O83" s="32">
        <v>8</v>
      </c>
      <c r="P83" s="32">
        <v>5</v>
      </c>
      <c r="Q83" s="33">
        <v>3</v>
      </c>
      <c r="S83" s="23">
        <v>0</v>
      </c>
      <c r="T83" s="24"/>
      <c r="U83" s="31" t="s">
        <v>53</v>
      </c>
      <c r="V83" s="32">
        <v>4</v>
      </c>
      <c r="W83" s="32">
        <v>10</v>
      </c>
      <c r="X83" s="32">
        <v>8</v>
      </c>
      <c r="Y83" s="32">
        <v>5</v>
      </c>
      <c r="Z83" s="33">
        <v>3</v>
      </c>
      <c r="AB83" s="23">
        <v>0</v>
      </c>
      <c r="AC83" s="24" t="s">
        <v>46</v>
      </c>
      <c r="AD83" s="31" t="s">
        <v>53</v>
      </c>
      <c r="AE83" s="32">
        <v>10</v>
      </c>
      <c r="AF83" s="32">
        <v>21</v>
      </c>
      <c r="AG83" s="32">
        <v>17</v>
      </c>
      <c r="AH83" s="32">
        <v>10</v>
      </c>
      <c r="AI83" s="33">
        <v>4</v>
      </c>
    </row>
    <row r="84" spans="1:35" x14ac:dyDescent="0.25">
      <c r="A84" s="23">
        <v>0</v>
      </c>
      <c r="B84" s="24"/>
      <c r="C84" s="30" t="s">
        <v>54</v>
      </c>
      <c r="D84" s="34">
        <v>4</v>
      </c>
      <c r="E84" s="34">
        <v>5</v>
      </c>
      <c r="F84" s="34">
        <v>2</v>
      </c>
      <c r="G84" s="34">
        <v>5</v>
      </c>
      <c r="H84" s="33">
        <v>1</v>
      </c>
      <c r="J84" s="23">
        <v>0</v>
      </c>
      <c r="K84" s="24"/>
      <c r="L84" s="30" t="s">
        <v>54</v>
      </c>
      <c r="M84" s="34">
        <v>2</v>
      </c>
      <c r="N84" s="34">
        <v>3</v>
      </c>
      <c r="O84" s="34">
        <v>1</v>
      </c>
      <c r="P84" s="34">
        <v>3</v>
      </c>
      <c r="Q84" s="33">
        <v>0</v>
      </c>
      <c r="S84" s="23">
        <v>0</v>
      </c>
      <c r="T84" s="24"/>
      <c r="U84" s="30" t="s">
        <v>54</v>
      </c>
      <c r="V84" s="34">
        <v>4</v>
      </c>
      <c r="W84" s="34">
        <v>11</v>
      </c>
      <c r="X84" s="34">
        <v>8</v>
      </c>
      <c r="Y84" s="34">
        <v>6</v>
      </c>
      <c r="Z84" s="33">
        <v>3</v>
      </c>
      <c r="AB84" s="23">
        <v>0</v>
      </c>
      <c r="AC84" s="24" t="s">
        <v>76</v>
      </c>
      <c r="AD84" s="30" t="s">
        <v>54</v>
      </c>
      <c r="AE84" s="34">
        <v>4</v>
      </c>
      <c r="AF84" s="34">
        <v>11</v>
      </c>
      <c r="AG84" s="34">
        <v>8</v>
      </c>
      <c r="AH84" s="34">
        <v>6</v>
      </c>
      <c r="AI84" s="33">
        <v>3</v>
      </c>
    </row>
    <row r="85" spans="1:35" x14ac:dyDescent="0.25">
      <c r="A85" s="23">
        <v>0</v>
      </c>
      <c r="B85" s="24"/>
      <c r="C85" s="31" t="s">
        <v>55</v>
      </c>
      <c r="D85" s="32">
        <v>4</v>
      </c>
      <c r="E85" s="32">
        <v>5</v>
      </c>
      <c r="F85" s="32">
        <v>2</v>
      </c>
      <c r="G85" s="32">
        <v>5</v>
      </c>
      <c r="H85" s="33">
        <v>1</v>
      </c>
      <c r="J85" s="23">
        <v>0</v>
      </c>
      <c r="K85" s="24"/>
      <c r="L85" s="31" t="s">
        <v>55</v>
      </c>
      <c r="M85" s="32">
        <v>0</v>
      </c>
      <c r="N85" s="32">
        <v>1</v>
      </c>
      <c r="O85" s="32">
        <v>0</v>
      </c>
      <c r="P85" s="32">
        <v>1</v>
      </c>
      <c r="Q85" s="33">
        <v>0</v>
      </c>
      <c r="S85" s="23">
        <v>0</v>
      </c>
      <c r="T85" s="24"/>
      <c r="U85" s="31" t="s">
        <v>55</v>
      </c>
      <c r="V85" s="32">
        <v>4</v>
      </c>
      <c r="W85" s="32">
        <v>5</v>
      </c>
      <c r="X85" s="32">
        <v>2</v>
      </c>
      <c r="Y85" s="32">
        <v>5</v>
      </c>
      <c r="Z85" s="33">
        <v>0</v>
      </c>
      <c r="AB85" s="23">
        <v>0</v>
      </c>
      <c r="AC85" s="24" t="s">
        <v>48</v>
      </c>
      <c r="AD85" s="31" t="s">
        <v>55</v>
      </c>
      <c r="AE85" s="32">
        <v>8</v>
      </c>
      <c r="AF85" s="32">
        <v>21</v>
      </c>
      <c r="AG85" s="32">
        <v>16</v>
      </c>
      <c r="AH85" s="32">
        <v>11</v>
      </c>
      <c r="AI85" s="33">
        <v>3</v>
      </c>
    </row>
    <row r="86" spans="1:35" x14ac:dyDescent="0.25">
      <c r="A86" s="23">
        <v>0</v>
      </c>
      <c r="B86" s="24"/>
      <c r="C86" s="31" t="s">
        <v>56</v>
      </c>
      <c r="D86" s="32">
        <v>0</v>
      </c>
      <c r="E86" s="32">
        <v>2</v>
      </c>
      <c r="F86" s="32">
        <v>0</v>
      </c>
      <c r="G86" s="32">
        <v>2</v>
      </c>
      <c r="H86" s="33">
        <v>2</v>
      </c>
      <c r="J86" s="23">
        <v>0</v>
      </c>
      <c r="K86" s="24"/>
      <c r="L86" s="31" t="s">
        <v>56</v>
      </c>
      <c r="M86" s="32">
        <v>0</v>
      </c>
      <c r="N86" s="32">
        <v>1</v>
      </c>
      <c r="O86" s="32">
        <v>0</v>
      </c>
      <c r="P86" s="32">
        <v>1</v>
      </c>
      <c r="Q86" s="33">
        <v>0</v>
      </c>
      <c r="S86" s="23">
        <v>0</v>
      </c>
      <c r="T86" s="24"/>
      <c r="U86" s="31" t="s">
        <v>56</v>
      </c>
      <c r="V86" s="32">
        <v>6</v>
      </c>
      <c r="W86" s="32">
        <v>9</v>
      </c>
      <c r="X86" s="32">
        <v>6</v>
      </c>
      <c r="Y86" s="32">
        <v>7</v>
      </c>
      <c r="Z86" s="33">
        <v>2</v>
      </c>
      <c r="AB86" s="23">
        <v>0</v>
      </c>
      <c r="AC86" s="24" t="s">
        <v>50</v>
      </c>
      <c r="AD86" s="31" t="s">
        <v>56</v>
      </c>
      <c r="AE86" s="32">
        <v>10</v>
      </c>
      <c r="AF86" s="32">
        <v>22</v>
      </c>
      <c r="AG86" s="32">
        <v>17</v>
      </c>
      <c r="AH86" s="32">
        <v>11</v>
      </c>
      <c r="AI86" s="33">
        <v>4</v>
      </c>
    </row>
    <row r="87" spans="1:35" x14ac:dyDescent="0.25">
      <c r="A87" s="23">
        <v>0</v>
      </c>
      <c r="B87" s="24"/>
      <c r="C87" s="31" t="s">
        <v>57</v>
      </c>
      <c r="D87" s="32">
        <v>0</v>
      </c>
      <c r="E87" s="32">
        <v>1</v>
      </c>
      <c r="F87" s="32">
        <v>0</v>
      </c>
      <c r="G87" s="32">
        <v>1</v>
      </c>
      <c r="H87" s="33">
        <v>0</v>
      </c>
      <c r="J87" s="23">
        <v>0</v>
      </c>
      <c r="K87" s="24"/>
      <c r="L87" s="31" t="s">
        <v>57</v>
      </c>
      <c r="M87" s="32">
        <v>1</v>
      </c>
      <c r="N87" s="32">
        <v>4</v>
      </c>
      <c r="O87" s="32">
        <v>1</v>
      </c>
      <c r="P87" s="32">
        <v>5</v>
      </c>
      <c r="Q87" s="33">
        <v>0</v>
      </c>
      <c r="S87" s="23">
        <v>0</v>
      </c>
      <c r="T87" s="24"/>
      <c r="U87" s="31" t="s">
        <v>57</v>
      </c>
      <c r="V87" s="32">
        <v>3</v>
      </c>
      <c r="W87" s="32">
        <v>4</v>
      </c>
      <c r="X87" s="32">
        <v>2</v>
      </c>
      <c r="Y87" s="32">
        <v>5</v>
      </c>
      <c r="Z87" s="33">
        <v>0</v>
      </c>
      <c r="AB87" s="23">
        <v>0</v>
      </c>
      <c r="AC87" s="24"/>
      <c r="AD87" s="31" t="s">
        <v>57</v>
      </c>
      <c r="AE87" s="32">
        <v>10</v>
      </c>
      <c r="AF87" s="32">
        <v>21</v>
      </c>
      <c r="AG87" s="32">
        <v>17</v>
      </c>
      <c r="AH87" s="32">
        <v>10</v>
      </c>
      <c r="AI87" s="33">
        <v>4</v>
      </c>
    </row>
    <row r="88" spans="1:35" x14ac:dyDescent="0.25">
      <c r="A88" s="23">
        <v>0</v>
      </c>
      <c r="B88" s="24"/>
      <c r="C88" s="31" t="s">
        <v>58</v>
      </c>
      <c r="D88" s="32">
        <v>1</v>
      </c>
      <c r="E88" s="32">
        <v>3</v>
      </c>
      <c r="F88" s="32">
        <v>1</v>
      </c>
      <c r="G88" s="32">
        <v>4</v>
      </c>
      <c r="H88" s="33">
        <v>0</v>
      </c>
      <c r="J88" s="23">
        <v>0</v>
      </c>
      <c r="K88" s="24"/>
      <c r="L88" s="31" t="s">
        <v>58</v>
      </c>
      <c r="M88" s="32">
        <v>1</v>
      </c>
      <c r="N88" s="32">
        <v>3</v>
      </c>
      <c r="O88" s="32">
        <v>1</v>
      </c>
      <c r="P88" s="32">
        <v>4</v>
      </c>
      <c r="Q88" s="33">
        <v>0</v>
      </c>
      <c r="S88" s="23">
        <v>0</v>
      </c>
      <c r="T88" s="24"/>
      <c r="U88" s="31" t="s">
        <v>58</v>
      </c>
      <c r="V88" s="32">
        <v>3</v>
      </c>
      <c r="W88" s="32">
        <v>4</v>
      </c>
      <c r="X88" s="32">
        <v>2</v>
      </c>
      <c r="Y88" s="32">
        <v>5</v>
      </c>
      <c r="Z88" s="33">
        <v>0</v>
      </c>
      <c r="AB88" s="23">
        <v>0</v>
      </c>
      <c r="AC88" s="24"/>
      <c r="AD88" s="31" t="s">
        <v>58</v>
      </c>
      <c r="AE88" s="32">
        <v>4</v>
      </c>
      <c r="AF88" s="32">
        <v>10</v>
      </c>
      <c r="AG88" s="32">
        <v>8</v>
      </c>
      <c r="AH88" s="32">
        <v>5</v>
      </c>
      <c r="AI88" s="33">
        <v>3</v>
      </c>
    </row>
    <row r="89" spans="1:35" x14ac:dyDescent="0.25">
      <c r="A89" s="23">
        <v>0</v>
      </c>
      <c r="B89" s="24"/>
      <c r="H89" s="21"/>
      <c r="J89" s="23">
        <v>0</v>
      </c>
      <c r="K89" s="24"/>
      <c r="Q89" s="21"/>
      <c r="S89" s="23">
        <v>0</v>
      </c>
      <c r="T89" s="24"/>
      <c r="Z89" s="21"/>
      <c r="AB89" s="23">
        <v>0</v>
      </c>
      <c r="AC89" s="24"/>
      <c r="AI89" s="21"/>
    </row>
    <row r="90" spans="1:35" x14ac:dyDescent="0.25">
      <c r="A90" s="23">
        <v>0</v>
      </c>
      <c r="B90" s="24"/>
      <c r="D90" s="35" t="s">
        <v>59</v>
      </c>
      <c r="H90" s="21"/>
      <c r="J90" s="23">
        <v>0</v>
      </c>
      <c r="K90" s="24"/>
      <c r="M90" s="35" t="s">
        <v>59</v>
      </c>
      <c r="Q90" s="21"/>
      <c r="S90" s="23">
        <v>0</v>
      </c>
      <c r="T90" s="24"/>
      <c r="V90" s="35" t="s">
        <v>59</v>
      </c>
      <c r="Z90" s="21"/>
      <c r="AB90" s="23">
        <v>0</v>
      </c>
      <c r="AC90" s="24"/>
      <c r="AE90" s="35" t="s">
        <v>59</v>
      </c>
      <c r="AI90" s="21"/>
    </row>
    <row r="91" spans="1:35" x14ac:dyDescent="0.25">
      <c r="A91" s="23">
        <v>0</v>
      </c>
      <c r="B91" s="24"/>
      <c r="D91" s="31" t="s">
        <v>60</v>
      </c>
      <c r="E91" s="27">
        <v>0</v>
      </c>
      <c r="F91" s="36"/>
      <c r="H91" s="21"/>
      <c r="J91" s="23">
        <v>0</v>
      </c>
      <c r="K91" s="24"/>
      <c r="M91" s="31" t="s">
        <v>60</v>
      </c>
      <c r="N91" s="27">
        <v>0</v>
      </c>
      <c r="O91" s="36"/>
      <c r="Q91" s="21"/>
      <c r="S91" s="23">
        <v>0</v>
      </c>
      <c r="T91" s="24"/>
      <c r="V91" s="31" t="s">
        <v>60</v>
      </c>
      <c r="W91" s="27">
        <v>0</v>
      </c>
      <c r="X91" s="36"/>
      <c r="Z91" s="21"/>
      <c r="AB91" s="23">
        <v>0</v>
      </c>
      <c r="AC91" s="24"/>
      <c r="AE91" s="31" t="s">
        <v>60</v>
      </c>
      <c r="AF91" s="27">
        <v>0</v>
      </c>
      <c r="AG91" s="36"/>
      <c r="AI91" s="21"/>
    </row>
    <row r="92" spans="1:35" x14ac:dyDescent="0.25">
      <c r="A92" s="23">
        <v>0</v>
      </c>
      <c r="B92" s="24"/>
      <c r="D92" s="31" t="s">
        <v>61</v>
      </c>
      <c r="E92" s="27">
        <v>0</v>
      </c>
      <c r="F92" s="36"/>
      <c r="H92" s="21"/>
      <c r="J92" s="23">
        <v>0</v>
      </c>
      <c r="K92" s="24"/>
      <c r="M92" s="31" t="s">
        <v>61</v>
      </c>
      <c r="N92" s="27">
        <v>0</v>
      </c>
      <c r="O92" s="36"/>
      <c r="Q92" s="21"/>
      <c r="S92" s="23">
        <v>0</v>
      </c>
      <c r="T92" s="24"/>
      <c r="V92" s="31" t="s">
        <v>61</v>
      </c>
      <c r="W92" s="27">
        <v>0</v>
      </c>
      <c r="X92" s="36"/>
      <c r="Z92" s="21"/>
      <c r="AB92" s="23">
        <v>0</v>
      </c>
      <c r="AC92" s="24"/>
      <c r="AE92" s="31" t="s">
        <v>61</v>
      </c>
      <c r="AF92" s="27">
        <v>0</v>
      </c>
      <c r="AG92" s="36"/>
      <c r="AI92" s="21"/>
    </row>
    <row r="93" spans="1:35" x14ac:dyDescent="0.25">
      <c r="A93" s="23">
        <v>0</v>
      </c>
      <c r="B93" s="24"/>
      <c r="D93" s="31" t="s">
        <v>62</v>
      </c>
      <c r="E93" s="27">
        <v>0</v>
      </c>
      <c r="F93" s="36"/>
      <c r="H93" s="21"/>
      <c r="J93" s="23">
        <v>0</v>
      </c>
      <c r="K93" s="24"/>
      <c r="M93" s="31" t="s">
        <v>62</v>
      </c>
      <c r="N93" s="27">
        <v>0</v>
      </c>
      <c r="O93" s="36"/>
      <c r="Q93" s="21"/>
      <c r="S93" s="23">
        <v>0</v>
      </c>
      <c r="T93" s="24"/>
      <c r="V93" s="31" t="s">
        <v>62</v>
      </c>
      <c r="W93" s="27">
        <v>0</v>
      </c>
      <c r="X93" s="36"/>
      <c r="Z93" s="21"/>
      <c r="AB93" s="23">
        <v>0</v>
      </c>
      <c r="AC93" s="24"/>
      <c r="AE93" s="31" t="s">
        <v>62</v>
      </c>
      <c r="AF93" s="27">
        <v>0</v>
      </c>
      <c r="AG93" s="36"/>
      <c r="AI93" s="21"/>
    </row>
    <row r="94" spans="1:35" x14ac:dyDescent="0.25">
      <c r="A94" s="23">
        <v>0</v>
      </c>
      <c r="B94" s="24"/>
      <c r="D94" s="31" t="s">
        <v>63</v>
      </c>
      <c r="E94" s="27">
        <v>0</v>
      </c>
      <c r="F94" s="36"/>
      <c r="H94" s="21"/>
      <c r="J94" s="23">
        <v>0</v>
      </c>
      <c r="K94" s="24"/>
      <c r="M94" s="31" t="s">
        <v>63</v>
      </c>
      <c r="N94" s="27">
        <v>0</v>
      </c>
      <c r="O94" s="36"/>
      <c r="Q94" s="21"/>
      <c r="S94" s="23">
        <v>0</v>
      </c>
      <c r="T94" s="24"/>
      <c r="V94" s="31" t="s">
        <v>63</v>
      </c>
      <c r="W94" s="27">
        <v>0</v>
      </c>
      <c r="X94" s="36"/>
      <c r="Z94" s="21"/>
      <c r="AB94" s="23">
        <v>0</v>
      </c>
      <c r="AC94" s="24"/>
      <c r="AE94" s="31" t="s">
        <v>63</v>
      </c>
      <c r="AF94" s="27">
        <v>0</v>
      </c>
      <c r="AG94" s="36"/>
      <c r="AI94" s="21"/>
    </row>
    <row r="95" spans="1:35" x14ac:dyDescent="0.25">
      <c r="A95" s="23">
        <v>0</v>
      </c>
      <c r="B95" s="24"/>
      <c r="H95" s="21"/>
      <c r="J95" s="23">
        <v>0</v>
      </c>
      <c r="K95" s="24"/>
      <c r="Q95" s="21"/>
      <c r="S95" s="23">
        <v>0</v>
      </c>
      <c r="T95" s="24"/>
      <c r="Z95" s="21"/>
      <c r="AB95" s="23">
        <v>0</v>
      </c>
      <c r="AC95" s="24"/>
      <c r="AI95" s="21"/>
    </row>
    <row r="96" spans="1:35" x14ac:dyDescent="0.25">
      <c r="A96" s="23">
        <v>0</v>
      </c>
      <c r="B96" s="24"/>
      <c r="H96" s="21"/>
      <c r="J96" s="23">
        <v>0</v>
      </c>
      <c r="K96" s="24"/>
      <c r="Q96" s="21"/>
      <c r="S96" s="23">
        <v>0</v>
      </c>
      <c r="T96" s="24"/>
      <c r="Z96" s="21"/>
      <c r="AB96" s="23">
        <v>0</v>
      </c>
      <c r="AC96" s="24"/>
      <c r="AI96" s="21"/>
    </row>
    <row r="97" spans="1:35" x14ac:dyDescent="0.25">
      <c r="A97" s="23">
        <v>0</v>
      </c>
      <c r="B97" s="24"/>
      <c r="H97" s="21"/>
      <c r="J97" s="23">
        <v>0</v>
      </c>
      <c r="K97" s="24"/>
      <c r="Q97" s="21"/>
      <c r="S97" s="23">
        <v>0</v>
      </c>
      <c r="T97" s="24"/>
      <c r="Z97" s="21"/>
      <c r="AB97" s="23">
        <v>0</v>
      </c>
      <c r="AC97" s="24"/>
      <c r="AI97" s="21"/>
    </row>
    <row r="98" spans="1:35" x14ac:dyDescent="0.25">
      <c r="A98" s="37"/>
      <c r="B98" s="38"/>
      <c r="C98" s="38"/>
      <c r="D98" s="38"/>
      <c r="E98" s="38"/>
      <c r="F98" s="38"/>
      <c r="G98" s="38"/>
      <c r="H98" s="39"/>
      <c r="J98" s="37"/>
      <c r="K98" s="38"/>
      <c r="L98" s="38"/>
      <c r="M98" s="38"/>
      <c r="N98" s="38"/>
      <c r="O98" s="38"/>
      <c r="P98" s="38"/>
      <c r="Q98" s="39"/>
      <c r="S98" s="37"/>
      <c r="T98" s="38"/>
      <c r="U98" s="38"/>
      <c r="V98" s="38"/>
      <c r="W98" s="38"/>
      <c r="X98" s="38"/>
      <c r="Y98" s="38"/>
      <c r="Z98" s="39"/>
      <c r="AB98" s="37"/>
      <c r="AC98" s="38"/>
      <c r="AD98" s="38"/>
      <c r="AE98" s="38"/>
      <c r="AF98" s="38"/>
      <c r="AG98" s="38"/>
      <c r="AH98" s="38"/>
      <c r="AI98" s="39"/>
    </row>
  </sheetData>
  <mergeCells count="28">
    <mergeCell ref="C69:G69"/>
    <mergeCell ref="L69:P69"/>
    <mergeCell ref="U69:Y69"/>
    <mergeCell ref="AD69:AH69"/>
    <mergeCell ref="C36:G36"/>
    <mergeCell ref="L36:P36"/>
    <mergeCell ref="U36:Y36"/>
    <mergeCell ref="AD36:AH36"/>
    <mergeCell ref="C68:G68"/>
    <mergeCell ref="L68:P68"/>
    <mergeCell ref="U68:Y68"/>
    <mergeCell ref="AD68:AH68"/>
    <mergeCell ref="C3:G3"/>
    <mergeCell ref="L3:P3"/>
    <mergeCell ref="U3:Y3"/>
    <mergeCell ref="AD3:AH3"/>
    <mergeCell ref="C35:G35"/>
    <mergeCell ref="L35:P35"/>
    <mergeCell ref="U35:Y35"/>
    <mergeCell ref="AD35:AH35"/>
    <mergeCell ref="C1:G1"/>
    <mergeCell ref="L1:P1"/>
    <mergeCell ref="U1:Y1"/>
    <mergeCell ref="AD1:AH1"/>
    <mergeCell ref="C2:G2"/>
    <mergeCell ref="L2:P2"/>
    <mergeCell ref="U2:Y2"/>
    <mergeCell ref="AD2:AH2"/>
  </mergeCells>
  <conditionalFormatting sqref="C3:G3">
    <cfRule type="expression" dxfId="136" priority="51">
      <formula>$DE$36=0</formula>
    </cfRule>
  </conditionalFormatting>
  <conditionalFormatting sqref="C69:G69">
    <cfRule type="expression" dxfId="134" priority="34">
      <formula>$DE$36=0</formula>
    </cfRule>
  </conditionalFormatting>
  <conditionalFormatting sqref="E8:E22">
    <cfRule type="expression" dxfId="133" priority="48">
      <formula>H8=3</formula>
    </cfRule>
    <cfRule type="expression" dxfId="132" priority="49">
      <formula>H8=4</formula>
    </cfRule>
    <cfRule type="expression" dxfId="131" priority="47">
      <formula>H8=2</formula>
    </cfRule>
  </conditionalFormatting>
  <conditionalFormatting sqref="E16:E19">
    <cfRule type="expression" dxfId="130" priority="50">
      <formula>H16=1</formula>
    </cfRule>
  </conditionalFormatting>
  <conditionalFormatting sqref="E41:E55">
    <cfRule type="expression" dxfId="129" priority="110">
      <formula>H41=2</formula>
    </cfRule>
    <cfRule type="expression" dxfId="128" priority="111">
      <formula>H41=3</formula>
    </cfRule>
    <cfRule type="expression" dxfId="127" priority="112">
      <formula>H41=4</formula>
    </cfRule>
  </conditionalFormatting>
  <conditionalFormatting sqref="E49:E52">
    <cfRule type="expression" dxfId="126" priority="113">
      <formula>H49=1</formula>
    </cfRule>
  </conditionalFormatting>
  <conditionalFormatting sqref="E74:E88">
    <cfRule type="expression" dxfId="125" priority="41">
      <formula>H74=4</formula>
    </cfRule>
    <cfRule type="expression" dxfId="124" priority="40">
      <formula>H74=3</formula>
    </cfRule>
    <cfRule type="expression" dxfId="123" priority="39">
      <formula>H74=2</formula>
    </cfRule>
  </conditionalFormatting>
  <conditionalFormatting sqref="E82:E85">
    <cfRule type="expression" dxfId="122" priority="42">
      <formula>H82=1</formula>
    </cfRule>
  </conditionalFormatting>
  <conditionalFormatting sqref="F8:F22">
    <cfRule type="expression" dxfId="121" priority="43">
      <formula>H8=2</formula>
    </cfRule>
    <cfRule type="expression" dxfId="120" priority="44">
      <formula>H8=3</formula>
    </cfRule>
    <cfRule type="expression" dxfId="119" priority="45">
      <formula>H8=4</formula>
    </cfRule>
  </conditionalFormatting>
  <conditionalFormatting sqref="F16:F19">
    <cfRule type="expression" dxfId="118" priority="46">
      <formula>H16=1</formula>
    </cfRule>
  </conditionalFormatting>
  <conditionalFormatting sqref="F41:F55">
    <cfRule type="expression" dxfId="117" priority="108">
      <formula>H41=4</formula>
    </cfRule>
    <cfRule type="expression" dxfId="116" priority="107">
      <formula>H41=3</formula>
    </cfRule>
    <cfRule type="expression" dxfId="115" priority="106">
      <formula>H41=2</formula>
    </cfRule>
  </conditionalFormatting>
  <conditionalFormatting sqref="F49:F52">
    <cfRule type="expression" dxfId="114" priority="109">
      <formula>H49=1</formula>
    </cfRule>
  </conditionalFormatting>
  <conditionalFormatting sqref="F74:F88">
    <cfRule type="expression" dxfId="113" priority="35">
      <formula>H74=2</formula>
    </cfRule>
    <cfRule type="expression" dxfId="112" priority="36">
      <formula>H74=3</formula>
    </cfRule>
    <cfRule type="expression" dxfId="111" priority="37">
      <formula>H74=4</formula>
    </cfRule>
  </conditionalFormatting>
  <conditionalFormatting sqref="F82:F85">
    <cfRule type="expression" dxfId="110" priority="38">
      <formula>H82=1</formula>
    </cfRule>
  </conditionalFormatting>
  <conditionalFormatting sqref="L3:P3">
    <cfRule type="expression" dxfId="109" priority="25">
      <formula>$DE$36=0</formula>
    </cfRule>
  </conditionalFormatting>
  <conditionalFormatting sqref="L36:P36">
    <cfRule type="expression" dxfId="108" priority="24">
      <formula>$DE$36=0</formula>
    </cfRule>
  </conditionalFormatting>
  <conditionalFormatting sqref="L69:P69">
    <cfRule type="expression" dxfId="107" priority="105">
      <formula>$DE$36=0</formula>
    </cfRule>
  </conditionalFormatting>
  <conditionalFormatting sqref="N8:N22">
    <cfRule type="expression" dxfId="106" priority="31">
      <formula>Q8=3</formula>
    </cfRule>
    <cfRule type="expression" dxfId="105" priority="32">
      <formula>Q8=4</formula>
    </cfRule>
    <cfRule type="expression" dxfId="104" priority="30">
      <formula>Q8=2</formula>
    </cfRule>
  </conditionalFormatting>
  <conditionalFormatting sqref="N16:N19">
    <cfRule type="expression" dxfId="103" priority="33">
      <formula>Q16=1</formula>
    </cfRule>
  </conditionalFormatting>
  <conditionalFormatting sqref="N41:N55">
    <cfRule type="expression" dxfId="102" priority="90">
      <formula>Q41=3</formula>
    </cfRule>
    <cfRule type="expression" dxfId="101" priority="91">
      <formula>Q41=4</formula>
    </cfRule>
    <cfRule type="expression" dxfId="100" priority="89">
      <formula>Q41=2</formula>
    </cfRule>
  </conditionalFormatting>
  <conditionalFormatting sqref="N49:N52">
    <cfRule type="expression" dxfId="99" priority="92">
      <formula>Q49=1</formula>
    </cfRule>
  </conditionalFormatting>
  <conditionalFormatting sqref="N74:N88">
    <cfRule type="expression" dxfId="98" priority="102">
      <formula>Q74=3</formula>
    </cfRule>
    <cfRule type="expression" dxfId="97" priority="103">
      <formula>Q74=4</formula>
    </cfRule>
    <cfRule type="expression" dxfId="96" priority="101">
      <formula>Q74=2</formula>
    </cfRule>
  </conditionalFormatting>
  <conditionalFormatting sqref="N82:N85">
    <cfRule type="expression" dxfId="95" priority="104">
      <formula>Q82=1</formula>
    </cfRule>
  </conditionalFormatting>
  <conditionalFormatting sqref="O8:O22">
    <cfRule type="expression" dxfId="94" priority="28">
      <formula>Q8=4</formula>
    </cfRule>
    <cfRule type="expression" dxfId="93" priority="26">
      <formula>Q8=2</formula>
    </cfRule>
    <cfRule type="expression" dxfId="92" priority="27">
      <formula>Q8=3</formula>
    </cfRule>
  </conditionalFormatting>
  <conditionalFormatting sqref="O16:O19">
    <cfRule type="expression" dxfId="91" priority="29">
      <formula>Q16=1</formula>
    </cfRule>
  </conditionalFormatting>
  <conditionalFormatting sqref="O41:O55">
    <cfRule type="expression" dxfId="90" priority="87">
      <formula>Q41=4</formula>
    </cfRule>
    <cfRule type="expression" dxfId="89" priority="86">
      <formula>Q41=3</formula>
    </cfRule>
    <cfRule type="expression" dxfId="88" priority="85">
      <formula>Q41=2</formula>
    </cfRule>
  </conditionalFormatting>
  <conditionalFormatting sqref="O49:O52">
    <cfRule type="expression" dxfId="87" priority="88">
      <formula>Q49=1</formula>
    </cfRule>
  </conditionalFormatting>
  <conditionalFormatting sqref="O74:O88">
    <cfRule type="expression" dxfId="86" priority="99">
      <formula>Q74=4</formula>
    </cfRule>
    <cfRule type="expression" dxfId="85" priority="98">
      <formula>Q74=3</formula>
    </cfRule>
    <cfRule type="expression" dxfId="84" priority="97">
      <formula>Q74=2</formula>
    </cfRule>
  </conditionalFormatting>
  <conditionalFormatting sqref="O82:O85">
    <cfRule type="expression" dxfId="83" priority="100">
      <formula>Q82=1</formula>
    </cfRule>
  </conditionalFormatting>
  <conditionalFormatting sqref="U3:Y3">
    <cfRule type="expression" dxfId="82" priority="23">
      <formula>$DE$36=0</formula>
    </cfRule>
  </conditionalFormatting>
  <conditionalFormatting sqref="U36:Y36">
    <cfRule type="expression" dxfId="81" priority="14">
      <formula>$DE$36=0</formula>
    </cfRule>
  </conditionalFormatting>
  <conditionalFormatting sqref="U69:Y69">
    <cfRule type="expression" dxfId="80" priority="13">
      <formula>$DE$36=0</formula>
    </cfRule>
  </conditionalFormatting>
  <conditionalFormatting sqref="W8:W22">
    <cfRule type="expression" dxfId="79" priority="81">
      <formula>Z8=2</formula>
    </cfRule>
    <cfRule type="expression" dxfId="78" priority="83">
      <formula>Z8=4</formula>
    </cfRule>
    <cfRule type="expression" dxfId="77" priority="82">
      <formula>Z8=3</formula>
    </cfRule>
  </conditionalFormatting>
  <conditionalFormatting sqref="W16:W19">
    <cfRule type="expression" dxfId="76" priority="84">
      <formula>Z16=1</formula>
    </cfRule>
  </conditionalFormatting>
  <conditionalFormatting sqref="W41:W55">
    <cfRule type="expression" dxfId="75" priority="19">
      <formula>Z41=2</formula>
    </cfRule>
    <cfRule type="expression" dxfId="74" priority="20">
      <formula>Z41=3</formula>
    </cfRule>
    <cfRule type="expression" dxfId="73" priority="21">
      <formula>Z41=4</formula>
    </cfRule>
  </conditionalFormatting>
  <conditionalFormatting sqref="W49:W52">
    <cfRule type="expression" dxfId="72" priority="22">
      <formula>Z49=1</formula>
    </cfRule>
  </conditionalFormatting>
  <conditionalFormatting sqref="W74:W88">
    <cfRule type="expression" dxfId="71" priority="75">
      <formula>Z74=4</formula>
    </cfRule>
    <cfRule type="expression" dxfId="70" priority="73">
      <formula>Z74=2</formula>
    </cfRule>
    <cfRule type="expression" dxfId="69" priority="74">
      <formula>Z74=3</formula>
    </cfRule>
  </conditionalFormatting>
  <conditionalFormatting sqref="W82:W85">
    <cfRule type="expression" dxfId="68" priority="76">
      <formula>Z82=1</formula>
    </cfRule>
  </conditionalFormatting>
  <conditionalFormatting sqref="X8:X22">
    <cfRule type="expression" dxfId="67" priority="77">
      <formula>Z8=2</formula>
    </cfRule>
    <cfRule type="expression" dxfId="66" priority="78">
      <formula>Z8=3</formula>
    </cfRule>
    <cfRule type="expression" dxfId="65" priority="79">
      <formula>Z8=4</formula>
    </cfRule>
  </conditionalFormatting>
  <conditionalFormatting sqref="X16:X19">
    <cfRule type="expression" dxfId="64" priority="80">
      <formula>Z16=1</formula>
    </cfRule>
  </conditionalFormatting>
  <conditionalFormatting sqref="X41:X55">
    <cfRule type="expression" dxfId="63" priority="17">
      <formula>Z41=4</formula>
    </cfRule>
    <cfRule type="expression" dxfId="62" priority="16">
      <formula>Z41=3</formula>
    </cfRule>
    <cfRule type="expression" dxfId="61" priority="15">
      <formula>Z41=2</formula>
    </cfRule>
  </conditionalFormatting>
  <conditionalFormatting sqref="X49:X52">
    <cfRule type="expression" dxfId="60" priority="18">
      <formula>Z49=1</formula>
    </cfRule>
  </conditionalFormatting>
  <conditionalFormatting sqref="X74:X88">
    <cfRule type="expression" dxfId="59" priority="71">
      <formula>Z74=4</formula>
    </cfRule>
    <cfRule type="expression" dxfId="58" priority="70">
      <formula>Z74=3</formula>
    </cfRule>
    <cfRule type="expression" dxfId="57" priority="69">
      <formula>Z74=2</formula>
    </cfRule>
  </conditionalFormatting>
  <conditionalFormatting sqref="X82:X85">
    <cfRule type="expression" dxfId="56" priority="72">
      <formula>Z82=1</formula>
    </cfRule>
  </conditionalFormatting>
  <conditionalFormatting sqref="AD3:AH3">
    <cfRule type="expression" dxfId="55" priority="12">
      <formula>$DE$36=0</formula>
    </cfRule>
  </conditionalFormatting>
  <conditionalFormatting sqref="AD36:AH36">
    <cfRule type="expression" dxfId="54" priority="11">
      <formula>$DE$36=0</formula>
    </cfRule>
  </conditionalFormatting>
  <conditionalFormatting sqref="AD69:AH69">
    <cfRule type="expression" dxfId="53" priority="52">
      <formula>$DE$36=0</formula>
    </cfRule>
  </conditionalFormatting>
  <conditionalFormatting sqref="AF8:AF22">
    <cfRule type="expression" dxfId="52" priority="67">
      <formula>AI8=4</formula>
    </cfRule>
    <cfRule type="expression" dxfId="51" priority="66">
      <formula>AI8=3</formula>
    </cfRule>
    <cfRule type="expression" dxfId="50" priority="65">
      <formula>AI8=2</formula>
    </cfRule>
  </conditionalFormatting>
  <conditionalFormatting sqref="AF16:AF19">
    <cfRule type="expression" dxfId="49" priority="68">
      <formula>AI16=1</formula>
    </cfRule>
  </conditionalFormatting>
  <conditionalFormatting sqref="AF41:AF55">
    <cfRule type="expression" dxfId="48" priority="57">
      <formula>AI41=2</formula>
    </cfRule>
    <cfRule type="expression" dxfId="47" priority="59">
      <formula>AI41=4</formula>
    </cfRule>
    <cfRule type="expression" dxfId="46" priority="58">
      <formula>AI41=3</formula>
    </cfRule>
  </conditionalFormatting>
  <conditionalFormatting sqref="AF49:AF52">
    <cfRule type="expression" dxfId="45" priority="60">
      <formula>AI49=1</formula>
    </cfRule>
  </conditionalFormatting>
  <conditionalFormatting sqref="AG8:AG22">
    <cfRule type="expression" dxfId="40" priority="62">
      <formula>AI8=3</formula>
    </cfRule>
    <cfRule type="expression" dxfId="39" priority="61">
      <formula>AI8=2</formula>
    </cfRule>
    <cfRule type="expression" dxfId="38" priority="63">
      <formula>AI8=4</formula>
    </cfRule>
  </conditionalFormatting>
  <conditionalFormatting sqref="AG16:AG19">
    <cfRule type="expression" dxfId="37" priority="64">
      <formula>AI16=1</formula>
    </cfRule>
  </conditionalFormatting>
  <conditionalFormatting sqref="AG41:AG55">
    <cfRule type="expression" dxfId="36" priority="54">
      <formula>AI41=3</formula>
    </cfRule>
    <cfRule type="expression" dxfId="35" priority="53">
      <formula>AI41=2</formula>
    </cfRule>
    <cfRule type="expression" dxfId="34" priority="55">
      <formula>AI41=4</formula>
    </cfRule>
  </conditionalFormatting>
  <conditionalFormatting sqref="AG49:AG52">
    <cfRule type="expression" dxfId="33" priority="56">
      <formula>AI49=1</formula>
    </cfRule>
  </conditionalFormatting>
  <conditionalFormatting sqref="AF74:AF88">
    <cfRule type="expression" dxfId="7" priority="6">
      <formula>AI74=2</formula>
    </cfRule>
    <cfRule type="expression" dxfId="6" priority="7">
      <formula>AI74=3</formula>
    </cfRule>
    <cfRule type="expression" dxfId="8" priority="8">
      <formula>AI74=4</formula>
    </cfRule>
  </conditionalFormatting>
  <conditionalFormatting sqref="AF82:AF85">
    <cfRule type="expression" dxfId="5" priority="9">
      <formula>AI82=1</formula>
    </cfRule>
  </conditionalFormatting>
  <conditionalFormatting sqref="AG74:AG88">
    <cfRule type="expression" dxfId="2" priority="2">
      <formula>AI74=2</formula>
    </cfRule>
    <cfRule type="expression" dxfId="3" priority="3">
      <formula>AI74=3</formula>
    </cfRule>
    <cfRule type="expression" dxfId="4" priority="4">
      <formula>AI74=4</formula>
    </cfRule>
  </conditionalFormatting>
  <conditionalFormatting sqref="AG82:AG85">
    <cfRule type="expression" dxfId="1" priority="5">
      <formula>AI82=1</formula>
    </cfRule>
  </conditionalFormatting>
  <conditionalFormatting sqref="C36:G36">
    <cfRule type="expression" dxfId="0" priority="1">
      <formula>$DE$36=0</formula>
    </cfRule>
  </conditionalFormatting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40"/>
  <sheetViews>
    <sheetView tabSelected="1" zoomScale="85" zoomScaleNormal="85" workbookViewId="0">
      <selection activeCell="A2" sqref="A2"/>
    </sheetView>
  </sheetViews>
  <sheetFormatPr defaultColWidth="8.7109375" defaultRowHeight="15" x14ac:dyDescent="0.25"/>
  <cols>
    <col min="2" max="2" width="32.7109375" customWidth="1"/>
    <col min="10" max="24" width="5.7109375" hidden="1" customWidth="1"/>
    <col min="25" max="28" width="9.140625" hidden="1" customWidth="1"/>
    <col min="29" max="133" width="4.7109375" hidden="1" customWidth="1"/>
    <col min="134" max="135" width="9.140625" hidden="1" customWidth="1"/>
    <col min="136" max="150" width="4.7109375" hidden="1" customWidth="1"/>
    <col min="151" max="153" width="9.140625" hidden="1" customWidth="1"/>
  </cols>
  <sheetData>
    <row r="1" spans="1:154" ht="21" x14ac:dyDescent="0.35">
      <c r="A1" s="40" t="s">
        <v>89</v>
      </c>
      <c r="Y1" s="41">
        <f>SUM(Y5:Y32)</f>
        <v>486</v>
      </c>
      <c r="Z1" s="42">
        <f>SUM(Z5:Z32)</f>
        <v>24.630000000000003</v>
      </c>
      <c r="AA1" s="32">
        <f>SUM(AA5:AA32)+IF(EA30&gt;2,5,0)</f>
        <v>5</v>
      </c>
      <c r="AB1" s="32">
        <f t="shared" ref="AB1:BG1" si="0">SUM(AB5:AB32)</f>
        <v>0</v>
      </c>
      <c r="AC1" s="32">
        <f t="shared" si="0"/>
        <v>6</v>
      </c>
      <c r="AD1" s="32">
        <f t="shared" si="0"/>
        <v>0</v>
      </c>
      <c r="AE1" s="32">
        <f t="shared" si="0"/>
        <v>0</v>
      </c>
      <c r="AF1" s="32">
        <f t="shared" si="0"/>
        <v>4</v>
      </c>
      <c r="AG1" s="32">
        <f t="shared" si="0"/>
        <v>4</v>
      </c>
      <c r="AH1" s="32">
        <f t="shared" si="0"/>
        <v>4</v>
      </c>
      <c r="AI1" s="32">
        <f t="shared" si="0"/>
        <v>4</v>
      </c>
      <c r="AJ1" s="32">
        <f t="shared" si="0"/>
        <v>0</v>
      </c>
      <c r="AK1" s="32">
        <f t="shared" si="0"/>
        <v>4</v>
      </c>
      <c r="AL1" s="32">
        <f t="shared" si="0"/>
        <v>4</v>
      </c>
      <c r="AM1" s="32">
        <f t="shared" si="0"/>
        <v>4</v>
      </c>
      <c r="AN1" s="32">
        <f t="shared" si="0"/>
        <v>4</v>
      </c>
      <c r="AO1" s="32">
        <f t="shared" si="0"/>
        <v>0</v>
      </c>
      <c r="AP1" s="32">
        <f t="shared" si="0"/>
        <v>0</v>
      </c>
      <c r="AQ1" s="32">
        <f t="shared" si="0"/>
        <v>1</v>
      </c>
      <c r="AR1" s="32">
        <f t="shared" si="0"/>
        <v>8</v>
      </c>
      <c r="AS1" s="32">
        <f t="shared" si="0"/>
        <v>0</v>
      </c>
      <c r="AT1" s="32">
        <f t="shared" si="0"/>
        <v>0</v>
      </c>
      <c r="AU1" s="32">
        <f t="shared" si="0"/>
        <v>4</v>
      </c>
      <c r="AV1" s="32">
        <f t="shared" si="0"/>
        <v>4</v>
      </c>
      <c r="AW1" s="32">
        <f t="shared" si="0"/>
        <v>4</v>
      </c>
      <c r="AX1" s="32">
        <f t="shared" si="0"/>
        <v>3</v>
      </c>
      <c r="AY1" s="32">
        <f t="shared" si="0"/>
        <v>0</v>
      </c>
      <c r="AZ1" s="32">
        <f t="shared" si="0"/>
        <v>4</v>
      </c>
      <c r="BA1" s="32">
        <f t="shared" si="0"/>
        <v>4</v>
      </c>
      <c r="BB1" s="32">
        <f t="shared" si="0"/>
        <v>5</v>
      </c>
      <c r="BC1" s="32">
        <f t="shared" si="0"/>
        <v>5</v>
      </c>
      <c r="BD1" s="32">
        <f t="shared" si="0"/>
        <v>2</v>
      </c>
      <c r="BE1" s="32">
        <f t="shared" si="0"/>
        <v>1</v>
      </c>
      <c r="BF1" s="32">
        <f t="shared" si="0"/>
        <v>3</v>
      </c>
      <c r="BG1" s="32">
        <f t="shared" si="0"/>
        <v>6</v>
      </c>
      <c r="BH1" s="32">
        <f t="shared" ref="BH1:CJ1" si="1">SUM(BH5:BH32)</f>
        <v>0</v>
      </c>
      <c r="BI1" s="32">
        <f t="shared" si="1"/>
        <v>0</v>
      </c>
      <c r="BJ1" s="32">
        <f t="shared" si="1"/>
        <v>2</v>
      </c>
      <c r="BK1" s="32">
        <f t="shared" si="1"/>
        <v>2</v>
      </c>
      <c r="BL1" s="32">
        <f t="shared" si="1"/>
        <v>2</v>
      </c>
      <c r="BM1" s="32">
        <f t="shared" si="1"/>
        <v>2</v>
      </c>
      <c r="BN1" s="32">
        <f t="shared" si="1"/>
        <v>0</v>
      </c>
      <c r="BO1" s="32">
        <f t="shared" si="1"/>
        <v>2</v>
      </c>
      <c r="BP1" s="32">
        <f t="shared" si="1"/>
        <v>2</v>
      </c>
      <c r="BQ1" s="32">
        <f t="shared" si="1"/>
        <v>2</v>
      </c>
      <c r="BR1" s="32">
        <f t="shared" si="1"/>
        <v>2</v>
      </c>
      <c r="BS1" s="32">
        <f t="shared" si="1"/>
        <v>0</v>
      </c>
      <c r="BT1" s="32">
        <f t="shared" si="1"/>
        <v>0</v>
      </c>
      <c r="BU1" s="32">
        <f t="shared" si="1"/>
        <v>1</v>
      </c>
      <c r="BV1" s="32">
        <f t="shared" si="1"/>
        <v>6</v>
      </c>
      <c r="BW1" s="32">
        <f t="shared" si="1"/>
        <v>0</v>
      </c>
      <c r="BX1" s="32">
        <f t="shared" si="1"/>
        <v>0</v>
      </c>
      <c r="BY1" s="32">
        <f t="shared" si="1"/>
        <v>5</v>
      </c>
      <c r="BZ1" s="32">
        <f t="shared" si="1"/>
        <v>4</v>
      </c>
      <c r="CA1" s="32">
        <f t="shared" si="1"/>
        <v>4</v>
      </c>
      <c r="CB1" s="32">
        <f t="shared" si="1"/>
        <v>3</v>
      </c>
      <c r="CC1" s="32">
        <f t="shared" si="1"/>
        <v>0</v>
      </c>
      <c r="CD1" s="32">
        <f t="shared" si="1"/>
        <v>5</v>
      </c>
      <c r="CE1" s="32">
        <f t="shared" si="1"/>
        <v>5</v>
      </c>
      <c r="CF1" s="32">
        <f t="shared" si="1"/>
        <v>6</v>
      </c>
      <c r="CG1" s="32">
        <f t="shared" si="1"/>
        <v>6</v>
      </c>
      <c r="CH1" s="32">
        <f t="shared" si="1"/>
        <v>3</v>
      </c>
      <c r="CI1" s="32">
        <f t="shared" si="1"/>
        <v>2</v>
      </c>
      <c r="CJ1" s="32">
        <f t="shared" si="1"/>
        <v>4</v>
      </c>
      <c r="CK1" s="43">
        <v>0.04</v>
      </c>
      <c r="CL1" s="43">
        <v>0.03</v>
      </c>
      <c r="CM1" s="43">
        <v>0.02</v>
      </c>
      <c r="CN1" s="43">
        <v>0.03</v>
      </c>
      <c r="CO1" s="43">
        <v>0.06</v>
      </c>
      <c r="CP1" s="43">
        <v>0.02</v>
      </c>
      <c r="CQ1" s="43">
        <v>0.05</v>
      </c>
      <c r="CR1" s="43">
        <v>0.05</v>
      </c>
      <c r="CS1" s="43">
        <v>0.12</v>
      </c>
      <c r="CT1" s="43">
        <v>0.12</v>
      </c>
      <c r="CU1" s="43">
        <v>0.1</v>
      </c>
      <c r="CV1" s="43">
        <v>0.14000000000000001</v>
      </c>
      <c r="CW1" s="43">
        <v>0.03</v>
      </c>
      <c r="CX1" s="43">
        <v>0.12</v>
      </c>
      <c r="CY1" s="43">
        <v>7.0000000000000007E-2</v>
      </c>
    </row>
    <row r="2" spans="1:154" x14ac:dyDescent="0.25">
      <c r="A2" s="15"/>
      <c r="B2" s="18"/>
      <c r="C2" s="18"/>
      <c r="D2" s="18"/>
      <c r="E2" s="18"/>
      <c r="F2" s="18"/>
      <c r="G2" s="18"/>
      <c r="H2" s="17"/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  <c r="U2">
        <v>13</v>
      </c>
      <c r="V2">
        <v>14</v>
      </c>
      <c r="W2">
        <v>15</v>
      </c>
      <c r="X2">
        <v>16</v>
      </c>
      <c r="AC2" s="11" t="s">
        <v>28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 t="s">
        <v>29</v>
      </c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 t="s">
        <v>30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 t="s">
        <v>31</v>
      </c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 t="s">
        <v>90</v>
      </c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 t="s">
        <v>91</v>
      </c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 t="s">
        <v>92</v>
      </c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F2" s="11" t="s">
        <v>93</v>
      </c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>
        <v>149</v>
      </c>
    </row>
    <row r="3" spans="1:154" ht="18.75" x14ac:dyDescent="0.3">
      <c r="A3" s="19"/>
      <c r="B3" s="20" t="s">
        <v>4</v>
      </c>
      <c r="C3" s="10" t="s">
        <v>94</v>
      </c>
      <c r="D3" s="10"/>
      <c r="E3" s="10"/>
      <c r="F3" s="10"/>
      <c r="G3" s="10"/>
      <c r="H3" s="21"/>
      <c r="J3" s="9" t="s">
        <v>60</v>
      </c>
      <c r="K3" s="9"/>
      <c r="L3" s="9"/>
      <c r="M3" s="9" t="s">
        <v>61</v>
      </c>
      <c r="N3" s="9"/>
      <c r="O3" s="9"/>
      <c r="P3" s="9"/>
      <c r="Q3" s="9"/>
      <c r="R3" s="9" t="s">
        <v>62</v>
      </c>
      <c r="S3" s="9"/>
      <c r="T3" s="9"/>
      <c r="U3" s="8" t="s">
        <v>63</v>
      </c>
      <c r="V3" s="8"/>
      <c r="W3" s="8"/>
      <c r="X3" s="8"/>
      <c r="AC3" s="9" t="s">
        <v>60</v>
      </c>
      <c r="AD3" s="9"/>
      <c r="AE3" s="9"/>
      <c r="AF3" s="9" t="s">
        <v>61</v>
      </c>
      <c r="AG3" s="9"/>
      <c r="AH3" s="9"/>
      <c r="AI3" s="9"/>
      <c r="AJ3" s="9"/>
      <c r="AK3" s="9" t="s">
        <v>62</v>
      </c>
      <c r="AL3" s="9"/>
      <c r="AM3" s="9"/>
      <c r="AN3" s="8" t="s">
        <v>63</v>
      </c>
      <c r="AO3" s="8"/>
      <c r="AP3" s="8"/>
      <c r="AQ3" s="8"/>
      <c r="AR3" s="9" t="s">
        <v>60</v>
      </c>
      <c r="AS3" s="9"/>
      <c r="AT3" s="9"/>
      <c r="AU3" s="9" t="s">
        <v>61</v>
      </c>
      <c r="AV3" s="9"/>
      <c r="AW3" s="9"/>
      <c r="AX3" s="9"/>
      <c r="AY3" s="9"/>
      <c r="AZ3" s="9" t="s">
        <v>62</v>
      </c>
      <c r="BA3" s="9"/>
      <c r="BB3" s="9"/>
      <c r="BC3" s="8" t="s">
        <v>63</v>
      </c>
      <c r="BD3" s="8"/>
      <c r="BE3" s="8"/>
      <c r="BF3" s="8"/>
      <c r="BG3" s="9" t="s">
        <v>60</v>
      </c>
      <c r="BH3" s="9"/>
      <c r="BI3" s="9"/>
      <c r="BJ3" s="9" t="s">
        <v>61</v>
      </c>
      <c r="BK3" s="9"/>
      <c r="BL3" s="9"/>
      <c r="BM3" s="9"/>
      <c r="BN3" s="9"/>
      <c r="BO3" s="9" t="s">
        <v>62</v>
      </c>
      <c r="BP3" s="9"/>
      <c r="BQ3" s="9"/>
      <c r="BR3" s="8" t="s">
        <v>63</v>
      </c>
      <c r="BS3" s="8"/>
      <c r="BT3" s="8"/>
      <c r="BU3" s="8"/>
      <c r="BV3" s="9" t="s">
        <v>60</v>
      </c>
      <c r="BW3" s="9"/>
      <c r="BX3" s="9"/>
      <c r="BY3" s="9" t="s">
        <v>61</v>
      </c>
      <c r="BZ3" s="9"/>
      <c r="CA3" s="9"/>
      <c r="CB3" s="9"/>
      <c r="CC3" s="9"/>
      <c r="CD3" s="9" t="s">
        <v>62</v>
      </c>
      <c r="CE3" s="9"/>
      <c r="CF3" s="9"/>
      <c r="CG3" s="8" t="s">
        <v>63</v>
      </c>
      <c r="CH3" s="8"/>
      <c r="CI3" s="8"/>
      <c r="CJ3" s="8"/>
      <c r="CK3" s="9" t="s">
        <v>60</v>
      </c>
      <c r="CL3" s="9"/>
      <c r="CM3" s="9"/>
      <c r="CN3" s="9" t="s">
        <v>61</v>
      </c>
      <c r="CO3" s="9"/>
      <c r="CP3" s="9"/>
      <c r="CQ3" s="9"/>
      <c r="CR3" s="9"/>
      <c r="CS3" s="9" t="s">
        <v>62</v>
      </c>
      <c r="CT3" s="9"/>
      <c r="CU3" s="9"/>
      <c r="CV3" s="8" t="s">
        <v>63</v>
      </c>
      <c r="CW3" s="8"/>
      <c r="CX3" s="8"/>
      <c r="CY3" s="8"/>
      <c r="CZ3" s="9" t="s">
        <v>60</v>
      </c>
      <c r="DA3" s="9"/>
      <c r="DB3" s="9"/>
      <c r="DC3" s="9" t="s">
        <v>61</v>
      </c>
      <c r="DD3" s="9"/>
      <c r="DE3" s="9"/>
      <c r="DF3" s="9"/>
      <c r="DG3" s="9"/>
      <c r="DH3" s="9" t="s">
        <v>62</v>
      </c>
      <c r="DI3" s="9"/>
      <c r="DJ3" s="9"/>
      <c r="DK3" s="8" t="s">
        <v>63</v>
      </c>
      <c r="DL3" s="8"/>
      <c r="DM3" s="8"/>
      <c r="DN3" s="8"/>
      <c r="DO3" s="9" t="s">
        <v>60</v>
      </c>
      <c r="DP3" s="9"/>
      <c r="DQ3" s="9"/>
      <c r="DR3" s="9" t="s">
        <v>61</v>
      </c>
      <c r="DS3" s="9"/>
      <c r="DT3" s="9"/>
      <c r="DU3" s="9"/>
      <c r="DV3" s="9"/>
      <c r="DW3" s="9" t="s">
        <v>62</v>
      </c>
      <c r="DX3" s="9"/>
      <c r="DY3" s="9"/>
      <c r="DZ3" s="8" t="s">
        <v>63</v>
      </c>
      <c r="EA3" s="8"/>
      <c r="EB3" s="8"/>
      <c r="EC3" s="8"/>
      <c r="EF3" s="9" t="s">
        <v>60</v>
      </c>
      <c r="EG3" s="9"/>
      <c r="EH3" s="9"/>
      <c r="EI3" s="9" t="s">
        <v>61</v>
      </c>
      <c r="EJ3" s="9"/>
      <c r="EK3" s="9"/>
      <c r="EL3" s="9"/>
      <c r="EM3" s="9"/>
      <c r="EN3" s="9" t="s">
        <v>62</v>
      </c>
      <c r="EO3" s="9"/>
      <c r="EP3" s="9"/>
      <c r="EQ3" s="8" t="s">
        <v>63</v>
      </c>
      <c r="ER3" s="8"/>
      <c r="ES3" s="8"/>
      <c r="ET3" s="8"/>
      <c r="EX3" t="s">
        <v>95</v>
      </c>
    </row>
    <row r="4" spans="1:154" ht="15.75" x14ac:dyDescent="0.25">
      <c r="A4" s="19"/>
      <c r="B4" s="22" t="s">
        <v>9</v>
      </c>
      <c r="C4" s="12" t="s">
        <v>10</v>
      </c>
      <c r="D4" s="12"/>
      <c r="E4" s="12"/>
      <c r="F4" s="12"/>
      <c r="G4" s="12"/>
      <c r="H4" s="21"/>
      <c r="J4" s="44" t="s">
        <v>34</v>
      </c>
      <c r="K4" s="45" t="s">
        <v>37</v>
      </c>
      <c r="L4" s="45" t="s">
        <v>40</v>
      </c>
      <c r="M4" s="44" t="s">
        <v>43</v>
      </c>
      <c r="N4" s="45" t="s">
        <v>44</v>
      </c>
      <c r="O4" s="45" t="s">
        <v>47</v>
      </c>
      <c r="P4" s="45" t="s">
        <v>49</v>
      </c>
      <c r="Q4" s="45" t="s">
        <v>51</v>
      </c>
      <c r="R4" s="44" t="s">
        <v>52</v>
      </c>
      <c r="S4" s="45" t="s">
        <v>53</v>
      </c>
      <c r="T4" s="45" t="s">
        <v>54</v>
      </c>
      <c r="U4" s="44" t="s">
        <v>55</v>
      </c>
      <c r="V4" s="45" t="s">
        <v>56</v>
      </c>
      <c r="W4" s="45" t="s">
        <v>57</v>
      </c>
      <c r="X4" s="46" t="s">
        <v>58</v>
      </c>
      <c r="Y4" t="s">
        <v>12</v>
      </c>
      <c r="Z4" t="s">
        <v>96</v>
      </c>
      <c r="AA4" t="s">
        <v>13</v>
      </c>
      <c r="AB4" t="s">
        <v>14</v>
      </c>
      <c r="AC4" s="44" t="s">
        <v>34</v>
      </c>
      <c r="AD4" s="45" t="s">
        <v>37</v>
      </c>
      <c r="AE4" s="45" t="s">
        <v>40</v>
      </c>
      <c r="AF4" s="44" t="s">
        <v>43</v>
      </c>
      <c r="AG4" s="45" t="s">
        <v>44</v>
      </c>
      <c r="AH4" s="45" t="s">
        <v>47</v>
      </c>
      <c r="AI4" s="45" t="s">
        <v>49</v>
      </c>
      <c r="AJ4" s="45" t="s">
        <v>51</v>
      </c>
      <c r="AK4" s="44" t="s">
        <v>52</v>
      </c>
      <c r="AL4" s="45" t="s">
        <v>53</v>
      </c>
      <c r="AM4" s="45" t="s">
        <v>54</v>
      </c>
      <c r="AN4" s="44" t="s">
        <v>55</v>
      </c>
      <c r="AO4" s="45" t="s">
        <v>56</v>
      </c>
      <c r="AP4" s="45" t="s">
        <v>57</v>
      </c>
      <c r="AQ4" s="46" t="s">
        <v>58</v>
      </c>
      <c r="AR4" s="44" t="s">
        <v>34</v>
      </c>
      <c r="AS4" s="45" t="s">
        <v>37</v>
      </c>
      <c r="AT4" s="45" t="s">
        <v>40</v>
      </c>
      <c r="AU4" s="44" t="s">
        <v>43</v>
      </c>
      <c r="AV4" s="45" t="s">
        <v>44</v>
      </c>
      <c r="AW4" s="45" t="s">
        <v>47</v>
      </c>
      <c r="AX4" s="45" t="s">
        <v>49</v>
      </c>
      <c r="AY4" s="45" t="s">
        <v>51</v>
      </c>
      <c r="AZ4" s="44" t="s">
        <v>52</v>
      </c>
      <c r="BA4" s="45" t="s">
        <v>53</v>
      </c>
      <c r="BB4" s="45" t="s">
        <v>54</v>
      </c>
      <c r="BC4" s="44" t="s">
        <v>55</v>
      </c>
      <c r="BD4" s="45" t="s">
        <v>56</v>
      </c>
      <c r="BE4" s="45" t="s">
        <v>57</v>
      </c>
      <c r="BF4" s="46" t="s">
        <v>58</v>
      </c>
      <c r="BG4" s="44" t="s">
        <v>34</v>
      </c>
      <c r="BH4" s="45" t="s">
        <v>37</v>
      </c>
      <c r="BI4" s="45" t="s">
        <v>40</v>
      </c>
      <c r="BJ4" s="44" t="s">
        <v>43</v>
      </c>
      <c r="BK4" s="45" t="s">
        <v>44</v>
      </c>
      <c r="BL4" s="45" t="s">
        <v>47</v>
      </c>
      <c r="BM4" s="45" t="s">
        <v>49</v>
      </c>
      <c r="BN4" s="45" t="s">
        <v>51</v>
      </c>
      <c r="BO4" s="44" t="s">
        <v>52</v>
      </c>
      <c r="BP4" s="45" t="s">
        <v>53</v>
      </c>
      <c r="BQ4" s="45" t="s">
        <v>54</v>
      </c>
      <c r="BR4" s="44" t="s">
        <v>55</v>
      </c>
      <c r="BS4" s="45" t="s">
        <v>56</v>
      </c>
      <c r="BT4" s="45" t="s">
        <v>57</v>
      </c>
      <c r="BU4" s="46" t="s">
        <v>58</v>
      </c>
      <c r="BV4" s="44" t="s">
        <v>34</v>
      </c>
      <c r="BW4" s="45" t="s">
        <v>37</v>
      </c>
      <c r="BX4" s="45" t="s">
        <v>40</v>
      </c>
      <c r="BY4" s="44" t="s">
        <v>43</v>
      </c>
      <c r="BZ4" s="45" t="s">
        <v>44</v>
      </c>
      <c r="CA4" s="45" t="s">
        <v>47</v>
      </c>
      <c r="CB4" s="45" t="s">
        <v>49</v>
      </c>
      <c r="CC4" s="45" t="s">
        <v>51</v>
      </c>
      <c r="CD4" s="44" t="s">
        <v>52</v>
      </c>
      <c r="CE4" s="45" t="s">
        <v>53</v>
      </c>
      <c r="CF4" s="45" t="s">
        <v>54</v>
      </c>
      <c r="CG4" s="44" t="s">
        <v>55</v>
      </c>
      <c r="CH4" s="45" t="s">
        <v>56</v>
      </c>
      <c r="CI4" s="45" t="s">
        <v>57</v>
      </c>
      <c r="CJ4" s="46" t="s">
        <v>58</v>
      </c>
      <c r="CK4" s="44" t="s">
        <v>34</v>
      </c>
      <c r="CL4" s="45" t="s">
        <v>37</v>
      </c>
      <c r="CM4" s="45" t="s">
        <v>40</v>
      </c>
      <c r="CN4" s="44" t="s">
        <v>43</v>
      </c>
      <c r="CO4" s="45" t="s">
        <v>44</v>
      </c>
      <c r="CP4" s="45" t="s">
        <v>47</v>
      </c>
      <c r="CQ4" s="45" t="s">
        <v>49</v>
      </c>
      <c r="CR4" s="45" t="s">
        <v>51</v>
      </c>
      <c r="CS4" s="44" t="s">
        <v>52</v>
      </c>
      <c r="CT4" s="45" t="s">
        <v>53</v>
      </c>
      <c r="CU4" s="45" t="s">
        <v>54</v>
      </c>
      <c r="CV4" s="44" t="s">
        <v>55</v>
      </c>
      <c r="CW4" s="45" t="s">
        <v>56</v>
      </c>
      <c r="CX4" s="45" t="s">
        <v>57</v>
      </c>
      <c r="CY4" s="46" t="s">
        <v>58</v>
      </c>
      <c r="CZ4" s="44" t="s">
        <v>34</v>
      </c>
      <c r="DA4" s="45" t="s">
        <v>37</v>
      </c>
      <c r="DB4" s="45" t="s">
        <v>40</v>
      </c>
      <c r="DC4" s="44" t="s">
        <v>43</v>
      </c>
      <c r="DD4" s="45" t="s">
        <v>44</v>
      </c>
      <c r="DE4" s="45" t="s">
        <v>47</v>
      </c>
      <c r="DF4" s="45" t="s">
        <v>49</v>
      </c>
      <c r="DG4" s="45" t="s">
        <v>51</v>
      </c>
      <c r="DH4" s="44" t="s">
        <v>52</v>
      </c>
      <c r="DI4" s="45" t="s">
        <v>53</v>
      </c>
      <c r="DJ4" s="45" t="s">
        <v>54</v>
      </c>
      <c r="DK4" s="44" t="s">
        <v>55</v>
      </c>
      <c r="DL4" s="45" t="s">
        <v>56</v>
      </c>
      <c r="DM4" s="45" t="s">
        <v>57</v>
      </c>
      <c r="DN4" s="46" t="s">
        <v>58</v>
      </c>
      <c r="DO4" s="44" t="s">
        <v>34</v>
      </c>
      <c r="DP4" s="45" t="s">
        <v>37</v>
      </c>
      <c r="DQ4" s="45" t="s">
        <v>40</v>
      </c>
      <c r="DR4" s="44" t="s">
        <v>43</v>
      </c>
      <c r="DS4" s="45" t="s">
        <v>44</v>
      </c>
      <c r="DT4" s="45" t="s">
        <v>47</v>
      </c>
      <c r="DU4" s="45" t="s">
        <v>49</v>
      </c>
      <c r="DV4" s="45" t="s">
        <v>51</v>
      </c>
      <c r="DW4" s="44" t="s">
        <v>52</v>
      </c>
      <c r="DX4" s="45" t="s">
        <v>53</v>
      </c>
      <c r="DY4" s="45" t="s">
        <v>54</v>
      </c>
      <c r="DZ4" s="44" t="s">
        <v>55</v>
      </c>
      <c r="EA4" s="45" t="s">
        <v>56</v>
      </c>
      <c r="EB4" s="45" t="s">
        <v>57</v>
      </c>
      <c r="EC4" s="46" t="s">
        <v>58</v>
      </c>
      <c r="EF4" s="44" t="s">
        <v>34</v>
      </c>
      <c r="EG4" s="45" t="s">
        <v>37</v>
      </c>
      <c r="EH4" s="45" t="s">
        <v>40</v>
      </c>
      <c r="EI4" s="44" t="s">
        <v>43</v>
      </c>
      <c r="EJ4" s="45" t="s">
        <v>44</v>
      </c>
      <c r="EK4" s="45" t="s">
        <v>47</v>
      </c>
      <c r="EL4" s="45" t="s">
        <v>49</v>
      </c>
      <c r="EM4" s="45" t="s">
        <v>51</v>
      </c>
      <c r="EN4" s="44" t="s">
        <v>52</v>
      </c>
      <c r="EO4" s="45" t="s">
        <v>53</v>
      </c>
      <c r="EP4" s="45" t="s">
        <v>54</v>
      </c>
      <c r="EQ4" s="44" t="s">
        <v>55</v>
      </c>
      <c r="ER4" s="45" t="s">
        <v>56</v>
      </c>
      <c r="ES4" s="45" t="s">
        <v>57</v>
      </c>
      <c r="ET4" s="46" t="s">
        <v>58</v>
      </c>
      <c r="EU4" t="s">
        <v>97</v>
      </c>
      <c r="EV4" t="s">
        <v>98</v>
      </c>
      <c r="EW4" t="s">
        <v>99</v>
      </c>
      <c r="EX4" t="s">
        <v>100</v>
      </c>
    </row>
    <row r="5" spans="1:154" x14ac:dyDescent="0.25">
      <c r="A5" s="23">
        <f t="shared" ref="A5:A32" si="2">EV5</f>
        <v>0</v>
      </c>
      <c r="B5" s="24" t="s">
        <v>81</v>
      </c>
      <c r="C5" s="25" t="s">
        <v>12</v>
      </c>
      <c r="D5" s="25" t="s">
        <v>13</v>
      </c>
      <c r="E5" s="25" t="s">
        <v>14</v>
      </c>
      <c r="F5" s="25" t="s">
        <v>15</v>
      </c>
      <c r="G5" s="25" t="s">
        <v>16</v>
      </c>
      <c r="H5" s="21"/>
      <c r="J5" s="32" t="str">
        <f t="shared" ref="J5:X14" si="3">IF($B5="",0,VLOOKUP($B5,ITEMS,J$2,FALSE()))</f>
        <v>K</v>
      </c>
      <c r="K5" s="32">
        <f t="shared" si="3"/>
        <v>0</v>
      </c>
      <c r="L5" s="32">
        <f t="shared" si="3"/>
        <v>0</v>
      </c>
      <c r="M5" s="32">
        <f t="shared" si="3"/>
        <v>0</v>
      </c>
      <c r="N5" s="32">
        <f t="shared" si="3"/>
        <v>0</v>
      </c>
      <c r="O5" s="32">
        <f t="shared" si="3"/>
        <v>0</v>
      </c>
      <c r="P5" s="32">
        <f t="shared" si="3"/>
        <v>0</v>
      </c>
      <c r="Q5" s="32">
        <f t="shared" si="3"/>
        <v>0</v>
      </c>
      <c r="R5" s="32">
        <f t="shared" si="3"/>
        <v>0</v>
      </c>
      <c r="S5" s="32">
        <f t="shared" si="3"/>
        <v>0</v>
      </c>
      <c r="T5" s="32">
        <f t="shared" si="3"/>
        <v>0</v>
      </c>
      <c r="U5" s="32">
        <f t="shared" si="3"/>
        <v>0</v>
      </c>
      <c r="V5" s="32">
        <f t="shared" si="3"/>
        <v>0</v>
      </c>
      <c r="W5" s="32">
        <f t="shared" si="3"/>
        <v>0</v>
      </c>
      <c r="X5" s="32">
        <f t="shared" si="3"/>
        <v>0</v>
      </c>
      <c r="Y5" s="41">
        <f t="shared" ref="Y5:Y32" si="4">IF($B5="",0,VLOOKUP($B5,ITEMS,17,FALSE()))</f>
        <v>20</v>
      </c>
      <c r="Z5" s="42">
        <f t="shared" ref="Z5:Z32" si="5">IF($B5="",0,VLOOKUP($B5,ITEMS,18,FALSE()))</f>
        <v>3.04</v>
      </c>
      <c r="AA5" s="32">
        <f t="shared" ref="AA5:AA32" si="6">IF($B5="",0,VLOOKUP($B5,ITEMS,19,FALSE()))</f>
        <v>0</v>
      </c>
      <c r="AB5" s="32">
        <f t="shared" ref="AB5:AB32" si="7">IF($B5="",0,VLOOKUP($B5,ITEMS,20,FALSE()))</f>
        <v>0</v>
      </c>
      <c r="AC5" s="32">
        <f t="shared" ref="AC5:AC32" si="8">VLOOKUP(J5,MATERIAL,5,FALSE())+IF(J5=0,0,$EW5)</f>
        <v>4</v>
      </c>
      <c r="AD5" s="32">
        <f t="shared" ref="AD5:AD32" si="9">VLOOKUP(K5,MATERIAL,5,FALSE())+IF(K5=0,0,$EW5)</f>
        <v>0</v>
      </c>
      <c r="AE5" s="32">
        <f t="shared" ref="AE5:AE32" si="10">VLOOKUP(L5,MATERIAL,5,FALSE())+IF(L5=0,0,$EW5)</f>
        <v>0</v>
      </c>
      <c r="AF5" s="32">
        <f t="shared" ref="AF5:AF32" si="11">VLOOKUP(M5,MATERIAL,5,FALSE())+IF(M5=0,0,$EW5)</f>
        <v>0</v>
      </c>
      <c r="AG5" s="32">
        <f t="shared" ref="AG5:AG32" si="12">VLOOKUP(N5,MATERIAL,5,FALSE())+IF(N5=0,0,$EW5)</f>
        <v>0</v>
      </c>
      <c r="AH5" s="32">
        <f t="shared" ref="AH5:AH32" si="13">VLOOKUP(O5,MATERIAL,5,FALSE())+IF(O5=0,0,$EW5)</f>
        <v>0</v>
      </c>
      <c r="AI5" s="32">
        <f t="shared" ref="AI5:AI32" si="14">VLOOKUP(P5,MATERIAL,5,FALSE())+IF(P5=0,0,$EW5)</f>
        <v>0</v>
      </c>
      <c r="AJ5" s="32">
        <f t="shared" ref="AJ5:AJ32" si="15">VLOOKUP(Q5,MATERIAL,5,FALSE())+IF(Q5=0,0,$EW5)</f>
        <v>0</v>
      </c>
      <c r="AK5" s="32">
        <f t="shared" ref="AK5:AK32" si="16">VLOOKUP(R5,MATERIAL,5,FALSE())+IF(R5=0,0,$EW5)</f>
        <v>0</v>
      </c>
      <c r="AL5" s="32">
        <f t="shared" ref="AL5:AL32" si="17">VLOOKUP(S5,MATERIAL,5,FALSE())+IF(S5=0,0,$EW5)</f>
        <v>0</v>
      </c>
      <c r="AM5" s="32">
        <f t="shared" ref="AM5:AM32" si="18">VLOOKUP(T5,MATERIAL,5,FALSE())+IF(T5=0,0,$EW5)</f>
        <v>0</v>
      </c>
      <c r="AN5" s="32">
        <f t="shared" ref="AN5:AN32" si="19">VLOOKUP(U5,MATERIAL,5,FALSE())+IF(U5=0,0,$EW5)</f>
        <v>0</v>
      </c>
      <c r="AO5" s="32">
        <f t="shared" ref="AO5:AO32" si="20">VLOOKUP(V5,MATERIAL,5,FALSE())+IF(V5=0,0,$EW5)</f>
        <v>0</v>
      </c>
      <c r="AP5" s="32">
        <f t="shared" ref="AP5:AP32" si="21">VLOOKUP(W5,MATERIAL,5,FALSE())+IF(W5=0,0,$EW5)</f>
        <v>0</v>
      </c>
      <c r="AQ5" s="32">
        <f t="shared" ref="AQ5:AQ32" si="22">VLOOKUP(X5,MATERIAL,5,FALSE())+IF(X5=0,0,$EW5)</f>
        <v>0</v>
      </c>
      <c r="AR5" s="32">
        <f t="shared" ref="AR5:AR32" si="23">VLOOKUP(J5,MATERIAL,6,FALSE())+IF(J5=0,0,$EW5)</f>
        <v>6</v>
      </c>
      <c r="AS5" s="32">
        <f t="shared" ref="AS5:AS32" si="24">VLOOKUP(K5,MATERIAL,6,FALSE())+IF(K5=0,0,$EW5)</f>
        <v>0</v>
      </c>
      <c r="AT5" s="32">
        <f t="shared" ref="AT5:AT32" si="25">VLOOKUP(L5,MATERIAL,6,FALSE())+IF(L5=0,0,$EW5)</f>
        <v>0</v>
      </c>
      <c r="AU5" s="32">
        <f t="shared" ref="AU5:AU32" si="26">VLOOKUP(M5,MATERIAL,6,FALSE())+IF(M5=0,0,$EW5)</f>
        <v>0</v>
      </c>
      <c r="AV5" s="32">
        <f t="shared" ref="AV5:AV32" si="27">VLOOKUP(N5,MATERIAL,6,FALSE())+IF(N5=0,0,$EW5)</f>
        <v>0</v>
      </c>
      <c r="AW5" s="32">
        <f t="shared" ref="AW5:AW32" si="28">VLOOKUP(O5,MATERIAL,6,FALSE())+IF(O5=0,0,$EW5)</f>
        <v>0</v>
      </c>
      <c r="AX5" s="32">
        <f t="shared" ref="AX5:AX32" si="29">VLOOKUP(P5,MATERIAL,6,FALSE())+IF(P5=0,0,$EW5)</f>
        <v>0</v>
      </c>
      <c r="AY5" s="32">
        <f t="shared" ref="AY5:AY32" si="30">VLOOKUP(Q5,MATERIAL,6,FALSE())+IF(Q5=0,0,$EW5)</f>
        <v>0</v>
      </c>
      <c r="AZ5" s="32">
        <f t="shared" ref="AZ5:AZ32" si="31">VLOOKUP(R5,MATERIAL,6,FALSE())+IF(R5=0,0,$EW5)</f>
        <v>0</v>
      </c>
      <c r="BA5" s="32">
        <f t="shared" ref="BA5:BA32" si="32">VLOOKUP(S5,MATERIAL,6,FALSE())+IF(S5=0,0,$EW5)</f>
        <v>0</v>
      </c>
      <c r="BB5" s="32">
        <f t="shared" ref="BB5:BB32" si="33">VLOOKUP(T5,MATERIAL,6,FALSE())+IF(T5=0,0,$EW5)</f>
        <v>0</v>
      </c>
      <c r="BC5" s="32">
        <f t="shared" ref="BC5:BC32" si="34">VLOOKUP(U5,MATERIAL,6,FALSE())+IF(U5=0,0,$EW5)</f>
        <v>0</v>
      </c>
      <c r="BD5" s="32">
        <f t="shared" ref="BD5:BD32" si="35">VLOOKUP(V5,MATERIAL,6,FALSE())+IF(V5=0,0,$EW5)</f>
        <v>0</v>
      </c>
      <c r="BE5" s="32">
        <f t="shared" ref="BE5:BE32" si="36">VLOOKUP(W5,MATERIAL,6,FALSE())+IF(W5=0,0,$EW5)</f>
        <v>0</v>
      </c>
      <c r="BF5" s="32">
        <f t="shared" ref="BF5:BF32" si="37">VLOOKUP(X5,MATERIAL,6,FALSE())+IF(X5=0,0,$EW5)</f>
        <v>0</v>
      </c>
      <c r="BG5" s="32">
        <f t="shared" ref="BG5:BG32" si="38">VLOOKUP(J5,MATERIAL,7,FALSE())+IF(J5=0,0,$EW5)</f>
        <v>5</v>
      </c>
      <c r="BH5" s="32">
        <f t="shared" ref="BH5:BH32" si="39">VLOOKUP(K5,MATERIAL,7,FALSE())+IF(K5=0,0,$EW5)</f>
        <v>0</v>
      </c>
      <c r="BI5" s="32">
        <f t="shared" ref="BI5:BI32" si="40">VLOOKUP(L5,MATERIAL,7,FALSE())+IF(L5=0,0,$EW5)</f>
        <v>0</v>
      </c>
      <c r="BJ5" s="32">
        <f t="shared" ref="BJ5:BJ32" si="41">VLOOKUP(M5,MATERIAL,7,FALSE())+IF(M5=0,0,$EW5)</f>
        <v>0</v>
      </c>
      <c r="BK5" s="32">
        <f t="shared" ref="BK5:BK32" si="42">VLOOKUP(N5,MATERIAL,7,FALSE())+IF(N5=0,0,$EW5)</f>
        <v>0</v>
      </c>
      <c r="BL5" s="32">
        <f t="shared" ref="BL5:BL32" si="43">VLOOKUP(O5,MATERIAL,7,FALSE())+IF(O5=0,0,$EW5)</f>
        <v>0</v>
      </c>
      <c r="BM5" s="32">
        <f t="shared" ref="BM5:BM32" si="44">VLOOKUP(P5,MATERIAL,7,FALSE())+IF(P5=0,0,$EW5)</f>
        <v>0</v>
      </c>
      <c r="BN5" s="32">
        <f t="shared" ref="BN5:BN32" si="45">VLOOKUP(Q5,MATERIAL,7,FALSE())+IF(Q5=0,0,$EW5)</f>
        <v>0</v>
      </c>
      <c r="BO5" s="32">
        <f t="shared" ref="BO5:BO32" si="46">VLOOKUP(R5,MATERIAL,7,FALSE())+IF(R5=0,0,$EW5)</f>
        <v>0</v>
      </c>
      <c r="BP5" s="32">
        <f t="shared" ref="BP5:BP32" si="47">VLOOKUP(S5,MATERIAL,7,FALSE())+IF(S5=0,0,$EW5)</f>
        <v>0</v>
      </c>
      <c r="BQ5" s="32">
        <f t="shared" ref="BQ5:BQ32" si="48">VLOOKUP(T5,MATERIAL,7,FALSE())+IF(T5=0,0,$EW5)</f>
        <v>0</v>
      </c>
      <c r="BR5" s="32">
        <f t="shared" ref="BR5:BR32" si="49">VLOOKUP(U5,MATERIAL,7,FALSE())+IF(U5=0,0,$EW5)</f>
        <v>0</v>
      </c>
      <c r="BS5" s="32">
        <f t="shared" ref="BS5:BS32" si="50">VLOOKUP(V5,MATERIAL,7,FALSE())+IF(V5=0,0,$EW5)</f>
        <v>0</v>
      </c>
      <c r="BT5" s="32">
        <f t="shared" ref="BT5:BT32" si="51">VLOOKUP(W5,MATERIAL,7,FALSE())+IF(W5=0,0,$EW5)</f>
        <v>0</v>
      </c>
      <c r="BU5" s="32">
        <f t="shared" ref="BU5:BU32" si="52">VLOOKUP(X5,MATERIAL,7,FALSE())+IF(X5=0,0,$EW5)</f>
        <v>0</v>
      </c>
      <c r="BV5" s="32">
        <f t="shared" ref="BV5:BV32" si="53">VLOOKUP(J5,MATERIAL,8,FALSE())+IF(J5=0,0,$EW5)</f>
        <v>4</v>
      </c>
      <c r="BW5" s="32">
        <f t="shared" ref="BW5:BW32" si="54">VLOOKUP(K5,MATERIAL,8,FALSE())+IF(K5=0,0,$EW5)</f>
        <v>0</v>
      </c>
      <c r="BX5" s="32">
        <f t="shared" ref="BX5:BX32" si="55">VLOOKUP(L5,MATERIAL,8,FALSE())+IF(L5=0,0,$EW5)</f>
        <v>0</v>
      </c>
      <c r="BY5" s="32">
        <f t="shared" ref="BY5:BY32" si="56">VLOOKUP(M5,MATERIAL,8,FALSE())+IF(M5=0,0,$EW5)</f>
        <v>0</v>
      </c>
      <c r="BZ5" s="32">
        <f t="shared" ref="BZ5:BZ32" si="57">VLOOKUP(N5,MATERIAL,8,FALSE())+IF(N5=0,0,$EW5)</f>
        <v>0</v>
      </c>
      <c r="CA5" s="32">
        <f t="shared" ref="CA5:CA32" si="58">VLOOKUP(O5,MATERIAL,8,FALSE())+IF(O5=0,0,$EW5)</f>
        <v>0</v>
      </c>
      <c r="CB5" s="32">
        <f t="shared" ref="CB5:CB32" si="59">VLOOKUP(P5,MATERIAL,8,FALSE())+IF(P5=0,0,$EW5)</f>
        <v>0</v>
      </c>
      <c r="CC5" s="32">
        <f t="shared" ref="CC5:CC32" si="60">VLOOKUP(Q5,MATERIAL,8,FALSE())+IF(Q5=0,0,$EW5)</f>
        <v>0</v>
      </c>
      <c r="CD5" s="32">
        <f t="shared" ref="CD5:CD32" si="61">VLOOKUP(R5,MATERIAL,8,FALSE())+IF(R5=0,0,$EW5)</f>
        <v>0</v>
      </c>
      <c r="CE5" s="32">
        <f t="shared" ref="CE5:CE32" si="62">VLOOKUP(S5,MATERIAL,8,FALSE())+IF(S5=0,0,$EW5)</f>
        <v>0</v>
      </c>
      <c r="CF5" s="32">
        <f t="shared" ref="CF5:CF32" si="63">VLOOKUP(T5,MATERIAL,8,FALSE())+IF(T5=0,0,$EW5)</f>
        <v>0</v>
      </c>
      <c r="CG5" s="32">
        <f t="shared" ref="CG5:CG32" si="64">VLOOKUP(U5,MATERIAL,8,FALSE())+IF(U5=0,0,$EW5)</f>
        <v>0</v>
      </c>
      <c r="CH5" s="32">
        <f t="shared" ref="CH5:CH32" si="65">VLOOKUP(V5,MATERIAL,8,FALSE())+IF(V5=0,0,$EW5)</f>
        <v>0</v>
      </c>
      <c r="CI5" s="32">
        <f t="shared" ref="CI5:CI32" si="66">VLOOKUP(W5,MATERIAL,8,FALSE())+IF(W5=0,0,$EW5)</f>
        <v>0</v>
      </c>
      <c r="CJ5" s="32">
        <f t="shared" ref="CJ5:CJ32" si="67">VLOOKUP(X5,MATERIAL,8,FALSE())+IF(X5=0,0,$EW5)</f>
        <v>0</v>
      </c>
      <c r="CK5" s="32">
        <f t="shared" ref="CK5:CK32" si="68">VLOOKUP(J5,MATERIAL,4,FALSE())</f>
        <v>1</v>
      </c>
      <c r="CL5" s="32">
        <f t="shared" ref="CL5:CL32" si="69">VLOOKUP(K5,MATERIAL,4,FALSE())</f>
        <v>0</v>
      </c>
      <c r="CM5" s="32">
        <f t="shared" ref="CM5:CM32" si="70">VLOOKUP(L5,MATERIAL,4,FALSE())</f>
        <v>0</v>
      </c>
      <c r="CN5" s="32">
        <f t="shared" ref="CN5:CN32" si="71">VLOOKUP(M5,MATERIAL,4,FALSE())</f>
        <v>0</v>
      </c>
      <c r="CO5" s="32">
        <f t="shared" ref="CO5:CO32" si="72">VLOOKUP(N5,MATERIAL,4,FALSE())</f>
        <v>0</v>
      </c>
      <c r="CP5" s="32">
        <f t="shared" ref="CP5:CP32" si="73">VLOOKUP(O5,MATERIAL,4,FALSE())</f>
        <v>0</v>
      </c>
      <c r="CQ5" s="32">
        <f t="shared" ref="CQ5:CQ32" si="74">VLOOKUP(P5,MATERIAL,4,FALSE())</f>
        <v>0</v>
      </c>
      <c r="CR5" s="32">
        <f t="shared" ref="CR5:CR32" si="75">VLOOKUP(Q5,MATERIAL,4,FALSE())</f>
        <v>0</v>
      </c>
      <c r="CS5" s="32">
        <f t="shared" ref="CS5:CS32" si="76">VLOOKUP(R5,MATERIAL,4,FALSE())</f>
        <v>0</v>
      </c>
      <c r="CT5" s="32">
        <f t="shared" ref="CT5:CT32" si="77">VLOOKUP(S5,MATERIAL,4,FALSE())</f>
        <v>0</v>
      </c>
      <c r="CU5" s="32">
        <f t="shared" ref="CU5:CU32" si="78">VLOOKUP(T5,MATERIAL,4,FALSE())</f>
        <v>0</v>
      </c>
      <c r="CV5" s="32">
        <f t="shared" ref="CV5:CV32" si="79">VLOOKUP(U5,MATERIAL,4,FALSE())</f>
        <v>0</v>
      </c>
      <c r="CW5" s="32">
        <f t="shared" ref="CW5:CW32" si="80">VLOOKUP(V5,MATERIAL,4,FALSE())</f>
        <v>0</v>
      </c>
      <c r="CX5" s="32">
        <f t="shared" ref="CX5:CX32" si="81">VLOOKUP(W5,MATERIAL,4,FALSE())</f>
        <v>0</v>
      </c>
      <c r="CY5" s="32">
        <f t="shared" ref="CY5:CY32" si="82">VLOOKUP(X5,MATERIAL,4,FALSE())</f>
        <v>0</v>
      </c>
      <c r="CZ5" s="32" t="str">
        <f t="shared" ref="CZ5:CZ32" si="83">IF(J5=0,0,LEFT(J5,1))</f>
        <v>K</v>
      </c>
      <c r="DA5" s="32">
        <f t="shared" ref="DA5:DA32" si="84">IF(K5=0,0,LEFT(K5,1))</f>
        <v>0</v>
      </c>
      <c r="DB5" s="32">
        <f t="shared" ref="DB5:DB32" si="85">IF(L5=0,0,LEFT(L5,1))</f>
        <v>0</v>
      </c>
      <c r="DC5" s="32">
        <f t="shared" ref="DC5:DC32" si="86">IF(M5=0,0,LEFT(M5,1))</f>
        <v>0</v>
      </c>
      <c r="DD5" s="32">
        <f t="shared" ref="DD5:DD32" si="87">IF(N5=0,0,LEFT(N5,1))</f>
        <v>0</v>
      </c>
      <c r="DE5" s="32">
        <f t="shared" ref="DE5:DE32" si="88">IF(O5=0,0,LEFT(O5,1))</f>
        <v>0</v>
      </c>
      <c r="DF5" s="32">
        <f t="shared" ref="DF5:DF32" si="89">IF(P5=0,0,LEFT(P5,1))</f>
        <v>0</v>
      </c>
      <c r="DG5" s="32">
        <f t="shared" ref="DG5:DG32" si="90">IF(Q5=0,0,LEFT(Q5,1))</f>
        <v>0</v>
      </c>
      <c r="DH5" s="32">
        <f t="shared" ref="DH5:DH32" si="91">IF(R5=0,0,LEFT(R5,1))</f>
        <v>0</v>
      </c>
      <c r="DI5" s="32">
        <f t="shared" ref="DI5:DI32" si="92">IF(S5=0,0,LEFT(S5,1))</f>
        <v>0</v>
      </c>
      <c r="DJ5" s="32">
        <f t="shared" ref="DJ5:DJ32" si="93">IF(T5=0,0,LEFT(T5,1))</f>
        <v>0</v>
      </c>
      <c r="DK5" s="32">
        <f t="shared" ref="DK5:DK32" si="94">IF(U5=0,0,LEFT(U5,1))</f>
        <v>0</v>
      </c>
      <c r="DL5" s="32">
        <f t="shared" ref="DL5:DL32" si="95">IF(V5=0,0,LEFT(V5,1))</f>
        <v>0</v>
      </c>
      <c r="DM5" s="32">
        <f t="shared" ref="DM5:DM32" si="96">IF(W5=0,0,LEFT(W5,1))</f>
        <v>0</v>
      </c>
      <c r="DN5" s="32">
        <f t="shared" ref="DN5:DN32" si="97">IF(X5=0,0,LEFT(X5,1))</f>
        <v>0</v>
      </c>
      <c r="DO5" s="32">
        <f t="shared" ref="DO5:EC12" si="98">SUMIF(CZ$5:CZ$32,$ED5,CK$5:CK$32)</f>
        <v>1.5</v>
      </c>
      <c r="DP5" s="32">
        <f t="shared" si="98"/>
        <v>0</v>
      </c>
      <c r="DQ5" s="32">
        <f t="shared" si="98"/>
        <v>0</v>
      </c>
      <c r="DR5" s="32">
        <f t="shared" si="98"/>
        <v>0</v>
      </c>
      <c r="DS5" s="32">
        <f t="shared" si="98"/>
        <v>0</v>
      </c>
      <c r="DT5" s="32">
        <f t="shared" si="98"/>
        <v>0</v>
      </c>
      <c r="DU5" s="32">
        <f t="shared" si="98"/>
        <v>0</v>
      </c>
      <c r="DV5" s="32">
        <f t="shared" si="98"/>
        <v>0</v>
      </c>
      <c r="DW5" s="32">
        <f t="shared" si="98"/>
        <v>0</v>
      </c>
      <c r="DX5" s="32">
        <f t="shared" si="98"/>
        <v>0</v>
      </c>
      <c r="DY5" s="32">
        <f t="shared" si="98"/>
        <v>0</v>
      </c>
      <c r="DZ5" s="32">
        <f t="shared" si="98"/>
        <v>0</v>
      </c>
      <c r="EA5" s="32">
        <f t="shared" si="98"/>
        <v>0</v>
      </c>
      <c r="EB5" s="32">
        <f t="shared" si="98"/>
        <v>0</v>
      </c>
      <c r="EC5" s="32">
        <f t="shared" si="98"/>
        <v>0</v>
      </c>
      <c r="ED5" s="31" t="s">
        <v>101</v>
      </c>
      <c r="EF5" s="32">
        <f t="shared" ref="EF5:EF32" si="99">VLOOKUP(J5,MATERIAL,9,FALSE())</f>
        <v>2</v>
      </c>
      <c r="EG5" s="32">
        <f t="shared" ref="EG5:EG32" si="100">VLOOKUP(K5,MATERIAL,9,FALSE())</f>
        <v>0</v>
      </c>
      <c r="EH5" s="32">
        <f t="shared" ref="EH5:EH32" si="101">VLOOKUP(L5,MATERIAL,9,FALSE())</f>
        <v>0</v>
      </c>
      <c r="EI5" s="32">
        <f t="shared" ref="EI5:EI32" si="102">VLOOKUP(M5,MATERIAL,9,FALSE())</f>
        <v>0</v>
      </c>
      <c r="EJ5" s="32">
        <f t="shared" ref="EJ5:EJ32" si="103">VLOOKUP(N5,MATERIAL,9,FALSE())</f>
        <v>0</v>
      </c>
      <c r="EK5" s="32">
        <f t="shared" ref="EK5:EK32" si="104">VLOOKUP(O5,MATERIAL,9,FALSE())</f>
        <v>0</v>
      </c>
      <c r="EL5" s="32">
        <f t="shared" ref="EL5:EL32" si="105">VLOOKUP(P5,MATERIAL,9,FALSE())</f>
        <v>0</v>
      </c>
      <c r="EM5" s="32">
        <f t="shared" ref="EM5:EM32" si="106">VLOOKUP(Q5,MATERIAL,9,FALSE())</f>
        <v>0</v>
      </c>
      <c r="EN5" s="32">
        <f t="shared" ref="EN5:EN32" si="107">VLOOKUP(R5,MATERIAL,9,FALSE())</f>
        <v>0</v>
      </c>
      <c r="EO5" s="32">
        <f t="shared" ref="EO5:EO32" si="108">VLOOKUP(S5,MATERIAL,9,FALSE())</f>
        <v>0</v>
      </c>
      <c r="EP5" s="32">
        <f t="shared" ref="EP5:EP32" si="109">VLOOKUP(T5,MATERIAL,9,FALSE())</f>
        <v>0</v>
      </c>
      <c r="EQ5" s="32">
        <f t="shared" ref="EQ5:EQ32" si="110">VLOOKUP(U5,MATERIAL,9,FALSE())</f>
        <v>0</v>
      </c>
      <c r="ER5" s="32">
        <f t="shared" ref="ER5:ER32" si="111">VLOOKUP(V5,MATERIAL,9,FALSE())</f>
        <v>0</v>
      </c>
      <c r="ES5" s="32">
        <f t="shared" ref="ES5:ES32" si="112">VLOOKUP(W5,MATERIAL,9,FALSE())</f>
        <v>0</v>
      </c>
      <c r="ET5" s="32">
        <f t="shared" ref="ET5:ET32" si="113">VLOOKUP(X5,MATERIAL,9,FALSE())</f>
        <v>0</v>
      </c>
      <c r="EU5" s="32">
        <f t="shared" ref="EU5:EU32" si="114">IF($B5="",0,VLOOKUP($B5,ITEMS,EU$2,FALSE()))</f>
        <v>0</v>
      </c>
      <c r="EV5" s="47">
        <f t="shared" ref="EV5:EV32" si="115">VLOOKUP(EU5,MWS,2)</f>
        <v>0</v>
      </c>
      <c r="EW5" s="47">
        <f t="shared" ref="EW5:EW32" si="116">VLOOKUP(EU5,MWS,3)</f>
        <v>0</v>
      </c>
      <c r="EX5" t="s">
        <v>102</v>
      </c>
    </row>
    <row r="6" spans="1:154" x14ac:dyDescent="0.25">
      <c r="A6" s="23">
        <f t="shared" si="2"/>
        <v>0</v>
      </c>
      <c r="B6" s="24" t="s">
        <v>20</v>
      </c>
      <c r="C6" s="26">
        <f>Y1</f>
        <v>486</v>
      </c>
      <c r="D6" s="27">
        <f>AA1</f>
        <v>5</v>
      </c>
      <c r="E6" s="27">
        <f>AB1</f>
        <v>0</v>
      </c>
      <c r="F6" s="28">
        <f>ROUND(SUMPRODUCT(BV1:CJ1,CK1:CY1)+0.2,0)</f>
        <v>4</v>
      </c>
      <c r="G6" s="29">
        <f>Z1</f>
        <v>24.630000000000003</v>
      </c>
      <c r="H6" s="21"/>
      <c r="J6" s="32" t="str">
        <f t="shared" si="3"/>
        <v>D</v>
      </c>
      <c r="K6" s="32">
        <f t="shared" si="3"/>
        <v>0</v>
      </c>
      <c r="L6" s="32">
        <f t="shared" si="3"/>
        <v>0</v>
      </c>
      <c r="M6" s="32">
        <f t="shared" si="3"/>
        <v>0</v>
      </c>
      <c r="N6" s="32">
        <f t="shared" si="3"/>
        <v>0</v>
      </c>
      <c r="O6" s="32">
        <f t="shared" si="3"/>
        <v>0</v>
      </c>
      <c r="P6" s="32">
        <f t="shared" si="3"/>
        <v>0</v>
      </c>
      <c r="Q6" s="32">
        <f t="shared" si="3"/>
        <v>0</v>
      </c>
      <c r="R6" s="32">
        <f t="shared" si="3"/>
        <v>0</v>
      </c>
      <c r="S6" s="32">
        <f t="shared" si="3"/>
        <v>0</v>
      </c>
      <c r="T6" s="32">
        <f t="shared" si="3"/>
        <v>0</v>
      </c>
      <c r="U6" s="32">
        <f t="shared" si="3"/>
        <v>0</v>
      </c>
      <c r="V6" s="32">
        <f t="shared" si="3"/>
        <v>0</v>
      </c>
      <c r="W6" s="32">
        <f t="shared" si="3"/>
        <v>0</v>
      </c>
      <c r="X6" s="32">
        <f t="shared" si="3"/>
        <v>0</v>
      </c>
      <c r="Y6" s="41">
        <f t="shared" si="4"/>
        <v>8</v>
      </c>
      <c r="Z6" s="42">
        <f t="shared" si="5"/>
        <v>0.32</v>
      </c>
      <c r="AA6" s="32">
        <f t="shared" si="6"/>
        <v>0</v>
      </c>
      <c r="AB6" s="32">
        <f t="shared" si="7"/>
        <v>0</v>
      </c>
      <c r="AC6" s="32">
        <f t="shared" si="8"/>
        <v>2</v>
      </c>
      <c r="AD6" s="32">
        <f t="shared" si="9"/>
        <v>0</v>
      </c>
      <c r="AE6" s="32">
        <f t="shared" si="10"/>
        <v>0</v>
      </c>
      <c r="AF6" s="32">
        <f t="shared" si="11"/>
        <v>0</v>
      </c>
      <c r="AG6" s="32">
        <f t="shared" si="12"/>
        <v>0</v>
      </c>
      <c r="AH6" s="32">
        <f t="shared" si="13"/>
        <v>0</v>
      </c>
      <c r="AI6" s="32">
        <f t="shared" si="14"/>
        <v>0</v>
      </c>
      <c r="AJ6" s="32">
        <f t="shared" si="15"/>
        <v>0</v>
      </c>
      <c r="AK6" s="32">
        <f t="shared" si="16"/>
        <v>0</v>
      </c>
      <c r="AL6" s="32">
        <f t="shared" si="17"/>
        <v>0</v>
      </c>
      <c r="AM6" s="32">
        <f t="shared" si="18"/>
        <v>0</v>
      </c>
      <c r="AN6" s="32">
        <f t="shared" si="19"/>
        <v>0</v>
      </c>
      <c r="AO6" s="32">
        <f t="shared" si="20"/>
        <v>0</v>
      </c>
      <c r="AP6" s="32">
        <f t="shared" si="21"/>
        <v>0</v>
      </c>
      <c r="AQ6" s="32">
        <f t="shared" si="22"/>
        <v>0</v>
      </c>
      <c r="AR6" s="32">
        <f t="shared" si="23"/>
        <v>2</v>
      </c>
      <c r="AS6" s="32">
        <f t="shared" si="24"/>
        <v>0</v>
      </c>
      <c r="AT6" s="32">
        <f t="shared" si="25"/>
        <v>0</v>
      </c>
      <c r="AU6" s="32">
        <f t="shared" si="26"/>
        <v>0</v>
      </c>
      <c r="AV6" s="32">
        <f t="shared" si="27"/>
        <v>0</v>
      </c>
      <c r="AW6" s="32">
        <f t="shared" si="28"/>
        <v>0</v>
      </c>
      <c r="AX6" s="32">
        <f t="shared" si="29"/>
        <v>0</v>
      </c>
      <c r="AY6" s="32">
        <f t="shared" si="30"/>
        <v>0</v>
      </c>
      <c r="AZ6" s="32">
        <f t="shared" si="31"/>
        <v>0</v>
      </c>
      <c r="BA6" s="32">
        <f t="shared" si="32"/>
        <v>0</v>
      </c>
      <c r="BB6" s="32">
        <f t="shared" si="33"/>
        <v>0</v>
      </c>
      <c r="BC6" s="32">
        <f t="shared" si="34"/>
        <v>0</v>
      </c>
      <c r="BD6" s="32">
        <f t="shared" si="35"/>
        <v>0</v>
      </c>
      <c r="BE6" s="32">
        <f t="shared" si="36"/>
        <v>0</v>
      </c>
      <c r="BF6" s="32">
        <f t="shared" si="37"/>
        <v>0</v>
      </c>
      <c r="BG6" s="32">
        <f t="shared" si="38"/>
        <v>1</v>
      </c>
      <c r="BH6" s="32">
        <f t="shared" si="39"/>
        <v>0</v>
      </c>
      <c r="BI6" s="32">
        <f t="shared" si="40"/>
        <v>0</v>
      </c>
      <c r="BJ6" s="32">
        <f t="shared" si="41"/>
        <v>0</v>
      </c>
      <c r="BK6" s="32">
        <f t="shared" si="42"/>
        <v>0</v>
      </c>
      <c r="BL6" s="32">
        <f t="shared" si="43"/>
        <v>0</v>
      </c>
      <c r="BM6" s="32">
        <f t="shared" si="44"/>
        <v>0</v>
      </c>
      <c r="BN6" s="32">
        <f t="shared" si="45"/>
        <v>0</v>
      </c>
      <c r="BO6" s="32">
        <f t="shared" si="46"/>
        <v>0</v>
      </c>
      <c r="BP6" s="32">
        <f t="shared" si="47"/>
        <v>0</v>
      </c>
      <c r="BQ6" s="32">
        <f t="shared" si="48"/>
        <v>0</v>
      </c>
      <c r="BR6" s="32">
        <f t="shared" si="49"/>
        <v>0</v>
      </c>
      <c r="BS6" s="32">
        <f t="shared" si="50"/>
        <v>0</v>
      </c>
      <c r="BT6" s="32">
        <f t="shared" si="51"/>
        <v>0</v>
      </c>
      <c r="BU6" s="32">
        <f t="shared" si="52"/>
        <v>0</v>
      </c>
      <c r="BV6" s="32">
        <f t="shared" si="53"/>
        <v>2</v>
      </c>
      <c r="BW6" s="32">
        <f t="shared" si="54"/>
        <v>0</v>
      </c>
      <c r="BX6" s="32">
        <f t="shared" si="55"/>
        <v>0</v>
      </c>
      <c r="BY6" s="32">
        <f t="shared" si="56"/>
        <v>0</v>
      </c>
      <c r="BZ6" s="32">
        <f t="shared" si="57"/>
        <v>0</v>
      </c>
      <c r="CA6" s="32">
        <f t="shared" si="58"/>
        <v>0</v>
      </c>
      <c r="CB6" s="32">
        <f t="shared" si="59"/>
        <v>0</v>
      </c>
      <c r="CC6" s="32">
        <f t="shared" si="60"/>
        <v>0</v>
      </c>
      <c r="CD6" s="32">
        <f t="shared" si="61"/>
        <v>0</v>
      </c>
      <c r="CE6" s="32">
        <f t="shared" si="62"/>
        <v>0</v>
      </c>
      <c r="CF6" s="32">
        <f t="shared" si="63"/>
        <v>0</v>
      </c>
      <c r="CG6" s="32">
        <f t="shared" si="64"/>
        <v>0</v>
      </c>
      <c r="CH6" s="32">
        <f t="shared" si="65"/>
        <v>0</v>
      </c>
      <c r="CI6" s="32">
        <f t="shared" si="66"/>
        <v>0</v>
      </c>
      <c r="CJ6" s="32">
        <f t="shared" si="67"/>
        <v>0</v>
      </c>
      <c r="CK6" s="32">
        <f t="shared" si="68"/>
        <v>1.5</v>
      </c>
      <c r="CL6" s="32">
        <f t="shared" si="69"/>
        <v>0</v>
      </c>
      <c r="CM6" s="32">
        <f t="shared" si="70"/>
        <v>0</v>
      </c>
      <c r="CN6" s="32">
        <f t="shared" si="71"/>
        <v>0</v>
      </c>
      <c r="CO6" s="32">
        <f t="shared" si="72"/>
        <v>0</v>
      </c>
      <c r="CP6" s="32">
        <f t="shared" si="73"/>
        <v>0</v>
      </c>
      <c r="CQ6" s="32">
        <f t="shared" si="74"/>
        <v>0</v>
      </c>
      <c r="CR6" s="32">
        <f t="shared" si="75"/>
        <v>0</v>
      </c>
      <c r="CS6" s="32">
        <f t="shared" si="76"/>
        <v>0</v>
      </c>
      <c r="CT6" s="32">
        <f t="shared" si="77"/>
        <v>0</v>
      </c>
      <c r="CU6" s="32">
        <f t="shared" si="78"/>
        <v>0</v>
      </c>
      <c r="CV6" s="32">
        <f t="shared" si="79"/>
        <v>0</v>
      </c>
      <c r="CW6" s="32">
        <f t="shared" si="80"/>
        <v>0</v>
      </c>
      <c r="CX6" s="32">
        <f t="shared" si="81"/>
        <v>0</v>
      </c>
      <c r="CY6" s="32">
        <f t="shared" si="82"/>
        <v>0</v>
      </c>
      <c r="CZ6" s="32" t="str">
        <f t="shared" si="83"/>
        <v>D</v>
      </c>
      <c r="DA6" s="32">
        <f t="shared" si="84"/>
        <v>0</v>
      </c>
      <c r="DB6" s="32">
        <f t="shared" si="85"/>
        <v>0</v>
      </c>
      <c r="DC6" s="32">
        <f t="shared" si="86"/>
        <v>0</v>
      </c>
      <c r="DD6" s="32">
        <f t="shared" si="87"/>
        <v>0</v>
      </c>
      <c r="DE6" s="32">
        <f t="shared" si="88"/>
        <v>0</v>
      </c>
      <c r="DF6" s="32">
        <f t="shared" si="89"/>
        <v>0</v>
      </c>
      <c r="DG6" s="32">
        <f t="shared" si="90"/>
        <v>0</v>
      </c>
      <c r="DH6" s="32">
        <f t="shared" si="91"/>
        <v>0</v>
      </c>
      <c r="DI6" s="32">
        <f t="shared" si="92"/>
        <v>0</v>
      </c>
      <c r="DJ6" s="32">
        <f t="shared" si="93"/>
        <v>0</v>
      </c>
      <c r="DK6" s="32">
        <f t="shared" si="94"/>
        <v>0</v>
      </c>
      <c r="DL6" s="32">
        <f t="shared" si="95"/>
        <v>0</v>
      </c>
      <c r="DM6" s="32">
        <f t="shared" si="96"/>
        <v>0</v>
      </c>
      <c r="DN6" s="32">
        <f t="shared" si="97"/>
        <v>0</v>
      </c>
      <c r="DO6" s="32">
        <f t="shared" si="98"/>
        <v>0</v>
      </c>
      <c r="DP6" s="32">
        <f t="shared" si="98"/>
        <v>0</v>
      </c>
      <c r="DQ6" s="32">
        <f t="shared" si="98"/>
        <v>0</v>
      </c>
      <c r="DR6" s="32">
        <f t="shared" si="98"/>
        <v>2</v>
      </c>
      <c r="DS6" s="32">
        <f t="shared" si="98"/>
        <v>2</v>
      </c>
      <c r="DT6" s="32">
        <f t="shared" si="98"/>
        <v>2</v>
      </c>
      <c r="DU6" s="32">
        <f t="shared" si="98"/>
        <v>2</v>
      </c>
      <c r="DV6" s="32">
        <f t="shared" si="98"/>
        <v>0</v>
      </c>
      <c r="DW6" s="32">
        <f t="shared" si="98"/>
        <v>2</v>
      </c>
      <c r="DX6" s="32">
        <f t="shared" si="98"/>
        <v>2</v>
      </c>
      <c r="DY6" s="32">
        <f t="shared" si="98"/>
        <v>2</v>
      </c>
      <c r="DZ6" s="32">
        <f t="shared" si="98"/>
        <v>2</v>
      </c>
      <c r="EA6" s="32">
        <f t="shared" si="98"/>
        <v>0</v>
      </c>
      <c r="EB6" s="32">
        <f t="shared" si="98"/>
        <v>0</v>
      </c>
      <c r="EC6" s="32">
        <f t="shared" si="98"/>
        <v>0</v>
      </c>
      <c r="ED6" s="31" t="s">
        <v>103</v>
      </c>
      <c r="EF6" s="32">
        <f t="shared" si="99"/>
        <v>0</v>
      </c>
      <c r="EG6" s="32">
        <f t="shared" si="100"/>
        <v>0</v>
      </c>
      <c r="EH6" s="32">
        <f t="shared" si="101"/>
        <v>0</v>
      </c>
      <c r="EI6" s="32">
        <f t="shared" si="102"/>
        <v>0</v>
      </c>
      <c r="EJ6" s="32">
        <f t="shared" si="103"/>
        <v>0</v>
      </c>
      <c r="EK6" s="32">
        <f t="shared" si="104"/>
        <v>0</v>
      </c>
      <c r="EL6" s="32">
        <f t="shared" si="105"/>
        <v>0</v>
      </c>
      <c r="EM6" s="32">
        <f t="shared" si="106"/>
        <v>0</v>
      </c>
      <c r="EN6" s="32">
        <f t="shared" si="107"/>
        <v>0</v>
      </c>
      <c r="EO6" s="32">
        <f t="shared" si="108"/>
        <v>0</v>
      </c>
      <c r="EP6" s="32">
        <f t="shared" si="109"/>
        <v>0</v>
      </c>
      <c r="EQ6" s="32">
        <f t="shared" si="110"/>
        <v>0</v>
      </c>
      <c r="ER6" s="32">
        <f t="shared" si="111"/>
        <v>0</v>
      </c>
      <c r="ES6" s="32">
        <f t="shared" si="112"/>
        <v>0</v>
      </c>
      <c r="ET6" s="32">
        <f t="shared" si="113"/>
        <v>0</v>
      </c>
      <c r="EU6" s="32">
        <f t="shared" si="114"/>
        <v>0</v>
      </c>
      <c r="EV6" s="47">
        <f t="shared" si="115"/>
        <v>0</v>
      </c>
      <c r="EW6" s="47">
        <f t="shared" si="116"/>
        <v>0</v>
      </c>
    </row>
    <row r="7" spans="1:154" x14ac:dyDescent="0.25">
      <c r="A7" s="23">
        <f t="shared" si="2"/>
        <v>0</v>
      </c>
      <c r="B7" s="24" t="s">
        <v>77</v>
      </c>
      <c r="H7" s="21"/>
      <c r="J7" s="32">
        <f t="shared" si="3"/>
        <v>0</v>
      </c>
      <c r="K7" s="32">
        <f t="shared" si="3"/>
        <v>0</v>
      </c>
      <c r="L7" s="32">
        <f t="shared" si="3"/>
        <v>0</v>
      </c>
      <c r="M7" s="32" t="str">
        <f t="shared" si="3"/>
        <v>Q</v>
      </c>
      <c r="N7" s="32" t="str">
        <f t="shared" si="3"/>
        <v>Q</v>
      </c>
      <c r="O7" s="32" t="str">
        <f t="shared" si="3"/>
        <v>Q</v>
      </c>
      <c r="P7" s="32" t="str">
        <f t="shared" si="3"/>
        <v>Q</v>
      </c>
      <c r="Q7" s="32">
        <f t="shared" si="3"/>
        <v>0</v>
      </c>
      <c r="R7" s="32" t="str">
        <f t="shared" si="3"/>
        <v>Q</v>
      </c>
      <c r="S7" s="32" t="str">
        <f t="shared" si="3"/>
        <v>Q</v>
      </c>
      <c r="T7" s="32" t="str">
        <f t="shared" si="3"/>
        <v>Q</v>
      </c>
      <c r="U7" s="32" t="str">
        <f t="shared" si="3"/>
        <v>Q</v>
      </c>
      <c r="V7" s="32">
        <f t="shared" si="3"/>
        <v>0</v>
      </c>
      <c r="W7" s="32">
        <f t="shared" si="3"/>
        <v>0</v>
      </c>
      <c r="X7" s="32">
        <f t="shared" si="3"/>
        <v>0</v>
      </c>
      <c r="Y7" s="41">
        <f t="shared" si="4"/>
        <v>256</v>
      </c>
      <c r="Z7" s="42">
        <f t="shared" si="5"/>
        <v>11.52</v>
      </c>
      <c r="AA7" s="32">
        <f t="shared" si="6"/>
        <v>5</v>
      </c>
      <c r="AB7" s="32">
        <f t="shared" si="7"/>
        <v>0</v>
      </c>
      <c r="AC7" s="32">
        <f t="shared" si="8"/>
        <v>0</v>
      </c>
      <c r="AD7" s="32">
        <f t="shared" si="9"/>
        <v>0</v>
      </c>
      <c r="AE7" s="32">
        <f t="shared" si="10"/>
        <v>0</v>
      </c>
      <c r="AF7" s="32">
        <f t="shared" si="11"/>
        <v>4</v>
      </c>
      <c r="AG7" s="32">
        <f t="shared" si="12"/>
        <v>4</v>
      </c>
      <c r="AH7" s="32">
        <f t="shared" si="13"/>
        <v>4</v>
      </c>
      <c r="AI7" s="32">
        <f t="shared" si="14"/>
        <v>4</v>
      </c>
      <c r="AJ7" s="32">
        <f t="shared" si="15"/>
        <v>0</v>
      </c>
      <c r="AK7" s="32">
        <f t="shared" si="16"/>
        <v>4</v>
      </c>
      <c r="AL7" s="32">
        <f t="shared" si="17"/>
        <v>4</v>
      </c>
      <c r="AM7" s="32">
        <f t="shared" si="18"/>
        <v>4</v>
      </c>
      <c r="AN7" s="32">
        <f t="shared" si="19"/>
        <v>4</v>
      </c>
      <c r="AO7" s="32">
        <f t="shared" si="20"/>
        <v>0</v>
      </c>
      <c r="AP7" s="32">
        <f t="shared" si="21"/>
        <v>0</v>
      </c>
      <c r="AQ7" s="32">
        <f t="shared" si="22"/>
        <v>0</v>
      </c>
      <c r="AR7" s="32">
        <f t="shared" si="23"/>
        <v>0</v>
      </c>
      <c r="AS7" s="32">
        <f t="shared" si="24"/>
        <v>0</v>
      </c>
      <c r="AT7" s="32">
        <f t="shared" si="25"/>
        <v>0</v>
      </c>
      <c r="AU7" s="32">
        <f t="shared" si="26"/>
        <v>3</v>
      </c>
      <c r="AV7" s="32">
        <f t="shared" si="27"/>
        <v>3</v>
      </c>
      <c r="AW7" s="32">
        <f t="shared" si="28"/>
        <v>3</v>
      </c>
      <c r="AX7" s="32">
        <f t="shared" si="29"/>
        <v>3</v>
      </c>
      <c r="AY7" s="32">
        <f t="shared" si="30"/>
        <v>0</v>
      </c>
      <c r="AZ7" s="32">
        <f t="shared" si="31"/>
        <v>3</v>
      </c>
      <c r="BA7" s="32">
        <f t="shared" si="32"/>
        <v>3</v>
      </c>
      <c r="BB7" s="32">
        <f t="shared" si="33"/>
        <v>3</v>
      </c>
      <c r="BC7" s="32">
        <f t="shared" si="34"/>
        <v>3</v>
      </c>
      <c r="BD7" s="32">
        <f t="shared" si="35"/>
        <v>0</v>
      </c>
      <c r="BE7" s="32">
        <f t="shared" si="36"/>
        <v>0</v>
      </c>
      <c r="BF7" s="32">
        <f t="shared" si="37"/>
        <v>0</v>
      </c>
      <c r="BG7" s="32">
        <f t="shared" si="38"/>
        <v>0</v>
      </c>
      <c r="BH7" s="32">
        <f t="shared" si="39"/>
        <v>0</v>
      </c>
      <c r="BI7" s="32">
        <f t="shared" si="40"/>
        <v>0</v>
      </c>
      <c r="BJ7" s="32">
        <f t="shared" si="41"/>
        <v>2</v>
      </c>
      <c r="BK7" s="32">
        <f t="shared" si="42"/>
        <v>2</v>
      </c>
      <c r="BL7" s="32">
        <f t="shared" si="43"/>
        <v>2</v>
      </c>
      <c r="BM7" s="32">
        <f t="shared" si="44"/>
        <v>2</v>
      </c>
      <c r="BN7" s="32">
        <f t="shared" si="45"/>
        <v>0</v>
      </c>
      <c r="BO7" s="32">
        <f t="shared" si="46"/>
        <v>2</v>
      </c>
      <c r="BP7" s="32">
        <f t="shared" si="47"/>
        <v>2</v>
      </c>
      <c r="BQ7" s="32">
        <f t="shared" si="48"/>
        <v>2</v>
      </c>
      <c r="BR7" s="32">
        <f t="shared" si="49"/>
        <v>2</v>
      </c>
      <c r="BS7" s="32">
        <f t="shared" si="50"/>
        <v>0</v>
      </c>
      <c r="BT7" s="32">
        <f t="shared" si="51"/>
        <v>0</v>
      </c>
      <c r="BU7" s="32">
        <f t="shared" si="52"/>
        <v>0</v>
      </c>
      <c r="BV7" s="32">
        <f t="shared" si="53"/>
        <v>0</v>
      </c>
      <c r="BW7" s="32">
        <f t="shared" si="54"/>
        <v>0</v>
      </c>
      <c r="BX7" s="32">
        <f t="shared" si="55"/>
        <v>0</v>
      </c>
      <c r="BY7" s="32">
        <f t="shared" si="56"/>
        <v>3</v>
      </c>
      <c r="BZ7" s="32">
        <f t="shared" si="57"/>
        <v>3</v>
      </c>
      <c r="CA7" s="32">
        <f t="shared" si="58"/>
        <v>3</v>
      </c>
      <c r="CB7" s="32">
        <f t="shared" si="59"/>
        <v>3</v>
      </c>
      <c r="CC7" s="32">
        <f t="shared" si="60"/>
        <v>0</v>
      </c>
      <c r="CD7" s="32">
        <f t="shared" si="61"/>
        <v>3</v>
      </c>
      <c r="CE7" s="32">
        <f t="shared" si="62"/>
        <v>3</v>
      </c>
      <c r="CF7" s="32">
        <f t="shared" si="63"/>
        <v>3</v>
      </c>
      <c r="CG7" s="32">
        <f t="shared" si="64"/>
        <v>3</v>
      </c>
      <c r="CH7" s="32">
        <f t="shared" si="65"/>
        <v>0</v>
      </c>
      <c r="CI7" s="32">
        <f t="shared" si="66"/>
        <v>0</v>
      </c>
      <c r="CJ7" s="32">
        <f t="shared" si="67"/>
        <v>0</v>
      </c>
      <c r="CK7" s="32">
        <f t="shared" si="68"/>
        <v>0</v>
      </c>
      <c r="CL7" s="32">
        <f t="shared" si="69"/>
        <v>0</v>
      </c>
      <c r="CM7" s="32">
        <f t="shared" si="70"/>
        <v>0</v>
      </c>
      <c r="CN7" s="32">
        <f t="shared" si="71"/>
        <v>2</v>
      </c>
      <c r="CO7" s="32">
        <f t="shared" si="72"/>
        <v>2</v>
      </c>
      <c r="CP7" s="32">
        <f t="shared" si="73"/>
        <v>2</v>
      </c>
      <c r="CQ7" s="32">
        <f t="shared" si="74"/>
        <v>2</v>
      </c>
      <c r="CR7" s="32">
        <f t="shared" si="75"/>
        <v>0</v>
      </c>
      <c r="CS7" s="32">
        <f t="shared" si="76"/>
        <v>2</v>
      </c>
      <c r="CT7" s="32">
        <f t="shared" si="77"/>
        <v>2</v>
      </c>
      <c r="CU7" s="32">
        <f t="shared" si="78"/>
        <v>2</v>
      </c>
      <c r="CV7" s="32">
        <f t="shared" si="79"/>
        <v>2</v>
      </c>
      <c r="CW7" s="32">
        <f t="shared" si="80"/>
        <v>0</v>
      </c>
      <c r="CX7" s="32">
        <f t="shared" si="81"/>
        <v>0</v>
      </c>
      <c r="CY7" s="32">
        <f t="shared" si="82"/>
        <v>0</v>
      </c>
      <c r="CZ7" s="32">
        <f t="shared" si="83"/>
        <v>0</v>
      </c>
      <c r="DA7" s="32">
        <f t="shared" si="84"/>
        <v>0</v>
      </c>
      <c r="DB7" s="32">
        <f t="shared" si="85"/>
        <v>0</v>
      </c>
      <c r="DC7" s="32" t="str">
        <f t="shared" si="86"/>
        <v>Q</v>
      </c>
      <c r="DD7" s="32" t="str">
        <f t="shared" si="87"/>
        <v>Q</v>
      </c>
      <c r="DE7" s="32" t="str">
        <f t="shared" si="88"/>
        <v>Q</v>
      </c>
      <c r="DF7" s="32" t="str">
        <f t="shared" si="89"/>
        <v>Q</v>
      </c>
      <c r="DG7" s="32">
        <f t="shared" si="90"/>
        <v>0</v>
      </c>
      <c r="DH7" s="32" t="str">
        <f t="shared" si="91"/>
        <v>Q</v>
      </c>
      <c r="DI7" s="32" t="str">
        <f t="shared" si="92"/>
        <v>Q</v>
      </c>
      <c r="DJ7" s="32" t="str">
        <f t="shared" si="93"/>
        <v>Q</v>
      </c>
      <c r="DK7" s="32" t="str">
        <f t="shared" si="94"/>
        <v>Q</v>
      </c>
      <c r="DL7" s="32">
        <f t="shared" si="95"/>
        <v>0</v>
      </c>
      <c r="DM7" s="32">
        <f t="shared" si="96"/>
        <v>0</v>
      </c>
      <c r="DN7" s="32">
        <f t="shared" si="97"/>
        <v>0</v>
      </c>
      <c r="DO7" s="32">
        <f t="shared" si="98"/>
        <v>0</v>
      </c>
      <c r="DP7" s="32">
        <f t="shared" si="98"/>
        <v>0</v>
      </c>
      <c r="DQ7" s="32">
        <f t="shared" si="98"/>
        <v>0</v>
      </c>
      <c r="DR7" s="32">
        <f t="shared" si="98"/>
        <v>0</v>
      </c>
      <c r="DS7" s="32">
        <f t="shared" si="98"/>
        <v>0</v>
      </c>
      <c r="DT7" s="32">
        <f t="shared" si="98"/>
        <v>0</v>
      </c>
      <c r="DU7" s="32">
        <f t="shared" si="98"/>
        <v>0</v>
      </c>
      <c r="DV7" s="32">
        <f t="shared" si="98"/>
        <v>0</v>
      </c>
      <c r="DW7" s="32">
        <f t="shared" si="98"/>
        <v>0</v>
      </c>
      <c r="DX7" s="32">
        <f t="shared" si="98"/>
        <v>0</v>
      </c>
      <c r="DY7" s="32">
        <f t="shared" si="98"/>
        <v>0</v>
      </c>
      <c r="DZ7" s="32">
        <f t="shared" si="98"/>
        <v>0</v>
      </c>
      <c r="EA7" s="32">
        <f t="shared" si="98"/>
        <v>0</v>
      </c>
      <c r="EB7" s="32">
        <f t="shared" si="98"/>
        <v>0</v>
      </c>
      <c r="EC7" s="32">
        <f t="shared" si="98"/>
        <v>0</v>
      </c>
      <c r="ED7" s="31" t="s">
        <v>104</v>
      </c>
      <c r="EF7" s="32">
        <f t="shared" si="99"/>
        <v>0</v>
      </c>
      <c r="EG7" s="32">
        <f t="shared" si="100"/>
        <v>0</v>
      </c>
      <c r="EH7" s="32">
        <f t="shared" si="101"/>
        <v>0</v>
      </c>
      <c r="EI7" s="32">
        <f t="shared" si="102"/>
        <v>0</v>
      </c>
      <c r="EJ7" s="32">
        <f t="shared" si="103"/>
        <v>0</v>
      </c>
      <c r="EK7" s="32">
        <f t="shared" si="104"/>
        <v>0</v>
      </c>
      <c r="EL7" s="32">
        <f t="shared" si="105"/>
        <v>0</v>
      </c>
      <c r="EM7" s="32">
        <f t="shared" si="106"/>
        <v>0</v>
      </c>
      <c r="EN7" s="32">
        <f t="shared" si="107"/>
        <v>0</v>
      </c>
      <c r="EO7" s="32">
        <f t="shared" si="108"/>
        <v>0</v>
      </c>
      <c r="EP7" s="32">
        <f t="shared" si="109"/>
        <v>0</v>
      </c>
      <c r="EQ7" s="32">
        <f t="shared" si="110"/>
        <v>0</v>
      </c>
      <c r="ER7" s="32">
        <f t="shared" si="111"/>
        <v>0</v>
      </c>
      <c r="ES7" s="32">
        <f t="shared" si="112"/>
        <v>0</v>
      </c>
      <c r="ET7" s="32">
        <f t="shared" si="113"/>
        <v>0</v>
      </c>
      <c r="EU7" s="32">
        <f t="shared" si="114"/>
        <v>0</v>
      </c>
      <c r="EV7" s="47">
        <f t="shared" si="115"/>
        <v>0</v>
      </c>
      <c r="EW7" s="47">
        <f t="shared" si="116"/>
        <v>0</v>
      </c>
    </row>
    <row r="8" spans="1:154" x14ac:dyDescent="0.25">
      <c r="A8" s="23">
        <f t="shared" si="2"/>
        <v>0</v>
      </c>
      <c r="B8" s="24" t="s">
        <v>19</v>
      </c>
      <c r="C8" s="30" t="s">
        <v>27</v>
      </c>
      <c r="D8" s="30" t="s">
        <v>28</v>
      </c>
      <c r="E8" s="30" t="s">
        <v>29</v>
      </c>
      <c r="F8" s="30" t="s">
        <v>30</v>
      </c>
      <c r="G8" s="30" t="s">
        <v>31</v>
      </c>
      <c r="H8" s="21"/>
      <c r="J8" s="32">
        <f t="shared" si="3"/>
        <v>0</v>
      </c>
      <c r="K8" s="32">
        <f t="shared" si="3"/>
        <v>0</v>
      </c>
      <c r="L8" s="32">
        <f t="shared" si="3"/>
        <v>0</v>
      </c>
      <c r="M8" s="32" t="str">
        <f t="shared" si="3"/>
        <v>C</v>
      </c>
      <c r="N8" s="32" t="str">
        <f t="shared" si="3"/>
        <v>C</v>
      </c>
      <c r="O8" s="32" t="str">
        <f t="shared" si="3"/>
        <v>C</v>
      </c>
      <c r="P8" s="32">
        <f t="shared" si="3"/>
        <v>0</v>
      </c>
      <c r="Q8" s="32">
        <f t="shared" si="3"/>
        <v>0</v>
      </c>
      <c r="R8" s="32" t="str">
        <f t="shared" si="3"/>
        <v>C</v>
      </c>
      <c r="S8" s="32" t="str">
        <f t="shared" si="3"/>
        <v>C</v>
      </c>
      <c r="T8" s="32" t="str">
        <f t="shared" si="3"/>
        <v>C</v>
      </c>
      <c r="U8" s="32">
        <f t="shared" si="3"/>
        <v>0</v>
      </c>
      <c r="V8" s="32">
        <f t="shared" si="3"/>
        <v>0</v>
      </c>
      <c r="W8" s="32">
        <f t="shared" si="3"/>
        <v>0</v>
      </c>
      <c r="X8" s="32">
        <f t="shared" si="3"/>
        <v>0</v>
      </c>
      <c r="Y8" s="41">
        <f t="shared" si="4"/>
        <v>45</v>
      </c>
      <c r="Z8" s="42">
        <f t="shared" si="5"/>
        <v>2.25</v>
      </c>
      <c r="AA8" s="32">
        <f t="shared" si="6"/>
        <v>0</v>
      </c>
      <c r="AB8" s="32">
        <f t="shared" si="7"/>
        <v>0</v>
      </c>
      <c r="AC8" s="32">
        <f t="shared" si="8"/>
        <v>0</v>
      </c>
      <c r="AD8" s="32">
        <f t="shared" si="9"/>
        <v>0</v>
      </c>
      <c r="AE8" s="32">
        <f t="shared" si="10"/>
        <v>0</v>
      </c>
      <c r="AF8" s="32">
        <f t="shared" si="11"/>
        <v>0</v>
      </c>
      <c r="AG8" s="32">
        <f t="shared" si="12"/>
        <v>0</v>
      </c>
      <c r="AH8" s="32">
        <f t="shared" si="13"/>
        <v>0</v>
      </c>
      <c r="AI8" s="32">
        <f t="shared" si="14"/>
        <v>0</v>
      </c>
      <c r="AJ8" s="32">
        <f t="shared" si="15"/>
        <v>0</v>
      </c>
      <c r="AK8" s="32">
        <f t="shared" si="16"/>
        <v>0</v>
      </c>
      <c r="AL8" s="32">
        <f t="shared" si="17"/>
        <v>0</v>
      </c>
      <c r="AM8" s="32">
        <f t="shared" si="18"/>
        <v>0</v>
      </c>
      <c r="AN8" s="32">
        <f t="shared" si="19"/>
        <v>0</v>
      </c>
      <c r="AO8" s="32">
        <f t="shared" si="20"/>
        <v>0</v>
      </c>
      <c r="AP8" s="32">
        <f t="shared" si="21"/>
        <v>0</v>
      </c>
      <c r="AQ8" s="32">
        <f t="shared" si="22"/>
        <v>0</v>
      </c>
      <c r="AR8" s="32">
        <f t="shared" si="23"/>
        <v>0</v>
      </c>
      <c r="AS8" s="32">
        <f t="shared" si="24"/>
        <v>0</v>
      </c>
      <c r="AT8" s="32">
        <f t="shared" si="25"/>
        <v>0</v>
      </c>
      <c r="AU8" s="32">
        <f t="shared" si="26"/>
        <v>1</v>
      </c>
      <c r="AV8" s="32">
        <f t="shared" si="27"/>
        <v>1</v>
      </c>
      <c r="AW8" s="32">
        <f t="shared" si="28"/>
        <v>1</v>
      </c>
      <c r="AX8" s="32">
        <f t="shared" si="29"/>
        <v>0</v>
      </c>
      <c r="AY8" s="32">
        <f t="shared" si="30"/>
        <v>0</v>
      </c>
      <c r="AZ8" s="32">
        <f t="shared" si="31"/>
        <v>1</v>
      </c>
      <c r="BA8" s="32">
        <f t="shared" si="32"/>
        <v>1</v>
      </c>
      <c r="BB8" s="32">
        <f t="shared" si="33"/>
        <v>1</v>
      </c>
      <c r="BC8" s="32">
        <f t="shared" si="34"/>
        <v>0</v>
      </c>
      <c r="BD8" s="32">
        <f t="shared" si="35"/>
        <v>0</v>
      </c>
      <c r="BE8" s="32">
        <f t="shared" si="36"/>
        <v>0</v>
      </c>
      <c r="BF8" s="32">
        <f t="shared" si="37"/>
        <v>0</v>
      </c>
      <c r="BG8" s="32">
        <f t="shared" si="38"/>
        <v>0</v>
      </c>
      <c r="BH8" s="32">
        <f t="shared" si="39"/>
        <v>0</v>
      </c>
      <c r="BI8" s="32">
        <f t="shared" si="40"/>
        <v>0</v>
      </c>
      <c r="BJ8" s="32">
        <f t="shared" si="41"/>
        <v>0</v>
      </c>
      <c r="BK8" s="32">
        <f t="shared" si="42"/>
        <v>0</v>
      </c>
      <c r="BL8" s="32">
        <f t="shared" si="43"/>
        <v>0</v>
      </c>
      <c r="BM8" s="32">
        <f t="shared" si="44"/>
        <v>0</v>
      </c>
      <c r="BN8" s="32">
        <f t="shared" si="45"/>
        <v>0</v>
      </c>
      <c r="BO8" s="32">
        <f t="shared" si="46"/>
        <v>0</v>
      </c>
      <c r="BP8" s="32">
        <f t="shared" si="47"/>
        <v>0</v>
      </c>
      <c r="BQ8" s="32">
        <f t="shared" si="48"/>
        <v>0</v>
      </c>
      <c r="BR8" s="32">
        <f t="shared" si="49"/>
        <v>0</v>
      </c>
      <c r="BS8" s="32">
        <f t="shared" si="50"/>
        <v>0</v>
      </c>
      <c r="BT8" s="32">
        <f t="shared" si="51"/>
        <v>0</v>
      </c>
      <c r="BU8" s="32">
        <f t="shared" si="52"/>
        <v>0</v>
      </c>
      <c r="BV8" s="32">
        <f t="shared" si="53"/>
        <v>0</v>
      </c>
      <c r="BW8" s="32">
        <f t="shared" si="54"/>
        <v>0</v>
      </c>
      <c r="BX8" s="32">
        <f t="shared" si="55"/>
        <v>0</v>
      </c>
      <c r="BY8" s="32">
        <f t="shared" si="56"/>
        <v>1</v>
      </c>
      <c r="BZ8" s="32">
        <f t="shared" si="57"/>
        <v>1</v>
      </c>
      <c r="CA8" s="32">
        <f t="shared" si="58"/>
        <v>1</v>
      </c>
      <c r="CB8" s="32">
        <f t="shared" si="59"/>
        <v>0</v>
      </c>
      <c r="CC8" s="32">
        <f t="shared" si="60"/>
        <v>0</v>
      </c>
      <c r="CD8" s="32">
        <f t="shared" si="61"/>
        <v>1</v>
      </c>
      <c r="CE8" s="32">
        <f t="shared" si="62"/>
        <v>1</v>
      </c>
      <c r="CF8" s="32">
        <f t="shared" si="63"/>
        <v>1</v>
      </c>
      <c r="CG8" s="32">
        <f t="shared" si="64"/>
        <v>0</v>
      </c>
      <c r="CH8" s="32">
        <f t="shared" si="65"/>
        <v>0</v>
      </c>
      <c r="CI8" s="32">
        <f t="shared" si="66"/>
        <v>0</v>
      </c>
      <c r="CJ8" s="32">
        <f t="shared" si="67"/>
        <v>0</v>
      </c>
      <c r="CK8" s="32">
        <f t="shared" si="68"/>
        <v>0</v>
      </c>
      <c r="CL8" s="32">
        <f t="shared" si="69"/>
        <v>0</v>
      </c>
      <c r="CM8" s="32">
        <f t="shared" si="70"/>
        <v>0</v>
      </c>
      <c r="CN8" s="32">
        <f t="shared" si="71"/>
        <v>1</v>
      </c>
      <c r="CO8" s="32">
        <f t="shared" si="72"/>
        <v>1</v>
      </c>
      <c r="CP8" s="32">
        <f t="shared" si="73"/>
        <v>1</v>
      </c>
      <c r="CQ8" s="32">
        <f t="shared" si="74"/>
        <v>0</v>
      </c>
      <c r="CR8" s="32">
        <f t="shared" si="75"/>
        <v>0</v>
      </c>
      <c r="CS8" s="32">
        <f t="shared" si="76"/>
        <v>1</v>
      </c>
      <c r="CT8" s="32">
        <f t="shared" si="77"/>
        <v>1</v>
      </c>
      <c r="CU8" s="32">
        <f t="shared" si="78"/>
        <v>1</v>
      </c>
      <c r="CV8" s="32">
        <f t="shared" si="79"/>
        <v>0</v>
      </c>
      <c r="CW8" s="32">
        <f t="shared" si="80"/>
        <v>0</v>
      </c>
      <c r="CX8" s="32">
        <f t="shared" si="81"/>
        <v>0</v>
      </c>
      <c r="CY8" s="32">
        <f t="shared" si="82"/>
        <v>0</v>
      </c>
      <c r="CZ8" s="32">
        <f t="shared" si="83"/>
        <v>0</v>
      </c>
      <c r="DA8" s="32">
        <f t="shared" si="84"/>
        <v>0</v>
      </c>
      <c r="DB8" s="32">
        <f t="shared" si="85"/>
        <v>0</v>
      </c>
      <c r="DC8" s="32" t="str">
        <f t="shared" si="86"/>
        <v>C</v>
      </c>
      <c r="DD8" s="32" t="str">
        <f t="shared" si="87"/>
        <v>C</v>
      </c>
      <c r="DE8" s="32" t="str">
        <f t="shared" si="88"/>
        <v>C</v>
      </c>
      <c r="DF8" s="32">
        <f t="shared" si="89"/>
        <v>0</v>
      </c>
      <c r="DG8" s="32">
        <f t="shared" si="90"/>
        <v>0</v>
      </c>
      <c r="DH8" s="32" t="str">
        <f t="shared" si="91"/>
        <v>C</v>
      </c>
      <c r="DI8" s="32" t="str">
        <f t="shared" si="92"/>
        <v>C</v>
      </c>
      <c r="DJ8" s="32" t="str">
        <f t="shared" si="93"/>
        <v>C</v>
      </c>
      <c r="DK8" s="32">
        <f t="shared" si="94"/>
        <v>0</v>
      </c>
      <c r="DL8" s="32">
        <f t="shared" si="95"/>
        <v>0</v>
      </c>
      <c r="DM8" s="32">
        <f t="shared" si="96"/>
        <v>0</v>
      </c>
      <c r="DN8" s="32">
        <f t="shared" si="97"/>
        <v>0</v>
      </c>
      <c r="DO8" s="32">
        <f t="shared" si="98"/>
        <v>0</v>
      </c>
      <c r="DP8" s="32">
        <f t="shared" si="98"/>
        <v>0</v>
      </c>
      <c r="DQ8" s="32">
        <f t="shared" si="98"/>
        <v>0</v>
      </c>
      <c r="DR8" s="32">
        <f t="shared" si="98"/>
        <v>0</v>
      </c>
      <c r="DS8" s="32">
        <f t="shared" si="98"/>
        <v>0</v>
      </c>
      <c r="DT8" s="32">
        <f t="shared" si="98"/>
        <v>0</v>
      </c>
      <c r="DU8" s="32">
        <f t="shared" si="98"/>
        <v>0</v>
      </c>
      <c r="DV8" s="32">
        <f t="shared" si="98"/>
        <v>0</v>
      </c>
      <c r="DW8" s="32">
        <f t="shared" si="98"/>
        <v>0</v>
      </c>
      <c r="DX8" s="32">
        <f t="shared" si="98"/>
        <v>0</v>
      </c>
      <c r="DY8" s="32">
        <f t="shared" si="98"/>
        <v>0</v>
      </c>
      <c r="DZ8" s="32">
        <f t="shared" si="98"/>
        <v>0</v>
      </c>
      <c r="EA8" s="32">
        <f t="shared" si="98"/>
        <v>0</v>
      </c>
      <c r="EB8" s="32">
        <f t="shared" si="98"/>
        <v>0</v>
      </c>
      <c r="EC8" s="32">
        <f t="shared" si="98"/>
        <v>1</v>
      </c>
      <c r="ED8" s="31" t="s">
        <v>105</v>
      </c>
      <c r="EF8" s="32">
        <f t="shared" si="99"/>
        <v>0</v>
      </c>
      <c r="EG8" s="32">
        <f t="shared" si="100"/>
        <v>0</v>
      </c>
      <c r="EH8" s="32">
        <f t="shared" si="101"/>
        <v>0</v>
      </c>
      <c r="EI8" s="32">
        <f t="shared" si="102"/>
        <v>0</v>
      </c>
      <c r="EJ8" s="32">
        <f t="shared" si="103"/>
        <v>0</v>
      </c>
      <c r="EK8" s="32">
        <f t="shared" si="104"/>
        <v>0</v>
      </c>
      <c r="EL8" s="32">
        <f t="shared" si="105"/>
        <v>0</v>
      </c>
      <c r="EM8" s="32">
        <f t="shared" si="106"/>
        <v>0</v>
      </c>
      <c r="EN8" s="32">
        <f t="shared" si="107"/>
        <v>0</v>
      </c>
      <c r="EO8" s="32">
        <f t="shared" si="108"/>
        <v>0</v>
      </c>
      <c r="EP8" s="32">
        <f t="shared" si="109"/>
        <v>0</v>
      </c>
      <c r="EQ8" s="32">
        <f t="shared" si="110"/>
        <v>0</v>
      </c>
      <c r="ER8" s="32">
        <f t="shared" si="111"/>
        <v>0</v>
      </c>
      <c r="ES8" s="32">
        <f t="shared" si="112"/>
        <v>0</v>
      </c>
      <c r="ET8" s="32">
        <f t="shared" si="113"/>
        <v>0</v>
      </c>
      <c r="EU8" s="32">
        <f t="shared" si="114"/>
        <v>0</v>
      </c>
      <c r="EV8" s="47">
        <f t="shared" si="115"/>
        <v>0</v>
      </c>
      <c r="EW8" s="47">
        <f t="shared" si="116"/>
        <v>0</v>
      </c>
    </row>
    <row r="9" spans="1:154" x14ac:dyDescent="0.25">
      <c r="A9" s="23">
        <f t="shared" si="2"/>
        <v>0</v>
      </c>
      <c r="B9" s="24" t="s">
        <v>22</v>
      </c>
      <c r="C9" s="31" t="s">
        <v>34</v>
      </c>
      <c r="D9" s="32">
        <f>AC1</f>
        <v>6</v>
      </c>
      <c r="E9" s="32">
        <f>AR1</f>
        <v>8</v>
      </c>
      <c r="F9" s="32">
        <f>BG1</f>
        <v>6</v>
      </c>
      <c r="G9" s="32">
        <f>BV1</f>
        <v>6</v>
      </c>
      <c r="H9" s="33">
        <f>MAX(EF5:EF32)</f>
        <v>2</v>
      </c>
      <c r="J9" s="32">
        <f t="shared" si="3"/>
        <v>0</v>
      </c>
      <c r="K9" s="32">
        <f t="shared" si="3"/>
        <v>0</v>
      </c>
      <c r="L9" s="32">
        <f t="shared" si="3"/>
        <v>0</v>
      </c>
      <c r="M9" s="32">
        <f t="shared" si="3"/>
        <v>0</v>
      </c>
      <c r="N9" s="32">
        <f t="shared" si="3"/>
        <v>0</v>
      </c>
      <c r="O9" s="32">
        <f t="shared" si="3"/>
        <v>0</v>
      </c>
      <c r="P9" s="32">
        <f t="shared" si="3"/>
        <v>0</v>
      </c>
      <c r="Q9" s="32">
        <f t="shared" si="3"/>
        <v>0</v>
      </c>
      <c r="R9" s="32">
        <f t="shared" si="3"/>
        <v>0</v>
      </c>
      <c r="S9" s="32">
        <f t="shared" si="3"/>
        <v>0</v>
      </c>
      <c r="T9" s="32" t="str">
        <f t="shared" si="3"/>
        <v>C</v>
      </c>
      <c r="U9" s="32" t="str">
        <f t="shared" si="3"/>
        <v>C</v>
      </c>
      <c r="V9" s="32" t="str">
        <f t="shared" si="3"/>
        <v>C</v>
      </c>
      <c r="W9" s="32">
        <f t="shared" si="3"/>
        <v>0</v>
      </c>
      <c r="X9" s="32">
        <f t="shared" si="3"/>
        <v>0</v>
      </c>
      <c r="Y9" s="41">
        <f t="shared" si="4"/>
        <v>27</v>
      </c>
      <c r="Z9" s="42">
        <f t="shared" si="5"/>
        <v>1.35</v>
      </c>
      <c r="AA9" s="32">
        <f t="shared" si="6"/>
        <v>0</v>
      </c>
      <c r="AB9" s="32">
        <f t="shared" si="7"/>
        <v>0</v>
      </c>
      <c r="AC9" s="32">
        <f t="shared" si="8"/>
        <v>0</v>
      </c>
      <c r="AD9" s="32">
        <f t="shared" si="9"/>
        <v>0</v>
      </c>
      <c r="AE9" s="32">
        <f t="shared" si="10"/>
        <v>0</v>
      </c>
      <c r="AF9" s="32">
        <f t="shared" si="11"/>
        <v>0</v>
      </c>
      <c r="AG9" s="32">
        <f t="shared" si="12"/>
        <v>0</v>
      </c>
      <c r="AH9" s="32">
        <f t="shared" si="13"/>
        <v>0</v>
      </c>
      <c r="AI9" s="32">
        <f t="shared" si="14"/>
        <v>0</v>
      </c>
      <c r="AJ9" s="32">
        <f t="shared" si="15"/>
        <v>0</v>
      </c>
      <c r="AK9" s="32">
        <f t="shared" si="16"/>
        <v>0</v>
      </c>
      <c r="AL9" s="32">
        <f t="shared" si="17"/>
        <v>0</v>
      </c>
      <c r="AM9" s="32">
        <f t="shared" si="18"/>
        <v>0</v>
      </c>
      <c r="AN9" s="32">
        <f t="shared" si="19"/>
        <v>0</v>
      </c>
      <c r="AO9" s="32">
        <f t="shared" si="20"/>
        <v>0</v>
      </c>
      <c r="AP9" s="32">
        <f t="shared" si="21"/>
        <v>0</v>
      </c>
      <c r="AQ9" s="32">
        <f t="shared" si="22"/>
        <v>0</v>
      </c>
      <c r="AR9" s="32">
        <f t="shared" si="23"/>
        <v>0</v>
      </c>
      <c r="AS9" s="32">
        <f t="shared" si="24"/>
        <v>0</v>
      </c>
      <c r="AT9" s="32">
        <f t="shared" si="25"/>
        <v>0</v>
      </c>
      <c r="AU9" s="32">
        <f t="shared" si="26"/>
        <v>0</v>
      </c>
      <c r="AV9" s="32">
        <f t="shared" si="27"/>
        <v>0</v>
      </c>
      <c r="AW9" s="32">
        <f t="shared" si="28"/>
        <v>0</v>
      </c>
      <c r="AX9" s="32">
        <f t="shared" si="29"/>
        <v>0</v>
      </c>
      <c r="AY9" s="32">
        <f t="shared" si="30"/>
        <v>0</v>
      </c>
      <c r="AZ9" s="32">
        <f t="shared" si="31"/>
        <v>0</v>
      </c>
      <c r="BA9" s="32">
        <f t="shared" si="32"/>
        <v>0</v>
      </c>
      <c r="BB9" s="32">
        <f t="shared" si="33"/>
        <v>1</v>
      </c>
      <c r="BC9" s="32">
        <f t="shared" si="34"/>
        <v>1</v>
      </c>
      <c r="BD9" s="32">
        <f t="shared" si="35"/>
        <v>1</v>
      </c>
      <c r="BE9" s="32">
        <f t="shared" si="36"/>
        <v>0</v>
      </c>
      <c r="BF9" s="32">
        <f t="shared" si="37"/>
        <v>0</v>
      </c>
      <c r="BG9" s="32">
        <f t="shared" si="38"/>
        <v>0</v>
      </c>
      <c r="BH9" s="32">
        <f t="shared" si="39"/>
        <v>0</v>
      </c>
      <c r="BI9" s="32">
        <f t="shared" si="40"/>
        <v>0</v>
      </c>
      <c r="BJ9" s="32">
        <f t="shared" si="41"/>
        <v>0</v>
      </c>
      <c r="BK9" s="32">
        <f t="shared" si="42"/>
        <v>0</v>
      </c>
      <c r="BL9" s="32">
        <f t="shared" si="43"/>
        <v>0</v>
      </c>
      <c r="BM9" s="32">
        <f t="shared" si="44"/>
        <v>0</v>
      </c>
      <c r="BN9" s="32">
        <f t="shared" si="45"/>
        <v>0</v>
      </c>
      <c r="BO9" s="32">
        <f t="shared" si="46"/>
        <v>0</v>
      </c>
      <c r="BP9" s="32">
        <f t="shared" si="47"/>
        <v>0</v>
      </c>
      <c r="BQ9" s="32">
        <f t="shared" si="48"/>
        <v>0</v>
      </c>
      <c r="BR9" s="32">
        <f t="shared" si="49"/>
        <v>0</v>
      </c>
      <c r="BS9" s="32">
        <f t="shared" si="50"/>
        <v>0</v>
      </c>
      <c r="BT9" s="32">
        <f t="shared" si="51"/>
        <v>0</v>
      </c>
      <c r="BU9" s="32">
        <f t="shared" si="52"/>
        <v>0</v>
      </c>
      <c r="BV9" s="32">
        <f t="shared" si="53"/>
        <v>0</v>
      </c>
      <c r="BW9" s="32">
        <f t="shared" si="54"/>
        <v>0</v>
      </c>
      <c r="BX9" s="32">
        <f t="shared" si="55"/>
        <v>0</v>
      </c>
      <c r="BY9" s="32">
        <f t="shared" si="56"/>
        <v>0</v>
      </c>
      <c r="BZ9" s="32">
        <f t="shared" si="57"/>
        <v>0</v>
      </c>
      <c r="CA9" s="32">
        <f t="shared" si="58"/>
        <v>0</v>
      </c>
      <c r="CB9" s="32">
        <f t="shared" si="59"/>
        <v>0</v>
      </c>
      <c r="CC9" s="32">
        <f t="shared" si="60"/>
        <v>0</v>
      </c>
      <c r="CD9" s="32">
        <f t="shared" si="61"/>
        <v>0</v>
      </c>
      <c r="CE9" s="32">
        <f t="shared" si="62"/>
        <v>0</v>
      </c>
      <c r="CF9" s="32">
        <f t="shared" si="63"/>
        <v>1</v>
      </c>
      <c r="CG9" s="32">
        <f t="shared" si="64"/>
        <v>1</v>
      </c>
      <c r="CH9" s="32">
        <f t="shared" si="65"/>
        <v>1</v>
      </c>
      <c r="CI9" s="32">
        <f t="shared" si="66"/>
        <v>0</v>
      </c>
      <c r="CJ9" s="32">
        <f t="shared" si="67"/>
        <v>0</v>
      </c>
      <c r="CK9" s="32">
        <f t="shared" si="68"/>
        <v>0</v>
      </c>
      <c r="CL9" s="32">
        <f t="shared" si="69"/>
        <v>0</v>
      </c>
      <c r="CM9" s="32">
        <f t="shared" si="70"/>
        <v>0</v>
      </c>
      <c r="CN9" s="32">
        <f t="shared" si="71"/>
        <v>0</v>
      </c>
      <c r="CO9" s="32">
        <f t="shared" si="72"/>
        <v>0</v>
      </c>
      <c r="CP9" s="32">
        <f t="shared" si="73"/>
        <v>0</v>
      </c>
      <c r="CQ9" s="32">
        <f t="shared" si="74"/>
        <v>0</v>
      </c>
      <c r="CR9" s="32">
        <f t="shared" si="75"/>
        <v>0</v>
      </c>
      <c r="CS9" s="32">
        <f t="shared" si="76"/>
        <v>0</v>
      </c>
      <c r="CT9" s="32">
        <f t="shared" si="77"/>
        <v>0</v>
      </c>
      <c r="CU9" s="32">
        <f t="shared" si="78"/>
        <v>1</v>
      </c>
      <c r="CV9" s="32">
        <f t="shared" si="79"/>
        <v>1</v>
      </c>
      <c r="CW9" s="32">
        <f t="shared" si="80"/>
        <v>1</v>
      </c>
      <c r="CX9" s="32">
        <f t="shared" si="81"/>
        <v>0</v>
      </c>
      <c r="CY9" s="32">
        <f t="shared" si="82"/>
        <v>0</v>
      </c>
      <c r="CZ9" s="32">
        <f t="shared" si="83"/>
        <v>0</v>
      </c>
      <c r="DA9" s="32">
        <f t="shared" si="84"/>
        <v>0</v>
      </c>
      <c r="DB9" s="32">
        <f t="shared" si="85"/>
        <v>0</v>
      </c>
      <c r="DC9" s="32">
        <f t="shared" si="86"/>
        <v>0</v>
      </c>
      <c r="DD9" s="32">
        <f t="shared" si="87"/>
        <v>0</v>
      </c>
      <c r="DE9" s="32">
        <f t="shared" si="88"/>
        <v>0</v>
      </c>
      <c r="DF9" s="32">
        <f t="shared" si="89"/>
        <v>0</v>
      </c>
      <c r="DG9" s="32">
        <f t="shared" si="90"/>
        <v>0</v>
      </c>
      <c r="DH9" s="32">
        <f t="shared" si="91"/>
        <v>0</v>
      </c>
      <c r="DI9" s="32">
        <f t="shared" si="92"/>
        <v>0</v>
      </c>
      <c r="DJ9" s="32" t="str">
        <f t="shared" si="93"/>
        <v>C</v>
      </c>
      <c r="DK9" s="32" t="str">
        <f t="shared" si="94"/>
        <v>C</v>
      </c>
      <c r="DL9" s="32" t="str">
        <f t="shared" si="95"/>
        <v>C</v>
      </c>
      <c r="DM9" s="32">
        <f t="shared" si="96"/>
        <v>0</v>
      </c>
      <c r="DN9" s="32">
        <f t="shared" si="97"/>
        <v>0</v>
      </c>
      <c r="DO9" s="32">
        <f t="shared" si="98"/>
        <v>1</v>
      </c>
      <c r="DP9" s="32">
        <f t="shared" si="98"/>
        <v>0</v>
      </c>
      <c r="DQ9" s="32">
        <f t="shared" si="98"/>
        <v>0</v>
      </c>
      <c r="DR9" s="32">
        <f t="shared" si="98"/>
        <v>0</v>
      </c>
      <c r="DS9" s="32">
        <f t="shared" si="98"/>
        <v>0</v>
      </c>
      <c r="DT9" s="32">
        <f t="shared" si="98"/>
        <v>0</v>
      </c>
      <c r="DU9" s="32">
        <f t="shared" si="98"/>
        <v>0</v>
      </c>
      <c r="DV9" s="32">
        <f t="shared" si="98"/>
        <v>0</v>
      </c>
      <c r="DW9" s="32">
        <f t="shared" si="98"/>
        <v>0</v>
      </c>
      <c r="DX9" s="32">
        <f t="shared" si="98"/>
        <v>0</v>
      </c>
      <c r="DY9" s="32">
        <f t="shared" si="98"/>
        <v>0</v>
      </c>
      <c r="DZ9" s="32">
        <f t="shared" si="98"/>
        <v>0</v>
      </c>
      <c r="EA9" s="32">
        <f t="shared" si="98"/>
        <v>0</v>
      </c>
      <c r="EB9" s="32">
        <f t="shared" si="98"/>
        <v>0</v>
      </c>
      <c r="EC9" s="32">
        <f t="shared" si="98"/>
        <v>0</v>
      </c>
      <c r="ED9" s="31" t="s">
        <v>106</v>
      </c>
      <c r="EF9" s="32">
        <f t="shared" si="99"/>
        <v>0</v>
      </c>
      <c r="EG9" s="32">
        <f t="shared" si="100"/>
        <v>0</v>
      </c>
      <c r="EH9" s="32">
        <f t="shared" si="101"/>
        <v>0</v>
      </c>
      <c r="EI9" s="32">
        <f t="shared" si="102"/>
        <v>0</v>
      </c>
      <c r="EJ9" s="32">
        <f t="shared" si="103"/>
        <v>0</v>
      </c>
      <c r="EK9" s="32">
        <f t="shared" si="104"/>
        <v>0</v>
      </c>
      <c r="EL9" s="32">
        <f t="shared" si="105"/>
        <v>0</v>
      </c>
      <c r="EM9" s="32">
        <f t="shared" si="106"/>
        <v>0</v>
      </c>
      <c r="EN9" s="32">
        <f t="shared" si="107"/>
        <v>0</v>
      </c>
      <c r="EO9" s="32">
        <f t="shared" si="108"/>
        <v>0</v>
      </c>
      <c r="EP9" s="32">
        <f t="shared" si="109"/>
        <v>0</v>
      </c>
      <c r="EQ9" s="32">
        <f t="shared" si="110"/>
        <v>0</v>
      </c>
      <c r="ER9" s="32">
        <f t="shared" si="111"/>
        <v>0</v>
      </c>
      <c r="ES9" s="32">
        <f t="shared" si="112"/>
        <v>0</v>
      </c>
      <c r="ET9" s="32">
        <f t="shared" si="113"/>
        <v>0</v>
      </c>
      <c r="EU9" s="32">
        <f t="shared" si="114"/>
        <v>0</v>
      </c>
      <c r="EV9" s="47">
        <f t="shared" si="115"/>
        <v>0</v>
      </c>
      <c r="EW9" s="47">
        <f t="shared" si="116"/>
        <v>0</v>
      </c>
    </row>
    <row r="10" spans="1:154" x14ac:dyDescent="0.25">
      <c r="A10" s="23">
        <f t="shared" si="2"/>
        <v>0</v>
      </c>
      <c r="B10" s="24" t="s">
        <v>86</v>
      </c>
      <c r="C10" s="31" t="s">
        <v>37</v>
      </c>
      <c r="D10" s="32">
        <f>AD1</f>
        <v>0</v>
      </c>
      <c r="E10" s="32">
        <f>AS1</f>
        <v>0</v>
      </c>
      <c r="F10" s="32">
        <f>BH1</f>
        <v>0</v>
      </c>
      <c r="G10" s="32">
        <f>BW1</f>
        <v>0</v>
      </c>
      <c r="H10" s="33">
        <f>MAX(EG5:EG32)</f>
        <v>0</v>
      </c>
      <c r="J10" s="32">
        <f t="shared" si="3"/>
        <v>0</v>
      </c>
      <c r="K10" s="32">
        <f t="shared" si="3"/>
        <v>0</v>
      </c>
      <c r="L10" s="32">
        <f t="shared" si="3"/>
        <v>0</v>
      </c>
      <c r="M10" s="32">
        <f t="shared" si="3"/>
        <v>0</v>
      </c>
      <c r="N10" s="32">
        <f t="shared" si="3"/>
        <v>0</v>
      </c>
      <c r="O10" s="32">
        <f t="shared" si="3"/>
        <v>0</v>
      </c>
      <c r="P10" s="32">
        <f t="shared" si="3"/>
        <v>0</v>
      </c>
      <c r="Q10" s="32">
        <f t="shared" si="3"/>
        <v>0</v>
      </c>
      <c r="R10" s="32">
        <f t="shared" si="3"/>
        <v>0</v>
      </c>
      <c r="S10" s="32">
        <f t="shared" si="3"/>
        <v>0</v>
      </c>
      <c r="T10" s="32">
        <f t="shared" si="3"/>
        <v>0</v>
      </c>
      <c r="U10" s="32" t="str">
        <f t="shared" si="3"/>
        <v>C</v>
      </c>
      <c r="V10" s="32" t="str">
        <f t="shared" si="3"/>
        <v>C</v>
      </c>
      <c r="W10" s="32" t="str">
        <f t="shared" si="3"/>
        <v>C</v>
      </c>
      <c r="X10" s="32" t="str">
        <f t="shared" si="3"/>
        <v>C</v>
      </c>
      <c r="Y10" s="41">
        <f t="shared" si="4"/>
        <v>36</v>
      </c>
      <c r="Z10" s="42">
        <f t="shared" si="5"/>
        <v>1.8000000000000003</v>
      </c>
      <c r="AA10" s="32">
        <f t="shared" si="6"/>
        <v>0</v>
      </c>
      <c r="AB10" s="32">
        <f t="shared" si="7"/>
        <v>0</v>
      </c>
      <c r="AC10" s="32">
        <f t="shared" si="8"/>
        <v>0</v>
      </c>
      <c r="AD10" s="32">
        <f t="shared" si="9"/>
        <v>0</v>
      </c>
      <c r="AE10" s="32">
        <f t="shared" si="10"/>
        <v>0</v>
      </c>
      <c r="AF10" s="32">
        <f t="shared" si="11"/>
        <v>0</v>
      </c>
      <c r="AG10" s="32">
        <f t="shared" si="12"/>
        <v>0</v>
      </c>
      <c r="AH10" s="32">
        <f t="shared" si="13"/>
        <v>0</v>
      </c>
      <c r="AI10" s="32">
        <f t="shared" si="14"/>
        <v>0</v>
      </c>
      <c r="AJ10" s="32">
        <f t="shared" si="15"/>
        <v>0</v>
      </c>
      <c r="AK10" s="32">
        <f t="shared" si="16"/>
        <v>0</v>
      </c>
      <c r="AL10" s="32">
        <f t="shared" si="17"/>
        <v>0</v>
      </c>
      <c r="AM10" s="32">
        <f t="shared" si="18"/>
        <v>0</v>
      </c>
      <c r="AN10" s="32">
        <f t="shared" si="19"/>
        <v>0</v>
      </c>
      <c r="AO10" s="32">
        <f t="shared" si="20"/>
        <v>0</v>
      </c>
      <c r="AP10" s="32">
        <f t="shared" si="21"/>
        <v>0</v>
      </c>
      <c r="AQ10" s="32">
        <f t="shared" si="22"/>
        <v>0</v>
      </c>
      <c r="AR10" s="32">
        <f t="shared" si="23"/>
        <v>0</v>
      </c>
      <c r="AS10" s="32">
        <f t="shared" si="24"/>
        <v>0</v>
      </c>
      <c r="AT10" s="32">
        <f t="shared" si="25"/>
        <v>0</v>
      </c>
      <c r="AU10" s="32">
        <f t="shared" si="26"/>
        <v>0</v>
      </c>
      <c r="AV10" s="32">
        <f t="shared" si="27"/>
        <v>0</v>
      </c>
      <c r="AW10" s="32">
        <f t="shared" si="28"/>
        <v>0</v>
      </c>
      <c r="AX10" s="32">
        <f t="shared" si="29"/>
        <v>0</v>
      </c>
      <c r="AY10" s="32">
        <f t="shared" si="30"/>
        <v>0</v>
      </c>
      <c r="AZ10" s="32">
        <f t="shared" si="31"/>
        <v>0</v>
      </c>
      <c r="BA10" s="32">
        <f t="shared" si="32"/>
        <v>0</v>
      </c>
      <c r="BB10" s="32">
        <f t="shared" si="33"/>
        <v>0</v>
      </c>
      <c r="BC10" s="32">
        <f t="shared" si="34"/>
        <v>1</v>
      </c>
      <c r="BD10" s="32">
        <f t="shared" si="35"/>
        <v>1</v>
      </c>
      <c r="BE10" s="32">
        <f t="shared" si="36"/>
        <v>1</v>
      </c>
      <c r="BF10" s="32">
        <f t="shared" si="37"/>
        <v>1</v>
      </c>
      <c r="BG10" s="32">
        <f t="shared" si="38"/>
        <v>0</v>
      </c>
      <c r="BH10" s="32">
        <f t="shared" si="39"/>
        <v>0</v>
      </c>
      <c r="BI10" s="32">
        <f t="shared" si="40"/>
        <v>0</v>
      </c>
      <c r="BJ10" s="32">
        <f t="shared" si="41"/>
        <v>0</v>
      </c>
      <c r="BK10" s="32">
        <f t="shared" si="42"/>
        <v>0</v>
      </c>
      <c r="BL10" s="32">
        <f t="shared" si="43"/>
        <v>0</v>
      </c>
      <c r="BM10" s="32">
        <f t="shared" si="44"/>
        <v>0</v>
      </c>
      <c r="BN10" s="32">
        <f t="shared" si="45"/>
        <v>0</v>
      </c>
      <c r="BO10" s="32">
        <f t="shared" si="46"/>
        <v>0</v>
      </c>
      <c r="BP10" s="32">
        <f t="shared" si="47"/>
        <v>0</v>
      </c>
      <c r="BQ10" s="32">
        <f t="shared" si="48"/>
        <v>0</v>
      </c>
      <c r="BR10" s="32">
        <f t="shared" si="49"/>
        <v>0</v>
      </c>
      <c r="BS10" s="32">
        <f t="shared" si="50"/>
        <v>0</v>
      </c>
      <c r="BT10" s="32">
        <f t="shared" si="51"/>
        <v>0</v>
      </c>
      <c r="BU10" s="32">
        <f t="shared" si="52"/>
        <v>0</v>
      </c>
      <c r="BV10" s="32">
        <f t="shared" si="53"/>
        <v>0</v>
      </c>
      <c r="BW10" s="32">
        <f t="shared" si="54"/>
        <v>0</v>
      </c>
      <c r="BX10" s="32">
        <f t="shared" si="55"/>
        <v>0</v>
      </c>
      <c r="BY10" s="32">
        <f t="shared" si="56"/>
        <v>0</v>
      </c>
      <c r="BZ10" s="32">
        <f t="shared" si="57"/>
        <v>0</v>
      </c>
      <c r="CA10" s="32">
        <f t="shared" si="58"/>
        <v>0</v>
      </c>
      <c r="CB10" s="32">
        <f t="shared" si="59"/>
        <v>0</v>
      </c>
      <c r="CC10" s="32">
        <f t="shared" si="60"/>
        <v>0</v>
      </c>
      <c r="CD10" s="32">
        <f t="shared" si="61"/>
        <v>0</v>
      </c>
      <c r="CE10" s="32">
        <f t="shared" si="62"/>
        <v>0</v>
      </c>
      <c r="CF10" s="32">
        <f t="shared" si="63"/>
        <v>0</v>
      </c>
      <c r="CG10" s="32">
        <f t="shared" si="64"/>
        <v>1</v>
      </c>
      <c r="CH10" s="32">
        <f t="shared" si="65"/>
        <v>1</v>
      </c>
      <c r="CI10" s="32">
        <f t="shared" si="66"/>
        <v>1</v>
      </c>
      <c r="CJ10" s="32">
        <f t="shared" si="67"/>
        <v>1</v>
      </c>
      <c r="CK10" s="32">
        <f t="shared" si="68"/>
        <v>0</v>
      </c>
      <c r="CL10" s="32">
        <f t="shared" si="69"/>
        <v>0</v>
      </c>
      <c r="CM10" s="32">
        <f t="shared" si="70"/>
        <v>0</v>
      </c>
      <c r="CN10" s="32">
        <f t="shared" si="71"/>
        <v>0</v>
      </c>
      <c r="CO10" s="32">
        <f t="shared" si="72"/>
        <v>0</v>
      </c>
      <c r="CP10" s="32">
        <f t="shared" si="73"/>
        <v>0</v>
      </c>
      <c r="CQ10" s="32">
        <f t="shared" si="74"/>
        <v>0</v>
      </c>
      <c r="CR10" s="32">
        <f t="shared" si="75"/>
        <v>0</v>
      </c>
      <c r="CS10" s="32">
        <f t="shared" si="76"/>
        <v>0</v>
      </c>
      <c r="CT10" s="32">
        <f t="shared" si="77"/>
        <v>0</v>
      </c>
      <c r="CU10" s="32">
        <f t="shared" si="78"/>
        <v>0</v>
      </c>
      <c r="CV10" s="32">
        <f t="shared" si="79"/>
        <v>1</v>
      </c>
      <c r="CW10" s="32">
        <f t="shared" si="80"/>
        <v>1</v>
      </c>
      <c r="CX10" s="32">
        <f t="shared" si="81"/>
        <v>1</v>
      </c>
      <c r="CY10" s="32">
        <f t="shared" si="82"/>
        <v>1</v>
      </c>
      <c r="CZ10" s="32">
        <f t="shared" si="83"/>
        <v>0</v>
      </c>
      <c r="DA10" s="32">
        <f t="shared" si="84"/>
        <v>0</v>
      </c>
      <c r="DB10" s="32">
        <f t="shared" si="85"/>
        <v>0</v>
      </c>
      <c r="DC10" s="32">
        <f t="shared" si="86"/>
        <v>0</v>
      </c>
      <c r="DD10" s="32">
        <f t="shared" si="87"/>
        <v>0</v>
      </c>
      <c r="DE10" s="32">
        <f t="shared" si="88"/>
        <v>0</v>
      </c>
      <c r="DF10" s="32">
        <f t="shared" si="89"/>
        <v>0</v>
      </c>
      <c r="DG10" s="32">
        <f t="shared" si="90"/>
        <v>0</v>
      </c>
      <c r="DH10" s="32">
        <f t="shared" si="91"/>
        <v>0</v>
      </c>
      <c r="DI10" s="32">
        <f t="shared" si="92"/>
        <v>0</v>
      </c>
      <c r="DJ10" s="32">
        <f t="shared" si="93"/>
        <v>0</v>
      </c>
      <c r="DK10" s="32" t="str">
        <f t="shared" si="94"/>
        <v>C</v>
      </c>
      <c r="DL10" s="32" t="str">
        <f t="shared" si="95"/>
        <v>C</v>
      </c>
      <c r="DM10" s="32" t="str">
        <f t="shared" si="96"/>
        <v>C</v>
      </c>
      <c r="DN10" s="32" t="str">
        <f t="shared" si="97"/>
        <v>C</v>
      </c>
      <c r="DO10" s="32">
        <f t="shared" si="98"/>
        <v>0</v>
      </c>
      <c r="DP10" s="32">
        <f t="shared" si="98"/>
        <v>0</v>
      </c>
      <c r="DQ10" s="32">
        <f t="shared" si="98"/>
        <v>0</v>
      </c>
      <c r="DR10" s="32">
        <f t="shared" si="98"/>
        <v>0</v>
      </c>
      <c r="DS10" s="32">
        <f t="shared" si="98"/>
        <v>0</v>
      </c>
      <c r="DT10" s="32">
        <f t="shared" si="98"/>
        <v>0</v>
      </c>
      <c r="DU10" s="32">
        <f t="shared" si="98"/>
        <v>0</v>
      </c>
      <c r="DV10" s="32">
        <f t="shared" si="98"/>
        <v>0</v>
      </c>
      <c r="DW10" s="32">
        <f t="shared" si="98"/>
        <v>0</v>
      </c>
      <c r="DX10" s="32">
        <f t="shared" si="98"/>
        <v>0</v>
      </c>
      <c r="DY10" s="32">
        <f t="shared" si="98"/>
        <v>0</v>
      </c>
      <c r="DZ10" s="32">
        <f t="shared" si="98"/>
        <v>0</v>
      </c>
      <c r="EA10" s="32">
        <f t="shared" si="98"/>
        <v>0</v>
      </c>
      <c r="EB10" s="32">
        <f t="shared" si="98"/>
        <v>0</v>
      </c>
      <c r="EC10" s="32">
        <f t="shared" si="98"/>
        <v>0</v>
      </c>
      <c r="ED10" s="31" t="s">
        <v>107</v>
      </c>
      <c r="EF10" s="32">
        <f t="shared" si="99"/>
        <v>0</v>
      </c>
      <c r="EG10" s="32">
        <f t="shared" si="100"/>
        <v>0</v>
      </c>
      <c r="EH10" s="32">
        <f t="shared" si="101"/>
        <v>0</v>
      </c>
      <c r="EI10" s="32">
        <f t="shared" si="102"/>
        <v>0</v>
      </c>
      <c r="EJ10" s="32">
        <f t="shared" si="103"/>
        <v>0</v>
      </c>
      <c r="EK10" s="32">
        <f t="shared" si="104"/>
        <v>0</v>
      </c>
      <c r="EL10" s="32">
        <f t="shared" si="105"/>
        <v>0</v>
      </c>
      <c r="EM10" s="32">
        <f t="shared" si="106"/>
        <v>0</v>
      </c>
      <c r="EN10" s="32">
        <f t="shared" si="107"/>
        <v>0</v>
      </c>
      <c r="EO10" s="32">
        <f t="shared" si="108"/>
        <v>0</v>
      </c>
      <c r="EP10" s="32">
        <f t="shared" si="109"/>
        <v>0</v>
      </c>
      <c r="EQ10" s="32">
        <f t="shared" si="110"/>
        <v>0</v>
      </c>
      <c r="ER10" s="32">
        <f t="shared" si="111"/>
        <v>0</v>
      </c>
      <c r="ES10" s="32">
        <f t="shared" si="112"/>
        <v>0</v>
      </c>
      <c r="ET10" s="32">
        <f t="shared" si="113"/>
        <v>0</v>
      </c>
      <c r="EU10" s="32">
        <f t="shared" si="114"/>
        <v>0</v>
      </c>
      <c r="EV10" s="47">
        <f t="shared" si="115"/>
        <v>0</v>
      </c>
      <c r="EW10" s="47">
        <f t="shared" si="116"/>
        <v>0</v>
      </c>
    </row>
    <row r="11" spans="1:154" x14ac:dyDescent="0.25">
      <c r="A11" s="23">
        <f t="shared" si="2"/>
        <v>0</v>
      </c>
      <c r="B11" s="24" t="s">
        <v>75</v>
      </c>
      <c r="C11" s="30" t="s">
        <v>40</v>
      </c>
      <c r="D11" s="34">
        <f>AE1</f>
        <v>0</v>
      </c>
      <c r="E11" s="34">
        <f>AT1</f>
        <v>0</v>
      </c>
      <c r="F11" s="34">
        <f>BI1</f>
        <v>0</v>
      </c>
      <c r="G11" s="34">
        <f>BX1</f>
        <v>0</v>
      </c>
      <c r="H11" s="33">
        <f>MAX(EH5:EH32)</f>
        <v>0</v>
      </c>
      <c r="J11" s="32">
        <f t="shared" si="3"/>
        <v>0</v>
      </c>
      <c r="K11" s="32">
        <f t="shared" si="3"/>
        <v>0</v>
      </c>
      <c r="L11" s="32">
        <f t="shared" si="3"/>
        <v>0</v>
      </c>
      <c r="M11" s="32">
        <f t="shared" si="3"/>
        <v>0</v>
      </c>
      <c r="N11" s="32">
        <f t="shared" si="3"/>
        <v>0</v>
      </c>
      <c r="O11" s="32">
        <f t="shared" si="3"/>
        <v>0</v>
      </c>
      <c r="P11" s="32">
        <f t="shared" si="3"/>
        <v>0</v>
      </c>
      <c r="Q11" s="32">
        <f t="shared" si="3"/>
        <v>0</v>
      </c>
      <c r="R11" s="32">
        <f t="shared" si="3"/>
        <v>0</v>
      </c>
      <c r="S11" s="32">
        <f t="shared" si="3"/>
        <v>0</v>
      </c>
      <c r="T11" s="32">
        <f t="shared" si="3"/>
        <v>0</v>
      </c>
      <c r="U11" s="32">
        <f t="shared" si="3"/>
        <v>0</v>
      </c>
      <c r="V11" s="32">
        <f t="shared" si="3"/>
        <v>0</v>
      </c>
      <c r="W11" s="32">
        <f t="shared" si="3"/>
        <v>0</v>
      </c>
      <c r="X11" s="32" t="str">
        <f t="shared" si="3"/>
        <v>L</v>
      </c>
      <c r="Y11" s="41">
        <f t="shared" si="4"/>
        <v>28.000000000000004</v>
      </c>
      <c r="Z11" s="42">
        <f t="shared" si="5"/>
        <v>1.05</v>
      </c>
      <c r="AA11" s="32">
        <f t="shared" si="6"/>
        <v>0</v>
      </c>
      <c r="AB11" s="32">
        <f t="shared" si="7"/>
        <v>0</v>
      </c>
      <c r="AC11" s="32">
        <f t="shared" si="8"/>
        <v>0</v>
      </c>
      <c r="AD11" s="32">
        <f t="shared" si="9"/>
        <v>0</v>
      </c>
      <c r="AE11" s="32">
        <f t="shared" si="10"/>
        <v>0</v>
      </c>
      <c r="AF11" s="32">
        <f t="shared" si="11"/>
        <v>0</v>
      </c>
      <c r="AG11" s="32">
        <f t="shared" si="12"/>
        <v>0</v>
      </c>
      <c r="AH11" s="32">
        <f t="shared" si="13"/>
        <v>0</v>
      </c>
      <c r="AI11" s="32">
        <f t="shared" si="14"/>
        <v>0</v>
      </c>
      <c r="AJ11" s="32">
        <f t="shared" si="15"/>
        <v>0</v>
      </c>
      <c r="AK11" s="32">
        <f t="shared" si="16"/>
        <v>0</v>
      </c>
      <c r="AL11" s="32">
        <f t="shared" si="17"/>
        <v>0</v>
      </c>
      <c r="AM11" s="32">
        <f t="shared" si="18"/>
        <v>0</v>
      </c>
      <c r="AN11" s="32">
        <f t="shared" si="19"/>
        <v>0</v>
      </c>
      <c r="AO11" s="32">
        <f t="shared" si="20"/>
        <v>0</v>
      </c>
      <c r="AP11" s="32">
        <f t="shared" si="21"/>
        <v>0</v>
      </c>
      <c r="AQ11" s="32">
        <f t="shared" si="22"/>
        <v>1</v>
      </c>
      <c r="AR11" s="32">
        <f t="shared" si="23"/>
        <v>0</v>
      </c>
      <c r="AS11" s="32">
        <f t="shared" si="24"/>
        <v>0</v>
      </c>
      <c r="AT11" s="32">
        <f t="shared" si="25"/>
        <v>0</v>
      </c>
      <c r="AU11" s="32">
        <f t="shared" si="26"/>
        <v>0</v>
      </c>
      <c r="AV11" s="32">
        <f t="shared" si="27"/>
        <v>0</v>
      </c>
      <c r="AW11" s="32">
        <f t="shared" si="28"/>
        <v>0</v>
      </c>
      <c r="AX11" s="32">
        <f t="shared" si="29"/>
        <v>0</v>
      </c>
      <c r="AY11" s="32">
        <f t="shared" si="30"/>
        <v>0</v>
      </c>
      <c r="AZ11" s="32">
        <f t="shared" si="31"/>
        <v>0</v>
      </c>
      <c r="BA11" s="32">
        <f t="shared" si="32"/>
        <v>0</v>
      </c>
      <c r="BB11" s="32">
        <f t="shared" si="33"/>
        <v>0</v>
      </c>
      <c r="BC11" s="32">
        <f t="shared" si="34"/>
        <v>0</v>
      </c>
      <c r="BD11" s="32">
        <f t="shared" si="35"/>
        <v>0</v>
      </c>
      <c r="BE11" s="32">
        <f t="shared" si="36"/>
        <v>0</v>
      </c>
      <c r="BF11" s="32">
        <f t="shared" si="37"/>
        <v>2</v>
      </c>
      <c r="BG11" s="32">
        <f t="shared" si="38"/>
        <v>0</v>
      </c>
      <c r="BH11" s="32">
        <f t="shared" si="39"/>
        <v>0</v>
      </c>
      <c r="BI11" s="32">
        <f t="shared" si="40"/>
        <v>0</v>
      </c>
      <c r="BJ11" s="32">
        <f t="shared" si="41"/>
        <v>0</v>
      </c>
      <c r="BK11" s="32">
        <f t="shared" si="42"/>
        <v>0</v>
      </c>
      <c r="BL11" s="32">
        <f t="shared" si="43"/>
        <v>0</v>
      </c>
      <c r="BM11" s="32">
        <f t="shared" si="44"/>
        <v>0</v>
      </c>
      <c r="BN11" s="32">
        <f t="shared" si="45"/>
        <v>0</v>
      </c>
      <c r="BO11" s="32">
        <f t="shared" si="46"/>
        <v>0</v>
      </c>
      <c r="BP11" s="32">
        <f t="shared" si="47"/>
        <v>0</v>
      </c>
      <c r="BQ11" s="32">
        <f t="shared" si="48"/>
        <v>0</v>
      </c>
      <c r="BR11" s="32">
        <f t="shared" si="49"/>
        <v>0</v>
      </c>
      <c r="BS11" s="32">
        <f t="shared" si="50"/>
        <v>0</v>
      </c>
      <c r="BT11" s="32">
        <f t="shared" si="51"/>
        <v>0</v>
      </c>
      <c r="BU11" s="32">
        <f t="shared" si="52"/>
        <v>1</v>
      </c>
      <c r="BV11" s="32">
        <f t="shared" si="53"/>
        <v>0</v>
      </c>
      <c r="BW11" s="32">
        <f t="shared" si="54"/>
        <v>0</v>
      </c>
      <c r="BX11" s="32">
        <f t="shared" si="55"/>
        <v>0</v>
      </c>
      <c r="BY11" s="32">
        <f t="shared" si="56"/>
        <v>0</v>
      </c>
      <c r="BZ11" s="32">
        <f t="shared" si="57"/>
        <v>0</v>
      </c>
      <c r="CA11" s="32">
        <f t="shared" si="58"/>
        <v>0</v>
      </c>
      <c r="CB11" s="32">
        <f t="shared" si="59"/>
        <v>0</v>
      </c>
      <c r="CC11" s="32">
        <f t="shared" si="60"/>
        <v>0</v>
      </c>
      <c r="CD11" s="32">
        <f t="shared" si="61"/>
        <v>0</v>
      </c>
      <c r="CE11" s="32">
        <f t="shared" si="62"/>
        <v>0</v>
      </c>
      <c r="CF11" s="32">
        <f t="shared" si="63"/>
        <v>0</v>
      </c>
      <c r="CG11" s="32">
        <f t="shared" si="64"/>
        <v>0</v>
      </c>
      <c r="CH11" s="32">
        <f t="shared" si="65"/>
        <v>0</v>
      </c>
      <c r="CI11" s="32">
        <f t="shared" si="66"/>
        <v>0</v>
      </c>
      <c r="CJ11" s="32">
        <f t="shared" si="67"/>
        <v>3</v>
      </c>
      <c r="CK11" s="32">
        <f t="shared" si="68"/>
        <v>0</v>
      </c>
      <c r="CL11" s="32">
        <f t="shared" si="69"/>
        <v>0</v>
      </c>
      <c r="CM11" s="32">
        <f t="shared" si="70"/>
        <v>0</v>
      </c>
      <c r="CN11" s="32">
        <f t="shared" si="71"/>
        <v>0</v>
      </c>
      <c r="CO11" s="32">
        <f t="shared" si="72"/>
        <v>0</v>
      </c>
      <c r="CP11" s="32">
        <f t="shared" si="73"/>
        <v>0</v>
      </c>
      <c r="CQ11" s="32">
        <f t="shared" si="74"/>
        <v>0</v>
      </c>
      <c r="CR11" s="32">
        <f t="shared" si="75"/>
        <v>0</v>
      </c>
      <c r="CS11" s="32">
        <f t="shared" si="76"/>
        <v>0</v>
      </c>
      <c r="CT11" s="32">
        <f t="shared" si="77"/>
        <v>0</v>
      </c>
      <c r="CU11" s="32">
        <f t="shared" si="78"/>
        <v>0</v>
      </c>
      <c r="CV11" s="32">
        <f t="shared" si="79"/>
        <v>0</v>
      </c>
      <c r="CW11" s="32">
        <f t="shared" si="80"/>
        <v>0</v>
      </c>
      <c r="CX11" s="32">
        <f t="shared" si="81"/>
        <v>0</v>
      </c>
      <c r="CY11" s="32">
        <f t="shared" si="82"/>
        <v>1</v>
      </c>
      <c r="CZ11" s="32">
        <f t="shared" si="83"/>
        <v>0</v>
      </c>
      <c r="DA11" s="32">
        <f t="shared" si="84"/>
        <v>0</v>
      </c>
      <c r="DB11" s="32">
        <f t="shared" si="85"/>
        <v>0</v>
      </c>
      <c r="DC11" s="32">
        <f t="shared" si="86"/>
        <v>0</v>
      </c>
      <c r="DD11" s="32">
        <f t="shared" si="87"/>
        <v>0</v>
      </c>
      <c r="DE11" s="32">
        <f t="shared" si="88"/>
        <v>0</v>
      </c>
      <c r="DF11" s="32">
        <f t="shared" si="89"/>
        <v>0</v>
      </c>
      <c r="DG11" s="32">
        <f t="shared" si="90"/>
        <v>0</v>
      </c>
      <c r="DH11" s="32">
        <f t="shared" si="91"/>
        <v>0</v>
      </c>
      <c r="DI11" s="32">
        <f t="shared" si="92"/>
        <v>0</v>
      </c>
      <c r="DJ11" s="32">
        <f t="shared" si="93"/>
        <v>0</v>
      </c>
      <c r="DK11" s="32">
        <f t="shared" si="94"/>
        <v>0</v>
      </c>
      <c r="DL11" s="32">
        <f t="shared" si="95"/>
        <v>0</v>
      </c>
      <c r="DM11" s="32">
        <f t="shared" si="96"/>
        <v>0</v>
      </c>
      <c r="DN11" s="32" t="str">
        <f t="shared" si="97"/>
        <v>L</v>
      </c>
      <c r="DO11" s="32">
        <f t="shared" si="98"/>
        <v>0</v>
      </c>
      <c r="DP11" s="32">
        <f t="shared" si="98"/>
        <v>0</v>
      </c>
      <c r="DQ11" s="32">
        <f t="shared" si="98"/>
        <v>0</v>
      </c>
      <c r="DR11" s="32">
        <f t="shared" si="98"/>
        <v>0</v>
      </c>
      <c r="DS11" s="32">
        <f t="shared" si="98"/>
        <v>0</v>
      </c>
      <c r="DT11" s="32">
        <f t="shared" si="98"/>
        <v>0</v>
      </c>
      <c r="DU11" s="32">
        <f t="shared" si="98"/>
        <v>0</v>
      </c>
      <c r="DV11" s="32">
        <f t="shared" si="98"/>
        <v>0</v>
      </c>
      <c r="DW11" s="32">
        <f t="shared" si="98"/>
        <v>0</v>
      </c>
      <c r="DX11" s="32">
        <f t="shared" si="98"/>
        <v>0</v>
      </c>
      <c r="DY11" s="32">
        <f t="shared" si="98"/>
        <v>0</v>
      </c>
      <c r="DZ11" s="32">
        <f t="shared" si="98"/>
        <v>0</v>
      </c>
      <c r="EA11" s="32">
        <f t="shared" si="98"/>
        <v>0</v>
      </c>
      <c r="EB11" s="32">
        <f t="shared" si="98"/>
        <v>0</v>
      </c>
      <c r="EC11" s="32">
        <f t="shared" si="98"/>
        <v>0</v>
      </c>
      <c r="ED11" s="31" t="s">
        <v>108</v>
      </c>
      <c r="EF11" s="32">
        <f t="shared" si="99"/>
        <v>0</v>
      </c>
      <c r="EG11" s="32">
        <f t="shared" si="100"/>
        <v>0</v>
      </c>
      <c r="EH11" s="32">
        <f t="shared" si="101"/>
        <v>0</v>
      </c>
      <c r="EI11" s="32">
        <f t="shared" si="102"/>
        <v>0</v>
      </c>
      <c r="EJ11" s="32">
        <f t="shared" si="103"/>
        <v>0</v>
      </c>
      <c r="EK11" s="32">
        <f t="shared" si="104"/>
        <v>0</v>
      </c>
      <c r="EL11" s="32">
        <f t="shared" si="105"/>
        <v>0</v>
      </c>
      <c r="EM11" s="32">
        <f t="shared" si="106"/>
        <v>0</v>
      </c>
      <c r="EN11" s="32">
        <f t="shared" si="107"/>
        <v>0</v>
      </c>
      <c r="EO11" s="32">
        <f t="shared" si="108"/>
        <v>0</v>
      </c>
      <c r="EP11" s="32">
        <f t="shared" si="109"/>
        <v>0</v>
      </c>
      <c r="EQ11" s="32">
        <f t="shared" si="110"/>
        <v>0</v>
      </c>
      <c r="ER11" s="32">
        <f t="shared" si="111"/>
        <v>0</v>
      </c>
      <c r="ES11" s="32">
        <f t="shared" si="112"/>
        <v>0</v>
      </c>
      <c r="ET11" s="32">
        <f t="shared" si="113"/>
        <v>0</v>
      </c>
      <c r="EU11" s="32">
        <f t="shared" si="114"/>
        <v>0</v>
      </c>
      <c r="EV11" s="47">
        <f t="shared" si="115"/>
        <v>0</v>
      </c>
      <c r="EW11" s="47">
        <f t="shared" si="116"/>
        <v>0</v>
      </c>
    </row>
    <row r="12" spans="1:154" x14ac:dyDescent="0.25">
      <c r="A12" s="23">
        <f t="shared" si="2"/>
        <v>0</v>
      </c>
      <c r="B12" s="24" t="s">
        <v>179</v>
      </c>
      <c r="C12" s="31" t="s">
        <v>43</v>
      </c>
      <c r="D12" s="32">
        <f>AF1</f>
        <v>4</v>
      </c>
      <c r="E12" s="32">
        <f>AU1</f>
        <v>4</v>
      </c>
      <c r="F12" s="32">
        <f>BJ1</f>
        <v>2</v>
      </c>
      <c r="G12" s="32">
        <f>BY1</f>
        <v>5</v>
      </c>
      <c r="H12" s="33">
        <f>MAX(EI5:EI32)</f>
        <v>0</v>
      </c>
      <c r="J12" s="32">
        <f t="shared" si="3"/>
        <v>0</v>
      </c>
      <c r="K12" s="32">
        <f t="shared" si="3"/>
        <v>0</v>
      </c>
      <c r="L12" s="32">
        <f t="shared" si="3"/>
        <v>0</v>
      </c>
      <c r="M12" s="32" t="str">
        <f t="shared" si="3"/>
        <v>Cb</v>
      </c>
      <c r="N12" s="32">
        <f t="shared" si="3"/>
        <v>0</v>
      </c>
      <c r="O12" s="32">
        <f t="shared" si="3"/>
        <v>0</v>
      </c>
      <c r="P12" s="32">
        <f t="shared" si="3"/>
        <v>0</v>
      </c>
      <c r="Q12" s="32">
        <f t="shared" si="3"/>
        <v>0</v>
      </c>
      <c r="R12" s="32" t="str">
        <f t="shared" si="3"/>
        <v>Cb</v>
      </c>
      <c r="S12" s="32" t="str">
        <f t="shared" si="3"/>
        <v>Cb</v>
      </c>
      <c r="T12" s="32" t="str">
        <f t="shared" si="3"/>
        <v>Cb</v>
      </c>
      <c r="U12" s="32" t="str">
        <f t="shared" si="3"/>
        <v>Cb</v>
      </c>
      <c r="V12" s="32" t="str">
        <f t="shared" si="3"/>
        <v>Cb</v>
      </c>
      <c r="W12" s="32" t="str">
        <f t="shared" si="3"/>
        <v>Cb</v>
      </c>
      <c r="X12" s="32">
        <f t="shared" si="3"/>
        <v>0</v>
      </c>
      <c r="Y12" s="41">
        <f t="shared" si="4"/>
        <v>66</v>
      </c>
      <c r="Z12" s="42">
        <f t="shared" si="5"/>
        <v>3.3000000000000003</v>
      </c>
      <c r="AA12" s="32">
        <f t="shared" si="6"/>
        <v>0</v>
      </c>
      <c r="AB12" s="32">
        <f t="shared" si="7"/>
        <v>0</v>
      </c>
      <c r="AC12" s="32">
        <f t="shared" si="8"/>
        <v>0</v>
      </c>
      <c r="AD12" s="32">
        <f t="shared" si="9"/>
        <v>0</v>
      </c>
      <c r="AE12" s="32">
        <f t="shared" si="10"/>
        <v>0</v>
      </c>
      <c r="AF12" s="32">
        <f t="shared" si="11"/>
        <v>0</v>
      </c>
      <c r="AG12" s="32">
        <f t="shared" si="12"/>
        <v>0</v>
      </c>
      <c r="AH12" s="32">
        <f t="shared" si="13"/>
        <v>0</v>
      </c>
      <c r="AI12" s="32">
        <f t="shared" si="14"/>
        <v>0</v>
      </c>
      <c r="AJ12" s="32">
        <f t="shared" si="15"/>
        <v>0</v>
      </c>
      <c r="AK12" s="32">
        <f t="shared" si="16"/>
        <v>0</v>
      </c>
      <c r="AL12" s="32">
        <f t="shared" si="17"/>
        <v>0</v>
      </c>
      <c r="AM12" s="32">
        <f t="shared" si="18"/>
        <v>0</v>
      </c>
      <c r="AN12" s="32">
        <f t="shared" si="19"/>
        <v>0</v>
      </c>
      <c r="AO12" s="32">
        <f t="shared" si="20"/>
        <v>0</v>
      </c>
      <c r="AP12" s="32">
        <f t="shared" si="21"/>
        <v>0</v>
      </c>
      <c r="AQ12" s="32">
        <f t="shared" si="22"/>
        <v>0</v>
      </c>
      <c r="AR12" s="32">
        <f t="shared" si="23"/>
        <v>0</v>
      </c>
      <c r="AS12" s="32">
        <f t="shared" si="24"/>
        <v>0</v>
      </c>
      <c r="AT12" s="32">
        <f t="shared" si="25"/>
        <v>0</v>
      </c>
      <c r="AU12" s="32">
        <f t="shared" si="26"/>
        <v>0</v>
      </c>
      <c r="AV12" s="32">
        <f t="shared" si="27"/>
        <v>0</v>
      </c>
      <c r="AW12" s="32">
        <f t="shared" si="28"/>
        <v>0</v>
      </c>
      <c r="AX12" s="32">
        <f t="shared" si="29"/>
        <v>0</v>
      </c>
      <c r="AY12" s="32">
        <f t="shared" si="30"/>
        <v>0</v>
      </c>
      <c r="AZ12" s="32">
        <f t="shared" si="31"/>
        <v>0</v>
      </c>
      <c r="BA12" s="32">
        <f t="shared" si="32"/>
        <v>0</v>
      </c>
      <c r="BB12" s="32">
        <f t="shared" si="33"/>
        <v>0</v>
      </c>
      <c r="BC12" s="32">
        <f t="shared" si="34"/>
        <v>0</v>
      </c>
      <c r="BD12" s="32">
        <f t="shared" si="35"/>
        <v>0</v>
      </c>
      <c r="BE12" s="32">
        <f t="shared" si="36"/>
        <v>0</v>
      </c>
      <c r="BF12" s="32">
        <f t="shared" si="37"/>
        <v>0</v>
      </c>
      <c r="BG12" s="32">
        <f t="shared" si="38"/>
        <v>0</v>
      </c>
      <c r="BH12" s="32">
        <f t="shared" si="39"/>
        <v>0</v>
      </c>
      <c r="BI12" s="32">
        <f t="shared" si="40"/>
        <v>0</v>
      </c>
      <c r="BJ12" s="32">
        <f t="shared" si="41"/>
        <v>0</v>
      </c>
      <c r="BK12" s="32">
        <f t="shared" si="42"/>
        <v>0</v>
      </c>
      <c r="BL12" s="32">
        <f t="shared" si="43"/>
        <v>0</v>
      </c>
      <c r="BM12" s="32">
        <f t="shared" si="44"/>
        <v>0</v>
      </c>
      <c r="BN12" s="32">
        <f t="shared" si="45"/>
        <v>0</v>
      </c>
      <c r="BO12" s="32">
        <f t="shared" si="46"/>
        <v>0</v>
      </c>
      <c r="BP12" s="32">
        <f t="shared" si="47"/>
        <v>0</v>
      </c>
      <c r="BQ12" s="32">
        <f t="shared" si="48"/>
        <v>0</v>
      </c>
      <c r="BR12" s="32">
        <f t="shared" si="49"/>
        <v>0</v>
      </c>
      <c r="BS12" s="32">
        <f t="shared" si="50"/>
        <v>0</v>
      </c>
      <c r="BT12" s="32">
        <f t="shared" si="51"/>
        <v>0</v>
      </c>
      <c r="BU12" s="32">
        <f t="shared" si="52"/>
        <v>0</v>
      </c>
      <c r="BV12" s="32">
        <f t="shared" si="53"/>
        <v>0</v>
      </c>
      <c r="BW12" s="32">
        <f t="shared" si="54"/>
        <v>0</v>
      </c>
      <c r="BX12" s="32">
        <f t="shared" si="55"/>
        <v>0</v>
      </c>
      <c r="BY12" s="32">
        <f t="shared" si="56"/>
        <v>1</v>
      </c>
      <c r="BZ12" s="32">
        <f t="shared" si="57"/>
        <v>0</v>
      </c>
      <c r="CA12" s="32">
        <f t="shared" si="58"/>
        <v>0</v>
      </c>
      <c r="CB12" s="32">
        <f t="shared" si="59"/>
        <v>0</v>
      </c>
      <c r="CC12" s="32">
        <f t="shared" si="60"/>
        <v>0</v>
      </c>
      <c r="CD12" s="32">
        <f t="shared" si="61"/>
        <v>1</v>
      </c>
      <c r="CE12" s="32">
        <f t="shared" si="62"/>
        <v>1</v>
      </c>
      <c r="CF12" s="32">
        <f t="shared" si="63"/>
        <v>1</v>
      </c>
      <c r="CG12" s="32">
        <f t="shared" si="64"/>
        <v>1</v>
      </c>
      <c r="CH12" s="32">
        <f t="shared" si="65"/>
        <v>1</v>
      </c>
      <c r="CI12" s="32">
        <f t="shared" si="66"/>
        <v>1</v>
      </c>
      <c r="CJ12" s="32">
        <f t="shared" si="67"/>
        <v>0</v>
      </c>
      <c r="CK12" s="32">
        <f t="shared" si="68"/>
        <v>0</v>
      </c>
      <c r="CL12" s="32">
        <f t="shared" si="69"/>
        <v>0</v>
      </c>
      <c r="CM12" s="32">
        <f t="shared" si="70"/>
        <v>0</v>
      </c>
      <c r="CN12" s="32">
        <f t="shared" si="71"/>
        <v>0.5</v>
      </c>
      <c r="CO12" s="32">
        <f t="shared" si="72"/>
        <v>0</v>
      </c>
      <c r="CP12" s="32">
        <f t="shared" si="73"/>
        <v>0</v>
      </c>
      <c r="CQ12" s="32">
        <f t="shared" si="74"/>
        <v>0</v>
      </c>
      <c r="CR12" s="32">
        <f t="shared" si="75"/>
        <v>0</v>
      </c>
      <c r="CS12" s="32">
        <f t="shared" si="76"/>
        <v>0.5</v>
      </c>
      <c r="CT12" s="32">
        <f t="shared" si="77"/>
        <v>0.5</v>
      </c>
      <c r="CU12" s="32">
        <f t="shared" si="78"/>
        <v>0.5</v>
      </c>
      <c r="CV12" s="32">
        <f t="shared" si="79"/>
        <v>0.5</v>
      </c>
      <c r="CW12" s="32">
        <f t="shared" si="80"/>
        <v>0.5</v>
      </c>
      <c r="CX12" s="32">
        <f t="shared" si="81"/>
        <v>0.5</v>
      </c>
      <c r="CY12" s="32">
        <f t="shared" si="82"/>
        <v>0</v>
      </c>
      <c r="CZ12" s="32">
        <f t="shared" si="83"/>
        <v>0</v>
      </c>
      <c r="DA12" s="32">
        <f t="shared" si="84"/>
        <v>0</v>
      </c>
      <c r="DB12" s="32">
        <f t="shared" si="85"/>
        <v>0</v>
      </c>
      <c r="DC12" s="32" t="str">
        <f t="shared" si="86"/>
        <v>C</v>
      </c>
      <c r="DD12" s="32">
        <f t="shared" si="87"/>
        <v>0</v>
      </c>
      <c r="DE12" s="32">
        <f t="shared" si="88"/>
        <v>0</v>
      </c>
      <c r="DF12" s="32">
        <f t="shared" si="89"/>
        <v>0</v>
      </c>
      <c r="DG12" s="32">
        <f t="shared" si="90"/>
        <v>0</v>
      </c>
      <c r="DH12" s="32" t="str">
        <f t="shared" si="91"/>
        <v>C</v>
      </c>
      <c r="DI12" s="32" t="str">
        <f t="shared" si="92"/>
        <v>C</v>
      </c>
      <c r="DJ12" s="32" t="str">
        <f t="shared" si="93"/>
        <v>C</v>
      </c>
      <c r="DK12" s="32" t="str">
        <f t="shared" si="94"/>
        <v>C</v>
      </c>
      <c r="DL12" s="32" t="str">
        <f t="shared" si="95"/>
        <v>C</v>
      </c>
      <c r="DM12" s="32" t="str">
        <f t="shared" si="96"/>
        <v>C</v>
      </c>
      <c r="DN12" s="32">
        <f t="shared" si="97"/>
        <v>0</v>
      </c>
      <c r="DO12" s="32">
        <f t="shared" si="98"/>
        <v>0</v>
      </c>
      <c r="DP12" s="32">
        <f t="shared" si="98"/>
        <v>0</v>
      </c>
      <c r="DQ12" s="32">
        <f t="shared" si="98"/>
        <v>0</v>
      </c>
      <c r="DR12" s="32">
        <f t="shared" si="98"/>
        <v>0</v>
      </c>
      <c r="DS12" s="32">
        <f t="shared" si="98"/>
        <v>0</v>
      </c>
      <c r="DT12" s="32">
        <f t="shared" si="98"/>
        <v>0</v>
      </c>
      <c r="DU12" s="32">
        <f t="shared" si="98"/>
        <v>0</v>
      </c>
      <c r="DV12" s="32">
        <f t="shared" si="98"/>
        <v>0</v>
      </c>
      <c r="DW12" s="32">
        <f t="shared" si="98"/>
        <v>0</v>
      </c>
      <c r="DX12" s="32">
        <f t="shared" si="98"/>
        <v>0</v>
      </c>
      <c r="DY12" s="32">
        <f t="shared" si="98"/>
        <v>0</v>
      </c>
      <c r="DZ12" s="32">
        <f t="shared" si="98"/>
        <v>0</v>
      </c>
      <c r="EA12" s="32">
        <f t="shared" si="98"/>
        <v>0</v>
      </c>
      <c r="EB12" s="32">
        <f t="shared" si="98"/>
        <v>0</v>
      </c>
      <c r="EC12" s="32">
        <f t="shared" si="98"/>
        <v>0</v>
      </c>
      <c r="ED12" s="31" t="s">
        <v>30</v>
      </c>
      <c r="EF12" s="32">
        <f t="shared" si="99"/>
        <v>0</v>
      </c>
      <c r="EG12" s="32">
        <f t="shared" si="100"/>
        <v>0</v>
      </c>
      <c r="EH12" s="32">
        <f t="shared" si="101"/>
        <v>0</v>
      </c>
      <c r="EI12" s="32">
        <f t="shared" si="102"/>
        <v>0</v>
      </c>
      <c r="EJ12" s="32">
        <f t="shared" si="103"/>
        <v>0</v>
      </c>
      <c r="EK12" s="32">
        <f t="shared" si="104"/>
        <v>0</v>
      </c>
      <c r="EL12" s="32">
        <f t="shared" si="105"/>
        <v>0</v>
      </c>
      <c r="EM12" s="32">
        <f t="shared" si="106"/>
        <v>0</v>
      </c>
      <c r="EN12" s="32">
        <f t="shared" si="107"/>
        <v>0</v>
      </c>
      <c r="EO12" s="32">
        <f t="shared" si="108"/>
        <v>0</v>
      </c>
      <c r="EP12" s="32">
        <f t="shared" si="109"/>
        <v>0</v>
      </c>
      <c r="EQ12" s="32">
        <f t="shared" si="110"/>
        <v>0</v>
      </c>
      <c r="ER12" s="32">
        <f t="shared" si="111"/>
        <v>0</v>
      </c>
      <c r="ES12" s="32">
        <f t="shared" si="112"/>
        <v>0</v>
      </c>
      <c r="ET12" s="32">
        <f t="shared" si="113"/>
        <v>0</v>
      </c>
      <c r="EU12" s="32">
        <f t="shared" si="114"/>
        <v>0</v>
      </c>
      <c r="EV12" s="47">
        <f t="shared" si="115"/>
        <v>0</v>
      </c>
      <c r="EW12" s="47">
        <f t="shared" si="116"/>
        <v>0</v>
      </c>
    </row>
    <row r="13" spans="1:154" x14ac:dyDescent="0.25">
      <c r="A13" s="23">
        <f t="shared" si="2"/>
        <v>0</v>
      </c>
      <c r="B13" s="24"/>
      <c r="C13" s="31" t="s">
        <v>44</v>
      </c>
      <c r="D13" s="32">
        <f>AG1</f>
        <v>4</v>
      </c>
      <c r="E13" s="32">
        <f>AV1</f>
        <v>4</v>
      </c>
      <c r="F13" s="32">
        <f>BK1</f>
        <v>2</v>
      </c>
      <c r="G13" s="32">
        <f>BZ1</f>
        <v>4</v>
      </c>
      <c r="H13" s="33">
        <f>MAX(EJ5:EJ32)</f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2">
        <f t="shared" si="3"/>
        <v>0</v>
      </c>
      <c r="O13" s="32">
        <f t="shared" si="3"/>
        <v>0</v>
      </c>
      <c r="P13" s="32">
        <f t="shared" si="3"/>
        <v>0</v>
      </c>
      <c r="Q13" s="32">
        <f t="shared" si="3"/>
        <v>0</v>
      </c>
      <c r="R13" s="32">
        <f t="shared" si="3"/>
        <v>0</v>
      </c>
      <c r="S13" s="32">
        <f t="shared" si="3"/>
        <v>0</v>
      </c>
      <c r="T13" s="32">
        <f t="shared" si="3"/>
        <v>0</v>
      </c>
      <c r="U13" s="32">
        <f t="shared" si="3"/>
        <v>0</v>
      </c>
      <c r="V13" s="32">
        <f t="shared" si="3"/>
        <v>0</v>
      </c>
      <c r="W13" s="32">
        <f t="shared" si="3"/>
        <v>0</v>
      </c>
      <c r="X13" s="32">
        <f t="shared" si="3"/>
        <v>0</v>
      </c>
      <c r="Y13" s="41">
        <f t="shared" si="4"/>
        <v>0</v>
      </c>
      <c r="Z13" s="42">
        <f t="shared" si="5"/>
        <v>0</v>
      </c>
      <c r="AA13" s="32">
        <f t="shared" si="6"/>
        <v>0</v>
      </c>
      <c r="AB13" s="32">
        <f t="shared" si="7"/>
        <v>0</v>
      </c>
      <c r="AC13" s="32">
        <f t="shared" si="8"/>
        <v>0</v>
      </c>
      <c r="AD13" s="32">
        <f t="shared" si="9"/>
        <v>0</v>
      </c>
      <c r="AE13" s="32">
        <f t="shared" si="10"/>
        <v>0</v>
      </c>
      <c r="AF13" s="32">
        <f t="shared" si="11"/>
        <v>0</v>
      </c>
      <c r="AG13" s="32">
        <f t="shared" si="12"/>
        <v>0</v>
      </c>
      <c r="AH13" s="32">
        <f t="shared" si="13"/>
        <v>0</v>
      </c>
      <c r="AI13" s="32">
        <f t="shared" si="14"/>
        <v>0</v>
      </c>
      <c r="AJ13" s="32">
        <f t="shared" si="15"/>
        <v>0</v>
      </c>
      <c r="AK13" s="32">
        <f t="shared" si="16"/>
        <v>0</v>
      </c>
      <c r="AL13" s="32">
        <f t="shared" si="17"/>
        <v>0</v>
      </c>
      <c r="AM13" s="32">
        <f t="shared" si="18"/>
        <v>0</v>
      </c>
      <c r="AN13" s="32">
        <f t="shared" si="19"/>
        <v>0</v>
      </c>
      <c r="AO13" s="32">
        <f t="shared" si="20"/>
        <v>0</v>
      </c>
      <c r="AP13" s="32">
        <f t="shared" si="21"/>
        <v>0</v>
      </c>
      <c r="AQ13" s="32">
        <f t="shared" si="22"/>
        <v>0</v>
      </c>
      <c r="AR13" s="32">
        <f t="shared" si="23"/>
        <v>0</v>
      </c>
      <c r="AS13" s="32">
        <f t="shared" si="24"/>
        <v>0</v>
      </c>
      <c r="AT13" s="32">
        <f t="shared" si="25"/>
        <v>0</v>
      </c>
      <c r="AU13" s="32">
        <f t="shared" si="26"/>
        <v>0</v>
      </c>
      <c r="AV13" s="32">
        <f t="shared" si="27"/>
        <v>0</v>
      </c>
      <c r="AW13" s="32">
        <f t="shared" si="28"/>
        <v>0</v>
      </c>
      <c r="AX13" s="32">
        <f t="shared" si="29"/>
        <v>0</v>
      </c>
      <c r="AY13" s="32">
        <f t="shared" si="30"/>
        <v>0</v>
      </c>
      <c r="AZ13" s="32">
        <f t="shared" si="31"/>
        <v>0</v>
      </c>
      <c r="BA13" s="32">
        <f t="shared" si="32"/>
        <v>0</v>
      </c>
      <c r="BB13" s="32">
        <f t="shared" si="33"/>
        <v>0</v>
      </c>
      <c r="BC13" s="32">
        <f t="shared" si="34"/>
        <v>0</v>
      </c>
      <c r="BD13" s="32">
        <f t="shared" si="35"/>
        <v>0</v>
      </c>
      <c r="BE13" s="32">
        <f t="shared" si="36"/>
        <v>0</v>
      </c>
      <c r="BF13" s="32">
        <f t="shared" si="37"/>
        <v>0</v>
      </c>
      <c r="BG13" s="32">
        <f t="shared" si="38"/>
        <v>0</v>
      </c>
      <c r="BH13" s="32">
        <f t="shared" si="39"/>
        <v>0</v>
      </c>
      <c r="BI13" s="32">
        <f t="shared" si="40"/>
        <v>0</v>
      </c>
      <c r="BJ13" s="32">
        <f t="shared" si="41"/>
        <v>0</v>
      </c>
      <c r="BK13" s="32">
        <f t="shared" si="42"/>
        <v>0</v>
      </c>
      <c r="BL13" s="32">
        <f t="shared" si="43"/>
        <v>0</v>
      </c>
      <c r="BM13" s="32">
        <f t="shared" si="44"/>
        <v>0</v>
      </c>
      <c r="BN13" s="32">
        <f t="shared" si="45"/>
        <v>0</v>
      </c>
      <c r="BO13" s="32">
        <f t="shared" si="46"/>
        <v>0</v>
      </c>
      <c r="BP13" s="32">
        <f t="shared" si="47"/>
        <v>0</v>
      </c>
      <c r="BQ13" s="32">
        <f t="shared" si="48"/>
        <v>0</v>
      </c>
      <c r="BR13" s="32">
        <f t="shared" si="49"/>
        <v>0</v>
      </c>
      <c r="BS13" s="32">
        <f t="shared" si="50"/>
        <v>0</v>
      </c>
      <c r="BT13" s="32">
        <f t="shared" si="51"/>
        <v>0</v>
      </c>
      <c r="BU13" s="32">
        <f t="shared" si="52"/>
        <v>0</v>
      </c>
      <c r="BV13" s="32">
        <f t="shared" si="53"/>
        <v>0</v>
      </c>
      <c r="BW13" s="32">
        <f t="shared" si="54"/>
        <v>0</v>
      </c>
      <c r="BX13" s="32">
        <f t="shared" si="55"/>
        <v>0</v>
      </c>
      <c r="BY13" s="32">
        <f t="shared" si="56"/>
        <v>0</v>
      </c>
      <c r="BZ13" s="32">
        <f t="shared" si="57"/>
        <v>0</v>
      </c>
      <c r="CA13" s="32">
        <f t="shared" si="58"/>
        <v>0</v>
      </c>
      <c r="CB13" s="32">
        <f t="shared" si="59"/>
        <v>0</v>
      </c>
      <c r="CC13" s="32">
        <f t="shared" si="60"/>
        <v>0</v>
      </c>
      <c r="CD13" s="32">
        <f t="shared" si="61"/>
        <v>0</v>
      </c>
      <c r="CE13" s="32">
        <f t="shared" si="62"/>
        <v>0</v>
      </c>
      <c r="CF13" s="32">
        <f t="shared" si="63"/>
        <v>0</v>
      </c>
      <c r="CG13" s="32">
        <f t="shared" si="64"/>
        <v>0</v>
      </c>
      <c r="CH13" s="32">
        <f t="shared" si="65"/>
        <v>0</v>
      </c>
      <c r="CI13" s="32">
        <f t="shared" si="66"/>
        <v>0</v>
      </c>
      <c r="CJ13" s="32">
        <f t="shared" si="67"/>
        <v>0</v>
      </c>
      <c r="CK13" s="32">
        <f t="shared" si="68"/>
        <v>0</v>
      </c>
      <c r="CL13" s="32">
        <f t="shared" si="69"/>
        <v>0</v>
      </c>
      <c r="CM13" s="32">
        <f t="shared" si="70"/>
        <v>0</v>
      </c>
      <c r="CN13" s="32">
        <f t="shared" si="71"/>
        <v>0</v>
      </c>
      <c r="CO13" s="32">
        <f t="shared" si="72"/>
        <v>0</v>
      </c>
      <c r="CP13" s="32">
        <f t="shared" si="73"/>
        <v>0</v>
      </c>
      <c r="CQ13" s="32">
        <f t="shared" si="74"/>
        <v>0</v>
      </c>
      <c r="CR13" s="32">
        <f t="shared" si="75"/>
        <v>0</v>
      </c>
      <c r="CS13" s="32">
        <f t="shared" si="76"/>
        <v>0</v>
      </c>
      <c r="CT13" s="32">
        <f t="shared" si="77"/>
        <v>0</v>
      </c>
      <c r="CU13" s="32">
        <f t="shared" si="78"/>
        <v>0</v>
      </c>
      <c r="CV13" s="32">
        <f t="shared" si="79"/>
        <v>0</v>
      </c>
      <c r="CW13" s="32">
        <f t="shared" si="80"/>
        <v>0</v>
      </c>
      <c r="CX13" s="32">
        <f t="shared" si="81"/>
        <v>0</v>
      </c>
      <c r="CY13" s="32">
        <f t="shared" si="82"/>
        <v>0</v>
      </c>
      <c r="CZ13" s="32">
        <f t="shared" si="83"/>
        <v>0</v>
      </c>
      <c r="DA13" s="32">
        <f t="shared" si="84"/>
        <v>0</v>
      </c>
      <c r="DB13" s="32">
        <f t="shared" si="85"/>
        <v>0</v>
      </c>
      <c r="DC13" s="32">
        <f t="shared" si="86"/>
        <v>0</v>
      </c>
      <c r="DD13" s="32">
        <f t="shared" si="87"/>
        <v>0</v>
      </c>
      <c r="DE13" s="32">
        <f t="shared" si="88"/>
        <v>0</v>
      </c>
      <c r="DF13" s="32">
        <f t="shared" si="89"/>
        <v>0</v>
      </c>
      <c r="DG13" s="32">
        <f t="shared" si="90"/>
        <v>0</v>
      </c>
      <c r="DH13" s="32">
        <f t="shared" si="91"/>
        <v>0</v>
      </c>
      <c r="DI13" s="32">
        <f t="shared" si="92"/>
        <v>0</v>
      </c>
      <c r="DJ13" s="32">
        <f t="shared" si="93"/>
        <v>0</v>
      </c>
      <c r="DK13" s="32">
        <f t="shared" si="94"/>
        <v>0</v>
      </c>
      <c r="DL13" s="32">
        <f t="shared" si="95"/>
        <v>0</v>
      </c>
      <c r="DM13" s="32">
        <f t="shared" si="96"/>
        <v>0</v>
      </c>
      <c r="DN13" s="32">
        <f t="shared" si="97"/>
        <v>0</v>
      </c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F13" s="32">
        <f t="shared" si="99"/>
        <v>0</v>
      </c>
      <c r="EG13" s="32">
        <f t="shared" si="100"/>
        <v>0</v>
      </c>
      <c r="EH13" s="32">
        <f t="shared" si="101"/>
        <v>0</v>
      </c>
      <c r="EI13" s="32">
        <f t="shared" si="102"/>
        <v>0</v>
      </c>
      <c r="EJ13" s="32">
        <f t="shared" si="103"/>
        <v>0</v>
      </c>
      <c r="EK13" s="32">
        <f t="shared" si="104"/>
        <v>0</v>
      </c>
      <c r="EL13" s="32">
        <f t="shared" si="105"/>
        <v>0</v>
      </c>
      <c r="EM13" s="32">
        <f t="shared" si="106"/>
        <v>0</v>
      </c>
      <c r="EN13" s="32">
        <f t="shared" si="107"/>
        <v>0</v>
      </c>
      <c r="EO13" s="32">
        <f t="shared" si="108"/>
        <v>0</v>
      </c>
      <c r="EP13" s="32">
        <f t="shared" si="109"/>
        <v>0</v>
      </c>
      <c r="EQ13" s="32">
        <f t="shared" si="110"/>
        <v>0</v>
      </c>
      <c r="ER13" s="32">
        <f t="shared" si="111"/>
        <v>0</v>
      </c>
      <c r="ES13" s="32">
        <f t="shared" si="112"/>
        <v>0</v>
      </c>
      <c r="ET13" s="32">
        <f t="shared" si="113"/>
        <v>0</v>
      </c>
      <c r="EU13" s="32">
        <f t="shared" si="114"/>
        <v>0</v>
      </c>
      <c r="EV13" s="47">
        <f t="shared" si="115"/>
        <v>0</v>
      </c>
      <c r="EW13" s="47">
        <f t="shared" si="116"/>
        <v>0</v>
      </c>
    </row>
    <row r="14" spans="1:154" x14ac:dyDescent="0.25">
      <c r="A14" s="23">
        <f t="shared" si="2"/>
        <v>0</v>
      </c>
      <c r="B14" s="24"/>
      <c r="C14" s="31" t="s">
        <v>47</v>
      </c>
      <c r="D14" s="32">
        <f>AH1</f>
        <v>4</v>
      </c>
      <c r="E14" s="32">
        <f>AW1</f>
        <v>4</v>
      </c>
      <c r="F14" s="32">
        <f>BL1</f>
        <v>2</v>
      </c>
      <c r="G14" s="32">
        <f>CA1</f>
        <v>4</v>
      </c>
      <c r="H14" s="33">
        <f>MAX(EK5:EK32)</f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41">
        <f t="shared" si="4"/>
        <v>0</v>
      </c>
      <c r="Z14" s="42">
        <f t="shared" si="5"/>
        <v>0</v>
      </c>
      <c r="AA14" s="32">
        <f t="shared" si="6"/>
        <v>0</v>
      </c>
      <c r="AB14" s="32">
        <f t="shared" si="7"/>
        <v>0</v>
      </c>
      <c r="AC14" s="32">
        <f t="shared" si="8"/>
        <v>0</v>
      </c>
      <c r="AD14" s="32">
        <f t="shared" si="9"/>
        <v>0</v>
      </c>
      <c r="AE14" s="32">
        <f t="shared" si="10"/>
        <v>0</v>
      </c>
      <c r="AF14" s="32">
        <f t="shared" si="11"/>
        <v>0</v>
      </c>
      <c r="AG14" s="32">
        <f t="shared" si="12"/>
        <v>0</v>
      </c>
      <c r="AH14" s="32">
        <f t="shared" si="13"/>
        <v>0</v>
      </c>
      <c r="AI14" s="32">
        <f t="shared" si="14"/>
        <v>0</v>
      </c>
      <c r="AJ14" s="32">
        <f t="shared" si="15"/>
        <v>0</v>
      </c>
      <c r="AK14" s="32">
        <f t="shared" si="16"/>
        <v>0</v>
      </c>
      <c r="AL14" s="32">
        <f t="shared" si="17"/>
        <v>0</v>
      </c>
      <c r="AM14" s="32">
        <f t="shared" si="18"/>
        <v>0</v>
      </c>
      <c r="AN14" s="32">
        <f t="shared" si="19"/>
        <v>0</v>
      </c>
      <c r="AO14" s="32">
        <f t="shared" si="20"/>
        <v>0</v>
      </c>
      <c r="AP14" s="32">
        <f t="shared" si="21"/>
        <v>0</v>
      </c>
      <c r="AQ14" s="32">
        <f t="shared" si="22"/>
        <v>0</v>
      </c>
      <c r="AR14" s="32">
        <f t="shared" si="23"/>
        <v>0</v>
      </c>
      <c r="AS14" s="32">
        <f t="shared" si="24"/>
        <v>0</v>
      </c>
      <c r="AT14" s="32">
        <f t="shared" si="25"/>
        <v>0</v>
      </c>
      <c r="AU14" s="32">
        <f t="shared" si="26"/>
        <v>0</v>
      </c>
      <c r="AV14" s="32">
        <f t="shared" si="27"/>
        <v>0</v>
      </c>
      <c r="AW14" s="32">
        <f t="shared" si="28"/>
        <v>0</v>
      </c>
      <c r="AX14" s="32">
        <f t="shared" si="29"/>
        <v>0</v>
      </c>
      <c r="AY14" s="32">
        <f t="shared" si="30"/>
        <v>0</v>
      </c>
      <c r="AZ14" s="32">
        <f t="shared" si="31"/>
        <v>0</v>
      </c>
      <c r="BA14" s="32">
        <f t="shared" si="32"/>
        <v>0</v>
      </c>
      <c r="BB14" s="32">
        <f t="shared" si="33"/>
        <v>0</v>
      </c>
      <c r="BC14" s="32">
        <f t="shared" si="34"/>
        <v>0</v>
      </c>
      <c r="BD14" s="32">
        <f t="shared" si="35"/>
        <v>0</v>
      </c>
      <c r="BE14" s="32">
        <f t="shared" si="36"/>
        <v>0</v>
      </c>
      <c r="BF14" s="32">
        <f t="shared" si="37"/>
        <v>0</v>
      </c>
      <c r="BG14" s="32">
        <f t="shared" si="38"/>
        <v>0</v>
      </c>
      <c r="BH14" s="32">
        <f t="shared" si="39"/>
        <v>0</v>
      </c>
      <c r="BI14" s="32">
        <f t="shared" si="40"/>
        <v>0</v>
      </c>
      <c r="BJ14" s="32">
        <f t="shared" si="41"/>
        <v>0</v>
      </c>
      <c r="BK14" s="32">
        <f t="shared" si="42"/>
        <v>0</v>
      </c>
      <c r="BL14" s="32">
        <f t="shared" si="43"/>
        <v>0</v>
      </c>
      <c r="BM14" s="32">
        <f t="shared" si="44"/>
        <v>0</v>
      </c>
      <c r="BN14" s="32">
        <f t="shared" si="45"/>
        <v>0</v>
      </c>
      <c r="BO14" s="32">
        <f t="shared" si="46"/>
        <v>0</v>
      </c>
      <c r="BP14" s="32">
        <f t="shared" si="47"/>
        <v>0</v>
      </c>
      <c r="BQ14" s="32">
        <f t="shared" si="48"/>
        <v>0</v>
      </c>
      <c r="BR14" s="32">
        <f t="shared" si="49"/>
        <v>0</v>
      </c>
      <c r="BS14" s="32">
        <f t="shared" si="50"/>
        <v>0</v>
      </c>
      <c r="BT14" s="32">
        <f t="shared" si="51"/>
        <v>0</v>
      </c>
      <c r="BU14" s="32">
        <f t="shared" si="52"/>
        <v>0</v>
      </c>
      <c r="BV14" s="32">
        <f t="shared" si="53"/>
        <v>0</v>
      </c>
      <c r="BW14" s="32">
        <f t="shared" si="54"/>
        <v>0</v>
      </c>
      <c r="BX14" s="32">
        <f t="shared" si="55"/>
        <v>0</v>
      </c>
      <c r="BY14" s="32">
        <f t="shared" si="56"/>
        <v>0</v>
      </c>
      <c r="BZ14" s="32">
        <f t="shared" si="57"/>
        <v>0</v>
      </c>
      <c r="CA14" s="32">
        <f t="shared" si="58"/>
        <v>0</v>
      </c>
      <c r="CB14" s="32">
        <f t="shared" si="59"/>
        <v>0</v>
      </c>
      <c r="CC14" s="32">
        <f t="shared" si="60"/>
        <v>0</v>
      </c>
      <c r="CD14" s="32">
        <f t="shared" si="61"/>
        <v>0</v>
      </c>
      <c r="CE14" s="32">
        <f t="shared" si="62"/>
        <v>0</v>
      </c>
      <c r="CF14" s="32">
        <f t="shared" si="63"/>
        <v>0</v>
      </c>
      <c r="CG14" s="32">
        <f t="shared" si="64"/>
        <v>0</v>
      </c>
      <c r="CH14" s="32">
        <f t="shared" si="65"/>
        <v>0</v>
      </c>
      <c r="CI14" s="32">
        <f t="shared" si="66"/>
        <v>0</v>
      </c>
      <c r="CJ14" s="32">
        <f t="shared" si="67"/>
        <v>0</v>
      </c>
      <c r="CK14" s="32">
        <f t="shared" si="68"/>
        <v>0</v>
      </c>
      <c r="CL14" s="32">
        <f t="shared" si="69"/>
        <v>0</v>
      </c>
      <c r="CM14" s="32">
        <f t="shared" si="70"/>
        <v>0</v>
      </c>
      <c r="CN14" s="32">
        <f t="shared" si="71"/>
        <v>0</v>
      </c>
      <c r="CO14" s="32">
        <f t="shared" si="72"/>
        <v>0</v>
      </c>
      <c r="CP14" s="32">
        <f t="shared" si="73"/>
        <v>0</v>
      </c>
      <c r="CQ14" s="32">
        <f t="shared" si="74"/>
        <v>0</v>
      </c>
      <c r="CR14" s="32">
        <f t="shared" si="75"/>
        <v>0</v>
      </c>
      <c r="CS14" s="32">
        <f t="shared" si="76"/>
        <v>0</v>
      </c>
      <c r="CT14" s="32">
        <f t="shared" si="77"/>
        <v>0</v>
      </c>
      <c r="CU14" s="32">
        <f t="shared" si="78"/>
        <v>0</v>
      </c>
      <c r="CV14" s="32">
        <f t="shared" si="79"/>
        <v>0</v>
      </c>
      <c r="CW14" s="32">
        <f t="shared" si="80"/>
        <v>0</v>
      </c>
      <c r="CX14" s="32">
        <f t="shared" si="81"/>
        <v>0</v>
      </c>
      <c r="CY14" s="32">
        <f t="shared" si="82"/>
        <v>0</v>
      </c>
      <c r="CZ14" s="32">
        <f t="shared" si="83"/>
        <v>0</v>
      </c>
      <c r="DA14" s="32">
        <f t="shared" si="84"/>
        <v>0</v>
      </c>
      <c r="DB14" s="32">
        <f t="shared" si="85"/>
        <v>0</v>
      </c>
      <c r="DC14" s="32">
        <f t="shared" si="86"/>
        <v>0</v>
      </c>
      <c r="DD14" s="32">
        <f t="shared" si="87"/>
        <v>0</v>
      </c>
      <c r="DE14" s="32">
        <f t="shared" si="88"/>
        <v>0</v>
      </c>
      <c r="DF14" s="32">
        <f t="shared" si="89"/>
        <v>0</v>
      </c>
      <c r="DG14" s="32">
        <f t="shared" si="90"/>
        <v>0</v>
      </c>
      <c r="DH14" s="32">
        <f t="shared" si="91"/>
        <v>0</v>
      </c>
      <c r="DI14" s="32">
        <f t="shared" si="92"/>
        <v>0</v>
      </c>
      <c r="DJ14" s="32">
        <f t="shared" si="93"/>
        <v>0</v>
      </c>
      <c r="DK14" s="32">
        <f t="shared" si="94"/>
        <v>0</v>
      </c>
      <c r="DL14" s="32">
        <f t="shared" si="95"/>
        <v>0</v>
      </c>
      <c r="DM14" s="32">
        <f t="shared" si="96"/>
        <v>0</v>
      </c>
      <c r="DN14" s="32">
        <f t="shared" si="97"/>
        <v>0</v>
      </c>
      <c r="DO14" s="32">
        <f t="shared" ref="DO14:EC14" si="117">SUM(CK5:CK32)</f>
        <v>2.5</v>
      </c>
      <c r="DP14" s="32">
        <f t="shared" si="117"/>
        <v>0</v>
      </c>
      <c r="DQ14" s="32">
        <f t="shared" si="117"/>
        <v>0</v>
      </c>
      <c r="DR14" s="32">
        <f t="shared" si="117"/>
        <v>3.5</v>
      </c>
      <c r="DS14" s="32">
        <f t="shared" si="117"/>
        <v>3</v>
      </c>
      <c r="DT14" s="32">
        <f t="shared" si="117"/>
        <v>3</v>
      </c>
      <c r="DU14" s="32">
        <f t="shared" si="117"/>
        <v>2</v>
      </c>
      <c r="DV14" s="32">
        <f t="shared" si="117"/>
        <v>0</v>
      </c>
      <c r="DW14" s="32">
        <f t="shared" si="117"/>
        <v>3.5</v>
      </c>
      <c r="DX14" s="32">
        <f t="shared" si="117"/>
        <v>3.5</v>
      </c>
      <c r="DY14" s="32">
        <f t="shared" si="117"/>
        <v>4.5</v>
      </c>
      <c r="DZ14" s="32">
        <f t="shared" si="117"/>
        <v>4.5</v>
      </c>
      <c r="EA14" s="32">
        <f t="shared" si="117"/>
        <v>2.5</v>
      </c>
      <c r="EB14" s="32">
        <f t="shared" si="117"/>
        <v>1.5</v>
      </c>
      <c r="EC14" s="32">
        <f t="shared" si="117"/>
        <v>2</v>
      </c>
      <c r="ED14" s="31" t="s">
        <v>109</v>
      </c>
      <c r="EF14" s="32">
        <f t="shared" si="99"/>
        <v>0</v>
      </c>
      <c r="EG14" s="32">
        <f t="shared" si="100"/>
        <v>0</v>
      </c>
      <c r="EH14" s="32">
        <f t="shared" si="101"/>
        <v>0</v>
      </c>
      <c r="EI14" s="32">
        <f t="shared" si="102"/>
        <v>0</v>
      </c>
      <c r="EJ14" s="32">
        <f t="shared" si="103"/>
        <v>0</v>
      </c>
      <c r="EK14" s="32">
        <f t="shared" si="104"/>
        <v>0</v>
      </c>
      <c r="EL14" s="32">
        <f t="shared" si="105"/>
        <v>0</v>
      </c>
      <c r="EM14" s="32">
        <f t="shared" si="106"/>
        <v>0</v>
      </c>
      <c r="EN14" s="32">
        <f t="shared" si="107"/>
        <v>0</v>
      </c>
      <c r="EO14" s="32">
        <f t="shared" si="108"/>
        <v>0</v>
      </c>
      <c r="EP14" s="32">
        <f t="shared" si="109"/>
        <v>0</v>
      </c>
      <c r="EQ14" s="32">
        <f t="shared" si="110"/>
        <v>0</v>
      </c>
      <c r="ER14" s="32">
        <f t="shared" si="111"/>
        <v>0</v>
      </c>
      <c r="ES14" s="32">
        <f t="shared" si="112"/>
        <v>0</v>
      </c>
      <c r="ET14" s="32">
        <f t="shared" si="113"/>
        <v>0</v>
      </c>
      <c r="EU14" s="32">
        <f t="shared" si="114"/>
        <v>0</v>
      </c>
      <c r="EV14" s="47">
        <f t="shared" si="115"/>
        <v>0</v>
      </c>
      <c r="EW14" s="47">
        <f t="shared" si="116"/>
        <v>0</v>
      </c>
    </row>
    <row r="15" spans="1:154" x14ac:dyDescent="0.25">
      <c r="A15" s="23">
        <f t="shared" si="2"/>
        <v>0</v>
      </c>
      <c r="B15" s="24"/>
      <c r="C15" s="31" t="s">
        <v>49</v>
      </c>
      <c r="D15" s="32">
        <f>AI1</f>
        <v>4</v>
      </c>
      <c r="E15" s="32">
        <f>AX1</f>
        <v>3</v>
      </c>
      <c r="F15" s="32">
        <f>BM1</f>
        <v>2</v>
      </c>
      <c r="G15" s="32">
        <f>CB1</f>
        <v>3</v>
      </c>
      <c r="H15" s="33">
        <f>MAX(EL5:EL32)</f>
        <v>0</v>
      </c>
      <c r="J15" s="32">
        <f t="shared" ref="J15:X24" si="118">IF($B15="",0,VLOOKUP($B15,ITEMS,J$2,FALSE()))</f>
        <v>0</v>
      </c>
      <c r="K15" s="32">
        <f t="shared" si="118"/>
        <v>0</v>
      </c>
      <c r="L15" s="32">
        <f t="shared" si="118"/>
        <v>0</v>
      </c>
      <c r="M15" s="32">
        <f t="shared" si="118"/>
        <v>0</v>
      </c>
      <c r="N15" s="32">
        <f t="shared" si="118"/>
        <v>0</v>
      </c>
      <c r="O15" s="32">
        <f t="shared" si="118"/>
        <v>0</v>
      </c>
      <c r="P15" s="32">
        <f t="shared" si="118"/>
        <v>0</v>
      </c>
      <c r="Q15" s="32">
        <f t="shared" si="118"/>
        <v>0</v>
      </c>
      <c r="R15" s="32">
        <f t="shared" si="118"/>
        <v>0</v>
      </c>
      <c r="S15" s="32">
        <f t="shared" si="118"/>
        <v>0</v>
      </c>
      <c r="T15" s="32">
        <f t="shared" si="118"/>
        <v>0</v>
      </c>
      <c r="U15" s="32">
        <f t="shared" si="118"/>
        <v>0</v>
      </c>
      <c r="V15" s="32">
        <f t="shared" si="118"/>
        <v>0</v>
      </c>
      <c r="W15" s="32">
        <f t="shared" si="118"/>
        <v>0</v>
      </c>
      <c r="X15" s="32">
        <f t="shared" si="118"/>
        <v>0</v>
      </c>
      <c r="Y15" s="41">
        <f t="shared" si="4"/>
        <v>0</v>
      </c>
      <c r="Z15" s="42">
        <f t="shared" si="5"/>
        <v>0</v>
      </c>
      <c r="AA15" s="32">
        <f t="shared" si="6"/>
        <v>0</v>
      </c>
      <c r="AB15" s="32">
        <f t="shared" si="7"/>
        <v>0</v>
      </c>
      <c r="AC15" s="32">
        <f t="shared" si="8"/>
        <v>0</v>
      </c>
      <c r="AD15" s="32">
        <f t="shared" si="9"/>
        <v>0</v>
      </c>
      <c r="AE15" s="32">
        <f t="shared" si="10"/>
        <v>0</v>
      </c>
      <c r="AF15" s="32">
        <f t="shared" si="11"/>
        <v>0</v>
      </c>
      <c r="AG15" s="32">
        <f t="shared" si="12"/>
        <v>0</v>
      </c>
      <c r="AH15" s="32">
        <f t="shared" si="13"/>
        <v>0</v>
      </c>
      <c r="AI15" s="32">
        <f t="shared" si="14"/>
        <v>0</v>
      </c>
      <c r="AJ15" s="32">
        <f t="shared" si="15"/>
        <v>0</v>
      </c>
      <c r="AK15" s="32">
        <f t="shared" si="16"/>
        <v>0</v>
      </c>
      <c r="AL15" s="32">
        <f t="shared" si="17"/>
        <v>0</v>
      </c>
      <c r="AM15" s="32">
        <f t="shared" si="18"/>
        <v>0</v>
      </c>
      <c r="AN15" s="32">
        <f t="shared" si="19"/>
        <v>0</v>
      </c>
      <c r="AO15" s="32">
        <f t="shared" si="20"/>
        <v>0</v>
      </c>
      <c r="AP15" s="32">
        <f t="shared" si="21"/>
        <v>0</v>
      </c>
      <c r="AQ15" s="32">
        <f t="shared" si="22"/>
        <v>0</v>
      </c>
      <c r="AR15" s="32">
        <f t="shared" si="23"/>
        <v>0</v>
      </c>
      <c r="AS15" s="32">
        <f t="shared" si="24"/>
        <v>0</v>
      </c>
      <c r="AT15" s="32">
        <f t="shared" si="25"/>
        <v>0</v>
      </c>
      <c r="AU15" s="32">
        <f t="shared" si="26"/>
        <v>0</v>
      </c>
      <c r="AV15" s="32">
        <f t="shared" si="27"/>
        <v>0</v>
      </c>
      <c r="AW15" s="32">
        <f t="shared" si="28"/>
        <v>0</v>
      </c>
      <c r="AX15" s="32">
        <f t="shared" si="29"/>
        <v>0</v>
      </c>
      <c r="AY15" s="32">
        <f t="shared" si="30"/>
        <v>0</v>
      </c>
      <c r="AZ15" s="32">
        <f t="shared" si="31"/>
        <v>0</v>
      </c>
      <c r="BA15" s="32">
        <f t="shared" si="32"/>
        <v>0</v>
      </c>
      <c r="BB15" s="32">
        <f t="shared" si="33"/>
        <v>0</v>
      </c>
      <c r="BC15" s="32">
        <f t="shared" si="34"/>
        <v>0</v>
      </c>
      <c r="BD15" s="32">
        <f t="shared" si="35"/>
        <v>0</v>
      </c>
      <c r="BE15" s="32">
        <f t="shared" si="36"/>
        <v>0</v>
      </c>
      <c r="BF15" s="32">
        <f t="shared" si="37"/>
        <v>0</v>
      </c>
      <c r="BG15" s="32">
        <f t="shared" si="38"/>
        <v>0</v>
      </c>
      <c r="BH15" s="32">
        <f t="shared" si="39"/>
        <v>0</v>
      </c>
      <c r="BI15" s="32">
        <f t="shared" si="40"/>
        <v>0</v>
      </c>
      <c r="BJ15" s="32">
        <f t="shared" si="41"/>
        <v>0</v>
      </c>
      <c r="BK15" s="32">
        <f t="shared" si="42"/>
        <v>0</v>
      </c>
      <c r="BL15" s="32">
        <f t="shared" si="43"/>
        <v>0</v>
      </c>
      <c r="BM15" s="32">
        <f t="shared" si="44"/>
        <v>0</v>
      </c>
      <c r="BN15" s="32">
        <f t="shared" si="45"/>
        <v>0</v>
      </c>
      <c r="BO15" s="32">
        <f t="shared" si="46"/>
        <v>0</v>
      </c>
      <c r="BP15" s="32">
        <f t="shared" si="47"/>
        <v>0</v>
      </c>
      <c r="BQ15" s="32">
        <f t="shared" si="48"/>
        <v>0</v>
      </c>
      <c r="BR15" s="32">
        <f t="shared" si="49"/>
        <v>0</v>
      </c>
      <c r="BS15" s="32">
        <f t="shared" si="50"/>
        <v>0</v>
      </c>
      <c r="BT15" s="32">
        <f t="shared" si="51"/>
        <v>0</v>
      </c>
      <c r="BU15" s="32">
        <f t="shared" si="52"/>
        <v>0</v>
      </c>
      <c r="BV15" s="32">
        <f t="shared" si="53"/>
        <v>0</v>
      </c>
      <c r="BW15" s="32">
        <f t="shared" si="54"/>
        <v>0</v>
      </c>
      <c r="BX15" s="32">
        <f t="shared" si="55"/>
        <v>0</v>
      </c>
      <c r="BY15" s="32">
        <f t="shared" si="56"/>
        <v>0</v>
      </c>
      <c r="BZ15" s="32">
        <f t="shared" si="57"/>
        <v>0</v>
      </c>
      <c r="CA15" s="32">
        <f t="shared" si="58"/>
        <v>0</v>
      </c>
      <c r="CB15" s="32">
        <f t="shared" si="59"/>
        <v>0</v>
      </c>
      <c r="CC15" s="32">
        <f t="shared" si="60"/>
        <v>0</v>
      </c>
      <c r="CD15" s="32">
        <f t="shared" si="61"/>
        <v>0</v>
      </c>
      <c r="CE15" s="32">
        <f t="shared" si="62"/>
        <v>0</v>
      </c>
      <c r="CF15" s="32">
        <f t="shared" si="63"/>
        <v>0</v>
      </c>
      <c r="CG15" s="32">
        <f t="shared" si="64"/>
        <v>0</v>
      </c>
      <c r="CH15" s="32">
        <f t="shared" si="65"/>
        <v>0</v>
      </c>
      <c r="CI15" s="32">
        <f t="shared" si="66"/>
        <v>0</v>
      </c>
      <c r="CJ15" s="32">
        <f t="shared" si="67"/>
        <v>0</v>
      </c>
      <c r="CK15" s="32">
        <f t="shared" si="68"/>
        <v>0</v>
      </c>
      <c r="CL15" s="32">
        <f t="shared" si="69"/>
        <v>0</v>
      </c>
      <c r="CM15" s="32">
        <f t="shared" si="70"/>
        <v>0</v>
      </c>
      <c r="CN15" s="32">
        <f t="shared" si="71"/>
        <v>0</v>
      </c>
      <c r="CO15" s="32">
        <f t="shared" si="72"/>
        <v>0</v>
      </c>
      <c r="CP15" s="32">
        <f t="shared" si="73"/>
        <v>0</v>
      </c>
      <c r="CQ15" s="32">
        <f t="shared" si="74"/>
        <v>0</v>
      </c>
      <c r="CR15" s="32">
        <f t="shared" si="75"/>
        <v>0</v>
      </c>
      <c r="CS15" s="32">
        <f t="shared" si="76"/>
        <v>0</v>
      </c>
      <c r="CT15" s="32">
        <f t="shared" si="77"/>
        <v>0</v>
      </c>
      <c r="CU15" s="32">
        <f t="shared" si="78"/>
        <v>0</v>
      </c>
      <c r="CV15" s="32">
        <f t="shared" si="79"/>
        <v>0</v>
      </c>
      <c r="CW15" s="32">
        <f t="shared" si="80"/>
        <v>0</v>
      </c>
      <c r="CX15" s="32">
        <f t="shared" si="81"/>
        <v>0</v>
      </c>
      <c r="CY15" s="32">
        <f t="shared" si="82"/>
        <v>0</v>
      </c>
      <c r="CZ15" s="32">
        <f t="shared" si="83"/>
        <v>0</v>
      </c>
      <c r="DA15" s="32">
        <f t="shared" si="84"/>
        <v>0</v>
      </c>
      <c r="DB15" s="32">
        <f t="shared" si="85"/>
        <v>0</v>
      </c>
      <c r="DC15" s="32">
        <f t="shared" si="86"/>
        <v>0</v>
      </c>
      <c r="DD15" s="32">
        <f t="shared" si="87"/>
        <v>0</v>
      </c>
      <c r="DE15" s="32">
        <f t="shared" si="88"/>
        <v>0</v>
      </c>
      <c r="DF15" s="32">
        <f t="shared" si="89"/>
        <v>0</v>
      </c>
      <c r="DG15" s="32">
        <f t="shared" si="90"/>
        <v>0</v>
      </c>
      <c r="DH15" s="32">
        <f t="shared" si="91"/>
        <v>0</v>
      </c>
      <c r="DI15" s="32">
        <f t="shared" si="92"/>
        <v>0</v>
      </c>
      <c r="DJ15" s="32">
        <f t="shared" si="93"/>
        <v>0</v>
      </c>
      <c r="DK15" s="32">
        <f t="shared" si="94"/>
        <v>0</v>
      </c>
      <c r="DL15" s="32">
        <f t="shared" si="95"/>
        <v>0</v>
      </c>
      <c r="DM15" s="32">
        <f t="shared" si="96"/>
        <v>0</v>
      </c>
      <c r="DN15" s="32">
        <f t="shared" si="97"/>
        <v>0</v>
      </c>
      <c r="DO15" s="32">
        <f t="shared" ref="DO15:EC15" si="119">DO5/1.5+DO6/2+DO7/3</f>
        <v>1</v>
      </c>
      <c r="DP15" s="32">
        <f t="shared" si="119"/>
        <v>0</v>
      </c>
      <c r="DQ15" s="32">
        <f t="shared" si="119"/>
        <v>0</v>
      </c>
      <c r="DR15" s="32">
        <f t="shared" si="119"/>
        <v>1</v>
      </c>
      <c r="DS15" s="32">
        <f t="shared" si="119"/>
        <v>1</v>
      </c>
      <c r="DT15" s="32">
        <f t="shared" si="119"/>
        <v>1</v>
      </c>
      <c r="DU15" s="32">
        <f t="shared" si="119"/>
        <v>1</v>
      </c>
      <c r="DV15" s="32">
        <f t="shared" si="119"/>
        <v>0</v>
      </c>
      <c r="DW15" s="32">
        <f t="shared" si="119"/>
        <v>1</v>
      </c>
      <c r="DX15" s="32">
        <f t="shared" si="119"/>
        <v>1</v>
      </c>
      <c r="DY15" s="32">
        <f t="shared" si="119"/>
        <v>1</v>
      </c>
      <c r="DZ15" s="32">
        <f t="shared" si="119"/>
        <v>1</v>
      </c>
      <c r="EA15" s="32">
        <f t="shared" si="119"/>
        <v>0</v>
      </c>
      <c r="EB15" s="32">
        <f t="shared" si="119"/>
        <v>0</v>
      </c>
      <c r="EC15" s="32">
        <f t="shared" si="119"/>
        <v>0</v>
      </c>
      <c r="ED15" s="31" t="s">
        <v>110</v>
      </c>
      <c r="EF15" s="32">
        <f t="shared" si="99"/>
        <v>0</v>
      </c>
      <c r="EG15" s="32">
        <f t="shared" si="100"/>
        <v>0</v>
      </c>
      <c r="EH15" s="32">
        <f t="shared" si="101"/>
        <v>0</v>
      </c>
      <c r="EI15" s="32">
        <f t="shared" si="102"/>
        <v>0</v>
      </c>
      <c r="EJ15" s="32">
        <f t="shared" si="103"/>
        <v>0</v>
      </c>
      <c r="EK15" s="32">
        <f t="shared" si="104"/>
        <v>0</v>
      </c>
      <c r="EL15" s="32">
        <f t="shared" si="105"/>
        <v>0</v>
      </c>
      <c r="EM15" s="32">
        <f t="shared" si="106"/>
        <v>0</v>
      </c>
      <c r="EN15" s="32">
        <f t="shared" si="107"/>
        <v>0</v>
      </c>
      <c r="EO15" s="32">
        <f t="shared" si="108"/>
        <v>0</v>
      </c>
      <c r="EP15" s="32">
        <f t="shared" si="109"/>
        <v>0</v>
      </c>
      <c r="EQ15" s="32">
        <f t="shared" si="110"/>
        <v>0</v>
      </c>
      <c r="ER15" s="32">
        <f t="shared" si="111"/>
        <v>0</v>
      </c>
      <c r="ES15" s="32">
        <f t="shared" si="112"/>
        <v>0</v>
      </c>
      <c r="ET15" s="32">
        <f t="shared" si="113"/>
        <v>0</v>
      </c>
      <c r="EU15" s="32">
        <f t="shared" si="114"/>
        <v>0</v>
      </c>
      <c r="EV15" s="47">
        <f t="shared" si="115"/>
        <v>0</v>
      </c>
      <c r="EW15" s="47">
        <f t="shared" si="116"/>
        <v>0</v>
      </c>
    </row>
    <row r="16" spans="1:154" x14ac:dyDescent="0.25">
      <c r="A16" s="23">
        <f t="shared" si="2"/>
        <v>0</v>
      </c>
      <c r="B16" s="24"/>
      <c r="C16" s="30" t="s">
        <v>51</v>
      </c>
      <c r="D16" s="34">
        <f>AJ1</f>
        <v>0</v>
      </c>
      <c r="E16" s="34">
        <f>AY1</f>
        <v>0</v>
      </c>
      <c r="F16" s="34">
        <f>BN1</f>
        <v>0</v>
      </c>
      <c r="G16" s="34">
        <f>CC1</f>
        <v>0</v>
      </c>
      <c r="H16" s="33">
        <f>MAX(EM5:EM32)</f>
        <v>0</v>
      </c>
      <c r="J16" s="32">
        <f t="shared" si="118"/>
        <v>0</v>
      </c>
      <c r="K16" s="32">
        <f t="shared" si="118"/>
        <v>0</v>
      </c>
      <c r="L16" s="32">
        <f t="shared" si="118"/>
        <v>0</v>
      </c>
      <c r="M16" s="32">
        <f t="shared" si="118"/>
        <v>0</v>
      </c>
      <c r="N16" s="32">
        <f t="shared" si="118"/>
        <v>0</v>
      </c>
      <c r="O16" s="32">
        <f t="shared" si="118"/>
        <v>0</v>
      </c>
      <c r="P16" s="32">
        <f t="shared" si="118"/>
        <v>0</v>
      </c>
      <c r="Q16" s="32">
        <f t="shared" si="118"/>
        <v>0</v>
      </c>
      <c r="R16" s="32">
        <f t="shared" si="118"/>
        <v>0</v>
      </c>
      <c r="S16" s="32">
        <f t="shared" si="118"/>
        <v>0</v>
      </c>
      <c r="T16" s="32">
        <f t="shared" si="118"/>
        <v>0</v>
      </c>
      <c r="U16" s="32">
        <f t="shared" si="118"/>
        <v>0</v>
      </c>
      <c r="V16" s="32">
        <f t="shared" si="118"/>
        <v>0</v>
      </c>
      <c r="W16" s="32">
        <f t="shared" si="118"/>
        <v>0</v>
      </c>
      <c r="X16" s="32">
        <f t="shared" si="118"/>
        <v>0</v>
      </c>
      <c r="Y16" s="41">
        <f t="shared" si="4"/>
        <v>0</v>
      </c>
      <c r="Z16" s="42">
        <f t="shared" si="5"/>
        <v>0</v>
      </c>
      <c r="AA16" s="32">
        <f t="shared" si="6"/>
        <v>0</v>
      </c>
      <c r="AB16" s="32">
        <f t="shared" si="7"/>
        <v>0</v>
      </c>
      <c r="AC16" s="32">
        <f t="shared" si="8"/>
        <v>0</v>
      </c>
      <c r="AD16" s="32">
        <f t="shared" si="9"/>
        <v>0</v>
      </c>
      <c r="AE16" s="32">
        <f t="shared" si="10"/>
        <v>0</v>
      </c>
      <c r="AF16" s="32">
        <f t="shared" si="11"/>
        <v>0</v>
      </c>
      <c r="AG16" s="32">
        <f t="shared" si="12"/>
        <v>0</v>
      </c>
      <c r="AH16" s="32">
        <f t="shared" si="13"/>
        <v>0</v>
      </c>
      <c r="AI16" s="32">
        <f t="shared" si="14"/>
        <v>0</v>
      </c>
      <c r="AJ16" s="32">
        <f t="shared" si="15"/>
        <v>0</v>
      </c>
      <c r="AK16" s="32">
        <f t="shared" si="16"/>
        <v>0</v>
      </c>
      <c r="AL16" s="32">
        <f t="shared" si="17"/>
        <v>0</v>
      </c>
      <c r="AM16" s="32">
        <f t="shared" si="18"/>
        <v>0</v>
      </c>
      <c r="AN16" s="32">
        <f t="shared" si="19"/>
        <v>0</v>
      </c>
      <c r="AO16" s="32">
        <f t="shared" si="20"/>
        <v>0</v>
      </c>
      <c r="AP16" s="32">
        <f t="shared" si="21"/>
        <v>0</v>
      </c>
      <c r="AQ16" s="32">
        <f t="shared" si="22"/>
        <v>0</v>
      </c>
      <c r="AR16" s="32">
        <f t="shared" si="23"/>
        <v>0</v>
      </c>
      <c r="AS16" s="32">
        <f t="shared" si="24"/>
        <v>0</v>
      </c>
      <c r="AT16" s="32">
        <f t="shared" si="25"/>
        <v>0</v>
      </c>
      <c r="AU16" s="32">
        <f t="shared" si="26"/>
        <v>0</v>
      </c>
      <c r="AV16" s="32">
        <f t="shared" si="27"/>
        <v>0</v>
      </c>
      <c r="AW16" s="32">
        <f t="shared" si="28"/>
        <v>0</v>
      </c>
      <c r="AX16" s="32">
        <f t="shared" si="29"/>
        <v>0</v>
      </c>
      <c r="AY16" s="32">
        <f t="shared" si="30"/>
        <v>0</v>
      </c>
      <c r="AZ16" s="32">
        <f t="shared" si="31"/>
        <v>0</v>
      </c>
      <c r="BA16" s="32">
        <f t="shared" si="32"/>
        <v>0</v>
      </c>
      <c r="BB16" s="32">
        <f t="shared" si="33"/>
        <v>0</v>
      </c>
      <c r="BC16" s="32">
        <f t="shared" si="34"/>
        <v>0</v>
      </c>
      <c r="BD16" s="32">
        <f t="shared" si="35"/>
        <v>0</v>
      </c>
      <c r="BE16" s="32">
        <f t="shared" si="36"/>
        <v>0</v>
      </c>
      <c r="BF16" s="32">
        <f t="shared" si="37"/>
        <v>0</v>
      </c>
      <c r="BG16" s="32">
        <f t="shared" si="38"/>
        <v>0</v>
      </c>
      <c r="BH16" s="32">
        <f t="shared" si="39"/>
        <v>0</v>
      </c>
      <c r="BI16" s="32">
        <f t="shared" si="40"/>
        <v>0</v>
      </c>
      <c r="BJ16" s="32">
        <f t="shared" si="41"/>
        <v>0</v>
      </c>
      <c r="BK16" s="32">
        <f t="shared" si="42"/>
        <v>0</v>
      </c>
      <c r="BL16" s="32">
        <f t="shared" si="43"/>
        <v>0</v>
      </c>
      <c r="BM16" s="32">
        <f t="shared" si="44"/>
        <v>0</v>
      </c>
      <c r="BN16" s="32">
        <f t="shared" si="45"/>
        <v>0</v>
      </c>
      <c r="BO16" s="32">
        <f t="shared" si="46"/>
        <v>0</v>
      </c>
      <c r="BP16" s="32">
        <f t="shared" si="47"/>
        <v>0</v>
      </c>
      <c r="BQ16" s="32">
        <f t="shared" si="48"/>
        <v>0</v>
      </c>
      <c r="BR16" s="32">
        <f t="shared" si="49"/>
        <v>0</v>
      </c>
      <c r="BS16" s="32">
        <f t="shared" si="50"/>
        <v>0</v>
      </c>
      <c r="BT16" s="32">
        <f t="shared" si="51"/>
        <v>0</v>
      </c>
      <c r="BU16" s="32">
        <f t="shared" si="52"/>
        <v>0</v>
      </c>
      <c r="BV16" s="32">
        <f t="shared" si="53"/>
        <v>0</v>
      </c>
      <c r="BW16" s="32">
        <f t="shared" si="54"/>
        <v>0</v>
      </c>
      <c r="BX16" s="32">
        <f t="shared" si="55"/>
        <v>0</v>
      </c>
      <c r="BY16" s="32">
        <f t="shared" si="56"/>
        <v>0</v>
      </c>
      <c r="BZ16" s="32">
        <f t="shared" si="57"/>
        <v>0</v>
      </c>
      <c r="CA16" s="32">
        <f t="shared" si="58"/>
        <v>0</v>
      </c>
      <c r="CB16" s="32">
        <f t="shared" si="59"/>
        <v>0</v>
      </c>
      <c r="CC16" s="32">
        <f t="shared" si="60"/>
        <v>0</v>
      </c>
      <c r="CD16" s="32">
        <f t="shared" si="61"/>
        <v>0</v>
      </c>
      <c r="CE16" s="32">
        <f t="shared" si="62"/>
        <v>0</v>
      </c>
      <c r="CF16" s="32">
        <f t="shared" si="63"/>
        <v>0</v>
      </c>
      <c r="CG16" s="32">
        <f t="shared" si="64"/>
        <v>0</v>
      </c>
      <c r="CH16" s="32">
        <f t="shared" si="65"/>
        <v>0</v>
      </c>
      <c r="CI16" s="32">
        <f t="shared" si="66"/>
        <v>0</v>
      </c>
      <c r="CJ16" s="32">
        <f t="shared" si="67"/>
        <v>0</v>
      </c>
      <c r="CK16" s="32">
        <f t="shared" si="68"/>
        <v>0</v>
      </c>
      <c r="CL16" s="32">
        <f t="shared" si="69"/>
        <v>0</v>
      </c>
      <c r="CM16" s="32">
        <f t="shared" si="70"/>
        <v>0</v>
      </c>
      <c r="CN16" s="32">
        <f t="shared" si="71"/>
        <v>0</v>
      </c>
      <c r="CO16" s="32">
        <f t="shared" si="72"/>
        <v>0</v>
      </c>
      <c r="CP16" s="32">
        <f t="shared" si="73"/>
        <v>0</v>
      </c>
      <c r="CQ16" s="32">
        <f t="shared" si="74"/>
        <v>0</v>
      </c>
      <c r="CR16" s="32">
        <f t="shared" si="75"/>
        <v>0</v>
      </c>
      <c r="CS16" s="32">
        <f t="shared" si="76"/>
        <v>0</v>
      </c>
      <c r="CT16" s="32">
        <f t="shared" si="77"/>
        <v>0</v>
      </c>
      <c r="CU16" s="32">
        <f t="shared" si="78"/>
        <v>0</v>
      </c>
      <c r="CV16" s="32">
        <f t="shared" si="79"/>
        <v>0</v>
      </c>
      <c r="CW16" s="32">
        <f t="shared" si="80"/>
        <v>0</v>
      </c>
      <c r="CX16" s="32">
        <f t="shared" si="81"/>
        <v>0</v>
      </c>
      <c r="CY16" s="32">
        <f t="shared" si="82"/>
        <v>0</v>
      </c>
      <c r="CZ16" s="32">
        <f t="shared" si="83"/>
        <v>0</v>
      </c>
      <c r="DA16" s="32">
        <f t="shared" si="84"/>
        <v>0</v>
      </c>
      <c r="DB16" s="32">
        <f t="shared" si="85"/>
        <v>0</v>
      </c>
      <c r="DC16" s="32">
        <f t="shared" si="86"/>
        <v>0</v>
      </c>
      <c r="DD16" s="32">
        <f t="shared" si="87"/>
        <v>0</v>
      </c>
      <c r="DE16" s="32">
        <f t="shared" si="88"/>
        <v>0</v>
      </c>
      <c r="DF16" s="32">
        <f t="shared" si="89"/>
        <v>0</v>
      </c>
      <c r="DG16" s="32">
        <f t="shared" si="90"/>
        <v>0</v>
      </c>
      <c r="DH16" s="32">
        <f t="shared" si="91"/>
        <v>0</v>
      </c>
      <c r="DI16" s="32">
        <f t="shared" si="92"/>
        <v>0</v>
      </c>
      <c r="DJ16" s="32">
        <f t="shared" si="93"/>
        <v>0</v>
      </c>
      <c r="DK16" s="32">
        <f t="shared" si="94"/>
        <v>0</v>
      </c>
      <c r="DL16" s="32">
        <f t="shared" si="95"/>
        <v>0</v>
      </c>
      <c r="DM16" s="32">
        <f t="shared" si="96"/>
        <v>0</v>
      </c>
      <c r="DN16" s="32">
        <f t="shared" si="97"/>
        <v>0</v>
      </c>
      <c r="DO16" s="32">
        <f t="shared" ref="DO16:EC16" si="120">DO9+DO10+DO11+DO12</f>
        <v>1</v>
      </c>
      <c r="DP16" s="32">
        <f t="shared" si="120"/>
        <v>0</v>
      </c>
      <c r="DQ16" s="32">
        <f t="shared" si="120"/>
        <v>0</v>
      </c>
      <c r="DR16" s="32">
        <f t="shared" si="120"/>
        <v>0</v>
      </c>
      <c r="DS16" s="32">
        <f t="shared" si="120"/>
        <v>0</v>
      </c>
      <c r="DT16" s="32">
        <f t="shared" si="120"/>
        <v>0</v>
      </c>
      <c r="DU16" s="32">
        <f t="shared" si="120"/>
        <v>0</v>
      </c>
      <c r="DV16" s="32">
        <f t="shared" si="120"/>
        <v>0</v>
      </c>
      <c r="DW16" s="32">
        <f t="shared" si="120"/>
        <v>0</v>
      </c>
      <c r="DX16" s="32">
        <f t="shared" si="120"/>
        <v>0</v>
      </c>
      <c r="DY16" s="32">
        <f t="shared" si="120"/>
        <v>0</v>
      </c>
      <c r="DZ16" s="32">
        <f t="shared" si="120"/>
        <v>0</v>
      </c>
      <c r="EA16" s="32">
        <f t="shared" si="120"/>
        <v>0</v>
      </c>
      <c r="EB16" s="32">
        <f t="shared" si="120"/>
        <v>0</v>
      </c>
      <c r="EC16" s="32">
        <f t="shared" si="120"/>
        <v>0</v>
      </c>
      <c r="ED16" s="31" t="s">
        <v>111</v>
      </c>
      <c r="EF16" s="32">
        <f t="shared" si="99"/>
        <v>0</v>
      </c>
      <c r="EG16" s="32">
        <f t="shared" si="100"/>
        <v>0</v>
      </c>
      <c r="EH16" s="32">
        <f t="shared" si="101"/>
        <v>0</v>
      </c>
      <c r="EI16" s="32">
        <f t="shared" si="102"/>
        <v>0</v>
      </c>
      <c r="EJ16" s="32">
        <f t="shared" si="103"/>
        <v>0</v>
      </c>
      <c r="EK16" s="32">
        <f t="shared" si="104"/>
        <v>0</v>
      </c>
      <c r="EL16" s="32">
        <f t="shared" si="105"/>
        <v>0</v>
      </c>
      <c r="EM16" s="32">
        <f t="shared" si="106"/>
        <v>0</v>
      </c>
      <c r="EN16" s="32">
        <f t="shared" si="107"/>
        <v>0</v>
      </c>
      <c r="EO16" s="32">
        <f t="shared" si="108"/>
        <v>0</v>
      </c>
      <c r="EP16" s="32">
        <f t="shared" si="109"/>
        <v>0</v>
      </c>
      <c r="EQ16" s="32">
        <f t="shared" si="110"/>
        <v>0</v>
      </c>
      <c r="ER16" s="32">
        <f t="shared" si="111"/>
        <v>0</v>
      </c>
      <c r="ES16" s="32">
        <f t="shared" si="112"/>
        <v>0</v>
      </c>
      <c r="ET16" s="32">
        <f t="shared" si="113"/>
        <v>0</v>
      </c>
      <c r="EU16" s="32">
        <f t="shared" si="114"/>
        <v>0</v>
      </c>
      <c r="EV16" s="47">
        <f t="shared" si="115"/>
        <v>0</v>
      </c>
      <c r="EW16" s="47">
        <f t="shared" si="116"/>
        <v>0</v>
      </c>
    </row>
    <row r="17" spans="1:153" x14ac:dyDescent="0.25">
      <c r="A17" s="23">
        <f t="shared" si="2"/>
        <v>0</v>
      </c>
      <c r="B17" s="24"/>
      <c r="C17" s="31" t="s">
        <v>52</v>
      </c>
      <c r="D17" s="32">
        <f>AK1</f>
        <v>4</v>
      </c>
      <c r="E17" s="32">
        <f>AZ1</f>
        <v>4</v>
      </c>
      <c r="F17" s="32">
        <f>BO1</f>
        <v>2</v>
      </c>
      <c r="G17" s="32">
        <f>CD1</f>
        <v>5</v>
      </c>
      <c r="H17" s="33">
        <f>MAX(EN5:EN32)</f>
        <v>0</v>
      </c>
      <c r="J17" s="32">
        <f t="shared" si="118"/>
        <v>0</v>
      </c>
      <c r="K17" s="32">
        <f t="shared" si="118"/>
        <v>0</v>
      </c>
      <c r="L17" s="32">
        <f t="shared" si="118"/>
        <v>0</v>
      </c>
      <c r="M17" s="32">
        <f t="shared" si="118"/>
        <v>0</v>
      </c>
      <c r="N17" s="32">
        <f t="shared" si="118"/>
        <v>0</v>
      </c>
      <c r="O17" s="32">
        <f t="shared" si="118"/>
        <v>0</v>
      </c>
      <c r="P17" s="32">
        <f t="shared" si="118"/>
        <v>0</v>
      </c>
      <c r="Q17" s="32">
        <f t="shared" si="118"/>
        <v>0</v>
      </c>
      <c r="R17" s="32">
        <f t="shared" si="118"/>
        <v>0</v>
      </c>
      <c r="S17" s="32">
        <f t="shared" si="118"/>
        <v>0</v>
      </c>
      <c r="T17" s="32">
        <f t="shared" si="118"/>
        <v>0</v>
      </c>
      <c r="U17" s="32">
        <f t="shared" si="118"/>
        <v>0</v>
      </c>
      <c r="V17" s="32">
        <f t="shared" si="118"/>
        <v>0</v>
      </c>
      <c r="W17" s="32">
        <f t="shared" si="118"/>
        <v>0</v>
      </c>
      <c r="X17" s="32">
        <f t="shared" si="118"/>
        <v>0</v>
      </c>
      <c r="Y17" s="41">
        <f t="shared" si="4"/>
        <v>0</v>
      </c>
      <c r="Z17" s="42">
        <f t="shared" si="5"/>
        <v>0</v>
      </c>
      <c r="AA17" s="32">
        <f t="shared" si="6"/>
        <v>0</v>
      </c>
      <c r="AB17" s="32">
        <f t="shared" si="7"/>
        <v>0</v>
      </c>
      <c r="AC17" s="32">
        <f t="shared" si="8"/>
        <v>0</v>
      </c>
      <c r="AD17" s="32">
        <f t="shared" si="9"/>
        <v>0</v>
      </c>
      <c r="AE17" s="32">
        <f t="shared" si="10"/>
        <v>0</v>
      </c>
      <c r="AF17" s="32">
        <f t="shared" si="11"/>
        <v>0</v>
      </c>
      <c r="AG17" s="32">
        <f t="shared" si="12"/>
        <v>0</v>
      </c>
      <c r="AH17" s="32">
        <f t="shared" si="13"/>
        <v>0</v>
      </c>
      <c r="AI17" s="32">
        <f t="shared" si="14"/>
        <v>0</v>
      </c>
      <c r="AJ17" s="32">
        <f t="shared" si="15"/>
        <v>0</v>
      </c>
      <c r="AK17" s="32">
        <f t="shared" si="16"/>
        <v>0</v>
      </c>
      <c r="AL17" s="32">
        <f t="shared" si="17"/>
        <v>0</v>
      </c>
      <c r="AM17" s="32">
        <f t="shared" si="18"/>
        <v>0</v>
      </c>
      <c r="AN17" s="32">
        <f t="shared" si="19"/>
        <v>0</v>
      </c>
      <c r="AO17" s="32">
        <f t="shared" si="20"/>
        <v>0</v>
      </c>
      <c r="AP17" s="32">
        <f t="shared" si="21"/>
        <v>0</v>
      </c>
      <c r="AQ17" s="32">
        <f t="shared" si="22"/>
        <v>0</v>
      </c>
      <c r="AR17" s="32">
        <f t="shared" si="23"/>
        <v>0</v>
      </c>
      <c r="AS17" s="32">
        <f t="shared" si="24"/>
        <v>0</v>
      </c>
      <c r="AT17" s="32">
        <f t="shared" si="25"/>
        <v>0</v>
      </c>
      <c r="AU17" s="32">
        <f t="shared" si="26"/>
        <v>0</v>
      </c>
      <c r="AV17" s="32">
        <f t="shared" si="27"/>
        <v>0</v>
      </c>
      <c r="AW17" s="32">
        <f t="shared" si="28"/>
        <v>0</v>
      </c>
      <c r="AX17" s="32">
        <f t="shared" si="29"/>
        <v>0</v>
      </c>
      <c r="AY17" s="32">
        <f t="shared" si="30"/>
        <v>0</v>
      </c>
      <c r="AZ17" s="32">
        <f t="shared" si="31"/>
        <v>0</v>
      </c>
      <c r="BA17" s="32">
        <f t="shared" si="32"/>
        <v>0</v>
      </c>
      <c r="BB17" s="32">
        <f t="shared" si="33"/>
        <v>0</v>
      </c>
      <c r="BC17" s="32">
        <f t="shared" si="34"/>
        <v>0</v>
      </c>
      <c r="BD17" s="32">
        <f t="shared" si="35"/>
        <v>0</v>
      </c>
      <c r="BE17" s="32">
        <f t="shared" si="36"/>
        <v>0</v>
      </c>
      <c r="BF17" s="32">
        <f t="shared" si="37"/>
        <v>0</v>
      </c>
      <c r="BG17" s="32">
        <f t="shared" si="38"/>
        <v>0</v>
      </c>
      <c r="BH17" s="32">
        <f t="shared" si="39"/>
        <v>0</v>
      </c>
      <c r="BI17" s="32">
        <f t="shared" si="40"/>
        <v>0</v>
      </c>
      <c r="BJ17" s="32">
        <f t="shared" si="41"/>
        <v>0</v>
      </c>
      <c r="BK17" s="32">
        <f t="shared" si="42"/>
        <v>0</v>
      </c>
      <c r="BL17" s="32">
        <f t="shared" si="43"/>
        <v>0</v>
      </c>
      <c r="BM17" s="32">
        <f t="shared" si="44"/>
        <v>0</v>
      </c>
      <c r="BN17" s="32">
        <f t="shared" si="45"/>
        <v>0</v>
      </c>
      <c r="BO17" s="32">
        <f t="shared" si="46"/>
        <v>0</v>
      </c>
      <c r="BP17" s="32">
        <f t="shared" si="47"/>
        <v>0</v>
      </c>
      <c r="BQ17" s="32">
        <f t="shared" si="48"/>
        <v>0</v>
      </c>
      <c r="BR17" s="32">
        <f t="shared" si="49"/>
        <v>0</v>
      </c>
      <c r="BS17" s="32">
        <f t="shared" si="50"/>
        <v>0</v>
      </c>
      <c r="BT17" s="32">
        <f t="shared" si="51"/>
        <v>0</v>
      </c>
      <c r="BU17" s="32">
        <f t="shared" si="52"/>
        <v>0</v>
      </c>
      <c r="BV17" s="32">
        <f t="shared" si="53"/>
        <v>0</v>
      </c>
      <c r="BW17" s="32">
        <f t="shared" si="54"/>
        <v>0</v>
      </c>
      <c r="BX17" s="32">
        <f t="shared" si="55"/>
        <v>0</v>
      </c>
      <c r="BY17" s="32">
        <f t="shared" si="56"/>
        <v>0</v>
      </c>
      <c r="BZ17" s="32">
        <f t="shared" si="57"/>
        <v>0</v>
      </c>
      <c r="CA17" s="32">
        <f t="shared" si="58"/>
        <v>0</v>
      </c>
      <c r="CB17" s="32">
        <f t="shared" si="59"/>
        <v>0</v>
      </c>
      <c r="CC17" s="32">
        <f t="shared" si="60"/>
        <v>0</v>
      </c>
      <c r="CD17" s="32">
        <f t="shared" si="61"/>
        <v>0</v>
      </c>
      <c r="CE17" s="32">
        <f t="shared" si="62"/>
        <v>0</v>
      </c>
      <c r="CF17" s="32">
        <f t="shared" si="63"/>
        <v>0</v>
      </c>
      <c r="CG17" s="32">
        <f t="shared" si="64"/>
        <v>0</v>
      </c>
      <c r="CH17" s="32">
        <f t="shared" si="65"/>
        <v>0</v>
      </c>
      <c r="CI17" s="32">
        <f t="shared" si="66"/>
        <v>0</v>
      </c>
      <c r="CJ17" s="32">
        <f t="shared" si="67"/>
        <v>0</v>
      </c>
      <c r="CK17" s="32">
        <f t="shared" si="68"/>
        <v>0</v>
      </c>
      <c r="CL17" s="32">
        <f t="shared" si="69"/>
        <v>0</v>
      </c>
      <c r="CM17" s="32">
        <f t="shared" si="70"/>
        <v>0</v>
      </c>
      <c r="CN17" s="32">
        <f t="shared" si="71"/>
        <v>0</v>
      </c>
      <c r="CO17" s="32">
        <f t="shared" si="72"/>
        <v>0</v>
      </c>
      <c r="CP17" s="32">
        <f t="shared" si="73"/>
        <v>0</v>
      </c>
      <c r="CQ17" s="32">
        <f t="shared" si="74"/>
        <v>0</v>
      </c>
      <c r="CR17" s="32">
        <f t="shared" si="75"/>
        <v>0</v>
      </c>
      <c r="CS17" s="32">
        <f t="shared" si="76"/>
        <v>0</v>
      </c>
      <c r="CT17" s="32">
        <f t="shared" si="77"/>
        <v>0</v>
      </c>
      <c r="CU17" s="32">
        <f t="shared" si="78"/>
        <v>0</v>
      </c>
      <c r="CV17" s="32">
        <f t="shared" si="79"/>
        <v>0</v>
      </c>
      <c r="CW17" s="32">
        <f t="shared" si="80"/>
        <v>0</v>
      </c>
      <c r="CX17" s="32">
        <f t="shared" si="81"/>
        <v>0</v>
      </c>
      <c r="CY17" s="32">
        <f t="shared" si="82"/>
        <v>0</v>
      </c>
      <c r="CZ17" s="32">
        <f t="shared" si="83"/>
        <v>0</v>
      </c>
      <c r="DA17" s="32">
        <f t="shared" si="84"/>
        <v>0</v>
      </c>
      <c r="DB17" s="32">
        <f t="shared" si="85"/>
        <v>0</v>
      </c>
      <c r="DC17" s="32">
        <f t="shared" si="86"/>
        <v>0</v>
      </c>
      <c r="DD17" s="32">
        <f t="shared" si="87"/>
        <v>0</v>
      </c>
      <c r="DE17" s="32">
        <f t="shared" si="88"/>
        <v>0</v>
      </c>
      <c r="DF17" s="32">
        <f t="shared" si="89"/>
        <v>0</v>
      </c>
      <c r="DG17" s="32">
        <f t="shared" si="90"/>
        <v>0</v>
      </c>
      <c r="DH17" s="32">
        <f t="shared" si="91"/>
        <v>0</v>
      </c>
      <c r="DI17" s="32">
        <f t="shared" si="92"/>
        <v>0</v>
      </c>
      <c r="DJ17" s="32">
        <f t="shared" si="93"/>
        <v>0</v>
      </c>
      <c r="DK17" s="32">
        <f t="shared" si="94"/>
        <v>0</v>
      </c>
      <c r="DL17" s="32">
        <f t="shared" si="95"/>
        <v>0</v>
      </c>
      <c r="DM17" s="32">
        <f t="shared" si="96"/>
        <v>0</v>
      </c>
      <c r="DN17" s="32">
        <f t="shared" si="97"/>
        <v>0</v>
      </c>
      <c r="DO17" s="32">
        <f t="shared" ref="DO17:EC17" si="121">DO6/2+DO7/3+DO8+DO9+DO10+DO12</f>
        <v>1</v>
      </c>
      <c r="DP17" s="32">
        <f t="shared" si="121"/>
        <v>0</v>
      </c>
      <c r="DQ17" s="32">
        <f t="shared" si="121"/>
        <v>0</v>
      </c>
      <c r="DR17" s="32">
        <f t="shared" si="121"/>
        <v>1</v>
      </c>
      <c r="DS17" s="32">
        <f t="shared" si="121"/>
        <v>1</v>
      </c>
      <c r="DT17" s="32">
        <f t="shared" si="121"/>
        <v>1</v>
      </c>
      <c r="DU17" s="32">
        <f t="shared" si="121"/>
        <v>1</v>
      </c>
      <c r="DV17" s="32">
        <f t="shared" si="121"/>
        <v>0</v>
      </c>
      <c r="DW17" s="32">
        <f t="shared" si="121"/>
        <v>1</v>
      </c>
      <c r="DX17" s="32">
        <f t="shared" si="121"/>
        <v>1</v>
      </c>
      <c r="DY17" s="32">
        <f t="shared" si="121"/>
        <v>1</v>
      </c>
      <c r="DZ17" s="32">
        <f t="shared" si="121"/>
        <v>1</v>
      </c>
      <c r="EA17" s="32">
        <f t="shared" si="121"/>
        <v>0</v>
      </c>
      <c r="EB17" s="32">
        <f t="shared" si="121"/>
        <v>0</v>
      </c>
      <c r="EC17" s="32">
        <f t="shared" si="121"/>
        <v>1</v>
      </c>
      <c r="ED17" s="31" t="s">
        <v>112</v>
      </c>
      <c r="EE17" t="s">
        <v>60</v>
      </c>
      <c r="EF17" s="32">
        <f t="shared" si="99"/>
        <v>0</v>
      </c>
      <c r="EG17" s="32">
        <f t="shared" si="100"/>
        <v>0</v>
      </c>
      <c r="EH17" s="32">
        <f t="shared" si="101"/>
        <v>0</v>
      </c>
      <c r="EI17" s="32">
        <f t="shared" si="102"/>
        <v>0</v>
      </c>
      <c r="EJ17" s="32">
        <f t="shared" si="103"/>
        <v>0</v>
      </c>
      <c r="EK17" s="32">
        <f t="shared" si="104"/>
        <v>0</v>
      </c>
      <c r="EL17" s="32">
        <f t="shared" si="105"/>
        <v>0</v>
      </c>
      <c r="EM17" s="32">
        <f t="shared" si="106"/>
        <v>0</v>
      </c>
      <c r="EN17" s="32">
        <f t="shared" si="107"/>
        <v>0</v>
      </c>
      <c r="EO17" s="32">
        <f t="shared" si="108"/>
        <v>0</v>
      </c>
      <c r="EP17" s="32">
        <f t="shared" si="109"/>
        <v>0</v>
      </c>
      <c r="EQ17" s="32">
        <f t="shared" si="110"/>
        <v>0</v>
      </c>
      <c r="ER17" s="32">
        <f t="shared" si="111"/>
        <v>0</v>
      </c>
      <c r="ES17" s="32">
        <f t="shared" si="112"/>
        <v>0</v>
      </c>
      <c r="ET17" s="32">
        <f t="shared" si="113"/>
        <v>0</v>
      </c>
      <c r="EU17" s="32">
        <f t="shared" si="114"/>
        <v>0</v>
      </c>
      <c r="EV17" s="47">
        <f t="shared" si="115"/>
        <v>0</v>
      </c>
      <c r="EW17" s="47">
        <f t="shared" si="116"/>
        <v>0</v>
      </c>
    </row>
    <row r="18" spans="1:153" x14ac:dyDescent="0.25">
      <c r="A18" s="23">
        <f t="shared" si="2"/>
        <v>0</v>
      </c>
      <c r="B18" s="24"/>
      <c r="C18" s="31" t="s">
        <v>53</v>
      </c>
      <c r="D18" s="32">
        <f>AL1</f>
        <v>4</v>
      </c>
      <c r="E18" s="32">
        <f>BA1</f>
        <v>4</v>
      </c>
      <c r="F18" s="32">
        <f>BP1</f>
        <v>2</v>
      </c>
      <c r="G18" s="32">
        <f>CE1</f>
        <v>5</v>
      </c>
      <c r="H18" s="33">
        <f>MAX(EO5:EO32)</f>
        <v>0</v>
      </c>
      <c r="J18" s="32">
        <f t="shared" si="118"/>
        <v>0</v>
      </c>
      <c r="K18" s="32">
        <f t="shared" si="118"/>
        <v>0</v>
      </c>
      <c r="L18" s="32">
        <f t="shared" si="118"/>
        <v>0</v>
      </c>
      <c r="M18" s="32">
        <f t="shared" si="118"/>
        <v>0</v>
      </c>
      <c r="N18" s="32">
        <f t="shared" si="118"/>
        <v>0</v>
      </c>
      <c r="O18" s="32">
        <f t="shared" si="118"/>
        <v>0</v>
      </c>
      <c r="P18" s="32">
        <f t="shared" si="118"/>
        <v>0</v>
      </c>
      <c r="Q18" s="32">
        <f t="shared" si="118"/>
        <v>0</v>
      </c>
      <c r="R18" s="32">
        <f t="shared" si="118"/>
        <v>0</v>
      </c>
      <c r="S18" s="32">
        <f t="shared" si="118"/>
        <v>0</v>
      </c>
      <c r="T18" s="32">
        <f t="shared" si="118"/>
        <v>0</v>
      </c>
      <c r="U18" s="32">
        <f t="shared" si="118"/>
        <v>0</v>
      </c>
      <c r="V18" s="32">
        <f t="shared" si="118"/>
        <v>0</v>
      </c>
      <c r="W18" s="32">
        <f t="shared" si="118"/>
        <v>0</v>
      </c>
      <c r="X18" s="32">
        <f t="shared" si="118"/>
        <v>0</v>
      </c>
      <c r="Y18" s="41">
        <f t="shared" si="4"/>
        <v>0</v>
      </c>
      <c r="Z18" s="42">
        <f t="shared" si="5"/>
        <v>0</v>
      </c>
      <c r="AA18" s="32">
        <f t="shared" si="6"/>
        <v>0</v>
      </c>
      <c r="AB18" s="32">
        <f t="shared" si="7"/>
        <v>0</v>
      </c>
      <c r="AC18" s="32">
        <f t="shared" si="8"/>
        <v>0</v>
      </c>
      <c r="AD18" s="32">
        <f t="shared" si="9"/>
        <v>0</v>
      </c>
      <c r="AE18" s="32">
        <f t="shared" si="10"/>
        <v>0</v>
      </c>
      <c r="AF18" s="32">
        <f t="shared" si="11"/>
        <v>0</v>
      </c>
      <c r="AG18" s="32">
        <f t="shared" si="12"/>
        <v>0</v>
      </c>
      <c r="AH18" s="32">
        <f t="shared" si="13"/>
        <v>0</v>
      </c>
      <c r="AI18" s="32">
        <f t="shared" si="14"/>
        <v>0</v>
      </c>
      <c r="AJ18" s="32">
        <f t="shared" si="15"/>
        <v>0</v>
      </c>
      <c r="AK18" s="32">
        <f t="shared" si="16"/>
        <v>0</v>
      </c>
      <c r="AL18" s="32">
        <f t="shared" si="17"/>
        <v>0</v>
      </c>
      <c r="AM18" s="32">
        <f t="shared" si="18"/>
        <v>0</v>
      </c>
      <c r="AN18" s="32">
        <f t="shared" si="19"/>
        <v>0</v>
      </c>
      <c r="AO18" s="32">
        <f t="shared" si="20"/>
        <v>0</v>
      </c>
      <c r="AP18" s="32">
        <f t="shared" si="21"/>
        <v>0</v>
      </c>
      <c r="AQ18" s="32">
        <f t="shared" si="22"/>
        <v>0</v>
      </c>
      <c r="AR18" s="32">
        <f t="shared" si="23"/>
        <v>0</v>
      </c>
      <c r="AS18" s="32">
        <f t="shared" si="24"/>
        <v>0</v>
      </c>
      <c r="AT18" s="32">
        <f t="shared" si="25"/>
        <v>0</v>
      </c>
      <c r="AU18" s="32">
        <f t="shared" si="26"/>
        <v>0</v>
      </c>
      <c r="AV18" s="32">
        <f t="shared" si="27"/>
        <v>0</v>
      </c>
      <c r="AW18" s="32">
        <f t="shared" si="28"/>
        <v>0</v>
      </c>
      <c r="AX18" s="32">
        <f t="shared" si="29"/>
        <v>0</v>
      </c>
      <c r="AY18" s="32">
        <f t="shared" si="30"/>
        <v>0</v>
      </c>
      <c r="AZ18" s="32">
        <f t="shared" si="31"/>
        <v>0</v>
      </c>
      <c r="BA18" s="32">
        <f t="shared" si="32"/>
        <v>0</v>
      </c>
      <c r="BB18" s="32">
        <f t="shared" si="33"/>
        <v>0</v>
      </c>
      <c r="BC18" s="32">
        <f t="shared" si="34"/>
        <v>0</v>
      </c>
      <c r="BD18" s="32">
        <f t="shared" si="35"/>
        <v>0</v>
      </c>
      <c r="BE18" s="32">
        <f t="shared" si="36"/>
        <v>0</v>
      </c>
      <c r="BF18" s="32">
        <f t="shared" si="37"/>
        <v>0</v>
      </c>
      <c r="BG18" s="32">
        <f t="shared" si="38"/>
        <v>0</v>
      </c>
      <c r="BH18" s="32">
        <f t="shared" si="39"/>
        <v>0</v>
      </c>
      <c r="BI18" s="32">
        <f t="shared" si="40"/>
        <v>0</v>
      </c>
      <c r="BJ18" s="32">
        <f t="shared" si="41"/>
        <v>0</v>
      </c>
      <c r="BK18" s="32">
        <f t="shared" si="42"/>
        <v>0</v>
      </c>
      <c r="BL18" s="32">
        <f t="shared" si="43"/>
        <v>0</v>
      </c>
      <c r="BM18" s="32">
        <f t="shared" si="44"/>
        <v>0</v>
      </c>
      <c r="BN18" s="32">
        <f t="shared" si="45"/>
        <v>0</v>
      </c>
      <c r="BO18" s="32">
        <f t="shared" si="46"/>
        <v>0</v>
      </c>
      <c r="BP18" s="32">
        <f t="shared" si="47"/>
        <v>0</v>
      </c>
      <c r="BQ18" s="32">
        <f t="shared" si="48"/>
        <v>0</v>
      </c>
      <c r="BR18" s="32">
        <f t="shared" si="49"/>
        <v>0</v>
      </c>
      <c r="BS18" s="32">
        <f t="shared" si="50"/>
        <v>0</v>
      </c>
      <c r="BT18" s="32">
        <f t="shared" si="51"/>
        <v>0</v>
      </c>
      <c r="BU18" s="32">
        <f t="shared" si="52"/>
        <v>0</v>
      </c>
      <c r="BV18" s="32">
        <f t="shared" si="53"/>
        <v>0</v>
      </c>
      <c r="BW18" s="32">
        <f t="shared" si="54"/>
        <v>0</v>
      </c>
      <c r="BX18" s="32">
        <f t="shared" si="55"/>
        <v>0</v>
      </c>
      <c r="BY18" s="32">
        <f t="shared" si="56"/>
        <v>0</v>
      </c>
      <c r="BZ18" s="32">
        <f t="shared" si="57"/>
        <v>0</v>
      </c>
      <c r="CA18" s="32">
        <f t="shared" si="58"/>
        <v>0</v>
      </c>
      <c r="CB18" s="32">
        <f t="shared" si="59"/>
        <v>0</v>
      </c>
      <c r="CC18" s="32">
        <f t="shared" si="60"/>
        <v>0</v>
      </c>
      <c r="CD18" s="32">
        <f t="shared" si="61"/>
        <v>0</v>
      </c>
      <c r="CE18" s="32">
        <f t="shared" si="62"/>
        <v>0</v>
      </c>
      <c r="CF18" s="32">
        <f t="shared" si="63"/>
        <v>0</v>
      </c>
      <c r="CG18" s="32">
        <f t="shared" si="64"/>
        <v>0</v>
      </c>
      <c r="CH18" s="32">
        <f t="shared" si="65"/>
        <v>0</v>
      </c>
      <c r="CI18" s="32">
        <f t="shared" si="66"/>
        <v>0</v>
      </c>
      <c r="CJ18" s="32">
        <f t="shared" si="67"/>
        <v>0</v>
      </c>
      <c r="CK18" s="32">
        <f t="shared" si="68"/>
        <v>0</v>
      </c>
      <c r="CL18" s="32">
        <f t="shared" si="69"/>
        <v>0</v>
      </c>
      <c r="CM18" s="32">
        <f t="shared" si="70"/>
        <v>0</v>
      </c>
      <c r="CN18" s="32">
        <f t="shared" si="71"/>
        <v>0</v>
      </c>
      <c r="CO18" s="32">
        <f t="shared" si="72"/>
        <v>0</v>
      </c>
      <c r="CP18" s="32">
        <f t="shared" si="73"/>
        <v>0</v>
      </c>
      <c r="CQ18" s="32">
        <f t="shared" si="74"/>
        <v>0</v>
      </c>
      <c r="CR18" s="32">
        <f t="shared" si="75"/>
        <v>0</v>
      </c>
      <c r="CS18" s="32">
        <f t="shared" si="76"/>
        <v>0</v>
      </c>
      <c r="CT18" s="32">
        <f t="shared" si="77"/>
        <v>0</v>
      </c>
      <c r="CU18" s="32">
        <f t="shared" si="78"/>
        <v>0</v>
      </c>
      <c r="CV18" s="32">
        <f t="shared" si="79"/>
        <v>0</v>
      </c>
      <c r="CW18" s="32">
        <f t="shared" si="80"/>
        <v>0</v>
      </c>
      <c r="CX18" s="32">
        <f t="shared" si="81"/>
        <v>0</v>
      </c>
      <c r="CY18" s="32">
        <f t="shared" si="82"/>
        <v>0</v>
      </c>
      <c r="CZ18" s="32">
        <f t="shared" si="83"/>
        <v>0</v>
      </c>
      <c r="DA18" s="32">
        <f t="shared" si="84"/>
        <v>0</v>
      </c>
      <c r="DB18" s="32">
        <f t="shared" si="85"/>
        <v>0</v>
      </c>
      <c r="DC18" s="32">
        <f t="shared" si="86"/>
        <v>0</v>
      </c>
      <c r="DD18" s="32">
        <f t="shared" si="87"/>
        <v>0</v>
      </c>
      <c r="DE18" s="32">
        <f t="shared" si="88"/>
        <v>0</v>
      </c>
      <c r="DF18" s="32">
        <f t="shared" si="89"/>
        <v>0</v>
      </c>
      <c r="DG18" s="32">
        <f t="shared" si="90"/>
        <v>0</v>
      </c>
      <c r="DH18" s="32">
        <f t="shared" si="91"/>
        <v>0</v>
      </c>
      <c r="DI18" s="32">
        <f t="shared" si="92"/>
        <v>0</v>
      </c>
      <c r="DJ18" s="32">
        <f t="shared" si="93"/>
        <v>0</v>
      </c>
      <c r="DK18" s="32">
        <f t="shared" si="94"/>
        <v>0</v>
      </c>
      <c r="DL18" s="32">
        <f t="shared" si="95"/>
        <v>0</v>
      </c>
      <c r="DM18" s="32">
        <f t="shared" si="96"/>
        <v>0</v>
      </c>
      <c r="DN18" s="32">
        <f t="shared" si="97"/>
        <v>0</v>
      </c>
      <c r="DO18" s="32">
        <f t="shared" ref="DO18:EC18" si="122">DO6/2+DO7/3+DO8</f>
        <v>0</v>
      </c>
      <c r="DP18" s="32">
        <f t="shared" si="122"/>
        <v>0</v>
      </c>
      <c r="DQ18" s="32">
        <f t="shared" si="122"/>
        <v>0</v>
      </c>
      <c r="DR18" s="32">
        <f t="shared" si="122"/>
        <v>1</v>
      </c>
      <c r="DS18" s="32">
        <f t="shared" si="122"/>
        <v>1</v>
      </c>
      <c r="DT18" s="32">
        <f t="shared" si="122"/>
        <v>1</v>
      </c>
      <c r="DU18" s="32">
        <f t="shared" si="122"/>
        <v>1</v>
      </c>
      <c r="DV18" s="32">
        <f t="shared" si="122"/>
        <v>0</v>
      </c>
      <c r="DW18" s="32">
        <f t="shared" si="122"/>
        <v>1</v>
      </c>
      <c r="DX18" s="32">
        <f t="shared" si="122"/>
        <v>1</v>
      </c>
      <c r="DY18" s="32">
        <f t="shared" si="122"/>
        <v>1</v>
      </c>
      <c r="DZ18" s="32">
        <f t="shared" si="122"/>
        <v>1</v>
      </c>
      <c r="EA18" s="32">
        <f t="shared" si="122"/>
        <v>0</v>
      </c>
      <c r="EB18" s="32">
        <f t="shared" si="122"/>
        <v>0</v>
      </c>
      <c r="EC18" s="32">
        <f t="shared" si="122"/>
        <v>1</v>
      </c>
      <c r="ED18" s="31" t="s">
        <v>113</v>
      </c>
      <c r="EE18" t="s">
        <v>114</v>
      </c>
      <c r="EF18" s="32">
        <f t="shared" si="99"/>
        <v>0</v>
      </c>
      <c r="EG18" s="32">
        <f t="shared" si="100"/>
        <v>0</v>
      </c>
      <c r="EH18" s="32">
        <f t="shared" si="101"/>
        <v>0</v>
      </c>
      <c r="EI18" s="32">
        <f t="shared" si="102"/>
        <v>0</v>
      </c>
      <c r="EJ18" s="32">
        <f t="shared" si="103"/>
        <v>0</v>
      </c>
      <c r="EK18" s="32">
        <f t="shared" si="104"/>
        <v>0</v>
      </c>
      <c r="EL18" s="32">
        <f t="shared" si="105"/>
        <v>0</v>
      </c>
      <c r="EM18" s="32">
        <f t="shared" si="106"/>
        <v>0</v>
      </c>
      <c r="EN18" s="32">
        <f t="shared" si="107"/>
        <v>0</v>
      </c>
      <c r="EO18" s="32">
        <f t="shared" si="108"/>
        <v>0</v>
      </c>
      <c r="EP18" s="32">
        <f t="shared" si="109"/>
        <v>0</v>
      </c>
      <c r="EQ18" s="32">
        <f t="shared" si="110"/>
        <v>0</v>
      </c>
      <c r="ER18" s="32">
        <f t="shared" si="111"/>
        <v>0</v>
      </c>
      <c r="ES18" s="32">
        <f t="shared" si="112"/>
        <v>0</v>
      </c>
      <c r="ET18" s="32">
        <f t="shared" si="113"/>
        <v>0</v>
      </c>
      <c r="EU18" s="32">
        <f t="shared" si="114"/>
        <v>0</v>
      </c>
      <c r="EV18" s="47">
        <f t="shared" si="115"/>
        <v>0</v>
      </c>
      <c r="EW18" s="47">
        <f t="shared" si="116"/>
        <v>0</v>
      </c>
    </row>
    <row r="19" spans="1:153" x14ac:dyDescent="0.25">
      <c r="A19" s="23">
        <f t="shared" si="2"/>
        <v>0</v>
      </c>
      <c r="B19" s="24"/>
      <c r="C19" s="30" t="s">
        <v>54</v>
      </c>
      <c r="D19" s="34">
        <f>AM1</f>
        <v>4</v>
      </c>
      <c r="E19" s="34">
        <f>BB1</f>
        <v>5</v>
      </c>
      <c r="F19" s="34">
        <f>BQ1</f>
        <v>2</v>
      </c>
      <c r="G19" s="34">
        <f>CF1</f>
        <v>6</v>
      </c>
      <c r="H19" s="33">
        <f>MAX(EP5:EP32)</f>
        <v>0</v>
      </c>
      <c r="J19" s="32">
        <f t="shared" si="118"/>
        <v>0</v>
      </c>
      <c r="K19" s="32">
        <f t="shared" si="118"/>
        <v>0</v>
      </c>
      <c r="L19" s="32">
        <f t="shared" si="118"/>
        <v>0</v>
      </c>
      <c r="M19" s="32">
        <f t="shared" si="118"/>
        <v>0</v>
      </c>
      <c r="N19" s="32">
        <f t="shared" si="118"/>
        <v>0</v>
      </c>
      <c r="O19" s="32">
        <f t="shared" si="118"/>
        <v>0</v>
      </c>
      <c r="P19" s="32">
        <f t="shared" si="118"/>
        <v>0</v>
      </c>
      <c r="Q19" s="32">
        <f t="shared" si="118"/>
        <v>0</v>
      </c>
      <c r="R19" s="32">
        <f t="shared" si="118"/>
        <v>0</v>
      </c>
      <c r="S19" s="32">
        <f t="shared" si="118"/>
        <v>0</v>
      </c>
      <c r="T19" s="32">
        <f t="shared" si="118"/>
        <v>0</v>
      </c>
      <c r="U19" s="32">
        <f t="shared" si="118"/>
        <v>0</v>
      </c>
      <c r="V19" s="32">
        <f t="shared" si="118"/>
        <v>0</v>
      </c>
      <c r="W19" s="32">
        <f t="shared" si="118"/>
        <v>0</v>
      </c>
      <c r="X19" s="32">
        <f t="shared" si="118"/>
        <v>0</v>
      </c>
      <c r="Y19" s="41">
        <f t="shared" si="4"/>
        <v>0</v>
      </c>
      <c r="Z19" s="42">
        <f t="shared" si="5"/>
        <v>0</v>
      </c>
      <c r="AA19" s="32">
        <f t="shared" si="6"/>
        <v>0</v>
      </c>
      <c r="AB19" s="32">
        <f t="shared" si="7"/>
        <v>0</v>
      </c>
      <c r="AC19" s="32">
        <f t="shared" si="8"/>
        <v>0</v>
      </c>
      <c r="AD19" s="32">
        <f t="shared" si="9"/>
        <v>0</v>
      </c>
      <c r="AE19" s="32">
        <f t="shared" si="10"/>
        <v>0</v>
      </c>
      <c r="AF19" s="32">
        <f t="shared" si="11"/>
        <v>0</v>
      </c>
      <c r="AG19" s="32">
        <f t="shared" si="12"/>
        <v>0</v>
      </c>
      <c r="AH19" s="32">
        <f t="shared" si="13"/>
        <v>0</v>
      </c>
      <c r="AI19" s="32">
        <f t="shared" si="14"/>
        <v>0</v>
      </c>
      <c r="AJ19" s="32">
        <f t="shared" si="15"/>
        <v>0</v>
      </c>
      <c r="AK19" s="32">
        <f t="shared" si="16"/>
        <v>0</v>
      </c>
      <c r="AL19" s="32">
        <f t="shared" si="17"/>
        <v>0</v>
      </c>
      <c r="AM19" s="32">
        <f t="shared" si="18"/>
        <v>0</v>
      </c>
      <c r="AN19" s="32">
        <f t="shared" si="19"/>
        <v>0</v>
      </c>
      <c r="AO19" s="32">
        <f t="shared" si="20"/>
        <v>0</v>
      </c>
      <c r="AP19" s="32">
        <f t="shared" si="21"/>
        <v>0</v>
      </c>
      <c r="AQ19" s="32">
        <f t="shared" si="22"/>
        <v>0</v>
      </c>
      <c r="AR19" s="32">
        <f t="shared" si="23"/>
        <v>0</v>
      </c>
      <c r="AS19" s="32">
        <f t="shared" si="24"/>
        <v>0</v>
      </c>
      <c r="AT19" s="32">
        <f t="shared" si="25"/>
        <v>0</v>
      </c>
      <c r="AU19" s="32">
        <f t="shared" si="26"/>
        <v>0</v>
      </c>
      <c r="AV19" s="32">
        <f t="shared" si="27"/>
        <v>0</v>
      </c>
      <c r="AW19" s="32">
        <f t="shared" si="28"/>
        <v>0</v>
      </c>
      <c r="AX19" s="32">
        <f t="shared" si="29"/>
        <v>0</v>
      </c>
      <c r="AY19" s="32">
        <f t="shared" si="30"/>
        <v>0</v>
      </c>
      <c r="AZ19" s="32">
        <f t="shared" si="31"/>
        <v>0</v>
      </c>
      <c r="BA19" s="32">
        <f t="shared" si="32"/>
        <v>0</v>
      </c>
      <c r="BB19" s="32">
        <f t="shared" si="33"/>
        <v>0</v>
      </c>
      <c r="BC19" s="32">
        <f t="shared" si="34"/>
        <v>0</v>
      </c>
      <c r="BD19" s="32">
        <f t="shared" si="35"/>
        <v>0</v>
      </c>
      <c r="BE19" s="32">
        <f t="shared" si="36"/>
        <v>0</v>
      </c>
      <c r="BF19" s="32">
        <f t="shared" si="37"/>
        <v>0</v>
      </c>
      <c r="BG19" s="32">
        <f t="shared" si="38"/>
        <v>0</v>
      </c>
      <c r="BH19" s="32">
        <f t="shared" si="39"/>
        <v>0</v>
      </c>
      <c r="BI19" s="32">
        <f t="shared" si="40"/>
        <v>0</v>
      </c>
      <c r="BJ19" s="32">
        <f t="shared" si="41"/>
        <v>0</v>
      </c>
      <c r="BK19" s="32">
        <f t="shared" si="42"/>
        <v>0</v>
      </c>
      <c r="BL19" s="32">
        <f t="shared" si="43"/>
        <v>0</v>
      </c>
      <c r="BM19" s="32">
        <f t="shared" si="44"/>
        <v>0</v>
      </c>
      <c r="BN19" s="32">
        <f t="shared" si="45"/>
        <v>0</v>
      </c>
      <c r="BO19" s="32">
        <f t="shared" si="46"/>
        <v>0</v>
      </c>
      <c r="BP19" s="32">
        <f t="shared" si="47"/>
        <v>0</v>
      </c>
      <c r="BQ19" s="32">
        <f t="shared" si="48"/>
        <v>0</v>
      </c>
      <c r="BR19" s="32">
        <f t="shared" si="49"/>
        <v>0</v>
      </c>
      <c r="BS19" s="32">
        <f t="shared" si="50"/>
        <v>0</v>
      </c>
      <c r="BT19" s="32">
        <f t="shared" si="51"/>
        <v>0</v>
      </c>
      <c r="BU19" s="32">
        <f t="shared" si="52"/>
        <v>0</v>
      </c>
      <c r="BV19" s="32">
        <f t="shared" si="53"/>
        <v>0</v>
      </c>
      <c r="BW19" s="32">
        <f t="shared" si="54"/>
        <v>0</v>
      </c>
      <c r="BX19" s="32">
        <f t="shared" si="55"/>
        <v>0</v>
      </c>
      <c r="BY19" s="32">
        <f t="shared" si="56"/>
        <v>0</v>
      </c>
      <c r="BZ19" s="32">
        <f t="shared" si="57"/>
        <v>0</v>
      </c>
      <c r="CA19" s="32">
        <f t="shared" si="58"/>
        <v>0</v>
      </c>
      <c r="CB19" s="32">
        <f t="shared" si="59"/>
        <v>0</v>
      </c>
      <c r="CC19" s="32">
        <f t="shared" si="60"/>
        <v>0</v>
      </c>
      <c r="CD19" s="32">
        <f t="shared" si="61"/>
        <v>0</v>
      </c>
      <c r="CE19" s="32">
        <f t="shared" si="62"/>
        <v>0</v>
      </c>
      <c r="CF19" s="32">
        <f t="shared" si="63"/>
        <v>0</v>
      </c>
      <c r="CG19" s="32">
        <f t="shared" si="64"/>
        <v>0</v>
      </c>
      <c r="CH19" s="32">
        <f t="shared" si="65"/>
        <v>0</v>
      </c>
      <c r="CI19" s="32">
        <f t="shared" si="66"/>
        <v>0</v>
      </c>
      <c r="CJ19" s="32">
        <f t="shared" si="67"/>
        <v>0</v>
      </c>
      <c r="CK19" s="32">
        <f t="shared" si="68"/>
        <v>0</v>
      </c>
      <c r="CL19" s="32">
        <f t="shared" si="69"/>
        <v>0</v>
      </c>
      <c r="CM19" s="32">
        <f t="shared" si="70"/>
        <v>0</v>
      </c>
      <c r="CN19" s="32">
        <f t="shared" si="71"/>
        <v>0</v>
      </c>
      <c r="CO19" s="32">
        <f t="shared" si="72"/>
        <v>0</v>
      </c>
      <c r="CP19" s="32">
        <f t="shared" si="73"/>
        <v>0</v>
      </c>
      <c r="CQ19" s="32">
        <f t="shared" si="74"/>
        <v>0</v>
      </c>
      <c r="CR19" s="32">
        <f t="shared" si="75"/>
        <v>0</v>
      </c>
      <c r="CS19" s="32">
        <f t="shared" si="76"/>
        <v>0</v>
      </c>
      <c r="CT19" s="32">
        <f t="shared" si="77"/>
        <v>0</v>
      </c>
      <c r="CU19" s="32">
        <f t="shared" si="78"/>
        <v>0</v>
      </c>
      <c r="CV19" s="32">
        <f t="shared" si="79"/>
        <v>0</v>
      </c>
      <c r="CW19" s="32">
        <f t="shared" si="80"/>
        <v>0</v>
      </c>
      <c r="CX19" s="32">
        <f t="shared" si="81"/>
        <v>0</v>
      </c>
      <c r="CY19" s="32">
        <f t="shared" si="82"/>
        <v>0</v>
      </c>
      <c r="CZ19" s="32">
        <f t="shared" si="83"/>
        <v>0</v>
      </c>
      <c r="DA19" s="32">
        <f t="shared" si="84"/>
        <v>0</v>
      </c>
      <c r="DB19" s="32">
        <f t="shared" si="85"/>
        <v>0</v>
      </c>
      <c r="DC19" s="32">
        <f t="shared" si="86"/>
        <v>0</v>
      </c>
      <c r="DD19" s="32">
        <f t="shared" si="87"/>
        <v>0</v>
      </c>
      <c r="DE19" s="32">
        <f t="shared" si="88"/>
        <v>0</v>
      </c>
      <c r="DF19" s="32">
        <f t="shared" si="89"/>
        <v>0</v>
      </c>
      <c r="DG19" s="32">
        <f t="shared" si="90"/>
        <v>0</v>
      </c>
      <c r="DH19" s="32">
        <f t="shared" si="91"/>
        <v>0</v>
      </c>
      <c r="DI19" s="32">
        <f t="shared" si="92"/>
        <v>0</v>
      </c>
      <c r="DJ19" s="32">
        <f t="shared" si="93"/>
        <v>0</v>
      </c>
      <c r="DK19" s="32">
        <f t="shared" si="94"/>
        <v>0</v>
      </c>
      <c r="DL19" s="32">
        <f t="shared" si="95"/>
        <v>0</v>
      </c>
      <c r="DM19" s="32">
        <f t="shared" si="96"/>
        <v>0</v>
      </c>
      <c r="DN19" s="32">
        <f t="shared" si="97"/>
        <v>0</v>
      </c>
      <c r="DO19" s="32">
        <f t="shared" ref="DO19:EC19" si="123">DO6/2+DO7/3+DO8+DO10</f>
        <v>0</v>
      </c>
      <c r="DP19" s="32">
        <f t="shared" si="123"/>
        <v>0</v>
      </c>
      <c r="DQ19" s="32">
        <f t="shared" si="123"/>
        <v>0</v>
      </c>
      <c r="DR19" s="32">
        <f t="shared" si="123"/>
        <v>1</v>
      </c>
      <c r="DS19" s="32">
        <f t="shared" si="123"/>
        <v>1</v>
      </c>
      <c r="DT19" s="32">
        <f t="shared" si="123"/>
        <v>1</v>
      </c>
      <c r="DU19" s="32">
        <f t="shared" si="123"/>
        <v>1</v>
      </c>
      <c r="DV19" s="32">
        <f t="shared" si="123"/>
        <v>0</v>
      </c>
      <c r="DW19" s="32">
        <f t="shared" si="123"/>
        <v>1</v>
      </c>
      <c r="DX19" s="32">
        <f t="shared" si="123"/>
        <v>1</v>
      </c>
      <c r="DY19" s="32">
        <f t="shared" si="123"/>
        <v>1</v>
      </c>
      <c r="DZ19" s="32">
        <f t="shared" si="123"/>
        <v>1</v>
      </c>
      <c r="EA19" s="32">
        <f t="shared" si="123"/>
        <v>0</v>
      </c>
      <c r="EB19" s="32">
        <f t="shared" si="123"/>
        <v>0</v>
      </c>
      <c r="EC19" s="32">
        <f t="shared" si="123"/>
        <v>1</v>
      </c>
      <c r="ED19" s="31" t="s">
        <v>115</v>
      </c>
      <c r="EE19" t="s">
        <v>63</v>
      </c>
      <c r="EF19" s="32">
        <f t="shared" si="99"/>
        <v>0</v>
      </c>
      <c r="EG19" s="32">
        <f t="shared" si="100"/>
        <v>0</v>
      </c>
      <c r="EH19" s="32">
        <f t="shared" si="101"/>
        <v>0</v>
      </c>
      <c r="EI19" s="32">
        <f t="shared" si="102"/>
        <v>0</v>
      </c>
      <c r="EJ19" s="32">
        <f t="shared" si="103"/>
        <v>0</v>
      </c>
      <c r="EK19" s="32">
        <f t="shared" si="104"/>
        <v>0</v>
      </c>
      <c r="EL19" s="32">
        <f t="shared" si="105"/>
        <v>0</v>
      </c>
      <c r="EM19" s="32">
        <f t="shared" si="106"/>
        <v>0</v>
      </c>
      <c r="EN19" s="32">
        <f t="shared" si="107"/>
        <v>0</v>
      </c>
      <c r="EO19" s="32">
        <f t="shared" si="108"/>
        <v>0</v>
      </c>
      <c r="EP19" s="32">
        <f t="shared" si="109"/>
        <v>0</v>
      </c>
      <c r="EQ19" s="32">
        <f t="shared" si="110"/>
        <v>0</v>
      </c>
      <c r="ER19" s="32">
        <f t="shared" si="111"/>
        <v>0</v>
      </c>
      <c r="ES19" s="32">
        <f t="shared" si="112"/>
        <v>0</v>
      </c>
      <c r="ET19" s="32">
        <f t="shared" si="113"/>
        <v>0</v>
      </c>
      <c r="EU19" s="32">
        <f t="shared" si="114"/>
        <v>0</v>
      </c>
      <c r="EV19" s="47">
        <f t="shared" si="115"/>
        <v>0</v>
      </c>
      <c r="EW19" s="47">
        <f t="shared" si="116"/>
        <v>0</v>
      </c>
    </row>
    <row r="20" spans="1:153" x14ac:dyDescent="0.25">
      <c r="A20" s="23">
        <f t="shared" si="2"/>
        <v>0</v>
      </c>
      <c r="B20" s="24"/>
      <c r="C20" s="31" t="s">
        <v>55</v>
      </c>
      <c r="D20" s="32">
        <f>AN1</f>
        <v>4</v>
      </c>
      <c r="E20" s="32">
        <f>BC1</f>
        <v>5</v>
      </c>
      <c r="F20" s="32">
        <f>BR1</f>
        <v>2</v>
      </c>
      <c r="G20" s="32">
        <f>CG1</f>
        <v>6</v>
      </c>
      <c r="H20" s="33">
        <f>MAX(EQ5:EQ32)</f>
        <v>0</v>
      </c>
      <c r="J20" s="32">
        <f t="shared" si="118"/>
        <v>0</v>
      </c>
      <c r="K20" s="32">
        <f t="shared" si="118"/>
        <v>0</v>
      </c>
      <c r="L20" s="32">
        <f t="shared" si="118"/>
        <v>0</v>
      </c>
      <c r="M20" s="32">
        <f t="shared" si="118"/>
        <v>0</v>
      </c>
      <c r="N20" s="32">
        <f t="shared" si="118"/>
        <v>0</v>
      </c>
      <c r="O20" s="32">
        <f t="shared" si="118"/>
        <v>0</v>
      </c>
      <c r="P20" s="32">
        <f t="shared" si="118"/>
        <v>0</v>
      </c>
      <c r="Q20" s="32">
        <f t="shared" si="118"/>
        <v>0</v>
      </c>
      <c r="R20" s="32">
        <f t="shared" si="118"/>
        <v>0</v>
      </c>
      <c r="S20" s="32">
        <f t="shared" si="118"/>
        <v>0</v>
      </c>
      <c r="T20" s="32">
        <f t="shared" si="118"/>
        <v>0</v>
      </c>
      <c r="U20" s="32">
        <f t="shared" si="118"/>
        <v>0</v>
      </c>
      <c r="V20" s="32">
        <f t="shared" si="118"/>
        <v>0</v>
      </c>
      <c r="W20" s="32">
        <f t="shared" si="118"/>
        <v>0</v>
      </c>
      <c r="X20" s="32">
        <f t="shared" si="118"/>
        <v>0</v>
      </c>
      <c r="Y20" s="41">
        <f t="shared" si="4"/>
        <v>0</v>
      </c>
      <c r="Z20" s="42">
        <f t="shared" si="5"/>
        <v>0</v>
      </c>
      <c r="AA20" s="32">
        <f t="shared" si="6"/>
        <v>0</v>
      </c>
      <c r="AB20" s="32">
        <f t="shared" si="7"/>
        <v>0</v>
      </c>
      <c r="AC20" s="32">
        <f t="shared" si="8"/>
        <v>0</v>
      </c>
      <c r="AD20" s="32">
        <f t="shared" si="9"/>
        <v>0</v>
      </c>
      <c r="AE20" s="32">
        <f t="shared" si="10"/>
        <v>0</v>
      </c>
      <c r="AF20" s="32">
        <f t="shared" si="11"/>
        <v>0</v>
      </c>
      <c r="AG20" s="32">
        <f t="shared" si="12"/>
        <v>0</v>
      </c>
      <c r="AH20" s="32">
        <f t="shared" si="13"/>
        <v>0</v>
      </c>
      <c r="AI20" s="32">
        <f t="shared" si="14"/>
        <v>0</v>
      </c>
      <c r="AJ20" s="32">
        <f t="shared" si="15"/>
        <v>0</v>
      </c>
      <c r="AK20" s="32">
        <f t="shared" si="16"/>
        <v>0</v>
      </c>
      <c r="AL20" s="32">
        <f t="shared" si="17"/>
        <v>0</v>
      </c>
      <c r="AM20" s="32">
        <f t="shared" si="18"/>
        <v>0</v>
      </c>
      <c r="AN20" s="32">
        <f t="shared" si="19"/>
        <v>0</v>
      </c>
      <c r="AO20" s="32">
        <f t="shared" si="20"/>
        <v>0</v>
      </c>
      <c r="AP20" s="32">
        <f t="shared" si="21"/>
        <v>0</v>
      </c>
      <c r="AQ20" s="32">
        <f t="shared" si="22"/>
        <v>0</v>
      </c>
      <c r="AR20" s="32">
        <f t="shared" si="23"/>
        <v>0</v>
      </c>
      <c r="AS20" s="32">
        <f t="shared" si="24"/>
        <v>0</v>
      </c>
      <c r="AT20" s="32">
        <f t="shared" si="25"/>
        <v>0</v>
      </c>
      <c r="AU20" s="32">
        <f t="shared" si="26"/>
        <v>0</v>
      </c>
      <c r="AV20" s="32">
        <f t="shared" si="27"/>
        <v>0</v>
      </c>
      <c r="AW20" s="32">
        <f t="shared" si="28"/>
        <v>0</v>
      </c>
      <c r="AX20" s="32">
        <f t="shared" si="29"/>
        <v>0</v>
      </c>
      <c r="AY20" s="32">
        <f t="shared" si="30"/>
        <v>0</v>
      </c>
      <c r="AZ20" s="32">
        <f t="shared" si="31"/>
        <v>0</v>
      </c>
      <c r="BA20" s="32">
        <f t="shared" si="32"/>
        <v>0</v>
      </c>
      <c r="BB20" s="32">
        <f t="shared" si="33"/>
        <v>0</v>
      </c>
      <c r="BC20" s="32">
        <f t="shared" si="34"/>
        <v>0</v>
      </c>
      <c r="BD20" s="32">
        <f t="shared" si="35"/>
        <v>0</v>
      </c>
      <c r="BE20" s="32">
        <f t="shared" si="36"/>
        <v>0</v>
      </c>
      <c r="BF20" s="32">
        <f t="shared" si="37"/>
        <v>0</v>
      </c>
      <c r="BG20" s="32">
        <f t="shared" si="38"/>
        <v>0</v>
      </c>
      <c r="BH20" s="32">
        <f t="shared" si="39"/>
        <v>0</v>
      </c>
      <c r="BI20" s="32">
        <f t="shared" si="40"/>
        <v>0</v>
      </c>
      <c r="BJ20" s="32">
        <f t="shared" si="41"/>
        <v>0</v>
      </c>
      <c r="BK20" s="32">
        <f t="shared" si="42"/>
        <v>0</v>
      </c>
      <c r="BL20" s="32">
        <f t="shared" si="43"/>
        <v>0</v>
      </c>
      <c r="BM20" s="32">
        <f t="shared" si="44"/>
        <v>0</v>
      </c>
      <c r="BN20" s="32">
        <f t="shared" si="45"/>
        <v>0</v>
      </c>
      <c r="BO20" s="32">
        <f t="shared" si="46"/>
        <v>0</v>
      </c>
      <c r="BP20" s="32">
        <f t="shared" si="47"/>
        <v>0</v>
      </c>
      <c r="BQ20" s="32">
        <f t="shared" si="48"/>
        <v>0</v>
      </c>
      <c r="BR20" s="32">
        <f t="shared" si="49"/>
        <v>0</v>
      </c>
      <c r="BS20" s="32">
        <f t="shared" si="50"/>
        <v>0</v>
      </c>
      <c r="BT20" s="32">
        <f t="shared" si="51"/>
        <v>0</v>
      </c>
      <c r="BU20" s="32">
        <f t="shared" si="52"/>
        <v>0</v>
      </c>
      <c r="BV20" s="32">
        <f t="shared" si="53"/>
        <v>0</v>
      </c>
      <c r="BW20" s="32">
        <f t="shared" si="54"/>
        <v>0</v>
      </c>
      <c r="BX20" s="32">
        <f t="shared" si="55"/>
        <v>0</v>
      </c>
      <c r="BY20" s="32">
        <f t="shared" si="56"/>
        <v>0</v>
      </c>
      <c r="BZ20" s="32">
        <f t="shared" si="57"/>
        <v>0</v>
      </c>
      <c r="CA20" s="32">
        <f t="shared" si="58"/>
        <v>0</v>
      </c>
      <c r="CB20" s="32">
        <f t="shared" si="59"/>
        <v>0</v>
      </c>
      <c r="CC20" s="32">
        <f t="shared" si="60"/>
        <v>0</v>
      </c>
      <c r="CD20" s="32">
        <f t="shared" si="61"/>
        <v>0</v>
      </c>
      <c r="CE20" s="32">
        <f t="shared" si="62"/>
        <v>0</v>
      </c>
      <c r="CF20" s="32">
        <f t="shared" si="63"/>
        <v>0</v>
      </c>
      <c r="CG20" s="32">
        <f t="shared" si="64"/>
        <v>0</v>
      </c>
      <c r="CH20" s="32">
        <f t="shared" si="65"/>
        <v>0</v>
      </c>
      <c r="CI20" s="32">
        <f t="shared" si="66"/>
        <v>0</v>
      </c>
      <c r="CJ20" s="32">
        <f t="shared" si="67"/>
        <v>0</v>
      </c>
      <c r="CK20" s="32">
        <f t="shared" si="68"/>
        <v>0</v>
      </c>
      <c r="CL20" s="32">
        <f t="shared" si="69"/>
        <v>0</v>
      </c>
      <c r="CM20" s="32">
        <f t="shared" si="70"/>
        <v>0</v>
      </c>
      <c r="CN20" s="32">
        <f t="shared" si="71"/>
        <v>0</v>
      </c>
      <c r="CO20" s="32">
        <f t="shared" si="72"/>
        <v>0</v>
      </c>
      <c r="CP20" s="32">
        <f t="shared" si="73"/>
        <v>0</v>
      </c>
      <c r="CQ20" s="32">
        <f t="shared" si="74"/>
        <v>0</v>
      </c>
      <c r="CR20" s="32">
        <f t="shared" si="75"/>
        <v>0</v>
      </c>
      <c r="CS20" s="32">
        <f t="shared" si="76"/>
        <v>0</v>
      </c>
      <c r="CT20" s="32">
        <f t="shared" si="77"/>
        <v>0</v>
      </c>
      <c r="CU20" s="32">
        <f t="shared" si="78"/>
        <v>0</v>
      </c>
      <c r="CV20" s="32">
        <f t="shared" si="79"/>
        <v>0</v>
      </c>
      <c r="CW20" s="32">
        <f t="shared" si="80"/>
        <v>0</v>
      </c>
      <c r="CX20" s="32">
        <f t="shared" si="81"/>
        <v>0</v>
      </c>
      <c r="CY20" s="32">
        <f t="shared" si="82"/>
        <v>0</v>
      </c>
      <c r="CZ20" s="32">
        <f t="shared" si="83"/>
        <v>0</v>
      </c>
      <c r="DA20" s="32">
        <f t="shared" si="84"/>
        <v>0</v>
      </c>
      <c r="DB20" s="32">
        <f t="shared" si="85"/>
        <v>0</v>
      </c>
      <c r="DC20" s="32">
        <f t="shared" si="86"/>
        <v>0</v>
      </c>
      <c r="DD20" s="32">
        <f t="shared" si="87"/>
        <v>0</v>
      </c>
      <c r="DE20" s="32">
        <f t="shared" si="88"/>
        <v>0</v>
      </c>
      <c r="DF20" s="32">
        <f t="shared" si="89"/>
        <v>0</v>
      </c>
      <c r="DG20" s="32">
        <f t="shared" si="90"/>
        <v>0</v>
      </c>
      <c r="DH20" s="32">
        <f t="shared" si="91"/>
        <v>0</v>
      </c>
      <c r="DI20" s="32">
        <f t="shared" si="92"/>
        <v>0</v>
      </c>
      <c r="DJ20" s="32">
        <f t="shared" si="93"/>
        <v>0</v>
      </c>
      <c r="DK20" s="32">
        <f t="shared" si="94"/>
        <v>0</v>
      </c>
      <c r="DL20" s="32">
        <f t="shared" si="95"/>
        <v>0</v>
      </c>
      <c r="DM20" s="32">
        <f t="shared" si="96"/>
        <v>0</v>
      </c>
      <c r="DN20" s="32">
        <f t="shared" si="97"/>
        <v>0</v>
      </c>
      <c r="DO20" s="32">
        <f t="shared" ref="DO20:EC20" si="124">DO7/3+DO8+DO9+DO10+DO12</f>
        <v>1</v>
      </c>
      <c r="DP20" s="32">
        <f t="shared" si="124"/>
        <v>0</v>
      </c>
      <c r="DQ20" s="32">
        <f t="shared" si="124"/>
        <v>0</v>
      </c>
      <c r="DR20" s="32">
        <f t="shared" si="124"/>
        <v>0</v>
      </c>
      <c r="DS20" s="32">
        <f t="shared" si="124"/>
        <v>0</v>
      </c>
      <c r="DT20" s="32">
        <f t="shared" si="124"/>
        <v>0</v>
      </c>
      <c r="DU20" s="32">
        <f t="shared" si="124"/>
        <v>0</v>
      </c>
      <c r="DV20" s="32">
        <f t="shared" si="124"/>
        <v>0</v>
      </c>
      <c r="DW20" s="32">
        <f t="shared" si="124"/>
        <v>0</v>
      </c>
      <c r="DX20" s="32">
        <f t="shared" si="124"/>
        <v>0</v>
      </c>
      <c r="DY20" s="32">
        <f t="shared" si="124"/>
        <v>0</v>
      </c>
      <c r="DZ20" s="32">
        <f t="shared" si="124"/>
        <v>0</v>
      </c>
      <c r="EA20" s="32">
        <f t="shared" si="124"/>
        <v>0</v>
      </c>
      <c r="EB20" s="32">
        <f t="shared" si="124"/>
        <v>0</v>
      </c>
      <c r="EC20" s="32">
        <f t="shared" si="124"/>
        <v>1</v>
      </c>
      <c r="ED20" s="31" t="s">
        <v>116</v>
      </c>
      <c r="EE20" t="s">
        <v>62</v>
      </c>
      <c r="EF20" s="32">
        <f t="shared" si="99"/>
        <v>0</v>
      </c>
      <c r="EG20" s="32">
        <f t="shared" si="100"/>
        <v>0</v>
      </c>
      <c r="EH20" s="32">
        <f t="shared" si="101"/>
        <v>0</v>
      </c>
      <c r="EI20" s="32">
        <f t="shared" si="102"/>
        <v>0</v>
      </c>
      <c r="EJ20" s="32">
        <f t="shared" si="103"/>
        <v>0</v>
      </c>
      <c r="EK20" s="32">
        <f t="shared" si="104"/>
        <v>0</v>
      </c>
      <c r="EL20" s="32">
        <f t="shared" si="105"/>
        <v>0</v>
      </c>
      <c r="EM20" s="32">
        <f t="shared" si="106"/>
        <v>0</v>
      </c>
      <c r="EN20" s="32">
        <f t="shared" si="107"/>
        <v>0</v>
      </c>
      <c r="EO20" s="32">
        <f t="shared" si="108"/>
        <v>0</v>
      </c>
      <c r="EP20" s="32">
        <f t="shared" si="109"/>
        <v>0</v>
      </c>
      <c r="EQ20" s="32">
        <f t="shared" si="110"/>
        <v>0</v>
      </c>
      <c r="ER20" s="32">
        <f t="shared" si="111"/>
        <v>0</v>
      </c>
      <c r="ES20" s="32">
        <f t="shared" si="112"/>
        <v>0</v>
      </c>
      <c r="ET20" s="32">
        <f t="shared" si="113"/>
        <v>0</v>
      </c>
      <c r="EU20" s="32">
        <f t="shared" si="114"/>
        <v>0</v>
      </c>
      <c r="EV20" s="47">
        <f t="shared" si="115"/>
        <v>0</v>
      </c>
      <c r="EW20" s="47">
        <f t="shared" si="116"/>
        <v>0</v>
      </c>
    </row>
    <row r="21" spans="1:153" x14ac:dyDescent="0.25">
      <c r="A21" s="23">
        <f t="shared" si="2"/>
        <v>0</v>
      </c>
      <c r="B21" s="24"/>
      <c r="C21" s="31" t="s">
        <v>56</v>
      </c>
      <c r="D21" s="32">
        <f>AO1</f>
        <v>0</v>
      </c>
      <c r="E21" s="32">
        <f>BD1</f>
        <v>2</v>
      </c>
      <c r="F21" s="32">
        <f>BS1</f>
        <v>0</v>
      </c>
      <c r="G21" s="32">
        <f>CH1</f>
        <v>3</v>
      </c>
      <c r="H21" s="33">
        <f>MAX(ER5:ER32)</f>
        <v>0</v>
      </c>
      <c r="J21" s="32">
        <f t="shared" si="118"/>
        <v>0</v>
      </c>
      <c r="K21" s="32">
        <f t="shared" si="118"/>
        <v>0</v>
      </c>
      <c r="L21" s="32">
        <f t="shared" si="118"/>
        <v>0</v>
      </c>
      <c r="M21" s="32">
        <f t="shared" si="118"/>
        <v>0</v>
      </c>
      <c r="N21" s="32">
        <f t="shared" si="118"/>
        <v>0</v>
      </c>
      <c r="O21" s="32">
        <f t="shared" si="118"/>
        <v>0</v>
      </c>
      <c r="P21" s="32">
        <f t="shared" si="118"/>
        <v>0</v>
      </c>
      <c r="Q21" s="32">
        <f t="shared" si="118"/>
        <v>0</v>
      </c>
      <c r="R21" s="32">
        <f t="shared" si="118"/>
        <v>0</v>
      </c>
      <c r="S21" s="32">
        <f t="shared" si="118"/>
        <v>0</v>
      </c>
      <c r="T21" s="32">
        <f t="shared" si="118"/>
        <v>0</v>
      </c>
      <c r="U21" s="32">
        <f t="shared" si="118"/>
        <v>0</v>
      </c>
      <c r="V21" s="32">
        <f t="shared" si="118"/>
        <v>0</v>
      </c>
      <c r="W21" s="32">
        <f t="shared" si="118"/>
        <v>0</v>
      </c>
      <c r="X21" s="32">
        <f t="shared" si="118"/>
        <v>0</v>
      </c>
      <c r="Y21" s="41">
        <f t="shared" si="4"/>
        <v>0</v>
      </c>
      <c r="Z21" s="42">
        <f t="shared" si="5"/>
        <v>0</v>
      </c>
      <c r="AA21" s="32">
        <f t="shared" si="6"/>
        <v>0</v>
      </c>
      <c r="AB21" s="32">
        <f t="shared" si="7"/>
        <v>0</v>
      </c>
      <c r="AC21" s="32">
        <f t="shared" si="8"/>
        <v>0</v>
      </c>
      <c r="AD21" s="32">
        <f t="shared" si="9"/>
        <v>0</v>
      </c>
      <c r="AE21" s="32">
        <f t="shared" si="10"/>
        <v>0</v>
      </c>
      <c r="AF21" s="32">
        <f t="shared" si="11"/>
        <v>0</v>
      </c>
      <c r="AG21" s="32">
        <f t="shared" si="12"/>
        <v>0</v>
      </c>
      <c r="AH21" s="32">
        <f t="shared" si="13"/>
        <v>0</v>
      </c>
      <c r="AI21" s="32">
        <f t="shared" si="14"/>
        <v>0</v>
      </c>
      <c r="AJ21" s="32">
        <f t="shared" si="15"/>
        <v>0</v>
      </c>
      <c r="AK21" s="32">
        <f t="shared" si="16"/>
        <v>0</v>
      </c>
      <c r="AL21" s="32">
        <f t="shared" si="17"/>
        <v>0</v>
      </c>
      <c r="AM21" s="32">
        <f t="shared" si="18"/>
        <v>0</v>
      </c>
      <c r="AN21" s="32">
        <f t="shared" si="19"/>
        <v>0</v>
      </c>
      <c r="AO21" s="32">
        <f t="shared" si="20"/>
        <v>0</v>
      </c>
      <c r="AP21" s="32">
        <f t="shared" si="21"/>
        <v>0</v>
      </c>
      <c r="AQ21" s="32">
        <f t="shared" si="22"/>
        <v>0</v>
      </c>
      <c r="AR21" s="32">
        <f t="shared" si="23"/>
        <v>0</v>
      </c>
      <c r="AS21" s="32">
        <f t="shared" si="24"/>
        <v>0</v>
      </c>
      <c r="AT21" s="32">
        <f t="shared" si="25"/>
        <v>0</v>
      </c>
      <c r="AU21" s="32">
        <f t="shared" si="26"/>
        <v>0</v>
      </c>
      <c r="AV21" s="32">
        <f t="shared" si="27"/>
        <v>0</v>
      </c>
      <c r="AW21" s="32">
        <f t="shared" si="28"/>
        <v>0</v>
      </c>
      <c r="AX21" s="32">
        <f t="shared" si="29"/>
        <v>0</v>
      </c>
      <c r="AY21" s="32">
        <f t="shared" si="30"/>
        <v>0</v>
      </c>
      <c r="AZ21" s="32">
        <f t="shared" si="31"/>
        <v>0</v>
      </c>
      <c r="BA21" s="32">
        <f t="shared" si="32"/>
        <v>0</v>
      </c>
      <c r="BB21" s="32">
        <f t="shared" si="33"/>
        <v>0</v>
      </c>
      <c r="BC21" s="32">
        <f t="shared" si="34"/>
        <v>0</v>
      </c>
      <c r="BD21" s="32">
        <f t="shared" si="35"/>
        <v>0</v>
      </c>
      <c r="BE21" s="32">
        <f t="shared" si="36"/>
        <v>0</v>
      </c>
      <c r="BF21" s="32">
        <f t="shared" si="37"/>
        <v>0</v>
      </c>
      <c r="BG21" s="32">
        <f t="shared" si="38"/>
        <v>0</v>
      </c>
      <c r="BH21" s="32">
        <f t="shared" si="39"/>
        <v>0</v>
      </c>
      <c r="BI21" s="32">
        <f t="shared" si="40"/>
        <v>0</v>
      </c>
      <c r="BJ21" s="32">
        <f t="shared" si="41"/>
        <v>0</v>
      </c>
      <c r="BK21" s="32">
        <f t="shared" si="42"/>
        <v>0</v>
      </c>
      <c r="BL21" s="32">
        <f t="shared" si="43"/>
        <v>0</v>
      </c>
      <c r="BM21" s="32">
        <f t="shared" si="44"/>
        <v>0</v>
      </c>
      <c r="BN21" s="32">
        <f t="shared" si="45"/>
        <v>0</v>
      </c>
      <c r="BO21" s="32">
        <f t="shared" si="46"/>
        <v>0</v>
      </c>
      <c r="BP21" s="32">
        <f t="shared" si="47"/>
        <v>0</v>
      </c>
      <c r="BQ21" s="32">
        <f t="shared" si="48"/>
        <v>0</v>
      </c>
      <c r="BR21" s="32">
        <f t="shared" si="49"/>
        <v>0</v>
      </c>
      <c r="BS21" s="32">
        <f t="shared" si="50"/>
        <v>0</v>
      </c>
      <c r="BT21" s="32">
        <f t="shared" si="51"/>
        <v>0</v>
      </c>
      <c r="BU21" s="32">
        <f t="shared" si="52"/>
        <v>0</v>
      </c>
      <c r="BV21" s="32">
        <f t="shared" si="53"/>
        <v>0</v>
      </c>
      <c r="BW21" s="32">
        <f t="shared" si="54"/>
        <v>0</v>
      </c>
      <c r="BX21" s="32">
        <f t="shared" si="55"/>
        <v>0</v>
      </c>
      <c r="BY21" s="32">
        <f t="shared" si="56"/>
        <v>0</v>
      </c>
      <c r="BZ21" s="32">
        <f t="shared" si="57"/>
        <v>0</v>
      </c>
      <c r="CA21" s="32">
        <f t="shared" si="58"/>
        <v>0</v>
      </c>
      <c r="CB21" s="32">
        <f t="shared" si="59"/>
        <v>0</v>
      </c>
      <c r="CC21" s="32">
        <f t="shared" si="60"/>
        <v>0</v>
      </c>
      <c r="CD21" s="32">
        <f t="shared" si="61"/>
        <v>0</v>
      </c>
      <c r="CE21" s="32">
        <f t="shared" si="62"/>
        <v>0</v>
      </c>
      <c r="CF21" s="32">
        <f t="shared" si="63"/>
        <v>0</v>
      </c>
      <c r="CG21" s="32">
        <f t="shared" si="64"/>
        <v>0</v>
      </c>
      <c r="CH21" s="32">
        <f t="shared" si="65"/>
        <v>0</v>
      </c>
      <c r="CI21" s="32">
        <f t="shared" si="66"/>
        <v>0</v>
      </c>
      <c r="CJ21" s="32">
        <f t="shared" si="67"/>
        <v>0</v>
      </c>
      <c r="CK21" s="32">
        <f t="shared" si="68"/>
        <v>0</v>
      </c>
      <c r="CL21" s="32">
        <f t="shared" si="69"/>
        <v>0</v>
      </c>
      <c r="CM21" s="32">
        <f t="shared" si="70"/>
        <v>0</v>
      </c>
      <c r="CN21" s="32">
        <f t="shared" si="71"/>
        <v>0</v>
      </c>
      <c r="CO21" s="32">
        <f t="shared" si="72"/>
        <v>0</v>
      </c>
      <c r="CP21" s="32">
        <f t="shared" si="73"/>
        <v>0</v>
      </c>
      <c r="CQ21" s="32">
        <f t="shared" si="74"/>
        <v>0</v>
      </c>
      <c r="CR21" s="32">
        <f t="shared" si="75"/>
        <v>0</v>
      </c>
      <c r="CS21" s="32">
        <f t="shared" si="76"/>
        <v>0</v>
      </c>
      <c r="CT21" s="32">
        <f t="shared" si="77"/>
        <v>0</v>
      </c>
      <c r="CU21" s="32">
        <f t="shared" si="78"/>
        <v>0</v>
      </c>
      <c r="CV21" s="32">
        <f t="shared" si="79"/>
        <v>0</v>
      </c>
      <c r="CW21" s="32">
        <f t="shared" si="80"/>
        <v>0</v>
      </c>
      <c r="CX21" s="32">
        <f t="shared" si="81"/>
        <v>0</v>
      </c>
      <c r="CY21" s="32">
        <f t="shared" si="82"/>
        <v>0</v>
      </c>
      <c r="CZ21" s="32">
        <f t="shared" si="83"/>
        <v>0</v>
      </c>
      <c r="DA21" s="32">
        <f t="shared" si="84"/>
        <v>0</v>
      </c>
      <c r="DB21" s="32">
        <f t="shared" si="85"/>
        <v>0</v>
      </c>
      <c r="DC21" s="32">
        <f t="shared" si="86"/>
        <v>0</v>
      </c>
      <c r="DD21" s="32">
        <f t="shared" si="87"/>
        <v>0</v>
      </c>
      <c r="DE21" s="32">
        <f t="shared" si="88"/>
        <v>0</v>
      </c>
      <c r="DF21" s="32">
        <f t="shared" si="89"/>
        <v>0</v>
      </c>
      <c r="DG21" s="32">
        <f t="shared" si="90"/>
        <v>0</v>
      </c>
      <c r="DH21" s="32">
        <f t="shared" si="91"/>
        <v>0</v>
      </c>
      <c r="DI21" s="32">
        <f t="shared" si="92"/>
        <v>0</v>
      </c>
      <c r="DJ21" s="32">
        <f t="shared" si="93"/>
        <v>0</v>
      </c>
      <c r="DK21" s="32">
        <f t="shared" si="94"/>
        <v>0</v>
      </c>
      <c r="DL21" s="32">
        <f t="shared" si="95"/>
        <v>0</v>
      </c>
      <c r="DM21" s="32">
        <f t="shared" si="96"/>
        <v>0</v>
      </c>
      <c r="DN21" s="32">
        <f t="shared" si="97"/>
        <v>0</v>
      </c>
      <c r="DO21" s="32">
        <f t="shared" ref="DO21:EC21" si="125">DO7/3+DO8+DO10</f>
        <v>0</v>
      </c>
      <c r="DP21" s="32">
        <f t="shared" si="125"/>
        <v>0</v>
      </c>
      <c r="DQ21" s="32">
        <f t="shared" si="125"/>
        <v>0</v>
      </c>
      <c r="DR21" s="32">
        <f t="shared" si="125"/>
        <v>0</v>
      </c>
      <c r="DS21" s="32">
        <f t="shared" si="125"/>
        <v>0</v>
      </c>
      <c r="DT21" s="32">
        <f t="shared" si="125"/>
        <v>0</v>
      </c>
      <c r="DU21" s="32">
        <f t="shared" si="125"/>
        <v>0</v>
      </c>
      <c r="DV21" s="32">
        <f t="shared" si="125"/>
        <v>0</v>
      </c>
      <c r="DW21" s="32">
        <f t="shared" si="125"/>
        <v>0</v>
      </c>
      <c r="DX21" s="32">
        <f t="shared" si="125"/>
        <v>0</v>
      </c>
      <c r="DY21" s="32">
        <f t="shared" si="125"/>
        <v>0</v>
      </c>
      <c r="DZ21" s="32">
        <f t="shared" si="125"/>
        <v>0</v>
      </c>
      <c r="EA21" s="32">
        <f t="shared" si="125"/>
        <v>0</v>
      </c>
      <c r="EB21" s="32">
        <f t="shared" si="125"/>
        <v>0</v>
      </c>
      <c r="EC21" s="32">
        <f t="shared" si="125"/>
        <v>1</v>
      </c>
      <c r="ED21" s="31" t="s">
        <v>117</v>
      </c>
      <c r="EE21" t="s">
        <v>61</v>
      </c>
      <c r="EF21" s="32">
        <f t="shared" si="99"/>
        <v>0</v>
      </c>
      <c r="EG21" s="32">
        <f t="shared" si="100"/>
        <v>0</v>
      </c>
      <c r="EH21" s="32">
        <f t="shared" si="101"/>
        <v>0</v>
      </c>
      <c r="EI21" s="32">
        <f t="shared" si="102"/>
        <v>0</v>
      </c>
      <c r="EJ21" s="32">
        <f t="shared" si="103"/>
        <v>0</v>
      </c>
      <c r="EK21" s="32">
        <f t="shared" si="104"/>
        <v>0</v>
      </c>
      <c r="EL21" s="32">
        <f t="shared" si="105"/>
        <v>0</v>
      </c>
      <c r="EM21" s="32">
        <f t="shared" si="106"/>
        <v>0</v>
      </c>
      <c r="EN21" s="32">
        <f t="shared" si="107"/>
        <v>0</v>
      </c>
      <c r="EO21" s="32">
        <f t="shared" si="108"/>
        <v>0</v>
      </c>
      <c r="EP21" s="32">
        <f t="shared" si="109"/>
        <v>0</v>
      </c>
      <c r="EQ21" s="32">
        <f t="shared" si="110"/>
        <v>0</v>
      </c>
      <c r="ER21" s="32">
        <f t="shared" si="111"/>
        <v>0</v>
      </c>
      <c r="ES21" s="32">
        <f t="shared" si="112"/>
        <v>0</v>
      </c>
      <c r="ET21" s="32">
        <f t="shared" si="113"/>
        <v>0</v>
      </c>
      <c r="EU21" s="32">
        <f t="shared" si="114"/>
        <v>0</v>
      </c>
      <c r="EV21" s="47">
        <f t="shared" si="115"/>
        <v>0</v>
      </c>
      <c r="EW21" s="47">
        <f t="shared" si="116"/>
        <v>0</v>
      </c>
    </row>
    <row r="22" spans="1:153" x14ac:dyDescent="0.25">
      <c r="A22" s="23">
        <f t="shared" si="2"/>
        <v>0</v>
      </c>
      <c r="B22" s="24"/>
      <c r="C22" s="31" t="s">
        <v>57</v>
      </c>
      <c r="D22" s="32">
        <f>AP1</f>
        <v>0</v>
      </c>
      <c r="E22" s="32">
        <f>BE1</f>
        <v>1</v>
      </c>
      <c r="F22" s="32">
        <f>BT1</f>
        <v>0</v>
      </c>
      <c r="G22" s="32">
        <f>CI1</f>
        <v>2</v>
      </c>
      <c r="H22" s="33">
        <f>MAX(ES5:ES32)</f>
        <v>0</v>
      </c>
      <c r="J22" s="32">
        <f t="shared" si="118"/>
        <v>0</v>
      </c>
      <c r="K22" s="32">
        <f t="shared" si="118"/>
        <v>0</v>
      </c>
      <c r="L22" s="32">
        <f t="shared" si="118"/>
        <v>0</v>
      </c>
      <c r="M22" s="32">
        <f t="shared" si="118"/>
        <v>0</v>
      </c>
      <c r="N22" s="32">
        <f t="shared" si="118"/>
        <v>0</v>
      </c>
      <c r="O22" s="32">
        <f t="shared" si="118"/>
        <v>0</v>
      </c>
      <c r="P22" s="32">
        <f t="shared" si="118"/>
        <v>0</v>
      </c>
      <c r="Q22" s="32">
        <f t="shared" si="118"/>
        <v>0</v>
      </c>
      <c r="R22" s="32">
        <f t="shared" si="118"/>
        <v>0</v>
      </c>
      <c r="S22" s="32">
        <f t="shared" si="118"/>
        <v>0</v>
      </c>
      <c r="T22" s="32">
        <f t="shared" si="118"/>
        <v>0</v>
      </c>
      <c r="U22" s="32">
        <f t="shared" si="118"/>
        <v>0</v>
      </c>
      <c r="V22" s="32">
        <f t="shared" si="118"/>
        <v>0</v>
      </c>
      <c r="W22" s="32">
        <f t="shared" si="118"/>
        <v>0</v>
      </c>
      <c r="X22" s="32">
        <f t="shared" si="118"/>
        <v>0</v>
      </c>
      <c r="Y22" s="41">
        <f t="shared" si="4"/>
        <v>0</v>
      </c>
      <c r="Z22" s="42">
        <f t="shared" si="5"/>
        <v>0</v>
      </c>
      <c r="AA22" s="32">
        <f t="shared" si="6"/>
        <v>0</v>
      </c>
      <c r="AB22" s="32">
        <f t="shared" si="7"/>
        <v>0</v>
      </c>
      <c r="AC22" s="32">
        <f t="shared" si="8"/>
        <v>0</v>
      </c>
      <c r="AD22" s="32">
        <f t="shared" si="9"/>
        <v>0</v>
      </c>
      <c r="AE22" s="32">
        <f t="shared" si="10"/>
        <v>0</v>
      </c>
      <c r="AF22" s="32">
        <f t="shared" si="11"/>
        <v>0</v>
      </c>
      <c r="AG22" s="32">
        <f t="shared" si="12"/>
        <v>0</v>
      </c>
      <c r="AH22" s="32">
        <f t="shared" si="13"/>
        <v>0</v>
      </c>
      <c r="AI22" s="32">
        <f t="shared" si="14"/>
        <v>0</v>
      </c>
      <c r="AJ22" s="32">
        <f t="shared" si="15"/>
        <v>0</v>
      </c>
      <c r="AK22" s="32">
        <f t="shared" si="16"/>
        <v>0</v>
      </c>
      <c r="AL22" s="32">
        <f t="shared" si="17"/>
        <v>0</v>
      </c>
      <c r="AM22" s="32">
        <f t="shared" si="18"/>
        <v>0</v>
      </c>
      <c r="AN22" s="32">
        <f t="shared" si="19"/>
        <v>0</v>
      </c>
      <c r="AO22" s="32">
        <f t="shared" si="20"/>
        <v>0</v>
      </c>
      <c r="AP22" s="32">
        <f t="shared" si="21"/>
        <v>0</v>
      </c>
      <c r="AQ22" s="32">
        <f t="shared" si="22"/>
        <v>0</v>
      </c>
      <c r="AR22" s="32">
        <f t="shared" si="23"/>
        <v>0</v>
      </c>
      <c r="AS22" s="32">
        <f t="shared" si="24"/>
        <v>0</v>
      </c>
      <c r="AT22" s="32">
        <f t="shared" si="25"/>
        <v>0</v>
      </c>
      <c r="AU22" s="32">
        <f t="shared" si="26"/>
        <v>0</v>
      </c>
      <c r="AV22" s="32">
        <f t="shared" si="27"/>
        <v>0</v>
      </c>
      <c r="AW22" s="32">
        <f t="shared" si="28"/>
        <v>0</v>
      </c>
      <c r="AX22" s="32">
        <f t="shared" si="29"/>
        <v>0</v>
      </c>
      <c r="AY22" s="32">
        <f t="shared" si="30"/>
        <v>0</v>
      </c>
      <c r="AZ22" s="32">
        <f t="shared" si="31"/>
        <v>0</v>
      </c>
      <c r="BA22" s="32">
        <f t="shared" si="32"/>
        <v>0</v>
      </c>
      <c r="BB22" s="32">
        <f t="shared" si="33"/>
        <v>0</v>
      </c>
      <c r="BC22" s="32">
        <f t="shared" si="34"/>
        <v>0</v>
      </c>
      <c r="BD22" s="32">
        <f t="shared" si="35"/>
        <v>0</v>
      </c>
      <c r="BE22" s="32">
        <f t="shared" si="36"/>
        <v>0</v>
      </c>
      <c r="BF22" s="32">
        <f t="shared" si="37"/>
        <v>0</v>
      </c>
      <c r="BG22" s="32">
        <f t="shared" si="38"/>
        <v>0</v>
      </c>
      <c r="BH22" s="32">
        <f t="shared" si="39"/>
        <v>0</v>
      </c>
      <c r="BI22" s="32">
        <f t="shared" si="40"/>
        <v>0</v>
      </c>
      <c r="BJ22" s="32">
        <f t="shared" si="41"/>
        <v>0</v>
      </c>
      <c r="BK22" s="32">
        <f t="shared" si="42"/>
        <v>0</v>
      </c>
      <c r="BL22" s="32">
        <f t="shared" si="43"/>
        <v>0</v>
      </c>
      <c r="BM22" s="32">
        <f t="shared" si="44"/>
        <v>0</v>
      </c>
      <c r="BN22" s="32">
        <f t="shared" si="45"/>
        <v>0</v>
      </c>
      <c r="BO22" s="32">
        <f t="shared" si="46"/>
        <v>0</v>
      </c>
      <c r="BP22" s="32">
        <f t="shared" si="47"/>
        <v>0</v>
      </c>
      <c r="BQ22" s="32">
        <f t="shared" si="48"/>
        <v>0</v>
      </c>
      <c r="BR22" s="32">
        <f t="shared" si="49"/>
        <v>0</v>
      </c>
      <c r="BS22" s="32">
        <f t="shared" si="50"/>
        <v>0</v>
      </c>
      <c r="BT22" s="32">
        <f t="shared" si="51"/>
        <v>0</v>
      </c>
      <c r="BU22" s="32">
        <f t="shared" si="52"/>
        <v>0</v>
      </c>
      <c r="BV22" s="32">
        <f t="shared" si="53"/>
        <v>0</v>
      </c>
      <c r="BW22" s="32">
        <f t="shared" si="54"/>
        <v>0</v>
      </c>
      <c r="BX22" s="32">
        <f t="shared" si="55"/>
        <v>0</v>
      </c>
      <c r="BY22" s="32">
        <f t="shared" si="56"/>
        <v>0</v>
      </c>
      <c r="BZ22" s="32">
        <f t="shared" si="57"/>
        <v>0</v>
      </c>
      <c r="CA22" s="32">
        <f t="shared" si="58"/>
        <v>0</v>
      </c>
      <c r="CB22" s="32">
        <f t="shared" si="59"/>
        <v>0</v>
      </c>
      <c r="CC22" s="32">
        <f t="shared" si="60"/>
        <v>0</v>
      </c>
      <c r="CD22" s="32">
        <f t="shared" si="61"/>
        <v>0</v>
      </c>
      <c r="CE22" s="32">
        <f t="shared" si="62"/>
        <v>0</v>
      </c>
      <c r="CF22" s="32">
        <f t="shared" si="63"/>
        <v>0</v>
      </c>
      <c r="CG22" s="32">
        <f t="shared" si="64"/>
        <v>0</v>
      </c>
      <c r="CH22" s="32">
        <f t="shared" si="65"/>
        <v>0</v>
      </c>
      <c r="CI22" s="32">
        <f t="shared" si="66"/>
        <v>0</v>
      </c>
      <c r="CJ22" s="32">
        <f t="shared" si="67"/>
        <v>0</v>
      </c>
      <c r="CK22" s="32">
        <f t="shared" si="68"/>
        <v>0</v>
      </c>
      <c r="CL22" s="32">
        <f t="shared" si="69"/>
        <v>0</v>
      </c>
      <c r="CM22" s="32">
        <f t="shared" si="70"/>
        <v>0</v>
      </c>
      <c r="CN22" s="32">
        <f t="shared" si="71"/>
        <v>0</v>
      </c>
      <c r="CO22" s="32">
        <f t="shared" si="72"/>
        <v>0</v>
      </c>
      <c r="CP22" s="32">
        <f t="shared" si="73"/>
        <v>0</v>
      </c>
      <c r="CQ22" s="32">
        <f t="shared" si="74"/>
        <v>0</v>
      </c>
      <c r="CR22" s="32">
        <f t="shared" si="75"/>
        <v>0</v>
      </c>
      <c r="CS22" s="32">
        <f t="shared" si="76"/>
        <v>0</v>
      </c>
      <c r="CT22" s="32">
        <f t="shared" si="77"/>
        <v>0</v>
      </c>
      <c r="CU22" s="32">
        <f t="shared" si="78"/>
        <v>0</v>
      </c>
      <c r="CV22" s="32">
        <f t="shared" si="79"/>
        <v>0</v>
      </c>
      <c r="CW22" s="32">
        <f t="shared" si="80"/>
        <v>0</v>
      </c>
      <c r="CX22" s="32">
        <f t="shared" si="81"/>
        <v>0</v>
      </c>
      <c r="CY22" s="32">
        <f t="shared" si="82"/>
        <v>0</v>
      </c>
      <c r="CZ22" s="32">
        <f t="shared" si="83"/>
        <v>0</v>
      </c>
      <c r="DA22" s="32">
        <f t="shared" si="84"/>
        <v>0</v>
      </c>
      <c r="DB22" s="32">
        <f t="shared" si="85"/>
        <v>0</v>
      </c>
      <c r="DC22" s="32">
        <f t="shared" si="86"/>
        <v>0</v>
      </c>
      <c r="DD22" s="32">
        <f t="shared" si="87"/>
        <v>0</v>
      </c>
      <c r="DE22" s="32">
        <f t="shared" si="88"/>
        <v>0</v>
      </c>
      <c r="DF22" s="32">
        <f t="shared" si="89"/>
        <v>0</v>
      </c>
      <c r="DG22" s="32">
        <f t="shared" si="90"/>
        <v>0</v>
      </c>
      <c r="DH22" s="32">
        <f t="shared" si="91"/>
        <v>0</v>
      </c>
      <c r="DI22" s="32">
        <f t="shared" si="92"/>
        <v>0</v>
      </c>
      <c r="DJ22" s="32">
        <f t="shared" si="93"/>
        <v>0</v>
      </c>
      <c r="DK22" s="32">
        <f t="shared" si="94"/>
        <v>0</v>
      </c>
      <c r="DL22" s="32">
        <f t="shared" si="95"/>
        <v>0</v>
      </c>
      <c r="DM22" s="32">
        <f t="shared" si="96"/>
        <v>0</v>
      </c>
      <c r="DN22" s="32">
        <f t="shared" si="97"/>
        <v>0</v>
      </c>
      <c r="DO22" s="32">
        <f t="shared" ref="DO22:EC22" si="126">DO7/3+DO8+DO9+DO12</f>
        <v>1</v>
      </c>
      <c r="DP22" s="32">
        <f t="shared" si="126"/>
        <v>0</v>
      </c>
      <c r="DQ22" s="32">
        <f t="shared" si="126"/>
        <v>0</v>
      </c>
      <c r="DR22" s="32">
        <f t="shared" si="126"/>
        <v>0</v>
      </c>
      <c r="DS22" s="32">
        <f t="shared" si="126"/>
        <v>0</v>
      </c>
      <c r="DT22" s="32">
        <f t="shared" si="126"/>
        <v>0</v>
      </c>
      <c r="DU22" s="32">
        <f t="shared" si="126"/>
        <v>0</v>
      </c>
      <c r="DV22" s="32">
        <f t="shared" si="126"/>
        <v>0</v>
      </c>
      <c r="DW22" s="32">
        <f t="shared" si="126"/>
        <v>0</v>
      </c>
      <c r="DX22" s="32">
        <f t="shared" si="126"/>
        <v>0</v>
      </c>
      <c r="DY22" s="32">
        <f t="shared" si="126"/>
        <v>0</v>
      </c>
      <c r="DZ22" s="32">
        <f t="shared" si="126"/>
        <v>0</v>
      </c>
      <c r="EA22" s="32">
        <f t="shared" si="126"/>
        <v>0</v>
      </c>
      <c r="EB22" s="32">
        <f t="shared" si="126"/>
        <v>0</v>
      </c>
      <c r="EC22" s="32">
        <f t="shared" si="126"/>
        <v>1</v>
      </c>
      <c r="ED22" s="31" t="s">
        <v>118</v>
      </c>
      <c r="EE22" t="s">
        <v>119</v>
      </c>
      <c r="EF22" s="32">
        <f t="shared" si="99"/>
        <v>0</v>
      </c>
      <c r="EG22" s="32">
        <f t="shared" si="100"/>
        <v>0</v>
      </c>
      <c r="EH22" s="32">
        <f t="shared" si="101"/>
        <v>0</v>
      </c>
      <c r="EI22" s="32">
        <f t="shared" si="102"/>
        <v>0</v>
      </c>
      <c r="EJ22" s="32">
        <f t="shared" si="103"/>
        <v>0</v>
      </c>
      <c r="EK22" s="32">
        <f t="shared" si="104"/>
        <v>0</v>
      </c>
      <c r="EL22" s="32">
        <f t="shared" si="105"/>
        <v>0</v>
      </c>
      <c r="EM22" s="32">
        <f t="shared" si="106"/>
        <v>0</v>
      </c>
      <c r="EN22" s="32">
        <f t="shared" si="107"/>
        <v>0</v>
      </c>
      <c r="EO22" s="32">
        <f t="shared" si="108"/>
        <v>0</v>
      </c>
      <c r="EP22" s="32">
        <f t="shared" si="109"/>
        <v>0</v>
      </c>
      <c r="EQ22" s="32">
        <f t="shared" si="110"/>
        <v>0</v>
      </c>
      <c r="ER22" s="32">
        <f t="shared" si="111"/>
        <v>0</v>
      </c>
      <c r="ES22" s="32">
        <f t="shared" si="112"/>
        <v>0</v>
      </c>
      <c r="ET22" s="32">
        <f t="shared" si="113"/>
        <v>0</v>
      </c>
      <c r="EU22" s="32">
        <f t="shared" si="114"/>
        <v>0</v>
      </c>
      <c r="EV22" s="47">
        <f t="shared" si="115"/>
        <v>0</v>
      </c>
      <c r="EW22" s="47">
        <f t="shared" si="116"/>
        <v>0</v>
      </c>
    </row>
    <row r="23" spans="1:153" x14ac:dyDescent="0.25">
      <c r="A23" s="23">
        <f t="shared" si="2"/>
        <v>0</v>
      </c>
      <c r="B23" s="24"/>
      <c r="C23" s="31" t="s">
        <v>58</v>
      </c>
      <c r="D23" s="32">
        <f>AQ1</f>
        <v>1</v>
      </c>
      <c r="E23" s="32">
        <f>BF1</f>
        <v>3</v>
      </c>
      <c r="F23" s="32">
        <f>BU1</f>
        <v>1</v>
      </c>
      <c r="G23" s="32">
        <f>CJ1</f>
        <v>4</v>
      </c>
      <c r="H23" s="33">
        <f>MAX(ET5:ET32)</f>
        <v>0</v>
      </c>
      <c r="J23" s="32">
        <f t="shared" si="118"/>
        <v>0</v>
      </c>
      <c r="K23" s="32">
        <f t="shared" si="118"/>
        <v>0</v>
      </c>
      <c r="L23" s="32">
        <f t="shared" si="118"/>
        <v>0</v>
      </c>
      <c r="M23" s="32">
        <f t="shared" si="118"/>
        <v>0</v>
      </c>
      <c r="N23" s="32">
        <f t="shared" si="118"/>
        <v>0</v>
      </c>
      <c r="O23" s="32">
        <f t="shared" si="118"/>
        <v>0</v>
      </c>
      <c r="P23" s="32">
        <f t="shared" si="118"/>
        <v>0</v>
      </c>
      <c r="Q23" s="32">
        <f t="shared" si="118"/>
        <v>0</v>
      </c>
      <c r="R23" s="32">
        <f t="shared" si="118"/>
        <v>0</v>
      </c>
      <c r="S23" s="32">
        <f t="shared" si="118"/>
        <v>0</v>
      </c>
      <c r="T23" s="32">
        <f t="shared" si="118"/>
        <v>0</v>
      </c>
      <c r="U23" s="32">
        <f t="shared" si="118"/>
        <v>0</v>
      </c>
      <c r="V23" s="32">
        <f t="shared" si="118"/>
        <v>0</v>
      </c>
      <c r="W23" s="32">
        <f t="shared" si="118"/>
        <v>0</v>
      </c>
      <c r="X23" s="32">
        <f t="shared" si="118"/>
        <v>0</v>
      </c>
      <c r="Y23" s="41">
        <f t="shared" si="4"/>
        <v>0</v>
      </c>
      <c r="Z23" s="42">
        <f t="shared" si="5"/>
        <v>0</v>
      </c>
      <c r="AA23" s="32">
        <f t="shared" si="6"/>
        <v>0</v>
      </c>
      <c r="AB23" s="32">
        <f t="shared" si="7"/>
        <v>0</v>
      </c>
      <c r="AC23" s="32">
        <f t="shared" si="8"/>
        <v>0</v>
      </c>
      <c r="AD23" s="32">
        <f t="shared" si="9"/>
        <v>0</v>
      </c>
      <c r="AE23" s="32">
        <f t="shared" si="10"/>
        <v>0</v>
      </c>
      <c r="AF23" s="32">
        <f t="shared" si="11"/>
        <v>0</v>
      </c>
      <c r="AG23" s="32">
        <f t="shared" si="12"/>
        <v>0</v>
      </c>
      <c r="AH23" s="32">
        <f t="shared" si="13"/>
        <v>0</v>
      </c>
      <c r="AI23" s="32">
        <f t="shared" si="14"/>
        <v>0</v>
      </c>
      <c r="AJ23" s="32">
        <f t="shared" si="15"/>
        <v>0</v>
      </c>
      <c r="AK23" s="32">
        <f t="shared" si="16"/>
        <v>0</v>
      </c>
      <c r="AL23" s="32">
        <f t="shared" si="17"/>
        <v>0</v>
      </c>
      <c r="AM23" s="32">
        <f t="shared" si="18"/>
        <v>0</v>
      </c>
      <c r="AN23" s="32">
        <f t="shared" si="19"/>
        <v>0</v>
      </c>
      <c r="AO23" s="32">
        <f t="shared" si="20"/>
        <v>0</v>
      </c>
      <c r="AP23" s="32">
        <f t="shared" si="21"/>
        <v>0</v>
      </c>
      <c r="AQ23" s="32">
        <f t="shared" si="22"/>
        <v>0</v>
      </c>
      <c r="AR23" s="32">
        <f t="shared" si="23"/>
        <v>0</v>
      </c>
      <c r="AS23" s="32">
        <f t="shared" si="24"/>
        <v>0</v>
      </c>
      <c r="AT23" s="32">
        <f t="shared" si="25"/>
        <v>0</v>
      </c>
      <c r="AU23" s="32">
        <f t="shared" si="26"/>
        <v>0</v>
      </c>
      <c r="AV23" s="32">
        <f t="shared" si="27"/>
        <v>0</v>
      </c>
      <c r="AW23" s="32">
        <f t="shared" si="28"/>
        <v>0</v>
      </c>
      <c r="AX23" s="32">
        <f t="shared" si="29"/>
        <v>0</v>
      </c>
      <c r="AY23" s="32">
        <f t="shared" si="30"/>
        <v>0</v>
      </c>
      <c r="AZ23" s="32">
        <f t="shared" si="31"/>
        <v>0</v>
      </c>
      <c r="BA23" s="32">
        <f t="shared" si="32"/>
        <v>0</v>
      </c>
      <c r="BB23" s="32">
        <f t="shared" si="33"/>
        <v>0</v>
      </c>
      <c r="BC23" s="32">
        <f t="shared" si="34"/>
        <v>0</v>
      </c>
      <c r="BD23" s="32">
        <f t="shared" si="35"/>
        <v>0</v>
      </c>
      <c r="BE23" s="32">
        <f t="shared" si="36"/>
        <v>0</v>
      </c>
      <c r="BF23" s="32">
        <f t="shared" si="37"/>
        <v>0</v>
      </c>
      <c r="BG23" s="32">
        <f t="shared" si="38"/>
        <v>0</v>
      </c>
      <c r="BH23" s="32">
        <f t="shared" si="39"/>
        <v>0</v>
      </c>
      <c r="BI23" s="32">
        <f t="shared" si="40"/>
        <v>0</v>
      </c>
      <c r="BJ23" s="32">
        <f t="shared" si="41"/>
        <v>0</v>
      </c>
      <c r="BK23" s="32">
        <f t="shared" si="42"/>
        <v>0</v>
      </c>
      <c r="BL23" s="32">
        <f t="shared" si="43"/>
        <v>0</v>
      </c>
      <c r="BM23" s="32">
        <f t="shared" si="44"/>
        <v>0</v>
      </c>
      <c r="BN23" s="32">
        <f t="shared" si="45"/>
        <v>0</v>
      </c>
      <c r="BO23" s="32">
        <f t="shared" si="46"/>
        <v>0</v>
      </c>
      <c r="BP23" s="32">
        <f t="shared" si="47"/>
        <v>0</v>
      </c>
      <c r="BQ23" s="32">
        <f t="shared" si="48"/>
        <v>0</v>
      </c>
      <c r="BR23" s="32">
        <f t="shared" si="49"/>
        <v>0</v>
      </c>
      <c r="BS23" s="32">
        <f t="shared" si="50"/>
        <v>0</v>
      </c>
      <c r="BT23" s="32">
        <f t="shared" si="51"/>
        <v>0</v>
      </c>
      <c r="BU23" s="32">
        <f t="shared" si="52"/>
        <v>0</v>
      </c>
      <c r="BV23" s="32">
        <f t="shared" si="53"/>
        <v>0</v>
      </c>
      <c r="BW23" s="32">
        <f t="shared" si="54"/>
        <v>0</v>
      </c>
      <c r="BX23" s="32">
        <f t="shared" si="55"/>
        <v>0</v>
      </c>
      <c r="BY23" s="32">
        <f t="shared" si="56"/>
        <v>0</v>
      </c>
      <c r="BZ23" s="32">
        <f t="shared" si="57"/>
        <v>0</v>
      </c>
      <c r="CA23" s="32">
        <f t="shared" si="58"/>
        <v>0</v>
      </c>
      <c r="CB23" s="32">
        <f t="shared" si="59"/>
        <v>0</v>
      </c>
      <c r="CC23" s="32">
        <f t="shared" si="60"/>
        <v>0</v>
      </c>
      <c r="CD23" s="32">
        <f t="shared" si="61"/>
        <v>0</v>
      </c>
      <c r="CE23" s="32">
        <f t="shared" si="62"/>
        <v>0</v>
      </c>
      <c r="CF23" s="32">
        <f t="shared" si="63"/>
        <v>0</v>
      </c>
      <c r="CG23" s="32">
        <f t="shared" si="64"/>
        <v>0</v>
      </c>
      <c r="CH23" s="32">
        <f t="shared" si="65"/>
        <v>0</v>
      </c>
      <c r="CI23" s="32">
        <f t="shared" si="66"/>
        <v>0</v>
      </c>
      <c r="CJ23" s="32">
        <f t="shared" si="67"/>
        <v>0</v>
      </c>
      <c r="CK23" s="32">
        <f t="shared" si="68"/>
        <v>0</v>
      </c>
      <c r="CL23" s="32">
        <f t="shared" si="69"/>
        <v>0</v>
      </c>
      <c r="CM23" s="32">
        <f t="shared" si="70"/>
        <v>0</v>
      </c>
      <c r="CN23" s="32">
        <f t="shared" si="71"/>
        <v>0</v>
      </c>
      <c r="CO23" s="32">
        <f t="shared" si="72"/>
        <v>0</v>
      </c>
      <c r="CP23" s="32">
        <f t="shared" si="73"/>
        <v>0</v>
      </c>
      <c r="CQ23" s="32">
        <f t="shared" si="74"/>
        <v>0</v>
      </c>
      <c r="CR23" s="32">
        <f t="shared" si="75"/>
        <v>0</v>
      </c>
      <c r="CS23" s="32">
        <f t="shared" si="76"/>
        <v>0</v>
      </c>
      <c r="CT23" s="32">
        <f t="shared" si="77"/>
        <v>0</v>
      </c>
      <c r="CU23" s="32">
        <f t="shared" si="78"/>
        <v>0</v>
      </c>
      <c r="CV23" s="32">
        <f t="shared" si="79"/>
        <v>0</v>
      </c>
      <c r="CW23" s="32">
        <f t="shared" si="80"/>
        <v>0</v>
      </c>
      <c r="CX23" s="32">
        <f t="shared" si="81"/>
        <v>0</v>
      </c>
      <c r="CY23" s="32">
        <f t="shared" si="82"/>
        <v>0</v>
      </c>
      <c r="CZ23" s="32">
        <f t="shared" si="83"/>
        <v>0</v>
      </c>
      <c r="DA23" s="32">
        <f t="shared" si="84"/>
        <v>0</v>
      </c>
      <c r="DB23" s="32">
        <f t="shared" si="85"/>
        <v>0</v>
      </c>
      <c r="DC23" s="32">
        <f t="shared" si="86"/>
        <v>0</v>
      </c>
      <c r="DD23" s="32">
        <f t="shared" si="87"/>
        <v>0</v>
      </c>
      <c r="DE23" s="32">
        <f t="shared" si="88"/>
        <v>0</v>
      </c>
      <c r="DF23" s="32">
        <f t="shared" si="89"/>
        <v>0</v>
      </c>
      <c r="DG23" s="32">
        <f t="shared" si="90"/>
        <v>0</v>
      </c>
      <c r="DH23" s="32">
        <f t="shared" si="91"/>
        <v>0</v>
      </c>
      <c r="DI23" s="32">
        <f t="shared" si="92"/>
        <v>0</v>
      </c>
      <c r="DJ23" s="32">
        <f t="shared" si="93"/>
        <v>0</v>
      </c>
      <c r="DK23" s="32">
        <f t="shared" si="94"/>
        <v>0</v>
      </c>
      <c r="DL23" s="32">
        <f t="shared" si="95"/>
        <v>0</v>
      </c>
      <c r="DM23" s="32">
        <f t="shared" si="96"/>
        <v>0</v>
      </c>
      <c r="DN23" s="32">
        <f t="shared" si="97"/>
        <v>0</v>
      </c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F23" s="32">
        <f t="shared" si="99"/>
        <v>0</v>
      </c>
      <c r="EG23" s="32">
        <f t="shared" si="100"/>
        <v>0</v>
      </c>
      <c r="EH23" s="32">
        <f t="shared" si="101"/>
        <v>0</v>
      </c>
      <c r="EI23" s="32">
        <f t="shared" si="102"/>
        <v>0</v>
      </c>
      <c r="EJ23" s="32">
        <f t="shared" si="103"/>
        <v>0</v>
      </c>
      <c r="EK23" s="32">
        <f t="shared" si="104"/>
        <v>0</v>
      </c>
      <c r="EL23" s="32">
        <f t="shared" si="105"/>
        <v>0</v>
      </c>
      <c r="EM23" s="32">
        <f t="shared" si="106"/>
        <v>0</v>
      </c>
      <c r="EN23" s="32">
        <f t="shared" si="107"/>
        <v>0</v>
      </c>
      <c r="EO23" s="32">
        <f t="shared" si="108"/>
        <v>0</v>
      </c>
      <c r="EP23" s="32">
        <f t="shared" si="109"/>
        <v>0</v>
      </c>
      <c r="EQ23" s="32">
        <f t="shared" si="110"/>
        <v>0</v>
      </c>
      <c r="ER23" s="32">
        <f t="shared" si="111"/>
        <v>0</v>
      </c>
      <c r="ES23" s="32">
        <f t="shared" si="112"/>
        <v>0</v>
      </c>
      <c r="ET23" s="32">
        <f t="shared" si="113"/>
        <v>0</v>
      </c>
      <c r="EU23" s="32">
        <f t="shared" si="114"/>
        <v>0</v>
      </c>
      <c r="EV23" s="47">
        <f t="shared" si="115"/>
        <v>0</v>
      </c>
      <c r="EW23" s="47">
        <f t="shared" si="116"/>
        <v>0</v>
      </c>
    </row>
    <row r="24" spans="1:153" x14ac:dyDescent="0.25">
      <c r="A24" s="23">
        <f t="shared" si="2"/>
        <v>0</v>
      </c>
      <c r="B24" s="24"/>
      <c r="H24" s="21"/>
      <c r="J24" s="32">
        <f t="shared" si="118"/>
        <v>0</v>
      </c>
      <c r="K24" s="32">
        <f t="shared" si="118"/>
        <v>0</v>
      </c>
      <c r="L24" s="32">
        <f t="shared" si="118"/>
        <v>0</v>
      </c>
      <c r="M24" s="32">
        <f t="shared" si="118"/>
        <v>0</v>
      </c>
      <c r="N24" s="32">
        <f t="shared" si="118"/>
        <v>0</v>
      </c>
      <c r="O24" s="32">
        <f t="shared" si="118"/>
        <v>0</v>
      </c>
      <c r="P24" s="32">
        <f t="shared" si="118"/>
        <v>0</v>
      </c>
      <c r="Q24" s="32">
        <f t="shared" si="118"/>
        <v>0</v>
      </c>
      <c r="R24" s="32">
        <f t="shared" si="118"/>
        <v>0</v>
      </c>
      <c r="S24" s="32">
        <f t="shared" si="118"/>
        <v>0</v>
      </c>
      <c r="T24" s="32">
        <f t="shared" si="118"/>
        <v>0</v>
      </c>
      <c r="U24" s="32">
        <f t="shared" si="118"/>
        <v>0</v>
      </c>
      <c r="V24" s="32">
        <f t="shared" si="118"/>
        <v>0</v>
      </c>
      <c r="W24" s="32">
        <f t="shared" si="118"/>
        <v>0</v>
      </c>
      <c r="X24" s="32">
        <f t="shared" si="118"/>
        <v>0</v>
      </c>
      <c r="Y24" s="41">
        <f t="shared" si="4"/>
        <v>0</v>
      </c>
      <c r="Z24" s="42">
        <f t="shared" si="5"/>
        <v>0</v>
      </c>
      <c r="AA24" s="32">
        <f t="shared" si="6"/>
        <v>0</v>
      </c>
      <c r="AB24" s="32">
        <f t="shared" si="7"/>
        <v>0</v>
      </c>
      <c r="AC24" s="32">
        <f t="shared" si="8"/>
        <v>0</v>
      </c>
      <c r="AD24" s="32">
        <f t="shared" si="9"/>
        <v>0</v>
      </c>
      <c r="AE24" s="32">
        <f t="shared" si="10"/>
        <v>0</v>
      </c>
      <c r="AF24" s="32">
        <f t="shared" si="11"/>
        <v>0</v>
      </c>
      <c r="AG24" s="32">
        <f t="shared" si="12"/>
        <v>0</v>
      </c>
      <c r="AH24" s="32">
        <f t="shared" si="13"/>
        <v>0</v>
      </c>
      <c r="AI24" s="32">
        <f t="shared" si="14"/>
        <v>0</v>
      </c>
      <c r="AJ24" s="32">
        <f t="shared" si="15"/>
        <v>0</v>
      </c>
      <c r="AK24" s="32">
        <f t="shared" si="16"/>
        <v>0</v>
      </c>
      <c r="AL24" s="32">
        <f t="shared" si="17"/>
        <v>0</v>
      </c>
      <c r="AM24" s="32">
        <f t="shared" si="18"/>
        <v>0</v>
      </c>
      <c r="AN24" s="32">
        <f t="shared" si="19"/>
        <v>0</v>
      </c>
      <c r="AO24" s="32">
        <f t="shared" si="20"/>
        <v>0</v>
      </c>
      <c r="AP24" s="32">
        <f t="shared" si="21"/>
        <v>0</v>
      </c>
      <c r="AQ24" s="32">
        <f t="shared" si="22"/>
        <v>0</v>
      </c>
      <c r="AR24" s="32">
        <f t="shared" si="23"/>
        <v>0</v>
      </c>
      <c r="AS24" s="32">
        <f t="shared" si="24"/>
        <v>0</v>
      </c>
      <c r="AT24" s="32">
        <f t="shared" si="25"/>
        <v>0</v>
      </c>
      <c r="AU24" s="32">
        <f t="shared" si="26"/>
        <v>0</v>
      </c>
      <c r="AV24" s="32">
        <f t="shared" si="27"/>
        <v>0</v>
      </c>
      <c r="AW24" s="32">
        <f t="shared" si="28"/>
        <v>0</v>
      </c>
      <c r="AX24" s="32">
        <f t="shared" si="29"/>
        <v>0</v>
      </c>
      <c r="AY24" s="32">
        <f t="shared" si="30"/>
        <v>0</v>
      </c>
      <c r="AZ24" s="32">
        <f t="shared" si="31"/>
        <v>0</v>
      </c>
      <c r="BA24" s="32">
        <f t="shared" si="32"/>
        <v>0</v>
      </c>
      <c r="BB24" s="32">
        <f t="shared" si="33"/>
        <v>0</v>
      </c>
      <c r="BC24" s="32">
        <f t="shared" si="34"/>
        <v>0</v>
      </c>
      <c r="BD24" s="32">
        <f t="shared" si="35"/>
        <v>0</v>
      </c>
      <c r="BE24" s="32">
        <f t="shared" si="36"/>
        <v>0</v>
      </c>
      <c r="BF24" s="32">
        <f t="shared" si="37"/>
        <v>0</v>
      </c>
      <c r="BG24" s="32">
        <f t="shared" si="38"/>
        <v>0</v>
      </c>
      <c r="BH24" s="32">
        <f t="shared" si="39"/>
        <v>0</v>
      </c>
      <c r="BI24" s="32">
        <f t="shared" si="40"/>
        <v>0</v>
      </c>
      <c r="BJ24" s="32">
        <f t="shared" si="41"/>
        <v>0</v>
      </c>
      <c r="BK24" s="32">
        <f t="shared" si="42"/>
        <v>0</v>
      </c>
      <c r="BL24" s="32">
        <f t="shared" si="43"/>
        <v>0</v>
      </c>
      <c r="BM24" s="32">
        <f t="shared" si="44"/>
        <v>0</v>
      </c>
      <c r="BN24" s="32">
        <f t="shared" si="45"/>
        <v>0</v>
      </c>
      <c r="BO24" s="32">
        <f t="shared" si="46"/>
        <v>0</v>
      </c>
      <c r="BP24" s="32">
        <f t="shared" si="47"/>
        <v>0</v>
      </c>
      <c r="BQ24" s="32">
        <f t="shared" si="48"/>
        <v>0</v>
      </c>
      <c r="BR24" s="32">
        <f t="shared" si="49"/>
        <v>0</v>
      </c>
      <c r="BS24" s="32">
        <f t="shared" si="50"/>
        <v>0</v>
      </c>
      <c r="BT24" s="32">
        <f t="shared" si="51"/>
        <v>0</v>
      </c>
      <c r="BU24" s="32">
        <f t="shared" si="52"/>
        <v>0</v>
      </c>
      <c r="BV24" s="32">
        <f t="shared" si="53"/>
        <v>0</v>
      </c>
      <c r="BW24" s="32">
        <f t="shared" si="54"/>
        <v>0</v>
      </c>
      <c r="BX24" s="32">
        <f t="shared" si="55"/>
        <v>0</v>
      </c>
      <c r="BY24" s="32">
        <f t="shared" si="56"/>
        <v>0</v>
      </c>
      <c r="BZ24" s="32">
        <f t="shared" si="57"/>
        <v>0</v>
      </c>
      <c r="CA24" s="32">
        <f t="shared" si="58"/>
        <v>0</v>
      </c>
      <c r="CB24" s="32">
        <f t="shared" si="59"/>
        <v>0</v>
      </c>
      <c r="CC24" s="32">
        <f t="shared" si="60"/>
        <v>0</v>
      </c>
      <c r="CD24" s="32">
        <f t="shared" si="61"/>
        <v>0</v>
      </c>
      <c r="CE24" s="32">
        <f t="shared" si="62"/>
        <v>0</v>
      </c>
      <c r="CF24" s="32">
        <f t="shared" si="63"/>
        <v>0</v>
      </c>
      <c r="CG24" s="32">
        <f t="shared" si="64"/>
        <v>0</v>
      </c>
      <c r="CH24" s="32">
        <f t="shared" si="65"/>
        <v>0</v>
      </c>
      <c r="CI24" s="32">
        <f t="shared" si="66"/>
        <v>0</v>
      </c>
      <c r="CJ24" s="32">
        <f t="shared" si="67"/>
        <v>0</v>
      </c>
      <c r="CK24" s="32">
        <f t="shared" si="68"/>
        <v>0</v>
      </c>
      <c r="CL24" s="32">
        <f t="shared" si="69"/>
        <v>0</v>
      </c>
      <c r="CM24" s="32">
        <f t="shared" si="70"/>
        <v>0</v>
      </c>
      <c r="CN24" s="32">
        <f t="shared" si="71"/>
        <v>0</v>
      </c>
      <c r="CO24" s="32">
        <f t="shared" si="72"/>
        <v>0</v>
      </c>
      <c r="CP24" s="32">
        <f t="shared" si="73"/>
        <v>0</v>
      </c>
      <c r="CQ24" s="32">
        <f t="shared" si="74"/>
        <v>0</v>
      </c>
      <c r="CR24" s="32">
        <f t="shared" si="75"/>
        <v>0</v>
      </c>
      <c r="CS24" s="32">
        <f t="shared" si="76"/>
        <v>0</v>
      </c>
      <c r="CT24" s="32">
        <f t="shared" si="77"/>
        <v>0</v>
      </c>
      <c r="CU24" s="32">
        <f t="shared" si="78"/>
        <v>0</v>
      </c>
      <c r="CV24" s="32">
        <f t="shared" si="79"/>
        <v>0</v>
      </c>
      <c r="CW24" s="32">
        <f t="shared" si="80"/>
        <v>0</v>
      </c>
      <c r="CX24" s="32">
        <f t="shared" si="81"/>
        <v>0</v>
      </c>
      <c r="CY24" s="32">
        <f t="shared" si="82"/>
        <v>0</v>
      </c>
      <c r="CZ24" s="32">
        <f t="shared" si="83"/>
        <v>0</v>
      </c>
      <c r="DA24" s="32">
        <f t="shared" si="84"/>
        <v>0</v>
      </c>
      <c r="DB24" s="32">
        <f t="shared" si="85"/>
        <v>0</v>
      </c>
      <c r="DC24" s="32">
        <f t="shared" si="86"/>
        <v>0</v>
      </c>
      <c r="DD24" s="32">
        <f t="shared" si="87"/>
        <v>0</v>
      </c>
      <c r="DE24" s="32">
        <f t="shared" si="88"/>
        <v>0</v>
      </c>
      <c r="DF24" s="32">
        <f t="shared" si="89"/>
        <v>0</v>
      </c>
      <c r="DG24" s="32">
        <f t="shared" si="90"/>
        <v>0</v>
      </c>
      <c r="DH24" s="32">
        <f t="shared" si="91"/>
        <v>0</v>
      </c>
      <c r="DI24" s="32">
        <f t="shared" si="92"/>
        <v>0</v>
      </c>
      <c r="DJ24" s="32">
        <f t="shared" si="93"/>
        <v>0</v>
      </c>
      <c r="DK24" s="32">
        <f t="shared" si="94"/>
        <v>0</v>
      </c>
      <c r="DL24" s="32">
        <f t="shared" si="95"/>
        <v>0</v>
      </c>
      <c r="DM24" s="32">
        <f t="shared" si="96"/>
        <v>0</v>
      </c>
      <c r="DN24" s="32">
        <f t="shared" si="97"/>
        <v>0</v>
      </c>
      <c r="DO24" s="32">
        <v>6</v>
      </c>
      <c r="DP24" s="31">
        <v>6</v>
      </c>
      <c r="DQ24" s="31">
        <v>6</v>
      </c>
      <c r="DR24" s="32">
        <v>7</v>
      </c>
      <c r="DS24" s="31">
        <v>7</v>
      </c>
      <c r="DT24" s="31">
        <v>7</v>
      </c>
      <c r="DU24" s="31">
        <v>7</v>
      </c>
      <c r="DV24" s="31">
        <v>7</v>
      </c>
      <c r="DW24" s="31">
        <v>7</v>
      </c>
      <c r="DX24" s="32">
        <v>7</v>
      </c>
      <c r="DY24" s="32">
        <v>7</v>
      </c>
      <c r="DZ24" s="32">
        <v>7</v>
      </c>
      <c r="EA24" s="32">
        <v>7</v>
      </c>
      <c r="EB24" s="32">
        <v>6</v>
      </c>
      <c r="EC24" s="32">
        <v>6</v>
      </c>
      <c r="ED24" s="31" t="s">
        <v>120</v>
      </c>
      <c r="EF24" s="32">
        <f t="shared" si="99"/>
        <v>0</v>
      </c>
      <c r="EG24" s="32">
        <f t="shared" si="100"/>
        <v>0</v>
      </c>
      <c r="EH24" s="32">
        <f t="shared" si="101"/>
        <v>0</v>
      </c>
      <c r="EI24" s="32">
        <f t="shared" si="102"/>
        <v>0</v>
      </c>
      <c r="EJ24" s="32">
        <f t="shared" si="103"/>
        <v>0</v>
      </c>
      <c r="EK24" s="32">
        <f t="shared" si="104"/>
        <v>0</v>
      </c>
      <c r="EL24" s="32">
        <f t="shared" si="105"/>
        <v>0</v>
      </c>
      <c r="EM24" s="32">
        <f t="shared" si="106"/>
        <v>0</v>
      </c>
      <c r="EN24" s="32">
        <f t="shared" si="107"/>
        <v>0</v>
      </c>
      <c r="EO24" s="32">
        <f t="shared" si="108"/>
        <v>0</v>
      </c>
      <c r="EP24" s="32">
        <f t="shared" si="109"/>
        <v>0</v>
      </c>
      <c r="EQ24" s="32">
        <f t="shared" si="110"/>
        <v>0</v>
      </c>
      <c r="ER24" s="32">
        <f t="shared" si="111"/>
        <v>0</v>
      </c>
      <c r="ES24" s="32">
        <f t="shared" si="112"/>
        <v>0</v>
      </c>
      <c r="ET24" s="32">
        <f t="shared" si="113"/>
        <v>0</v>
      </c>
      <c r="EU24" s="32">
        <f t="shared" si="114"/>
        <v>0</v>
      </c>
      <c r="EV24" s="47">
        <f t="shared" si="115"/>
        <v>0</v>
      </c>
      <c r="EW24" s="47">
        <f t="shared" si="116"/>
        <v>0</v>
      </c>
    </row>
    <row r="25" spans="1:153" ht="19.5" x14ac:dyDescent="0.4">
      <c r="A25" s="23">
        <f t="shared" si="2"/>
        <v>0</v>
      </c>
      <c r="B25" s="24"/>
      <c r="D25" s="35" t="s">
        <v>59</v>
      </c>
      <c r="G25" s="48" t="s">
        <v>121</v>
      </c>
      <c r="H25" s="21"/>
      <c r="J25" s="32">
        <f t="shared" ref="J25:X32" si="127">IF($B25="",0,VLOOKUP($B25,ITEMS,J$2,FALSE()))</f>
        <v>0</v>
      </c>
      <c r="K25" s="32">
        <f t="shared" si="127"/>
        <v>0</v>
      </c>
      <c r="L25" s="32">
        <f t="shared" si="127"/>
        <v>0</v>
      </c>
      <c r="M25" s="32">
        <f t="shared" si="127"/>
        <v>0</v>
      </c>
      <c r="N25" s="32">
        <f t="shared" si="127"/>
        <v>0</v>
      </c>
      <c r="O25" s="32">
        <f t="shared" si="127"/>
        <v>0</v>
      </c>
      <c r="P25" s="32">
        <f t="shared" si="127"/>
        <v>0</v>
      </c>
      <c r="Q25" s="32">
        <f t="shared" si="127"/>
        <v>0</v>
      </c>
      <c r="R25" s="32">
        <f t="shared" si="127"/>
        <v>0</v>
      </c>
      <c r="S25" s="32">
        <f t="shared" si="127"/>
        <v>0</v>
      </c>
      <c r="T25" s="32">
        <f t="shared" si="127"/>
        <v>0</v>
      </c>
      <c r="U25" s="32">
        <f t="shared" si="127"/>
        <v>0</v>
      </c>
      <c r="V25" s="32">
        <f t="shared" si="127"/>
        <v>0</v>
      </c>
      <c r="W25" s="32">
        <f t="shared" si="127"/>
        <v>0</v>
      </c>
      <c r="X25" s="32">
        <f t="shared" si="127"/>
        <v>0</v>
      </c>
      <c r="Y25" s="41">
        <f t="shared" si="4"/>
        <v>0</v>
      </c>
      <c r="Z25" s="42">
        <f t="shared" si="5"/>
        <v>0</v>
      </c>
      <c r="AA25" s="32">
        <f t="shared" si="6"/>
        <v>0</v>
      </c>
      <c r="AB25" s="32">
        <f t="shared" si="7"/>
        <v>0</v>
      </c>
      <c r="AC25" s="32">
        <f t="shared" si="8"/>
        <v>0</v>
      </c>
      <c r="AD25" s="32">
        <f t="shared" si="9"/>
        <v>0</v>
      </c>
      <c r="AE25" s="32">
        <f t="shared" si="10"/>
        <v>0</v>
      </c>
      <c r="AF25" s="32">
        <f t="shared" si="11"/>
        <v>0</v>
      </c>
      <c r="AG25" s="32">
        <f t="shared" si="12"/>
        <v>0</v>
      </c>
      <c r="AH25" s="32">
        <f t="shared" si="13"/>
        <v>0</v>
      </c>
      <c r="AI25" s="32">
        <f t="shared" si="14"/>
        <v>0</v>
      </c>
      <c r="AJ25" s="32">
        <f t="shared" si="15"/>
        <v>0</v>
      </c>
      <c r="AK25" s="32">
        <f t="shared" si="16"/>
        <v>0</v>
      </c>
      <c r="AL25" s="32">
        <f t="shared" si="17"/>
        <v>0</v>
      </c>
      <c r="AM25" s="32">
        <f t="shared" si="18"/>
        <v>0</v>
      </c>
      <c r="AN25" s="32">
        <f t="shared" si="19"/>
        <v>0</v>
      </c>
      <c r="AO25" s="32">
        <f t="shared" si="20"/>
        <v>0</v>
      </c>
      <c r="AP25" s="32">
        <f t="shared" si="21"/>
        <v>0</v>
      </c>
      <c r="AQ25" s="32">
        <f t="shared" si="22"/>
        <v>0</v>
      </c>
      <c r="AR25" s="32">
        <f t="shared" si="23"/>
        <v>0</v>
      </c>
      <c r="AS25" s="32">
        <f t="shared" si="24"/>
        <v>0</v>
      </c>
      <c r="AT25" s="32">
        <f t="shared" si="25"/>
        <v>0</v>
      </c>
      <c r="AU25" s="32">
        <f t="shared" si="26"/>
        <v>0</v>
      </c>
      <c r="AV25" s="32">
        <f t="shared" si="27"/>
        <v>0</v>
      </c>
      <c r="AW25" s="32">
        <f t="shared" si="28"/>
        <v>0</v>
      </c>
      <c r="AX25" s="32">
        <f t="shared" si="29"/>
        <v>0</v>
      </c>
      <c r="AY25" s="32">
        <f t="shared" si="30"/>
        <v>0</v>
      </c>
      <c r="AZ25" s="32">
        <f t="shared" si="31"/>
        <v>0</v>
      </c>
      <c r="BA25" s="32">
        <f t="shared" si="32"/>
        <v>0</v>
      </c>
      <c r="BB25" s="32">
        <f t="shared" si="33"/>
        <v>0</v>
      </c>
      <c r="BC25" s="32">
        <f t="shared" si="34"/>
        <v>0</v>
      </c>
      <c r="BD25" s="32">
        <f t="shared" si="35"/>
        <v>0</v>
      </c>
      <c r="BE25" s="32">
        <f t="shared" si="36"/>
        <v>0</v>
      </c>
      <c r="BF25" s="32">
        <f t="shared" si="37"/>
        <v>0</v>
      </c>
      <c r="BG25" s="32">
        <f t="shared" si="38"/>
        <v>0</v>
      </c>
      <c r="BH25" s="32">
        <f t="shared" si="39"/>
        <v>0</v>
      </c>
      <c r="BI25" s="32">
        <f t="shared" si="40"/>
        <v>0</v>
      </c>
      <c r="BJ25" s="32">
        <f t="shared" si="41"/>
        <v>0</v>
      </c>
      <c r="BK25" s="32">
        <f t="shared" si="42"/>
        <v>0</v>
      </c>
      <c r="BL25" s="32">
        <f t="shared" si="43"/>
        <v>0</v>
      </c>
      <c r="BM25" s="32">
        <f t="shared" si="44"/>
        <v>0</v>
      </c>
      <c r="BN25" s="32">
        <f t="shared" si="45"/>
        <v>0</v>
      </c>
      <c r="BO25" s="32">
        <f t="shared" si="46"/>
        <v>0</v>
      </c>
      <c r="BP25" s="32">
        <f t="shared" si="47"/>
        <v>0</v>
      </c>
      <c r="BQ25" s="32">
        <f t="shared" si="48"/>
        <v>0</v>
      </c>
      <c r="BR25" s="32">
        <f t="shared" si="49"/>
        <v>0</v>
      </c>
      <c r="BS25" s="32">
        <f t="shared" si="50"/>
        <v>0</v>
      </c>
      <c r="BT25" s="32">
        <f t="shared" si="51"/>
        <v>0</v>
      </c>
      <c r="BU25" s="32">
        <f t="shared" si="52"/>
        <v>0</v>
      </c>
      <c r="BV25" s="32">
        <f t="shared" si="53"/>
        <v>0</v>
      </c>
      <c r="BW25" s="32">
        <f t="shared" si="54"/>
        <v>0</v>
      </c>
      <c r="BX25" s="32">
        <f t="shared" si="55"/>
        <v>0</v>
      </c>
      <c r="BY25" s="32">
        <f t="shared" si="56"/>
        <v>0</v>
      </c>
      <c r="BZ25" s="32">
        <f t="shared" si="57"/>
        <v>0</v>
      </c>
      <c r="CA25" s="32">
        <f t="shared" si="58"/>
        <v>0</v>
      </c>
      <c r="CB25" s="32">
        <f t="shared" si="59"/>
        <v>0</v>
      </c>
      <c r="CC25" s="32">
        <f t="shared" si="60"/>
        <v>0</v>
      </c>
      <c r="CD25" s="32">
        <f t="shared" si="61"/>
        <v>0</v>
      </c>
      <c r="CE25" s="32">
        <f t="shared" si="62"/>
        <v>0</v>
      </c>
      <c r="CF25" s="32">
        <f t="shared" si="63"/>
        <v>0</v>
      </c>
      <c r="CG25" s="32">
        <f t="shared" si="64"/>
        <v>0</v>
      </c>
      <c r="CH25" s="32">
        <f t="shared" si="65"/>
        <v>0</v>
      </c>
      <c r="CI25" s="32">
        <f t="shared" si="66"/>
        <v>0</v>
      </c>
      <c r="CJ25" s="32">
        <f t="shared" si="67"/>
        <v>0</v>
      </c>
      <c r="CK25" s="32">
        <f t="shared" si="68"/>
        <v>0</v>
      </c>
      <c r="CL25" s="32">
        <f t="shared" si="69"/>
        <v>0</v>
      </c>
      <c r="CM25" s="32">
        <f t="shared" si="70"/>
        <v>0</v>
      </c>
      <c r="CN25" s="32">
        <f t="shared" si="71"/>
        <v>0</v>
      </c>
      <c r="CO25" s="32">
        <f t="shared" si="72"/>
        <v>0</v>
      </c>
      <c r="CP25" s="32">
        <f t="shared" si="73"/>
        <v>0</v>
      </c>
      <c r="CQ25" s="32">
        <f t="shared" si="74"/>
        <v>0</v>
      </c>
      <c r="CR25" s="32">
        <f t="shared" si="75"/>
        <v>0</v>
      </c>
      <c r="CS25" s="32">
        <f t="shared" si="76"/>
        <v>0</v>
      </c>
      <c r="CT25" s="32">
        <f t="shared" si="77"/>
        <v>0</v>
      </c>
      <c r="CU25" s="32">
        <f t="shared" si="78"/>
        <v>0</v>
      </c>
      <c r="CV25" s="32">
        <f t="shared" si="79"/>
        <v>0</v>
      </c>
      <c r="CW25" s="32">
        <f t="shared" si="80"/>
        <v>0</v>
      </c>
      <c r="CX25" s="32">
        <f t="shared" si="81"/>
        <v>0</v>
      </c>
      <c r="CY25" s="32">
        <f t="shared" si="82"/>
        <v>0</v>
      </c>
      <c r="CZ25" s="32">
        <f t="shared" si="83"/>
        <v>0</v>
      </c>
      <c r="DA25" s="32">
        <f t="shared" si="84"/>
        <v>0</v>
      </c>
      <c r="DB25" s="32">
        <f t="shared" si="85"/>
        <v>0</v>
      </c>
      <c r="DC25" s="32">
        <f t="shared" si="86"/>
        <v>0</v>
      </c>
      <c r="DD25" s="32">
        <f t="shared" si="87"/>
        <v>0</v>
      </c>
      <c r="DE25" s="32">
        <f t="shared" si="88"/>
        <v>0</v>
      </c>
      <c r="DF25" s="32">
        <f t="shared" si="89"/>
        <v>0</v>
      </c>
      <c r="DG25" s="32">
        <f t="shared" si="90"/>
        <v>0</v>
      </c>
      <c r="DH25" s="32">
        <f t="shared" si="91"/>
        <v>0</v>
      </c>
      <c r="DI25" s="32">
        <f t="shared" si="92"/>
        <v>0</v>
      </c>
      <c r="DJ25" s="32">
        <f t="shared" si="93"/>
        <v>0</v>
      </c>
      <c r="DK25" s="32">
        <f t="shared" si="94"/>
        <v>0</v>
      </c>
      <c r="DL25" s="32">
        <f t="shared" si="95"/>
        <v>0</v>
      </c>
      <c r="DM25" s="32">
        <f t="shared" si="96"/>
        <v>0</v>
      </c>
      <c r="DN25" s="32">
        <f t="shared" si="97"/>
        <v>0</v>
      </c>
      <c r="DO25" s="32">
        <v>4</v>
      </c>
      <c r="DP25" s="31">
        <v>4</v>
      </c>
      <c r="DQ25" s="31">
        <v>4</v>
      </c>
      <c r="DR25" s="32">
        <v>5</v>
      </c>
      <c r="DS25" s="32">
        <v>5</v>
      </c>
      <c r="DT25" s="32">
        <v>5</v>
      </c>
      <c r="DU25" s="32">
        <v>5</v>
      </c>
      <c r="DV25" s="32">
        <v>5</v>
      </c>
      <c r="DW25" s="32">
        <v>5</v>
      </c>
      <c r="DX25" s="32">
        <v>5</v>
      </c>
      <c r="DY25" s="32">
        <v>5</v>
      </c>
      <c r="DZ25" s="32">
        <v>6</v>
      </c>
      <c r="EA25" s="32">
        <v>5</v>
      </c>
      <c r="EB25" s="32">
        <v>4</v>
      </c>
      <c r="EC25" s="32">
        <v>4</v>
      </c>
      <c r="ED25" s="31" t="s">
        <v>122</v>
      </c>
      <c r="EF25" s="32">
        <f t="shared" si="99"/>
        <v>0</v>
      </c>
      <c r="EG25" s="32">
        <f t="shared" si="100"/>
        <v>0</v>
      </c>
      <c r="EH25" s="32">
        <f t="shared" si="101"/>
        <v>0</v>
      </c>
      <c r="EI25" s="32">
        <f t="shared" si="102"/>
        <v>0</v>
      </c>
      <c r="EJ25" s="32">
        <f t="shared" si="103"/>
        <v>0</v>
      </c>
      <c r="EK25" s="32">
        <f t="shared" si="104"/>
        <v>0</v>
      </c>
      <c r="EL25" s="32">
        <f t="shared" si="105"/>
        <v>0</v>
      </c>
      <c r="EM25" s="32">
        <f t="shared" si="106"/>
        <v>0</v>
      </c>
      <c r="EN25" s="32">
        <f t="shared" si="107"/>
        <v>0</v>
      </c>
      <c r="EO25" s="32">
        <f t="shared" si="108"/>
        <v>0</v>
      </c>
      <c r="EP25" s="32">
        <f t="shared" si="109"/>
        <v>0</v>
      </c>
      <c r="EQ25" s="32">
        <f t="shared" si="110"/>
        <v>0</v>
      </c>
      <c r="ER25" s="32">
        <f t="shared" si="111"/>
        <v>0</v>
      </c>
      <c r="ES25" s="32">
        <f t="shared" si="112"/>
        <v>0</v>
      </c>
      <c r="ET25" s="32">
        <f t="shared" si="113"/>
        <v>0</v>
      </c>
      <c r="EU25" s="32">
        <f t="shared" si="114"/>
        <v>0</v>
      </c>
      <c r="EV25" s="47">
        <f t="shared" si="115"/>
        <v>0</v>
      </c>
      <c r="EW25" s="47">
        <f t="shared" si="116"/>
        <v>0</v>
      </c>
    </row>
    <row r="26" spans="1:153" x14ac:dyDescent="0.25">
      <c r="A26" s="23">
        <f t="shared" si="2"/>
        <v>0</v>
      </c>
      <c r="B26" s="24"/>
      <c r="D26" s="31" t="s">
        <v>60</v>
      </c>
      <c r="E26" s="27">
        <f>DT36*5</f>
        <v>0</v>
      </c>
      <c r="F26" s="36" t="str">
        <f>IF(DT40=1,"Too many layers!",IF(DT37=1,"Too much padding!",IF(OR(DT38=1,DT39=1),"Illegal combination of layers","")))</f>
        <v/>
      </c>
      <c r="H26" s="21"/>
      <c r="J26" s="32">
        <f t="shared" si="127"/>
        <v>0</v>
      </c>
      <c r="K26" s="32">
        <f t="shared" si="127"/>
        <v>0</v>
      </c>
      <c r="L26" s="32">
        <f t="shared" si="127"/>
        <v>0</v>
      </c>
      <c r="M26" s="32">
        <f t="shared" si="127"/>
        <v>0</v>
      </c>
      <c r="N26" s="32">
        <f t="shared" si="127"/>
        <v>0</v>
      </c>
      <c r="O26" s="32">
        <f t="shared" si="127"/>
        <v>0</v>
      </c>
      <c r="P26" s="32">
        <f t="shared" si="127"/>
        <v>0</v>
      </c>
      <c r="Q26" s="32">
        <f t="shared" si="127"/>
        <v>0</v>
      </c>
      <c r="R26" s="32">
        <f t="shared" si="127"/>
        <v>0</v>
      </c>
      <c r="S26" s="32">
        <f t="shared" si="127"/>
        <v>0</v>
      </c>
      <c r="T26" s="32">
        <f t="shared" si="127"/>
        <v>0</v>
      </c>
      <c r="U26" s="32">
        <f t="shared" si="127"/>
        <v>0</v>
      </c>
      <c r="V26" s="32">
        <f t="shared" si="127"/>
        <v>0</v>
      </c>
      <c r="W26" s="32">
        <f t="shared" si="127"/>
        <v>0</v>
      </c>
      <c r="X26" s="32">
        <f t="shared" si="127"/>
        <v>0</v>
      </c>
      <c r="Y26" s="41">
        <f t="shared" si="4"/>
        <v>0</v>
      </c>
      <c r="Z26" s="42">
        <f t="shared" si="5"/>
        <v>0</v>
      </c>
      <c r="AA26" s="32">
        <f t="shared" si="6"/>
        <v>0</v>
      </c>
      <c r="AB26" s="32">
        <f t="shared" si="7"/>
        <v>0</v>
      </c>
      <c r="AC26" s="32">
        <f t="shared" si="8"/>
        <v>0</v>
      </c>
      <c r="AD26" s="32">
        <f t="shared" si="9"/>
        <v>0</v>
      </c>
      <c r="AE26" s="32">
        <f t="shared" si="10"/>
        <v>0</v>
      </c>
      <c r="AF26" s="32">
        <f t="shared" si="11"/>
        <v>0</v>
      </c>
      <c r="AG26" s="32">
        <f t="shared" si="12"/>
        <v>0</v>
      </c>
      <c r="AH26" s="32">
        <f t="shared" si="13"/>
        <v>0</v>
      </c>
      <c r="AI26" s="32">
        <f t="shared" si="14"/>
        <v>0</v>
      </c>
      <c r="AJ26" s="32">
        <f t="shared" si="15"/>
        <v>0</v>
      </c>
      <c r="AK26" s="32">
        <f t="shared" si="16"/>
        <v>0</v>
      </c>
      <c r="AL26" s="32">
        <f t="shared" si="17"/>
        <v>0</v>
      </c>
      <c r="AM26" s="32">
        <f t="shared" si="18"/>
        <v>0</v>
      </c>
      <c r="AN26" s="32">
        <f t="shared" si="19"/>
        <v>0</v>
      </c>
      <c r="AO26" s="32">
        <f t="shared" si="20"/>
        <v>0</v>
      </c>
      <c r="AP26" s="32">
        <f t="shared" si="21"/>
        <v>0</v>
      </c>
      <c r="AQ26" s="32">
        <f t="shared" si="22"/>
        <v>0</v>
      </c>
      <c r="AR26" s="32">
        <f t="shared" si="23"/>
        <v>0</v>
      </c>
      <c r="AS26" s="32">
        <f t="shared" si="24"/>
        <v>0</v>
      </c>
      <c r="AT26" s="32">
        <f t="shared" si="25"/>
        <v>0</v>
      </c>
      <c r="AU26" s="32">
        <f t="shared" si="26"/>
        <v>0</v>
      </c>
      <c r="AV26" s="32">
        <f t="shared" si="27"/>
        <v>0</v>
      </c>
      <c r="AW26" s="32">
        <f t="shared" si="28"/>
        <v>0</v>
      </c>
      <c r="AX26" s="32">
        <f t="shared" si="29"/>
        <v>0</v>
      </c>
      <c r="AY26" s="32">
        <f t="shared" si="30"/>
        <v>0</v>
      </c>
      <c r="AZ26" s="32">
        <f t="shared" si="31"/>
        <v>0</v>
      </c>
      <c r="BA26" s="32">
        <f t="shared" si="32"/>
        <v>0</v>
      </c>
      <c r="BB26" s="32">
        <f t="shared" si="33"/>
        <v>0</v>
      </c>
      <c r="BC26" s="32">
        <f t="shared" si="34"/>
        <v>0</v>
      </c>
      <c r="BD26" s="32">
        <f t="shared" si="35"/>
        <v>0</v>
      </c>
      <c r="BE26" s="32">
        <f t="shared" si="36"/>
        <v>0</v>
      </c>
      <c r="BF26" s="32">
        <f t="shared" si="37"/>
        <v>0</v>
      </c>
      <c r="BG26" s="32">
        <f t="shared" si="38"/>
        <v>0</v>
      </c>
      <c r="BH26" s="32">
        <f t="shared" si="39"/>
        <v>0</v>
      </c>
      <c r="BI26" s="32">
        <f t="shared" si="40"/>
        <v>0</v>
      </c>
      <c r="BJ26" s="32">
        <f t="shared" si="41"/>
        <v>0</v>
      </c>
      <c r="BK26" s="32">
        <f t="shared" si="42"/>
        <v>0</v>
      </c>
      <c r="BL26" s="32">
        <f t="shared" si="43"/>
        <v>0</v>
      </c>
      <c r="BM26" s="32">
        <f t="shared" si="44"/>
        <v>0</v>
      </c>
      <c r="BN26" s="32">
        <f t="shared" si="45"/>
        <v>0</v>
      </c>
      <c r="BO26" s="32">
        <f t="shared" si="46"/>
        <v>0</v>
      </c>
      <c r="BP26" s="32">
        <f t="shared" si="47"/>
        <v>0</v>
      </c>
      <c r="BQ26" s="32">
        <f t="shared" si="48"/>
        <v>0</v>
      </c>
      <c r="BR26" s="32">
        <f t="shared" si="49"/>
        <v>0</v>
      </c>
      <c r="BS26" s="32">
        <f t="shared" si="50"/>
        <v>0</v>
      </c>
      <c r="BT26" s="32">
        <f t="shared" si="51"/>
        <v>0</v>
      </c>
      <c r="BU26" s="32">
        <f t="shared" si="52"/>
        <v>0</v>
      </c>
      <c r="BV26" s="32">
        <f t="shared" si="53"/>
        <v>0</v>
      </c>
      <c r="BW26" s="32">
        <f t="shared" si="54"/>
        <v>0</v>
      </c>
      <c r="BX26" s="32">
        <f t="shared" si="55"/>
        <v>0</v>
      </c>
      <c r="BY26" s="32">
        <f t="shared" si="56"/>
        <v>0</v>
      </c>
      <c r="BZ26" s="32">
        <f t="shared" si="57"/>
        <v>0</v>
      </c>
      <c r="CA26" s="32">
        <f t="shared" si="58"/>
        <v>0</v>
      </c>
      <c r="CB26" s="32">
        <f t="shared" si="59"/>
        <v>0</v>
      </c>
      <c r="CC26" s="32">
        <f t="shared" si="60"/>
        <v>0</v>
      </c>
      <c r="CD26" s="32">
        <f t="shared" si="61"/>
        <v>0</v>
      </c>
      <c r="CE26" s="32">
        <f t="shared" si="62"/>
        <v>0</v>
      </c>
      <c r="CF26" s="32">
        <f t="shared" si="63"/>
        <v>0</v>
      </c>
      <c r="CG26" s="32">
        <f t="shared" si="64"/>
        <v>0</v>
      </c>
      <c r="CH26" s="32">
        <f t="shared" si="65"/>
        <v>0</v>
      </c>
      <c r="CI26" s="32">
        <f t="shared" si="66"/>
        <v>0</v>
      </c>
      <c r="CJ26" s="32">
        <f t="shared" si="67"/>
        <v>0</v>
      </c>
      <c r="CK26" s="32">
        <f t="shared" si="68"/>
        <v>0</v>
      </c>
      <c r="CL26" s="32">
        <f t="shared" si="69"/>
        <v>0</v>
      </c>
      <c r="CM26" s="32">
        <f t="shared" si="70"/>
        <v>0</v>
      </c>
      <c r="CN26" s="32">
        <f t="shared" si="71"/>
        <v>0</v>
      </c>
      <c r="CO26" s="32">
        <f t="shared" si="72"/>
        <v>0</v>
      </c>
      <c r="CP26" s="32">
        <f t="shared" si="73"/>
        <v>0</v>
      </c>
      <c r="CQ26" s="32">
        <f t="shared" si="74"/>
        <v>0</v>
      </c>
      <c r="CR26" s="32">
        <f t="shared" si="75"/>
        <v>0</v>
      </c>
      <c r="CS26" s="32">
        <f t="shared" si="76"/>
        <v>0</v>
      </c>
      <c r="CT26" s="32">
        <f t="shared" si="77"/>
        <v>0</v>
      </c>
      <c r="CU26" s="32">
        <f t="shared" si="78"/>
        <v>0</v>
      </c>
      <c r="CV26" s="32">
        <f t="shared" si="79"/>
        <v>0</v>
      </c>
      <c r="CW26" s="32">
        <f t="shared" si="80"/>
        <v>0</v>
      </c>
      <c r="CX26" s="32">
        <f t="shared" si="81"/>
        <v>0</v>
      </c>
      <c r="CY26" s="32">
        <f t="shared" si="82"/>
        <v>0</v>
      </c>
      <c r="CZ26" s="32">
        <f t="shared" si="83"/>
        <v>0</v>
      </c>
      <c r="DA26" s="32">
        <f t="shared" si="84"/>
        <v>0</v>
      </c>
      <c r="DB26" s="32">
        <f t="shared" si="85"/>
        <v>0</v>
      </c>
      <c r="DC26" s="32">
        <f t="shared" si="86"/>
        <v>0</v>
      </c>
      <c r="DD26" s="32">
        <f t="shared" si="87"/>
        <v>0</v>
      </c>
      <c r="DE26" s="32">
        <f t="shared" si="88"/>
        <v>0</v>
      </c>
      <c r="DF26" s="32">
        <f t="shared" si="89"/>
        <v>0</v>
      </c>
      <c r="DG26" s="32">
        <f t="shared" si="90"/>
        <v>0</v>
      </c>
      <c r="DH26" s="32">
        <f t="shared" si="91"/>
        <v>0</v>
      </c>
      <c r="DI26" s="32">
        <f t="shared" si="92"/>
        <v>0</v>
      </c>
      <c r="DJ26" s="32">
        <f t="shared" si="93"/>
        <v>0</v>
      </c>
      <c r="DK26" s="32">
        <f t="shared" si="94"/>
        <v>0</v>
      </c>
      <c r="DL26" s="32">
        <f t="shared" si="95"/>
        <v>0</v>
      </c>
      <c r="DM26" s="32">
        <f t="shared" si="96"/>
        <v>0</v>
      </c>
      <c r="DN26" s="32">
        <f t="shared" si="97"/>
        <v>0</v>
      </c>
      <c r="DO26" s="32">
        <f t="shared" ref="DO26:EC26" si="128">IF(DO14&gt;DO24,1,0)</f>
        <v>0</v>
      </c>
      <c r="DP26" s="32">
        <f t="shared" si="128"/>
        <v>0</v>
      </c>
      <c r="DQ26" s="32">
        <f t="shared" si="128"/>
        <v>0</v>
      </c>
      <c r="DR26" s="32">
        <f t="shared" si="128"/>
        <v>0</v>
      </c>
      <c r="DS26" s="32">
        <f t="shared" si="128"/>
        <v>0</v>
      </c>
      <c r="DT26" s="32">
        <f t="shared" si="128"/>
        <v>0</v>
      </c>
      <c r="DU26" s="32">
        <f t="shared" si="128"/>
        <v>0</v>
      </c>
      <c r="DV26" s="32">
        <f t="shared" si="128"/>
        <v>0</v>
      </c>
      <c r="DW26" s="32">
        <f t="shared" si="128"/>
        <v>0</v>
      </c>
      <c r="DX26" s="32">
        <f t="shared" si="128"/>
        <v>0</v>
      </c>
      <c r="DY26" s="32">
        <f t="shared" si="128"/>
        <v>0</v>
      </c>
      <c r="DZ26" s="32">
        <f t="shared" si="128"/>
        <v>0</v>
      </c>
      <c r="EA26" s="32">
        <f t="shared" si="128"/>
        <v>0</v>
      </c>
      <c r="EB26" s="32">
        <f t="shared" si="128"/>
        <v>0</v>
      </c>
      <c r="EC26" s="32">
        <f t="shared" si="128"/>
        <v>0</v>
      </c>
      <c r="ED26" s="31" t="s">
        <v>123</v>
      </c>
      <c r="EF26" s="32">
        <f t="shared" si="99"/>
        <v>0</v>
      </c>
      <c r="EG26" s="32">
        <f t="shared" si="100"/>
        <v>0</v>
      </c>
      <c r="EH26" s="32">
        <f t="shared" si="101"/>
        <v>0</v>
      </c>
      <c r="EI26" s="32">
        <f t="shared" si="102"/>
        <v>0</v>
      </c>
      <c r="EJ26" s="32">
        <f t="shared" si="103"/>
        <v>0</v>
      </c>
      <c r="EK26" s="32">
        <f t="shared" si="104"/>
        <v>0</v>
      </c>
      <c r="EL26" s="32">
        <f t="shared" si="105"/>
        <v>0</v>
      </c>
      <c r="EM26" s="32">
        <f t="shared" si="106"/>
        <v>0</v>
      </c>
      <c r="EN26" s="32">
        <f t="shared" si="107"/>
        <v>0</v>
      </c>
      <c r="EO26" s="32">
        <f t="shared" si="108"/>
        <v>0</v>
      </c>
      <c r="EP26" s="32">
        <f t="shared" si="109"/>
        <v>0</v>
      </c>
      <c r="EQ26" s="32">
        <f t="shared" si="110"/>
        <v>0</v>
      </c>
      <c r="ER26" s="32">
        <f t="shared" si="111"/>
        <v>0</v>
      </c>
      <c r="ES26" s="32">
        <f t="shared" si="112"/>
        <v>0</v>
      </c>
      <c r="ET26" s="32">
        <f t="shared" si="113"/>
        <v>0</v>
      </c>
      <c r="EU26" s="32">
        <f t="shared" si="114"/>
        <v>0</v>
      </c>
      <c r="EV26" s="47">
        <f t="shared" si="115"/>
        <v>0</v>
      </c>
      <c r="EW26" s="47">
        <f t="shared" si="116"/>
        <v>0</v>
      </c>
    </row>
    <row r="27" spans="1:153" x14ac:dyDescent="0.25">
      <c r="A27" s="23">
        <f t="shared" si="2"/>
        <v>0</v>
      </c>
      <c r="B27" s="24"/>
      <c r="D27" s="31" t="s">
        <v>61</v>
      </c>
      <c r="E27" s="27">
        <f>DU36*5</f>
        <v>0</v>
      </c>
      <c r="F27" s="36" t="str">
        <f>IF(DU40=1,"Too many layers!",IF(DU37=1,"Too much padding!",IF(OR(DU38=1,DU39=1),"Illegal combination of layers","")))</f>
        <v/>
      </c>
      <c r="H27" s="21"/>
      <c r="J27" s="32">
        <f t="shared" si="127"/>
        <v>0</v>
      </c>
      <c r="K27" s="32">
        <f t="shared" si="127"/>
        <v>0</v>
      </c>
      <c r="L27" s="32">
        <f t="shared" si="127"/>
        <v>0</v>
      </c>
      <c r="M27" s="32">
        <f t="shared" si="127"/>
        <v>0</v>
      </c>
      <c r="N27" s="32">
        <f t="shared" si="127"/>
        <v>0</v>
      </c>
      <c r="O27" s="32">
        <f t="shared" si="127"/>
        <v>0</v>
      </c>
      <c r="P27" s="32">
        <f t="shared" si="127"/>
        <v>0</v>
      </c>
      <c r="Q27" s="32">
        <f t="shared" si="127"/>
        <v>0</v>
      </c>
      <c r="R27" s="32">
        <f t="shared" si="127"/>
        <v>0</v>
      </c>
      <c r="S27" s="32">
        <f t="shared" si="127"/>
        <v>0</v>
      </c>
      <c r="T27" s="32">
        <f t="shared" si="127"/>
        <v>0</v>
      </c>
      <c r="U27" s="32">
        <f t="shared" si="127"/>
        <v>0</v>
      </c>
      <c r="V27" s="32">
        <f t="shared" si="127"/>
        <v>0</v>
      </c>
      <c r="W27" s="32">
        <f t="shared" si="127"/>
        <v>0</v>
      </c>
      <c r="X27" s="32">
        <f t="shared" si="127"/>
        <v>0</v>
      </c>
      <c r="Y27" s="41">
        <f t="shared" si="4"/>
        <v>0</v>
      </c>
      <c r="Z27" s="42">
        <f t="shared" si="5"/>
        <v>0</v>
      </c>
      <c r="AA27" s="32">
        <f t="shared" si="6"/>
        <v>0</v>
      </c>
      <c r="AB27" s="32">
        <f t="shared" si="7"/>
        <v>0</v>
      </c>
      <c r="AC27" s="32">
        <f t="shared" si="8"/>
        <v>0</v>
      </c>
      <c r="AD27" s="32">
        <f t="shared" si="9"/>
        <v>0</v>
      </c>
      <c r="AE27" s="32">
        <f t="shared" si="10"/>
        <v>0</v>
      </c>
      <c r="AF27" s="32">
        <f t="shared" si="11"/>
        <v>0</v>
      </c>
      <c r="AG27" s="32">
        <f t="shared" si="12"/>
        <v>0</v>
      </c>
      <c r="AH27" s="32">
        <f t="shared" si="13"/>
        <v>0</v>
      </c>
      <c r="AI27" s="32">
        <f t="shared" si="14"/>
        <v>0</v>
      </c>
      <c r="AJ27" s="32">
        <f t="shared" si="15"/>
        <v>0</v>
      </c>
      <c r="AK27" s="32">
        <f t="shared" si="16"/>
        <v>0</v>
      </c>
      <c r="AL27" s="32">
        <f t="shared" si="17"/>
        <v>0</v>
      </c>
      <c r="AM27" s="32">
        <f t="shared" si="18"/>
        <v>0</v>
      </c>
      <c r="AN27" s="32">
        <f t="shared" si="19"/>
        <v>0</v>
      </c>
      <c r="AO27" s="32">
        <f t="shared" si="20"/>
        <v>0</v>
      </c>
      <c r="AP27" s="32">
        <f t="shared" si="21"/>
        <v>0</v>
      </c>
      <c r="AQ27" s="32">
        <f t="shared" si="22"/>
        <v>0</v>
      </c>
      <c r="AR27" s="32">
        <f t="shared" si="23"/>
        <v>0</v>
      </c>
      <c r="AS27" s="32">
        <f t="shared" si="24"/>
        <v>0</v>
      </c>
      <c r="AT27" s="32">
        <f t="shared" si="25"/>
        <v>0</v>
      </c>
      <c r="AU27" s="32">
        <f t="shared" si="26"/>
        <v>0</v>
      </c>
      <c r="AV27" s="32">
        <f t="shared" si="27"/>
        <v>0</v>
      </c>
      <c r="AW27" s="32">
        <f t="shared" si="28"/>
        <v>0</v>
      </c>
      <c r="AX27" s="32">
        <f t="shared" si="29"/>
        <v>0</v>
      </c>
      <c r="AY27" s="32">
        <f t="shared" si="30"/>
        <v>0</v>
      </c>
      <c r="AZ27" s="32">
        <f t="shared" si="31"/>
        <v>0</v>
      </c>
      <c r="BA27" s="32">
        <f t="shared" si="32"/>
        <v>0</v>
      </c>
      <c r="BB27" s="32">
        <f t="shared" si="33"/>
        <v>0</v>
      </c>
      <c r="BC27" s="32">
        <f t="shared" si="34"/>
        <v>0</v>
      </c>
      <c r="BD27" s="32">
        <f t="shared" si="35"/>
        <v>0</v>
      </c>
      <c r="BE27" s="32">
        <f t="shared" si="36"/>
        <v>0</v>
      </c>
      <c r="BF27" s="32">
        <f t="shared" si="37"/>
        <v>0</v>
      </c>
      <c r="BG27" s="32">
        <f t="shared" si="38"/>
        <v>0</v>
      </c>
      <c r="BH27" s="32">
        <f t="shared" si="39"/>
        <v>0</v>
      </c>
      <c r="BI27" s="32">
        <f t="shared" si="40"/>
        <v>0</v>
      </c>
      <c r="BJ27" s="32">
        <f t="shared" si="41"/>
        <v>0</v>
      </c>
      <c r="BK27" s="32">
        <f t="shared" si="42"/>
        <v>0</v>
      </c>
      <c r="BL27" s="32">
        <f t="shared" si="43"/>
        <v>0</v>
      </c>
      <c r="BM27" s="32">
        <f t="shared" si="44"/>
        <v>0</v>
      </c>
      <c r="BN27" s="32">
        <f t="shared" si="45"/>
        <v>0</v>
      </c>
      <c r="BO27" s="32">
        <f t="shared" si="46"/>
        <v>0</v>
      </c>
      <c r="BP27" s="32">
        <f t="shared" si="47"/>
        <v>0</v>
      </c>
      <c r="BQ27" s="32">
        <f t="shared" si="48"/>
        <v>0</v>
      </c>
      <c r="BR27" s="32">
        <f t="shared" si="49"/>
        <v>0</v>
      </c>
      <c r="BS27" s="32">
        <f t="shared" si="50"/>
        <v>0</v>
      </c>
      <c r="BT27" s="32">
        <f t="shared" si="51"/>
        <v>0</v>
      </c>
      <c r="BU27" s="32">
        <f t="shared" si="52"/>
        <v>0</v>
      </c>
      <c r="BV27" s="32">
        <f t="shared" si="53"/>
        <v>0</v>
      </c>
      <c r="BW27" s="32">
        <f t="shared" si="54"/>
        <v>0</v>
      </c>
      <c r="BX27" s="32">
        <f t="shared" si="55"/>
        <v>0</v>
      </c>
      <c r="BY27" s="32">
        <f t="shared" si="56"/>
        <v>0</v>
      </c>
      <c r="BZ27" s="32">
        <f t="shared" si="57"/>
        <v>0</v>
      </c>
      <c r="CA27" s="32">
        <f t="shared" si="58"/>
        <v>0</v>
      </c>
      <c r="CB27" s="32">
        <f t="shared" si="59"/>
        <v>0</v>
      </c>
      <c r="CC27" s="32">
        <f t="shared" si="60"/>
        <v>0</v>
      </c>
      <c r="CD27" s="32">
        <f t="shared" si="61"/>
        <v>0</v>
      </c>
      <c r="CE27" s="32">
        <f t="shared" si="62"/>
        <v>0</v>
      </c>
      <c r="CF27" s="32">
        <f t="shared" si="63"/>
        <v>0</v>
      </c>
      <c r="CG27" s="32">
        <f t="shared" si="64"/>
        <v>0</v>
      </c>
      <c r="CH27" s="32">
        <f t="shared" si="65"/>
        <v>0</v>
      </c>
      <c r="CI27" s="32">
        <f t="shared" si="66"/>
        <v>0</v>
      </c>
      <c r="CJ27" s="32">
        <f t="shared" si="67"/>
        <v>0</v>
      </c>
      <c r="CK27" s="32">
        <f t="shared" si="68"/>
        <v>0</v>
      </c>
      <c r="CL27" s="32">
        <f t="shared" si="69"/>
        <v>0</v>
      </c>
      <c r="CM27" s="32">
        <f t="shared" si="70"/>
        <v>0</v>
      </c>
      <c r="CN27" s="32">
        <f t="shared" si="71"/>
        <v>0</v>
      </c>
      <c r="CO27" s="32">
        <f t="shared" si="72"/>
        <v>0</v>
      </c>
      <c r="CP27" s="32">
        <f t="shared" si="73"/>
        <v>0</v>
      </c>
      <c r="CQ27" s="32">
        <f t="shared" si="74"/>
        <v>0</v>
      </c>
      <c r="CR27" s="32">
        <f t="shared" si="75"/>
        <v>0</v>
      </c>
      <c r="CS27" s="32">
        <f t="shared" si="76"/>
        <v>0</v>
      </c>
      <c r="CT27" s="32">
        <f t="shared" si="77"/>
        <v>0</v>
      </c>
      <c r="CU27" s="32">
        <f t="shared" si="78"/>
        <v>0</v>
      </c>
      <c r="CV27" s="32">
        <f t="shared" si="79"/>
        <v>0</v>
      </c>
      <c r="CW27" s="32">
        <f t="shared" si="80"/>
        <v>0</v>
      </c>
      <c r="CX27" s="32">
        <f t="shared" si="81"/>
        <v>0</v>
      </c>
      <c r="CY27" s="32">
        <f t="shared" si="82"/>
        <v>0</v>
      </c>
      <c r="CZ27" s="32">
        <f t="shared" si="83"/>
        <v>0</v>
      </c>
      <c r="DA27" s="32">
        <f t="shared" si="84"/>
        <v>0</v>
      </c>
      <c r="DB27" s="32">
        <f t="shared" si="85"/>
        <v>0</v>
      </c>
      <c r="DC27" s="32">
        <f t="shared" si="86"/>
        <v>0</v>
      </c>
      <c r="DD27" s="32">
        <f t="shared" si="87"/>
        <v>0</v>
      </c>
      <c r="DE27" s="32">
        <f t="shared" si="88"/>
        <v>0</v>
      </c>
      <c r="DF27" s="32">
        <f t="shared" si="89"/>
        <v>0</v>
      </c>
      <c r="DG27" s="32">
        <f t="shared" si="90"/>
        <v>0</v>
      </c>
      <c r="DH27" s="32">
        <f t="shared" si="91"/>
        <v>0</v>
      </c>
      <c r="DI27" s="32">
        <f t="shared" si="92"/>
        <v>0</v>
      </c>
      <c r="DJ27" s="32">
        <f t="shared" si="93"/>
        <v>0</v>
      </c>
      <c r="DK27" s="32">
        <f t="shared" si="94"/>
        <v>0</v>
      </c>
      <c r="DL27" s="32">
        <f t="shared" si="95"/>
        <v>0</v>
      </c>
      <c r="DM27" s="32">
        <f t="shared" si="96"/>
        <v>0</v>
      </c>
      <c r="DN27" s="32">
        <f t="shared" si="97"/>
        <v>0</v>
      </c>
      <c r="DO27" s="32">
        <f t="shared" ref="DO27:EC27" si="129">IF(DO14&gt;DO25,1,0)</f>
        <v>0</v>
      </c>
      <c r="DP27" s="32">
        <f t="shared" si="129"/>
        <v>0</v>
      </c>
      <c r="DQ27" s="32">
        <f t="shared" si="129"/>
        <v>0</v>
      </c>
      <c r="DR27" s="32">
        <f t="shared" si="129"/>
        <v>0</v>
      </c>
      <c r="DS27" s="32">
        <f t="shared" si="129"/>
        <v>0</v>
      </c>
      <c r="DT27" s="32">
        <f t="shared" si="129"/>
        <v>0</v>
      </c>
      <c r="DU27" s="32">
        <f t="shared" si="129"/>
        <v>0</v>
      </c>
      <c r="DV27" s="32">
        <f t="shared" si="129"/>
        <v>0</v>
      </c>
      <c r="DW27" s="32">
        <f t="shared" si="129"/>
        <v>0</v>
      </c>
      <c r="DX27" s="32">
        <f t="shared" si="129"/>
        <v>0</v>
      </c>
      <c r="DY27" s="32">
        <f t="shared" si="129"/>
        <v>0</v>
      </c>
      <c r="DZ27" s="32">
        <f t="shared" si="129"/>
        <v>0</v>
      </c>
      <c r="EA27" s="32">
        <f t="shared" si="129"/>
        <v>0</v>
      </c>
      <c r="EB27" s="32">
        <f t="shared" si="129"/>
        <v>0</v>
      </c>
      <c r="EC27" s="32">
        <f t="shared" si="129"/>
        <v>0</v>
      </c>
      <c r="ED27" s="31" t="s">
        <v>122</v>
      </c>
      <c r="EF27" s="32">
        <f t="shared" si="99"/>
        <v>0</v>
      </c>
      <c r="EG27" s="32">
        <f t="shared" si="100"/>
        <v>0</v>
      </c>
      <c r="EH27" s="32">
        <f t="shared" si="101"/>
        <v>0</v>
      </c>
      <c r="EI27" s="32">
        <f t="shared" si="102"/>
        <v>0</v>
      </c>
      <c r="EJ27" s="32">
        <f t="shared" si="103"/>
        <v>0</v>
      </c>
      <c r="EK27" s="32">
        <f t="shared" si="104"/>
        <v>0</v>
      </c>
      <c r="EL27" s="32">
        <f t="shared" si="105"/>
        <v>0</v>
      </c>
      <c r="EM27" s="32">
        <f t="shared" si="106"/>
        <v>0</v>
      </c>
      <c r="EN27" s="32">
        <f t="shared" si="107"/>
        <v>0</v>
      </c>
      <c r="EO27" s="32">
        <f t="shared" si="108"/>
        <v>0</v>
      </c>
      <c r="EP27" s="32">
        <f t="shared" si="109"/>
        <v>0</v>
      </c>
      <c r="EQ27" s="32">
        <f t="shared" si="110"/>
        <v>0</v>
      </c>
      <c r="ER27" s="32">
        <f t="shared" si="111"/>
        <v>0</v>
      </c>
      <c r="ES27" s="32">
        <f t="shared" si="112"/>
        <v>0</v>
      </c>
      <c r="ET27" s="32">
        <f t="shared" si="113"/>
        <v>0</v>
      </c>
      <c r="EU27" s="32">
        <f t="shared" si="114"/>
        <v>0</v>
      </c>
      <c r="EV27" s="47">
        <f t="shared" si="115"/>
        <v>0</v>
      </c>
      <c r="EW27" s="47">
        <f t="shared" si="116"/>
        <v>0</v>
      </c>
    </row>
    <row r="28" spans="1:153" x14ac:dyDescent="0.25">
      <c r="A28" s="23">
        <f t="shared" si="2"/>
        <v>0</v>
      </c>
      <c r="B28" s="24"/>
      <c r="D28" s="31" t="s">
        <v>62</v>
      </c>
      <c r="E28" s="27">
        <f>DV36*5</f>
        <v>0</v>
      </c>
      <c r="F28" s="36" t="str">
        <f>IF(DV40=1,"Too many layers!",IF(DV37=1,"Too much padding!",IF(OR(DV38=1,DV39=1),"Illegal combination of layers","")))</f>
        <v/>
      </c>
      <c r="H28" s="21"/>
      <c r="J28" s="32">
        <f t="shared" si="127"/>
        <v>0</v>
      </c>
      <c r="K28" s="32">
        <f t="shared" si="127"/>
        <v>0</v>
      </c>
      <c r="L28" s="32">
        <f t="shared" si="127"/>
        <v>0</v>
      </c>
      <c r="M28" s="32">
        <f t="shared" si="127"/>
        <v>0</v>
      </c>
      <c r="N28" s="32">
        <f t="shared" si="127"/>
        <v>0</v>
      </c>
      <c r="O28" s="32">
        <f t="shared" si="127"/>
        <v>0</v>
      </c>
      <c r="P28" s="32">
        <f t="shared" si="127"/>
        <v>0</v>
      </c>
      <c r="Q28" s="32">
        <f t="shared" si="127"/>
        <v>0</v>
      </c>
      <c r="R28" s="32">
        <f t="shared" si="127"/>
        <v>0</v>
      </c>
      <c r="S28" s="32">
        <f t="shared" si="127"/>
        <v>0</v>
      </c>
      <c r="T28" s="32">
        <f t="shared" si="127"/>
        <v>0</v>
      </c>
      <c r="U28" s="32">
        <f t="shared" si="127"/>
        <v>0</v>
      </c>
      <c r="V28" s="32">
        <f t="shared" si="127"/>
        <v>0</v>
      </c>
      <c r="W28" s="32">
        <f t="shared" si="127"/>
        <v>0</v>
      </c>
      <c r="X28" s="32">
        <f t="shared" si="127"/>
        <v>0</v>
      </c>
      <c r="Y28" s="41">
        <f t="shared" si="4"/>
        <v>0</v>
      </c>
      <c r="Z28" s="42">
        <f t="shared" si="5"/>
        <v>0</v>
      </c>
      <c r="AA28" s="32">
        <f t="shared" si="6"/>
        <v>0</v>
      </c>
      <c r="AB28" s="32">
        <f t="shared" si="7"/>
        <v>0</v>
      </c>
      <c r="AC28" s="32">
        <f t="shared" si="8"/>
        <v>0</v>
      </c>
      <c r="AD28" s="32">
        <f t="shared" si="9"/>
        <v>0</v>
      </c>
      <c r="AE28" s="32">
        <f t="shared" si="10"/>
        <v>0</v>
      </c>
      <c r="AF28" s="32">
        <f t="shared" si="11"/>
        <v>0</v>
      </c>
      <c r="AG28" s="32">
        <f t="shared" si="12"/>
        <v>0</v>
      </c>
      <c r="AH28" s="32">
        <f t="shared" si="13"/>
        <v>0</v>
      </c>
      <c r="AI28" s="32">
        <f t="shared" si="14"/>
        <v>0</v>
      </c>
      <c r="AJ28" s="32">
        <f t="shared" si="15"/>
        <v>0</v>
      </c>
      <c r="AK28" s="32">
        <f t="shared" si="16"/>
        <v>0</v>
      </c>
      <c r="AL28" s="32">
        <f t="shared" si="17"/>
        <v>0</v>
      </c>
      <c r="AM28" s="32">
        <f t="shared" si="18"/>
        <v>0</v>
      </c>
      <c r="AN28" s="32">
        <f t="shared" si="19"/>
        <v>0</v>
      </c>
      <c r="AO28" s="32">
        <f t="shared" si="20"/>
        <v>0</v>
      </c>
      <c r="AP28" s="32">
        <f t="shared" si="21"/>
        <v>0</v>
      </c>
      <c r="AQ28" s="32">
        <f t="shared" si="22"/>
        <v>0</v>
      </c>
      <c r="AR28" s="32">
        <f t="shared" si="23"/>
        <v>0</v>
      </c>
      <c r="AS28" s="32">
        <f t="shared" si="24"/>
        <v>0</v>
      </c>
      <c r="AT28" s="32">
        <f t="shared" si="25"/>
        <v>0</v>
      </c>
      <c r="AU28" s="32">
        <f t="shared" si="26"/>
        <v>0</v>
      </c>
      <c r="AV28" s="32">
        <f t="shared" si="27"/>
        <v>0</v>
      </c>
      <c r="AW28" s="32">
        <f t="shared" si="28"/>
        <v>0</v>
      </c>
      <c r="AX28" s="32">
        <f t="shared" si="29"/>
        <v>0</v>
      </c>
      <c r="AY28" s="32">
        <f t="shared" si="30"/>
        <v>0</v>
      </c>
      <c r="AZ28" s="32">
        <f t="shared" si="31"/>
        <v>0</v>
      </c>
      <c r="BA28" s="32">
        <f t="shared" si="32"/>
        <v>0</v>
      </c>
      <c r="BB28" s="32">
        <f t="shared" si="33"/>
        <v>0</v>
      </c>
      <c r="BC28" s="32">
        <f t="shared" si="34"/>
        <v>0</v>
      </c>
      <c r="BD28" s="32">
        <f t="shared" si="35"/>
        <v>0</v>
      </c>
      <c r="BE28" s="32">
        <f t="shared" si="36"/>
        <v>0</v>
      </c>
      <c r="BF28" s="32">
        <f t="shared" si="37"/>
        <v>0</v>
      </c>
      <c r="BG28" s="32">
        <f t="shared" si="38"/>
        <v>0</v>
      </c>
      <c r="BH28" s="32">
        <f t="shared" si="39"/>
        <v>0</v>
      </c>
      <c r="BI28" s="32">
        <f t="shared" si="40"/>
        <v>0</v>
      </c>
      <c r="BJ28" s="32">
        <f t="shared" si="41"/>
        <v>0</v>
      </c>
      <c r="BK28" s="32">
        <f t="shared" si="42"/>
        <v>0</v>
      </c>
      <c r="BL28" s="32">
        <f t="shared" si="43"/>
        <v>0</v>
      </c>
      <c r="BM28" s="32">
        <f t="shared" si="44"/>
        <v>0</v>
      </c>
      <c r="BN28" s="32">
        <f t="shared" si="45"/>
        <v>0</v>
      </c>
      <c r="BO28" s="32">
        <f t="shared" si="46"/>
        <v>0</v>
      </c>
      <c r="BP28" s="32">
        <f t="shared" si="47"/>
        <v>0</v>
      </c>
      <c r="BQ28" s="32">
        <f t="shared" si="48"/>
        <v>0</v>
      </c>
      <c r="BR28" s="32">
        <f t="shared" si="49"/>
        <v>0</v>
      </c>
      <c r="BS28" s="32">
        <f t="shared" si="50"/>
        <v>0</v>
      </c>
      <c r="BT28" s="32">
        <f t="shared" si="51"/>
        <v>0</v>
      </c>
      <c r="BU28" s="32">
        <f t="shared" si="52"/>
        <v>0</v>
      </c>
      <c r="BV28" s="32">
        <f t="shared" si="53"/>
        <v>0</v>
      </c>
      <c r="BW28" s="32">
        <f t="shared" si="54"/>
        <v>0</v>
      </c>
      <c r="BX28" s="32">
        <f t="shared" si="55"/>
        <v>0</v>
      </c>
      <c r="BY28" s="32">
        <f t="shared" si="56"/>
        <v>0</v>
      </c>
      <c r="BZ28" s="32">
        <f t="shared" si="57"/>
        <v>0</v>
      </c>
      <c r="CA28" s="32">
        <f t="shared" si="58"/>
        <v>0</v>
      </c>
      <c r="CB28" s="32">
        <f t="shared" si="59"/>
        <v>0</v>
      </c>
      <c r="CC28" s="32">
        <f t="shared" si="60"/>
        <v>0</v>
      </c>
      <c r="CD28" s="32">
        <f t="shared" si="61"/>
        <v>0</v>
      </c>
      <c r="CE28" s="32">
        <f t="shared" si="62"/>
        <v>0</v>
      </c>
      <c r="CF28" s="32">
        <f t="shared" si="63"/>
        <v>0</v>
      </c>
      <c r="CG28" s="32">
        <f t="shared" si="64"/>
        <v>0</v>
      </c>
      <c r="CH28" s="32">
        <f t="shared" si="65"/>
        <v>0</v>
      </c>
      <c r="CI28" s="32">
        <f t="shared" si="66"/>
        <v>0</v>
      </c>
      <c r="CJ28" s="32">
        <f t="shared" si="67"/>
        <v>0</v>
      </c>
      <c r="CK28" s="32">
        <f t="shared" si="68"/>
        <v>0</v>
      </c>
      <c r="CL28" s="32">
        <f t="shared" si="69"/>
        <v>0</v>
      </c>
      <c r="CM28" s="32">
        <f t="shared" si="70"/>
        <v>0</v>
      </c>
      <c r="CN28" s="32">
        <f t="shared" si="71"/>
        <v>0</v>
      </c>
      <c r="CO28" s="32">
        <f t="shared" si="72"/>
        <v>0</v>
      </c>
      <c r="CP28" s="32">
        <f t="shared" si="73"/>
        <v>0</v>
      </c>
      <c r="CQ28" s="32">
        <f t="shared" si="74"/>
        <v>0</v>
      </c>
      <c r="CR28" s="32">
        <f t="shared" si="75"/>
        <v>0</v>
      </c>
      <c r="CS28" s="32">
        <f t="shared" si="76"/>
        <v>0</v>
      </c>
      <c r="CT28" s="32">
        <f t="shared" si="77"/>
        <v>0</v>
      </c>
      <c r="CU28" s="32">
        <f t="shared" si="78"/>
        <v>0</v>
      </c>
      <c r="CV28" s="32">
        <f t="shared" si="79"/>
        <v>0</v>
      </c>
      <c r="CW28" s="32">
        <f t="shared" si="80"/>
        <v>0</v>
      </c>
      <c r="CX28" s="32">
        <f t="shared" si="81"/>
        <v>0</v>
      </c>
      <c r="CY28" s="32">
        <f t="shared" si="82"/>
        <v>0</v>
      </c>
      <c r="CZ28" s="32">
        <f t="shared" si="83"/>
        <v>0</v>
      </c>
      <c r="DA28" s="32">
        <f t="shared" si="84"/>
        <v>0</v>
      </c>
      <c r="DB28" s="32">
        <f t="shared" si="85"/>
        <v>0</v>
      </c>
      <c r="DC28" s="32">
        <f t="shared" si="86"/>
        <v>0</v>
      </c>
      <c r="DD28" s="32">
        <f t="shared" si="87"/>
        <v>0</v>
      </c>
      <c r="DE28" s="32">
        <f t="shared" si="88"/>
        <v>0</v>
      </c>
      <c r="DF28" s="32">
        <f t="shared" si="89"/>
        <v>0</v>
      </c>
      <c r="DG28" s="32">
        <f t="shared" si="90"/>
        <v>0</v>
      </c>
      <c r="DH28" s="32">
        <f t="shared" si="91"/>
        <v>0</v>
      </c>
      <c r="DI28" s="32">
        <f t="shared" si="92"/>
        <v>0</v>
      </c>
      <c r="DJ28" s="32">
        <f t="shared" si="93"/>
        <v>0</v>
      </c>
      <c r="DK28" s="32">
        <f t="shared" si="94"/>
        <v>0</v>
      </c>
      <c r="DL28" s="32">
        <f t="shared" si="95"/>
        <v>0</v>
      </c>
      <c r="DM28" s="32">
        <f t="shared" si="96"/>
        <v>0</v>
      </c>
      <c r="DN28" s="32">
        <f t="shared" si="97"/>
        <v>0</v>
      </c>
      <c r="DO28" s="32"/>
      <c r="DX28" s="32"/>
      <c r="DY28" s="32"/>
      <c r="DZ28" s="32"/>
      <c r="EA28" s="32"/>
      <c r="EB28" s="32"/>
      <c r="EC28" s="32"/>
      <c r="EF28" s="32">
        <f t="shared" si="99"/>
        <v>0</v>
      </c>
      <c r="EG28" s="32">
        <f t="shared" si="100"/>
        <v>0</v>
      </c>
      <c r="EH28" s="32">
        <f t="shared" si="101"/>
        <v>0</v>
      </c>
      <c r="EI28" s="32">
        <f t="shared" si="102"/>
        <v>0</v>
      </c>
      <c r="EJ28" s="32">
        <f t="shared" si="103"/>
        <v>0</v>
      </c>
      <c r="EK28" s="32">
        <f t="shared" si="104"/>
        <v>0</v>
      </c>
      <c r="EL28" s="32">
        <f t="shared" si="105"/>
        <v>0</v>
      </c>
      <c r="EM28" s="32">
        <f t="shared" si="106"/>
        <v>0</v>
      </c>
      <c r="EN28" s="32">
        <f t="shared" si="107"/>
        <v>0</v>
      </c>
      <c r="EO28" s="32">
        <f t="shared" si="108"/>
        <v>0</v>
      </c>
      <c r="EP28" s="32">
        <f t="shared" si="109"/>
        <v>0</v>
      </c>
      <c r="EQ28" s="32">
        <f t="shared" si="110"/>
        <v>0</v>
      </c>
      <c r="ER28" s="32">
        <f t="shared" si="111"/>
        <v>0</v>
      </c>
      <c r="ES28" s="32">
        <f t="shared" si="112"/>
        <v>0</v>
      </c>
      <c r="ET28" s="32">
        <f t="shared" si="113"/>
        <v>0</v>
      </c>
      <c r="EU28" s="32">
        <f t="shared" si="114"/>
        <v>0</v>
      </c>
      <c r="EV28" s="47">
        <f t="shared" si="115"/>
        <v>0</v>
      </c>
      <c r="EW28" s="47">
        <f t="shared" si="116"/>
        <v>0</v>
      </c>
    </row>
    <row r="29" spans="1:153" x14ac:dyDescent="0.25">
      <c r="A29" s="23">
        <f t="shared" si="2"/>
        <v>0</v>
      </c>
      <c r="B29" s="24"/>
      <c r="D29" s="31" t="s">
        <v>63</v>
      </c>
      <c r="E29" s="27">
        <f>DW36*5</f>
        <v>0</v>
      </c>
      <c r="F29" s="36" t="str">
        <f>IF(DW40=1,"Too many layers!",IF(DW37=1,"Too much padding!",IF(OR(DW38=1,DW39=1),"Illegal combination of layers","")))</f>
        <v/>
      </c>
      <c r="H29" s="21"/>
      <c r="J29" s="32">
        <f t="shared" si="127"/>
        <v>0</v>
      </c>
      <c r="K29" s="32">
        <f t="shared" si="127"/>
        <v>0</v>
      </c>
      <c r="L29" s="32">
        <f t="shared" si="127"/>
        <v>0</v>
      </c>
      <c r="M29" s="32">
        <f t="shared" si="127"/>
        <v>0</v>
      </c>
      <c r="N29" s="32">
        <f t="shared" si="127"/>
        <v>0</v>
      </c>
      <c r="O29" s="32">
        <f t="shared" si="127"/>
        <v>0</v>
      </c>
      <c r="P29" s="32">
        <f t="shared" si="127"/>
        <v>0</v>
      </c>
      <c r="Q29" s="32">
        <f t="shared" si="127"/>
        <v>0</v>
      </c>
      <c r="R29" s="32">
        <f t="shared" si="127"/>
        <v>0</v>
      </c>
      <c r="S29" s="32">
        <f t="shared" si="127"/>
        <v>0</v>
      </c>
      <c r="T29" s="32">
        <f t="shared" si="127"/>
        <v>0</v>
      </c>
      <c r="U29" s="32">
        <f t="shared" si="127"/>
        <v>0</v>
      </c>
      <c r="V29" s="32">
        <f t="shared" si="127"/>
        <v>0</v>
      </c>
      <c r="W29" s="32">
        <f t="shared" si="127"/>
        <v>0</v>
      </c>
      <c r="X29" s="32">
        <f t="shared" si="127"/>
        <v>0</v>
      </c>
      <c r="Y29" s="41">
        <f t="shared" si="4"/>
        <v>0</v>
      </c>
      <c r="Z29" s="42">
        <f t="shared" si="5"/>
        <v>0</v>
      </c>
      <c r="AA29" s="32">
        <f t="shared" si="6"/>
        <v>0</v>
      </c>
      <c r="AB29" s="32">
        <f t="shared" si="7"/>
        <v>0</v>
      </c>
      <c r="AC29" s="32">
        <f t="shared" si="8"/>
        <v>0</v>
      </c>
      <c r="AD29" s="32">
        <f t="shared" si="9"/>
        <v>0</v>
      </c>
      <c r="AE29" s="32">
        <f t="shared" si="10"/>
        <v>0</v>
      </c>
      <c r="AF29" s="32">
        <f t="shared" si="11"/>
        <v>0</v>
      </c>
      <c r="AG29" s="32">
        <f t="shared" si="12"/>
        <v>0</v>
      </c>
      <c r="AH29" s="32">
        <f t="shared" si="13"/>
        <v>0</v>
      </c>
      <c r="AI29" s="32">
        <f t="shared" si="14"/>
        <v>0</v>
      </c>
      <c r="AJ29" s="32">
        <f t="shared" si="15"/>
        <v>0</v>
      </c>
      <c r="AK29" s="32">
        <f t="shared" si="16"/>
        <v>0</v>
      </c>
      <c r="AL29" s="32">
        <f t="shared" si="17"/>
        <v>0</v>
      </c>
      <c r="AM29" s="32">
        <f t="shared" si="18"/>
        <v>0</v>
      </c>
      <c r="AN29" s="32">
        <f t="shared" si="19"/>
        <v>0</v>
      </c>
      <c r="AO29" s="32">
        <f t="shared" si="20"/>
        <v>0</v>
      </c>
      <c r="AP29" s="32">
        <f t="shared" si="21"/>
        <v>0</v>
      </c>
      <c r="AQ29" s="32">
        <f t="shared" si="22"/>
        <v>0</v>
      </c>
      <c r="AR29" s="32">
        <f t="shared" si="23"/>
        <v>0</v>
      </c>
      <c r="AS29" s="32">
        <f t="shared" si="24"/>
        <v>0</v>
      </c>
      <c r="AT29" s="32">
        <f t="shared" si="25"/>
        <v>0</v>
      </c>
      <c r="AU29" s="32">
        <f t="shared" si="26"/>
        <v>0</v>
      </c>
      <c r="AV29" s="32">
        <f t="shared" si="27"/>
        <v>0</v>
      </c>
      <c r="AW29" s="32">
        <f t="shared" si="28"/>
        <v>0</v>
      </c>
      <c r="AX29" s="32">
        <f t="shared" si="29"/>
        <v>0</v>
      </c>
      <c r="AY29" s="32">
        <f t="shared" si="30"/>
        <v>0</v>
      </c>
      <c r="AZ29" s="32">
        <f t="shared" si="31"/>
        <v>0</v>
      </c>
      <c r="BA29" s="32">
        <f t="shared" si="32"/>
        <v>0</v>
      </c>
      <c r="BB29" s="32">
        <f t="shared" si="33"/>
        <v>0</v>
      </c>
      <c r="BC29" s="32">
        <f t="shared" si="34"/>
        <v>0</v>
      </c>
      <c r="BD29" s="32">
        <f t="shared" si="35"/>
        <v>0</v>
      </c>
      <c r="BE29" s="32">
        <f t="shared" si="36"/>
        <v>0</v>
      </c>
      <c r="BF29" s="32">
        <f t="shared" si="37"/>
        <v>0</v>
      </c>
      <c r="BG29" s="32">
        <f t="shared" si="38"/>
        <v>0</v>
      </c>
      <c r="BH29" s="32">
        <f t="shared" si="39"/>
        <v>0</v>
      </c>
      <c r="BI29" s="32">
        <f t="shared" si="40"/>
        <v>0</v>
      </c>
      <c r="BJ29" s="32">
        <f t="shared" si="41"/>
        <v>0</v>
      </c>
      <c r="BK29" s="32">
        <f t="shared" si="42"/>
        <v>0</v>
      </c>
      <c r="BL29" s="32">
        <f t="shared" si="43"/>
        <v>0</v>
      </c>
      <c r="BM29" s="32">
        <f t="shared" si="44"/>
        <v>0</v>
      </c>
      <c r="BN29" s="32">
        <f t="shared" si="45"/>
        <v>0</v>
      </c>
      <c r="BO29" s="32">
        <f t="shared" si="46"/>
        <v>0</v>
      </c>
      <c r="BP29" s="32">
        <f t="shared" si="47"/>
        <v>0</v>
      </c>
      <c r="BQ29" s="32">
        <f t="shared" si="48"/>
        <v>0</v>
      </c>
      <c r="BR29" s="32">
        <f t="shared" si="49"/>
        <v>0</v>
      </c>
      <c r="BS29" s="32">
        <f t="shared" si="50"/>
        <v>0</v>
      </c>
      <c r="BT29" s="32">
        <f t="shared" si="51"/>
        <v>0</v>
      </c>
      <c r="BU29" s="32">
        <f t="shared" si="52"/>
        <v>0</v>
      </c>
      <c r="BV29" s="32">
        <f t="shared" si="53"/>
        <v>0</v>
      </c>
      <c r="BW29" s="32">
        <f t="shared" si="54"/>
        <v>0</v>
      </c>
      <c r="BX29" s="32">
        <f t="shared" si="55"/>
        <v>0</v>
      </c>
      <c r="BY29" s="32">
        <f t="shared" si="56"/>
        <v>0</v>
      </c>
      <c r="BZ29" s="32">
        <f t="shared" si="57"/>
        <v>0</v>
      </c>
      <c r="CA29" s="32">
        <f t="shared" si="58"/>
        <v>0</v>
      </c>
      <c r="CB29" s="32">
        <f t="shared" si="59"/>
        <v>0</v>
      </c>
      <c r="CC29" s="32">
        <f t="shared" si="60"/>
        <v>0</v>
      </c>
      <c r="CD29" s="32">
        <f t="shared" si="61"/>
        <v>0</v>
      </c>
      <c r="CE29" s="32">
        <f t="shared" si="62"/>
        <v>0</v>
      </c>
      <c r="CF29" s="32">
        <f t="shared" si="63"/>
        <v>0</v>
      </c>
      <c r="CG29" s="32">
        <f t="shared" si="64"/>
        <v>0</v>
      </c>
      <c r="CH29" s="32">
        <f t="shared" si="65"/>
        <v>0</v>
      </c>
      <c r="CI29" s="32">
        <f t="shared" si="66"/>
        <v>0</v>
      </c>
      <c r="CJ29" s="32">
        <f t="shared" si="67"/>
        <v>0</v>
      </c>
      <c r="CK29" s="32">
        <f t="shared" si="68"/>
        <v>0</v>
      </c>
      <c r="CL29" s="32">
        <f t="shared" si="69"/>
        <v>0</v>
      </c>
      <c r="CM29" s="32">
        <f t="shared" si="70"/>
        <v>0</v>
      </c>
      <c r="CN29" s="32">
        <f t="shared" si="71"/>
        <v>0</v>
      </c>
      <c r="CO29" s="32">
        <f t="shared" si="72"/>
        <v>0</v>
      </c>
      <c r="CP29" s="32">
        <f t="shared" si="73"/>
        <v>0</v>
      </c>
      <c r="CQ29" s="32">
        <f t="shared" si="74"/>
        <v>0</v>
      </c>
      <c r="CR29" s="32">
        <f t="shared" si="75"/>
        <v>0</v>
      </c>
      <c r="CS29" s="32">
        <f t="shared" si="76"/>
        <v>0</v>
      </c>
      <c r="CT29" s="32">
        <f t="shared" si="77"/>
        <v>0</v>
      </c>
      <c r="CU29" s="32">
        <f t="shared" si="78"/>
        <v>0</v>
      </c>
      <c r="CV29" s="32">
        <f t="shared" si="79"/>
        <v>0</v>
      </c>
      <c r="CW29" s="32">
        <f t="shared" si="80"/>
        <v>0</v>
      </c>
      <c r="CX29" s="32">
        <f t="shared" si="81"/>
        <v>0</v>
      </c>
      <c r="CY29" s="32">
        <f t="shared" si="82"/>
        <v>0</v>
      </c>
      <c r="CZ29" s="32">
        <f t="shared" si="83"/>
        <v>0</v>
      </c>
      <c r="DA29" s="32">
        <f t="shared" si="84"/>
        <v>0</v>
      </c>
      <c r="DB29" s="32">
        <f t="shared" si="85"/>
        <v>0</v>
      </c>
      <c r="DC29" s="32">
        <f t="shared" si="86"/>
        <v>0</v>
      </c>
      <c r="DD29" s="32">
        <f t="shared" si="87"/>
        <v>0</v>
      </c>
      <c r="DE29" s="32">
        <f t="shared" si="88"/>
        <v>0</v>
      </c>
      <c r="DF29" s="32">
        <f t="shared" si="89"/>
        <v>0</v>
      </c>
      <c r="DG29" s="32">
        <f t="shared" si="90"/>
        <v>0</v>
      </c>
      <c r="DH29" s="32">
        <f t="shared" si="91"/>
        <v>0</v>
      </c>
      <c r="DI29" s="32">
        <f t="shared" si="92"/>
        <v>0</v>
      </c>
      <c r="DJ29" s="32">
        <f t="shared" si="93"/>
        <v>0</v>
      </c>
      <c r="DK29" s="32">
        <f t="shared" si="94"/>
        <v>0</v>
      </c>
      <c r="DL29" s="32">
        <f t="shared" si="95"/>
        <v>0</v>
      </c>
      <c r="DM29" s="32">
        <f t="shared" si="96"/>
        <v>0</v>
      </c>
      <c r="DN29" s="32">
        <f t="shared" si="97"/>
        <v>0</v>
      </c>
      <c r="DO29" s="32"/>
      <c r="DR29" s="32"/>
      <c r="DS29" s="32"/>
      <c r="DT29" s="32" t="s">
        <v>124</v>
      </c>
      <c r="DU29" s="32" t="s">
        <v>125</v>
      </c>
      <c r="DV29" s="32" t="s">
        <v>126</v>
      </c>
      <c r="DW29" s="32" t="s">
        <v>105</v>
      </c>
      <c r="DX29" s="32" t="s">
        <v>123</v>
      </c>
      <c r="DZ29" s="32" t="s">
        <v>127</v>
      </c>
      <c r="EA29" s="32"/>
      <c r="EB29" s="32"/>
      <c r="EF29" s="32">
        <f t="shared" si="99"/>
        <v>0</v>
      </c>
      <c r="EG29" s="32">
        <f t="shared" si="100"/>
        <v>0</v>
      </c>
      <c r="EH29" s="32">
        <f t="shared" si="101"/>
        <v>0</v>
      </c>
      <c r="EI29" s="32">
        <f t="shared" si="102"/>
        <v>0</v>
      </c>
      <c r="EJ29" s="32">
        <f t="shared" si="103"/>
        <v>0</v>
      </c>
      <c r="EK29" s="32">
        <f t="shared" si="104"/>
        <v>0</v>
      </c>
      <c r="EL29" s="32">
        <f t="shared" si="105"/>
        <v>0</v>
      </c>
      <c r="EM29" s="32">
        <f t="shared" si="106"/>
        <v>0</v>
      </c>
      <c r="EN29" s="32">
        <f t="shared" si="107"/>
        <v>0</v>
      </c>
      <c r="EO29" s="32">
        <f t="shared" si="108"/>
        <v>0</v>
      </c>
      <c r="EP29" s="32">
        <f t="shared" si="109"/>
        <v>0</v>
      </c>
      <c r="EQ29" s="32">
        <f t="shared" si="110"/>
        <v>0</v>
      </c>
      <c r="ER29" s="32">
        <f t="shared" si="111"/>
        <v>0</v>
      </c>
      <c r="ES29" s="32">
        <f t="shared" si="112"/>
        <v>0</v>
      </c>
      <c r="ET29" s="32">
        <f t="shared" si="113"/>
        <v>0</v>
      </c>
      <c r="EU29" s="32">
        <f t="shared" si="114"/>
        <v>0</v>
      </c>
      <c r="EV29" s="47">
        <f t="shared" si="115"/>
        <v>0</v>
      </c>
      <c r="EW29" s="47">
        <f t="shared" si="116"/>
        <v>0</v>
      </c>
    </row>
    <row r="30" spans="1:153" x14ac:dyDescent="0.25">
      <c r="A30" s="23">
        <f t="shared" si="2"/>
        <v>0</v>
      </c>
      <c r="B30" s="24"/>
      <c r="H30" s="21"/>
      <c r="J30" s="32">
        <f t="shared" si="127"/>
        <v>0</v>
      </c>
      <c r="K30" s="32">
        <f t="shared" si="127"/>
        <v>0</v>
      </c>
      <c r="L30" s="32">
        <f t="shared" si="127"/>
        <v>0</v>
      </c>
      <c r="M30" s="32">
        <f t="shared" si="127"/>
        <v>0</v>
      </c>
      <c r="N30" s="32">
        <f t="shared" si="127"/>
        <v>0</v>
      </c>
      <c r="O30" s="32">
        <f t="shared" si="127"/>
        <v>0</v>
      </c>
      <c r="P30" s="32">
        <f t="shared" si="127"/>
        <v>0</v>
      </c>
      <c r="Q30" s="32">
        <f t="shared" si="127"/>
        <v>0</v>
      </c>
      <c r="R30" s="32">
        <f t="shared" si="127"/>
        <v>0</v>
      </c>
      <c r="S30" s="32">
        <f t="shared" si="127"/>
        <v>0</v>
      </c>
      <c r="T30" s="32">
        <f t="shared" si="127"/>
        <v>0</v>
      </c>
      <c r="U30" s="32">
        <f t="shared" si="127"/>
        <v>0</v>
      </c>
      <c r="V30" s="32">
        <f t="shared" si="127"/>
        <v>0</v>
      </c>
      <c r="W30" s="32">
        <f t="shared" si="127"/>
        <v>0</v>
      </c>
      <c r="X30" s="32">
        <f t="shared" si="127"/>
        <v>0</v>
      </c>
      <c r="Y30" s="41">
        <f t="shared" si="4"/>
        <v>0</v>
      </c>
      <c r="Z30" s="42">
        <f t="shared" si="5"/>
        <v>0</v>
      </c>
      <c r="AA30" s="32">
        <f t="shared" si="6"/>
        <v>0</v>
      </c>
      <c r="AB30" s="32">
        <f t="shared" si="7"/>
        <v>0</v>
      </c>
      <c r="AC30" s="32">
        <f t="shared" si="8"/>
        <v>0</v>
      </c>
      <c r="AD30" s="32">
        <f t="shared" si="9"/>
        <v>0</v>
      </c>
      <c r="AE30" s="32">
        <f t="shared" si="10"/>
        <v>0</v>
      </c>
      <c r="AF30" s="32">
        <f t="shared" si="11"/>
        <v>0</v>
      </c>
      <c r="AG30" s="32">
        <f t="shared" si="12"/>
        <v>0</v>
      </c>
      <c r="AH30" s="32">
        <f t="shared" si="13"/>
        <v>0</v>
      </c>
      <c r="AI30" s="32">
        <f t="shared" si="14"/>
        <v>0</v>
      </c>
      <c r="AJ30" s="32">
        <f t="shared" si="15"/>
        <v>0</v>
      </c>
      <c r="AK30" s="32">
        <f t="shared" si="16"/>
        <v>0</v>
      </c>
      <c r="AL30" s="32">
        <f t="shared" si="17"/>
        <v>0</v>
      </c>
      <c r="AM30" s="32">
        <f t="shared" si="18"/>
        <v>0</v>
      </c>
      <c r="AN30" s="32">
        <f t="shared" si="19"/>
        <v>0</v>
      </c>
      <c r="AO30" s="32">
        <f t="shared" si="20"/>
        <v>0</v>
      </c>
      <c r="AP30" s="32">
        <f t="shared" si="21"/>
        <v>0</v>
      </c>
      <c r="AQ30" s="32">
        <f t="shared" si="22"/>
        <v>0</v>
      </c>
      <c r="AR30" s="32">
        <f t="shared" si="23"/>
        <v>0</v>
      </c>
      <c r="AS30" s="32">
        <f t="shared" si="24"/>
        <v>0</v>
      </c>
      <c r="AT30" s="32">
        <f t="shared" si="25"/>
        <v>0</v>
      </c>
      <c r="AU30" s="32">
        <f t="shared" si="26"/>
        <v>0</v>
      </c>
      <c r="AV30" s="32">
        <f t="shared" si="27"/>
        <v>0</v>
      </c>
      <c r="AW30" s="32">
        <f t="shared" si="28"/>
        <v>0</v>
      </c>
      <c r="AX30" s="32">
        <f t="shared" si="29"/>
        <v>0</v>
      </c>
      <c r="AY30" s="32">
        <f t="shared" si="30"/>
        <v>0</v>
      </c>
      <c r="AZ30" s="32">
        <f t="shared" si="31"/>
        <v>0</v>
      </c>
      <c r="BA30" s="32">
        <f t="shared" si="32"/>
        <v>0</v>
      </c>
      <c r="BB30" s="32">
        <f t="shared" si="33"/>
        <v>0</v>
      </c>
      <c r="BC30" s="32">
        <f t="shared" si="34"/>
        <v>0</v>
      </c>
      <c r="BD30" s="32">
        <f t="shared" si="35"/>
        <v>0</v>
      </c>
      <c r="BE30" s="32">
        <f t="shared" si="36"/>
        <v>0</v>
      </c>
      <c r="BF30" s="32">
        <f t="shared" si="37"/>
        <v>0</v>
      </c>
      <c r="BG30" s="32">
        <f t="shared" si="38"/>
        <v>0</v>
      </c>
      <c r="BH30" s="32">
        <f t="shared" si="39"/>
        <v>0</v>
      </c>
      <c r="BI30" s="32">
        <f t="shared" si="40"/>
        <v>0</v>
      </c>
      <c r="BJ30" s="32">
        <f t="shared" si="41"/>
        <v>0</v>
      </c>
      <c r="BK30" s="32">
        <f t="shared" si="42"/>
        <v>0</v>
      </c>
      <c r="BL30" s="32">
        <f t="shared" si="43"/>
        <v>0</v>
      </c>
      <c r="BM30" s="32">
        <f t="shared" si="44"/>
        <v>0</v>
      </c>
      <c r="BN30" s="32">
        <f t="shared" si="45"/>
        <v>0</v>
      </c>
      <c r="BO30" s="32">
        <f t="shared" si="46"/>
        <v>0</v>
      </c>
      <c r="BP30" s="32">
        <f t="shared" si="47"/>
        <v>0</v>
      </c>
      <c r="BQ30" s="32">
        <f t="shared" si="48"/>
        <v>0</v>
      </c>
      <c r="BR30" s="32">
        <f t="shared" si="49"/>
        <v>0</v>
      </c>
      <c r="BS30" s="32">
        <f t="shared" si="50"/>
        <v>0</v>
      </c>
      <c r="BT30" s="32">
        <f t="shared" si="51"/>
        <v>0</v>
      </c>
      <c r="BU30" s="32">
        <f t="shared" si="52"/>
        <v>0</v>
      </c>
      <c r="BV30" s="32">
        <f t="shared" si="53"/>
        <v>0</v>
      </c>
      <c r="BW30" s="32">
        <f t="shared" si="54"/>
        <v>0</v>
      </c>
      <c r="BX30" s="32">
        <f t="shared" si="55"/>
        <v>0</v>
      </c>
      <c r="BY30" s="32">
        <f t="shared" si="56"/>
        <v>0</v>
      </c>
      <c r="BZ30" s="32">
        <f t="shared" si="57"/>
        <v>0</v>
      </c>
      <c r="CA30" s="32">
        <f t="shared" si="58"/>
        <v>0</v>
      </c>
      <c r="CB30" s="32">
        <f t="shared" si="59"/>
        <v>0</v>
      </c>
      <c r="CC30" s="32">
        <f t="shared" si="60"/>
        <v>0</v>
      </c>
      <c r="CD30" s="32">
        <f t="shared" si="61"/>
        <v>0</v>
      </c>
      <c r="CE30" s="32">
        <f t="shared" si="62"/>
        <v>0</v>
      </c>
      <c r="CF30" s="32">
        <f t="shared" si="63"/>
        <v>0</v>
      </c>
      <c r="CG30" s="32">
        <f t="shared" si="64"/>
        <v>0</v>
      </c>
      <c r="CH30" s="32">
        <f t="shared" si="65"/>
        <v>0</v>
      </c>
      <c r="CI30" s="32">
        <f t="shared" si="66"/>
        <v>0</v>
      </c>
      <c r="CJ30" s="32">
        <f t="shared" si="67"/>
        <v>0</v>
      </c>
      <c r="CK30" s="32">
        <f t="shared" si="68"/>
        <v>0</v>
      </c>
      <c r="CL30" s="32">
        <f t="shared" si="69"/>
        <v>0</v>
      </c>
      <c r="CM30" s="32">
        <f t="shared" si="70"/>
        <v>0</v>
      </c>
      <c r="CN30" s="32">
        <f t="shared" si="71"/>
        <v>0</v>
      </c>
      <c r="CO30" s="32">
        <f t="shared" si="72"/>
        <v>0</v>
      </c>
      <c r="CP30" s="32">
        <f t="shared" si="73"/>
        <v>0</v>
      </c>
      <c r="CQ30" s="32">
        <f t="shared" si="74"/>
        <v>0</v>
      </c>
      <c r="CR30" s="32">
        <f t="shared" si="75"/>
        <v>0</v>
      </c>
      <c r="CS30" s="32">
        <f t="shared" si="76"/>
        <v>0</v>
      </c>
      <c r="CT30" s="32">
        <f t="shared" si="77"/>
        <v>0</v>
      </c>
      <c r="CU30" s="32">
        <f t="shared" si="78"/>
        <v>0</v>
      </c>
      <c r="CV30" s="32">
        <f t="shared" si="79"/>
        <v>0</v>
      </c>
      <c r="CW30" s="32">
        <f t="shared" si="80"/>
        <v>0</v>
      </c>
      <c r="CX30" s="32">
        <f t="shared" si="81"/>
        <v>0</v>
      </c>
      <c r="CY30" s="32">
        <f t="shared" si="82"/>
        <v>0</v>
      </c>
      <c r="CZ30" s="32">
        <f t="shared" si="83"/>
        <v>0</v>
      </c>
      <c r="DA30" s="32">
        <f t="shared" si="84"/>
        <v>0</v>
      </c>
      <c r="DB30" s="32">
        <f t="shared" si="85"/>
        <v>0</v>
      </c>
      <c r="DC30" s="32">
        <f t="shared" si="86"/>
        <v>0</v>
      </c>
      <c r="DD30" s="32">
        <f t="shared" si="87"/>
        <v>0</v>
      </c>
      <c r="DE30" s="32">
        <f t="shared" si="88"/>
        <v>0</v>
      </c>
      <c r="DF30" s="32">
        <f t="shared" si="89"/>
        <v>0</v>
      </c>
      <c r="DG30" s="32">
        <f t="shared" si="90"/>
        <v>0</v>
      </c>
      <c r="DH30" s="32">
        <f t="shared" si="91"/>
        <v>0</v>
      </c>
      <c r="DI30" s="32">
        <f t="shared" si="92"/>
        <v>0</v>
      </c>
      <c r="DJ30" s="32">
        <f t="shared" si="93"/>
        <v>0</v>
      </c>
      <c r="DK30" s="32">
        <f t="shared" si="94"/>
        <v>0</v>
      </c>
      <c r="DL30" s="32">
        <f t="shared" si="95"/>
        <v>0</v>
      </c>
      <c r="DM30" s="32">
        <f t="shared" si="96"/>
        <v>0</v>
      </c>
      <c r="DN30" s="32">
        <f t="shared" si="97"/>
        <v>0</v>
      </c>
      <c r="DO30" s="32"/>
      <c r="DR30" s="49" t="s">
        <v>109</v>
      </c>
      <c r="DS30" s="32"/>
      <c r="DT30" s="32">
        <f>MAX(DO14:DQ14)</f>
        <v>2.5</v>
      </c>
      <c r="DU30" s="32">
        <f>MAX(DR14:DV14)</f>
        <v>3.5</v>
      </c>
      <c r="DV30" s="32">
        <f>MAX(DW14:DY14)</f>
        <v>4.5</v>
      </c>
      <c r="DW30" s="32">
        <f>MAX(DZ14:EC14)</f>
        <v>4.5</v>
      </c>
      <c r="DX30" s="32"/>
      <c r="DY30" s="32"/>
      <c r="DZ30" s="32"/>
      <c r="EA30" s="32">
        <f>SUM(DR9:DV9)+SUM(DR12:DV12)+DV11+DV10</f>
        <v>0</v>
      </c>
      <c r="EB30" s="50" t="s">
        <v>128</v>
      </c>
      <c r="EC30" s="32"/>
      <c r="EF30" s="32">
        <f t="shared" si="99"/>
        <v>0</v>
      </c>
      <c r="EG30" s="32">
        <f t="shared" si="100"/>
        <v>0</v>
      </c>
      <c r="EH30" s="32">
        <f t="shared" si="101"/>
        <v>0</v>
      </c>
      <c r="EI30" s="32">
        <f t="shared" si="102"/>
        <v>0</v>
      </c>
      <c r="EJ30" s="32">
        <f t="shared" si="103"/>
        <v>0</v>
      </c>
      <c r="EK30" s="32">
        <f t="shared" si="104"/>
        <v>0</v>
      </c>
      <c r="EL30" s="32">
        <f t="shared" si="105"/>
        <v>0</v>
      </c>
      <c r="EM30" s="32">
        <f t="shared" si="106"/>
        <v>0</v>
      </c>
      <c r="EN30" s="32">
        <f t="shared" si="107"/>
        <v>0</v>
      </c>
      <c r="EO30" s="32">
        <f t="shared" si="108"/>
        <v>0</v>
      </c>
      <c r="EP30" s="32">
        <f t="shared" si="109"/>
        <v>0</v>
      </c>
      <c r="EQ30" s="32">
        <f t="shared" si="110"/>
        <v>0</v>
      </c>
      <c r="ER30" s="32">
        <f t="shared" si="111"/>
        <v>0</v>
      </c>
      <c r="ES30" s="32">
        <f t="shared" si="112"/>
        <v>0</v>
      </c>
      <c r="ET30" s="32">
        <f t="shared" si="113"/>
        <v>0</v>
      </c>
      <c r="EU30" s="32">
        <f t="shared" si="114"/>
        <v>0</v>
      </c>
      <c r="EV30" s="47">
        <f t="shared" si="115"/>
        <v>0</v>
      </c>
      <c r="EW30" s="47">
        <f t="shared" si="116"/>
        <v>0</v>
      </c>
    </row>
    <row r="31" spans="1:153" x14ac:dyDescent="0.25">
      <c r="A31" s="23">
        <f t="shared" si="2"/>
        <v>0</v>
      </c>
      <c r="B31" s="24"/>
      <c r="H31" s="21"/>
      <c r="J31" s="32">
        <f t="shared" si="127"/>
        <v>0</v>
      </c>
      <c r="K31" s="32">
        <f t="shared" si="127"/>
        <v>0</v>
      </c>
      <c r="L31" s="32">
        <f t="shared" si="127"/>
        <v>0</v>
      </c>
      <c r="M31" s="32">
        <f t="shared" si="127"/>
        <v>0</v>
      </c>
      <c r="N31" s="32">
        <f t="shared" si="127"/>
        <v>0</v>
      </c>
      <c r="O31" s="32">
        <f t="shared" si="127"/>
        <v>0</v>
      </c>
      <c r="P31" s="32">
        <f t="shared" si="127"/>
        <v>0</v>
      </c>
      <c r="Q31" s="32">
        <f t="shared" si="127"/>
        <v>0</v>
      </c>
      <c r="R31" s="32">
        <f t="shared" si="127"/>
        <v>0</v>
      </c>
      <c r="S31" s="32">
        <f t="shared" si="127"/>
        <v>0</v>
      </c>
      <c r="T31" s="32">
        <f t="shared" si="127"/>
        <v>0</v>
      </c>
      <c r="U31" s="32">
        <f t="shared" si="127"/>
        <v>0</v>
      </c>
      <c r="V31" s="32">
        <f t="shared" si="127"/>
        <v>0</v>
      </c>
      <c r="W31" s="32">
        <f t="shared" si="127"/>
        <v>0</v>
      </c>
      <c r="X31" s="32">
        <f t="shared" si="127"/>
        <v>0</v>
      </c>
      <c r="Y31" s="41">
        <f t="shared" si="4"/>
        <v>0</v>
      </c>
      <c r="Z31" s="42">
        <f t="shared" si="5"/>
        <v>0</v>
      </c>
      <c r="AA31" s="32">
        <f t="shared" si="6"/>
        <v>0</v>
      </c>
      <c r="AB31" s="32">
        <f t="shared" si="7"/>
        <v>0</v>
      </c>
      <c r="AC31" s="32">
        <f t="shared" si="8"/>
        <v>0</v>
      </c>
      <c r="AD31" s="32">
        <f t="shared" si="9"/>
        <v>0</v>
      </c>
      <c r="AE31" s="32">
        <f t="shared" si="10"/>
        <v>0</v>
      </c>
      <c r="AF31" s="32">
        <f t="shared" si="11"/>
        <v>0</v>
      </c>
      <c r="AG31" s="32">
        <f t="shared" si="12"/>
        <v>0</v>
      </c>
      <c r="AH31" s="32">
        <f t="shared" si="13"/>
        <v>0</v>
      </c>
      <c r="AI31" s="32">
        <f t="shared" si="14"/>
        <v>0</v>
      </c>
      <c r="AJ31" s="32">
        <f t="shared" si="15"/>
        <v>0</v>
      </c>
      <c r="AK31" s="32">
        <f t="shared" si="16"/>
        <v>0</v>
      </c>
      <c r="AL31" s="32">
        <f t="shared" si="17"/>
        <v>0</v>
      </c>
      <c r="AM31" s="32">
        <f t="shared" si="18"/>
        <v>0</v>
      </c>
      <c r="AN31" s="32">
        <f t="shared" si="19"/>
        <v>0</v>
      </c>
      <c r="AO31" s="32">
        <f t="shared" si="20"/>
        <v>0</v>
      </c>
      <c r="AP31" s="32">
        <f t="shared" si="21"/>
        <v>0</v>
      </c>
      <c r="AQ31" s="32">
        <f t="shared" si="22"/>
        <v>0</v>
      </c>
      <c r="AR31" s="32">
        <f t="shared" si="23"/>
        <v>0</v>
      </c>
      <c r="AS31" s="32">
        <f t="shared" si="24"/>
        <v>0</v>
      </c>
      <c r="AT31" s="32">
        <f t="shared" si="25"/>
        <v>0</v>
      </c>
      <c r="AU31" s="32">
        <f t="shared" si="26"/>
        <v>0</v>
      </c>
      <c r="AV31" s="32">
        <f t="shared" si="27"/>
        <v>0</v>
      </c>
      <c r="AW31" s="32">
        <f t="shared" si="28"/>
        <v>0</v>
      </c>
      <c r="AX31" s="32">
        <f t="shared" si="29"/>
        <v>0</v>
      </c>
      <c r="AY31" s="32">
        <f t="shared" si="30"/>
        <v>0</v>
      </c>
      <c r="AZ31" s="32">
        <f t="shared" si="31"/>
        <v>0</v>
      </c>
      <c r="BA31" s="32">
        <f t="shared" si="32"/>
        <v>0</v>
      </c>
      <c r="BB31" s="32">
        <f t="shared" si="33"/>
        <v>0</v>
      </c>
      <c r="BC31" s="32">
        <f t="shared" si="34"/>
        <v>0</v>
      </c>
      <c r="BD31" s="32">
        <f t="shared" si="35"/>
        <v>0</v>
      </c>
      <c r="BE31" s="32">
        <f t="shared" si="36"/>
        <v>0</v>
      </c>
      <c r="BF31" s="32">
        <f t="shared" si="37"/>
        <v>0</v>
      </c>
      <c r="BG31" s="32">
        <f t="shared" si="38"/>
        <v>0</v>
      </c>
      <c r="BH31" s="32">
        <f t="shared" si="39"/>
        <v>0</v>
      </c>
      <c r="BI31" s="32">
        <f t="shared" si="40"/>
        <v>0</v>
      </c>
      <c r="BJ31" s="32">
        <f t="shared" si="41"/>
        <v>0</v>
      </c>
      <c r="BK31" s="32">
        <f t="shared" si="42"/>
        <v>0</v>
      </c>
      <c r="BL31" s="32">
        <f t="shared" si="43"/>
        <v>0</v>
      </c>
      <c r="BM31" s="32">
        <f t="shared" si="44"/>
        <v>0</v>
      </c>
      <c r="BN31" s="32">
        <f t="shared" si="45"/>
        <v>0</v>
      </c>
      <c r="BO31" s="32">
        <f t="shared" si="46"/>
        <v>0</v>
      </c>
      <c r="BP31" s="32">
        <f t="shared" si="47"/>
        <v>0</v>
      </c>
      <c r="BQ31" s="32">
        <f t="shared" si="48"/>
        <v>0</v>
      </c>
      <c r="BR31" s="32">
        <f t="shared" si="49"/>
        <v>0</v>
      </c>
      <c r="BS31" s="32">
        <f t="shared" si="50"/>
        <v>0</v>
      </c>
      <c r="BT31" s="32">
        <f t="shared" si="51"/>
        <v>0</v>
      </c>
      <c r="BU31" s="32">
        <f t="shared" si="52"/>
        <v>0</v>
      </c>
      <c r="BV31" s="32">
        <f t="shared" si="53"/>
        <v>0</v>
      </c>
      <c r="BW31" s="32">
        <f t="shared" si="54"/>
        <v>0</v>
      </c>
      <c r="BX31" s="32">
        <f t="shared" si="55"/>
        <v>0</v>
      </c>
      <c r="BY31" s="32">
        <f t="shared" si="56"/>
        <v>0</v>
      </c>
      <c r="BZ31" s="32">
        <f t="shared" si="57"/>
        <v>0</v>
      </c>
      <c r="CA31" s="32">
        <f t="shared" si="58"/>
        <v>0</v>
      </c>
      <c r="CB31" s="32">
        <f t="shared" si="59"/>
        <v>0</v>
      </c>
      <c r="CC31" s="32">
        <f t="shared" si="60"/>
        <v>0</v>
      </c>
      <c r="CD31" s="32">
        <f t="shared" si="61"/>
        <v>0</v>
      </c>
      <c r="CE31" s="32">
        <f t="shared" si="62"/>
        <v>0</v>
      </c>
      <c r="CF31" s="32">
        <f t="shared" si="63"/>
        <v>0</v>
      </c>
      <c r="CG31" s="32">
        <f t="shared" si="64"/>
        <v>0</v>
      </c>
      <c r="CH31" s="32">
        <f t="shared" si="65"/>
        <v>0</v>
      </c>
      <c r="CI31" s="32">
        <f t="shared" si="66"/>
        <v>0</v>
      </c>
      <c r="CJ31" s="32">
        <f t="shared" si="67"/>
        <v>0</v>
      </c>
      <c r="CK31" s="32">
        <f t="shared" si="68"/>
        <v>0</v>
      </c>
      <c r="CL31" s="32">
        <f t="shared" si="69"/>
        <v>0</v>
      </c>
      <c r="CM31" s="32">
        <f t="shared" si="70"/>
        <v>0</v>
      </c>
      <c r="CN31" s="32">
        <f t="shared" si="71"/>
        <v>0</v>
      </c>
      <c r="CO31" s="32">
        <f t="shared" si="72"/>
        <v>0</v>
      </c>
      <c r="CP31" s="32">
        <f t="shared" si="73"/>
        <v>0</v>
      </c>
      <c r="CQ31" s="32">
        <f t="shared" si="74"/>
        <v>0</v>
      </c>
      <c r="CR31" s="32">
        <f t="shared" si="75"/>
        <v>0</v>
      </c>
      <c r="CS31" s="32">
        <f t="shared" si="76"/>
        <v>0</v>
      </c>
      <c r="CT31" s="32">
        <f t="shared" si="77"/>
        <v>0</v>
      </c>
      <c r="CU31" s="32">
        <f t="shared" si="78"/>
        <v>0</v>
      </c>
      <c r="CV31" s="32">
        <f t="shared" si="79"/>
        <v>0</v>
      </c>
      <c r="CW31" s="32">
        <f t="shared" si="80"/>
        <v>0</v>
      </c>
      <c r="CX31" s="32">
        <f t="shared" si="81"/>
        <v>0</v>
      </c>
      <c r="CY31" s="32">
        <f t="shared" si="82"/>
        <v>0</v>
      </c>
      <c r="CZ31" s="32">
        <f t="shared" si="83"/>
        <v>0</v>
      </c>
      <c r="DA31" s="32">
        <f t="shared" si="84"/>
        <v>0</v>
      </c>
      <c r="DB31" s="32">
        <f t="shared" si="85"/>
        <v>0</v>
      </c>
      <c r="DC31" s="32">
        <f t="shared" si="86"/>
        <v>0</v>
      </c>
      <c r="DD31" s="32">
        <f t="shared" si="87"/>
        <v>0</v>
      </c>
      <c r="DE31" s="32">
        <f t="shared" si="88"/>
        <v>0</v>
      </c>
      <c r="DF31" s="32">
        <f t="shared" si="89"/>
        <v>0</v>
      </c>
      <c r="DG31" s="32">
        <f t="shared" si="90"/>
        <v>0</v>
      </c>
      <c r="DH31" s="32">
        <f t="shared" si="91"/>
        <v>0</v>
      </c>
      <c r="DI31" s="32">
        <f t="shared" si="92"/>
        <v>0</v>
      </c>
      <c r="DJ31" s="32">
        <f t="shared" si="93"/>
        <v>0</v>
      </c>
      <c r="DK31" s="32">
        <f t="shared" si="94"/>
        <v>0</v>
      </c>
      <c r="DL31" s="32">
        <f t="shared" si="95"/>
        <v>0</v>
      </c>
      <c r="DM31" s="32">
        <f t="shared" si="96"/>
        <v>0</v>
      </c>
      <c r="DN31" s="32">
        <f t="shared" si="97"/>
        <v>0</v>
      </c>
      <c r="DO31" s="32"/>
      <c r="DR31" s="49" t="s">
        <v>129</v>
      </c>
      <c r="DS31" s="32"/>
      <c r="DT31" s="32">
        <f>MAX(DO15:DQ15)</f>
        <v>1</v>
      </c>
      <c r="DU31" s="32">
        <f>MAX(DR15:DV15)</f>
        <v>1</v>
      </c>
      <c r="DV31" s="32">
        <f>MAX(DW15:DY15)</f>
        <v>1</v>
      </c>
      <c r="DW31" s="32">
        <f>MAX(DZ15:EC15)</f>
        <v>1</v>
      </c>
      <c r="DX31" s="32">
        <v>5</v>
      </c>
      <c r="DY31" s="32">
        <f>IF(MAX(DT31:DW31)&gt;DX31,1,0)</f>
        <v>0</v>
      </c>
      <c r="DZ31" s="32">
        <v>3</v>
      </c>
      <c r="EA31" s="32"/>
      <c r="EB31" s="32"/>
      <c r="EC31" s="32"/>
      <c r="EF31" s="32">
        <f t="shared" si="99"/>
        <v>0</v>
      </c>
      <c r="EG31" s="32">
        <f t="shared" si="100"/>
        <v>0</v>
      </c>
      <c r="EH31" s="32">
        <f t="shared" si="101"/>
        <v>0</v>
      </c>
      <c r="EI31" s="32">
        <f t="shared" si="102"/>
        <v>0</v>
      </c>
      <c r="EJ31" s="32">
        <f t="shared" si="103"/>
        <v>0</v>
      </c>
      <c r="EK31" s="32">
        <f t="shared" si="104"/>
        <v>0</v>
      </c>
      <c r="EL31" s="32">
        <f t="shared" si="105"/>
        <v>0</v>
      </c>
      <c r="EM31" s="32">
        <f t="shared" si="106"/>
        <v>0</v>
      </c>
      <c r="EN31" s="32">
        <f t="shared" si="107"/>
        <v>0</v>
      </c>
      <c r="EO31" s="32">
        <f t="shared" si="108"/>
        <v>0</v>
      </c>
      <c r="EP31" s="32">
        <f t="shared" si="109"/>
        <v>0</v>
      </c>
      <c r="EQ31" s="32">
        <f t="shared" si="110"/>
        <v>0</v>
      </c>
      <c r="ER31" s="32">
        <f t="shared" si="111"/>
        <v>0</v>
      </c>
      <c r="ES31" s="32">
        <f t="shared" si="112"/>
        <v>0</v>
      </c>
      <c r="ET31" s="32">
        <f t="shared" si="113"/>
        <v>0</v>
      </c>
      <c r="EU31" s="32">
        <f t="shared" si="114"/>
        <v>0</v>
      </c>
      <c r="EV31" s="47">
        <f t="shared" si="115"/>
        <v>0</v>
      </c>
      <c r="EW31" s="47">
        <f t="shared" si="116"/>
        <v>0</v>
      </c>
    </row>
    <row r="32" spans="1:153" x14ac:dyDescent="0.25">
      <c r="A32" s="23">
        <f t="shared" si="2"/>
        <v>0</v>
      </c>
      <c r="B32" s="24"/>
      <c r="H32" s="21"/>
      <c r="J32" s="32">
        <f t="shared" si="127"/>
        <v>0</v>
      </c>
      <c r="K32" s="32">
        <f t="shared" si="127"/>
        <v>0</v>
      </c>
      <c r="L32" s="32">
        <f t="shared" si="127"/>
        <v>0</v>
      </c>
      <c r="M32" s="32">
        <f t="shared" si="127"/>
        <v>0</v>
      </c>
      <c r="N32" s="32">
        <f t="shared" si="127"/>
        <v>0</v>
      </c>
      <c r="O32" s="32">
        <f t="shared" si="127"/>
        <v>0</v>
      </c>
      <c r="P32" s="32">
        <f t="shared" si="127"/>
        <v>0</v>
      </c>
      <c r="Q32" s="32">
        <f t="shared" si="127"/>
        <v>0</v>
      </c>
      <c r="R32" s="32">
        <f t="shared" si="127"/>
        <v>0</v>
      </c>
      <c r="S32" s="32">
        <f t="shared" si="127"/>
        <v>0</v>
      </c>
      <c r="T32" s="32">
        <f t="shared" si="127"/>
        <v>0</v>
      </c>
      <c r="U32" s="32">
        <f t="shared" si="127"/>
        <v>0</v>
      </c>
      <c r="V32" s="32">
        <f t="shared" si="127"/>
        <v>0</v>
      </c>
      <c r="W32" s="32">
        <f t="shared" si="127"/>
        <v>0</v>
      </c>
      <c r="X32" s="32">
        <f t="shared" si="127"/>
        <v>0</v>
      </c>
      <c r="Y32" s="41">
        <f t="shared" si="4"/>
        <v>0</v>
      </c>
      <c r="Z32" s="42">
        <f t="shared" si="5"/>
        <v>0</v>
      </c>
      <c r="AA32" s="32">
        <f t="shared" si="6"/>
        <v>0</v>
      </c>
      <c r="AB32" s="32">
        <f t="shared" si="7"/>
        <v>0</v>
      </c>
      <c r="AC32" s="32">
        <f t="shared" si="8"/>
        <v>0</v>
      </c>
      <c r="AD32" s="32">
        <f t="shared" si="9"/>
        <v>0</v>
      </c>
      <c r="AE32" s="32">
        <f t="shared" si="10"/>
        <v>0</v>
      </c>
      <c r="AF32" s="32">
        <f t="shared" si="11"/>
        <v>0</v>
      </c>
      <c r="AG32" s="32">
        <f t="shared" si="12"/>
        <v>0</v>
      </c>
      <c r="AH32" s="32">
        <f t="shared" si="13"/>
        <v>0</v>
      </c>
      <c r="AI32" s="32">
        <f t="shared" si="14"/>
        <v>0</v>
      </c>
      <c r="AJ32" s="32">
        <f t="shared" si="15"/>
        <v>0</v>
      </c>
      <c r="AK32" s="32">
        <f t="shared" si="16"/>
        <v>0</v>
      </c>
      <c r="AL32" s="32">
        <f t="shared" si="17"/>
        <v>0</v>
      </c>
      <c r="AM32" s="32">
        <f t="shared" si="18"/>
        <v>0</v>
      </c>
      <c r="AN32" s="32">
        <f t="shared" si="19"/>
        <v>0</v>
      </c>
      <c r="AO32" s="32">
        <f t="shared" si="20"/>
        <v>0</v>
      </c>
      <c r="AP32" s="32">
        <f t="shared" si="21"/>
        <v>0</v>
      </c>
      <c r="AQ32" s="32">
        <f t="shared" si="22"/>
        <v>0</v>
      </c>
      <c r="AR32" s="32">
        <f t="shared" si="23"/>
        <v>0</v>
      </c>
      <c r="AS32" s="32">
        <f t="shared" si="24"/>
        <v>0</v>
      </c>
      <c r="AT32" s="32">
        <f t="shared" si="25"/>
        <v>0</v>
      </c>
      <c r="AU32" s="32">
        <f t="shared" si="26"/>
        <v>0</v>
      </c>
      <c r="AV32" s="32">
        <f t="shared" si="27"/>
        <v>0</v>
      </c>
      <c r="AW32" s="32">
        <f t="shared" si="28"/>
        <v>0</v>
      </c>
      <c r="AX32" s="32">
        <f t="shared" si="29"/>
        <v>0</v>
      </c>
      <c r="AY32" s="32">
        <f t="shared" si="30"/>
        <v>0</v>
      </c>
      <c r="AZ32" s="32">
        <f t="shared" si="31"/>
        <v>0</v>
      </c>
      <c r="BA32" s="32">
        <f t="shared" si="32"/>
        <v>0</v>
      </c>
      <c r="BB32" s="32">
        <f t="shared" si="33"/>
        <v>0</v>
      </c>
      <c r="BC32" s="32">
        <f t="shared" si="34"/>
        <v>0</v>
      </c>
      <c r="BD32" s="32">
        <f t="shared" si="35"/>
        <v>0</v>
      </c>
      <c r="BE32" s="32">
        <f t="shared" si="36"/>
        <v>0</v>
      </c>
      <c r="BF32" s="32">
        <f t="shared" si="37"/>
        <v>0</v>
      </c>
      <c r="BG32" s="32">
        <f t="shared" si="38"/>
        <v>0</v>
      </c>
      <c r="BH32" s="32">
        <f t="shared" si="39"/>
        <v>0</v>
      </c>
      <c r="BI32" s="32">
        <f t="shared" si="40"/>
        <v>0</v>
      </c>
      <c r="BJ32" s="32">
        <f t="shared" si="41"/>
        <v>0</v>
      </c>
      <c r="BK32" s="32">
        <f t="shared" si="42"/>
        <v>0</v>
      </c>
      <c r="BL32" s="32">
        <f t="shared" si="43"/>
        <v>0</v>
      </c>
      <c r="BM32" s="32">
        <f t="shared" si="44"/>
        <v>0</v>
      </c>
      <c r="BN32" s="32">
        <f t="shared" si="45"/>
        <v>0</v>
      </c>
      <c r="BO32" s="32">
        <f t="shared" si="46"/>
        <v>0</v>
      </c>
      <c r="BP32" s="32">
        <f t="shared" si="47"/>
        <v>0</v>
      </c>
      <c r="BQ32" s="32">
        <f t="shared" si="48"/>
        <v>0</v>
      </c>
      <c r="BR32" s="32">
        <f t="shared" si="49"/>
        <v>0</v>
      </c>
      <c r="BS32" s="32">
        <f t="shared" si="50"/>
        <v>0</v>
      </c>
      <c r="BT32" s="32">
        <f t="shared" si="51"/>
        <v>0</v>
      </c>
      <c r="BU32" s="32">
        <f t="shared" si="52"/>
        <v>0</v>
      </c>
      <c r="BV32" s="32">
        <f t="shared" si="53"/>
        <v>0</v>
      </c>
      <c r="BW32" s="32">
        <f t="shared" si="54"/>
        <v>0</v>
      </c>
      <c r="BX32" s="32">
        <f t="shared" si="55"/>
        <v>0</v>
      </c>
      <c r="BY32" s="32">
        <f t="shared" si="56"/>
        <v>0</v>
      </c>
      <c r="BZ32" s="32">
        <f t="shared" si="57"/>
        <v>0</v>
      </c>
      <c r="CA32" s="32">
        <f t="shared" si="58"/>
        <v>0</v>
      </c>
      <c r="CB32" s="32">
        <f t="shared" si="59"/>
        <v>0</v>
      </c>
      <c r="CC32" s="32">
        <f t="shared" si="60"/>
        <v>0</v>
      </c>
      <c r="CD32" s="32">
        <f t="shared" si="61"/>
        <v>0</v>
      </c>
      <c r="CE32" s="32">
        <f t="shared" si="62"/>
        <v>0</v>
      </c>
      <c r="CF32" s="32">
        <f t="shared" si="63"/>
        <v>0</v>
      </c>
      <c r="CG32" s="32">
        <f t="shared" si="64"/>
        <v>0</v>
      </c>
      <c r="CH32" s="32">
        <f t="shared" si="65"/>
        <v>0</v>
      </c>
      <c r="CI32" s="32">
        <f t="shared" si="66"/>
        <v>0</v>
      </c>
      <c r="CJ32" s="32">
        <f t="shared" si="67"/>
        <v>0</v>
      </c>
      <c r="CK32" s="32">
        <f t="shared" si="68"/>
        <v>0</v>
      </c>
      <c r="CL32" s="32">
        <f t="shared" si="69"/>
        <v>0</v>
      </c>
      <c r="CM32" s="32">
        <f t="shared" si="70"/>
        <v>0</v>
      </c>
      <c r="CN32" s="32">
        <f t="shared" si="71"/>
        <v>0</v>
      </c>
      <c r="CO32" s="32">
        <f t="shared" si="72"/>
        <v>0</v>
      </c>
      <c r="CP32" s="32">
        <f t="shared" si="73"/>
        <v>0</v>
      </c>
      <c r="CQ32" s="32">
        <f t="shared" si="74"/>
        <v>0</v>
      </c>
      <c r="CR32" s="32">
        <f t="shared" si="75"/>
        <v>0</v>
      </c>
      <c r="CS32" s="32">
        <f t="shared" si="76"/>
        <v>0</v>
      </c>
      <c r="CT32" s="32">
        <f t="shared" si="77"/>
        <v>0</v>
      </c>
      <c r="CU32" s="32">
        <f t="shared" si="78"/>
        <v>0</v>
      </c>
      <c r="CV32" s="32">
        <f t="shared" si="79"/>
        <v>0</v>
      </c>
      <c r="CW32" s="32">
        <f t="shared" si="80"/>
        <v>0</v>
      </c>
      <c r="CX32" s="32">
        <f t="shared" si="81"/>
        <v>0</v>
      </c>
      <c r="CY32" s="32">
        <f t="shared" si="82"/>
        <v>0</v>
      </c>
      <c r="CZ32" s="32">
        <f t="shared" si="83"/>
        <v>0</v>
      </c>
      <c r="DA32" s="32">
        <f t="shared" si="84"/>
        <v>0</v>
      </c>
      <c r="DB32" s="32">
        <f t="shared" si="85"/>
        <v>0</v>
      </c>
      <c r="DC32" s="32">
        <f t="shared" si="86"/>
        <v>0</v>
      </c>
      <c r="DD32" s="32">
        <f t="shared" si="87"/>
        <v>0</v>
      </c>
      <c r="DE32" s="32">
        <f t="shared" si="88"/>
        <v>0</v>
      </c>
      <c r="DF32" s="32">
        <f t="shared" si="89"/>
        <v>0</v>
      </c>
      <c r="DG32" s="32">
        <f t="shared" si="90"/>
        <v>0</v>
      </c>
      <c r="DH32" s="32">
        <f t="shared" si="91"/>
        <v>0</v>
      </c>
      <c r="DI32" s="32">
        <f t="shared" si="92"/>
        <v>0</v>
      </c>
      <c r="DJ32" s="32">
        <f t="shared" si="93"/>
        <v>0</v>
      </c>
      <c r="DK32" s="32">
        <f t="shared" si="94"/>
        <v>0</v>
      </c>
      <c r="DL32" s="32">
        <f t="shared" si="95"/>
        <v>0</v>
      </c>
      <c r="DM32" s="32">
        <f t="shared" si="96"/>
        <v>0</v>
      </c>
      <c r="DN32" s="32">
        <f t="shared" si="97"/>
        <v>0</v>
      </c>
      <c r="DO32" s="32"/>
      <c r="DR32" s="49" t="s">
        <v>130</v>
      </c>
      <c r="DS32" s="32"/>
      <c r="DT32" s="32">
        <f>MAX(DO16:DQ16)</f>
        <v>1</v>
      </c>
      <c r="DU32" s="32">
        <f>MAX(DR16:DV16)</f>
        <v>0</v>
      </c>
      <c r="DV32" s="32">
        <f>MAX(DW16:DY16)</f>
        <v>0</v>
      </c>
      <c r="DW32" s="32">
        <f>MAX(DZ16:EC16)</f>
        <v>0</v>
      </c>
      <c r="DX32" s="32">
        <v>2</v>
      </c>
      <c r="DY32" s="32">
        <f>IF(MAX(DT32:DW32)&gt;DX32,1,0)</f>
        <v>0</v>
      </c>
      <c r="DZ32" s="32"/>
      <c r="EA32" s="32"/>
      <c r="EB32" s="32"/>
      <c r="EC32" s="32"/>
      <c r="EF32" s="32">
        <f t="shared" si="99"/>
        <v>0</v>
      </c>
      <c r="EG32" s="32">
        <f t="shared" si="100"/>
        <v>0</v>
      </c>
      <c r="EH32" s="32">
        <f t="shared" si="101"/>
        <v>0</v>
      </c>
      <c r="EI32" s="32">
        <f t="shared" si="102"/>
        <v>0</v>
      </c>
      <c r="EJ32" s="32">
        <f t="shared" si="103"/>
        <v>0</v>
      </c>
      <c r="EK32" s="32">
        <f t="shared" si="104"/>
        <v>0</v>
      </c>
      <c r="EL32" s="32">
        <f t="shared" si="105"/>
        <v>0</v>
      </c>
      <c r="EM32" s="32">
        <f t="shared" si="106"/>
        <v>0</v>
      </c>
      <c r="EN32" s="32">
        <f t="shared" si="107"/>
        <v>0</v>
      </c>
      <c r="EO32" s="32">
        <f t="shared" si="108"/>
        <v>0</v>
      </c>
      <c r="EP32" s="32">
        <f t="shared" si="109"/>
        <v>0</v>
      </c>
      <c r="EQ32" s="32">
        <f t="shared" si="110"/>
        <v>0</v>
      </c>
      <c r="ER32" s="32">
        <f t="shared" si="111"/>
        <v>0</v>
      </c>
      <c r="ES32" s="32">
        <f t="shared" si="112"/>
        <v>0</v>
      </c>
      <c r="ET32" s="32">
        <f t="shared" si="113"/>
        <v>0</v>
      </c>
      <c r="EU32" s="32">
        <f t="shared" si="114"/>
        <v>0</v>
      </c>
      <c r="EV32" s="47">
        <f t="shared" si="115"/>
        <v>0</v>
      </c>
      <c r="EW32" s="47">
        <f t="shared" si="116"/>
        <v>0</v>
      </c>
    </row>
    <row r="33" spans="1:129" x14ac:dyDescent="0.25">
      <c r="A33" s="37"/>
      <c r="B33" s="38"/>
      <c r="C33" s="38"/>
      <c r="D33" s="38"/>
      <c r="E33" s="38"/>
      <c r="F33" s="38"/>
      <c r="G33" s="38"/>
      <c r="H33" s="39"/>
      <c r="DR33" s="49" t="s">
        <v>125</v>
      </c>
      <c r="DS33" s="32"/>
      <c r="DT33" s="32">
        <f>MAX(DO17:DQ17)</f>
        <v>1</v>
      </c>
      <c r="DU33" s="32">
        <f>MAX(DR18:DV18)</f>
        <v>1</v>
      </c>
      <c r="DV33" s="32">
        <f>MAX(DW18:DY18)</f>
        <v>1</v>
      </c>
      <c r="DW33" s="32">
        <f>MAX(DZ19:EC19)</f>
        <v>1</v>
      </c>
      <c r="DX33" s="32">
        <v>1</v>
      </c>
      <c r="DY33" s="32">
        <f>IF(MAX(DT33:DW33)&gt;DX33,1,0)</f>
        <v>0</v>
      </c>
    </row>
    <row r="34" spans="1:129" x14ac:dyDescent="0.25">
      <c r="DR34" s="49" t="s">
        <v>28</v>
      </c>
      <c r="DS34" s="32"/>
      <c r="DT34" s="32">
        <v>0</v>
      </c>
      <c r="DU34" s="32">
        <f>MAX(DR21:DV21)</f>
        <v>0</v>
      </c>
      <c r="DV34" s="32">
        <f>MAX(DW20:DY20)</f>
        <v>0</v>
      </c>
      <c r="DW34" s="32">
        <f>MAX(DZ22:EC22)</f>
        <v>1</v>
      </c>
      <c r="DX34" s="32">
        <v>1</v>
      </c>
      <c r="DY34" s="32">
        <f>IF(MAX(DT34:DW34)&gt;DX34,1,0)</f>
        <v>0</v>
      </c>
    </row>
    <row r="35" spans="1:129" x14ac:dyDescent="0.25">
      <c r="DR35" s="49" t="s">
        <v>131</v>
      </c>
      <c r="DS35" s="32"/>
      <c r="DT35" s="32">
        <v>0</v>
      </c>
      <c r="DU35" s="32">
        <f>MAX(DR22:DV22)</f>
        <v>0</v>
      </c>
      <c r="DV35" s="32">
        <v>0</v>
      </c>
      <c r="DW35" s="32">
        <v>0</v>
      </c>
      <c r="DX35" s="32">
        <v>1</v>
      </c>
      <c r="DY35" s="32">
        <f>IF(MAX(DT35:DW35)&gt;DX35,1,0)</f>
        <v>0</v>
      </c>
    </row>
    <row r="36" spans="1:129" x14ac:dyDescent="0.25">
      <c r="DR36" s="49" t="s">
        <v>132</v>
      </c>
      <c r="DT36" s="32">
        <f>IF(DT31&gt;$DZ$31,1,0)+MAX(DO27:DQ27)</f>
        <v>0</v>
      </c>
      <c r="DU36" s="32">
        <f>IF(DU31&gt;$DZ$31,1,0)+MAX(DS27:DV27)</f>
        <v>0</v>
      </c>
      <c r="DV36" s="32">
        <f>IF(DV31&gt;$DZ$31,1,0)+MAX(DW27:DY27)</f>
        <v>0</v>
      </c>
      <c r="DW36" s="32">
        <f>IF(DW31&gt;$DZ$31,1,0)+MAX(DZ27:EC27)</f>
        <v>0</v>
      </c>
      <c r="DY36" s="51">
        <f>SUM(DO26:EC26)+SUM(DY31:DY35)</f>
        <v>0</v>
      </c>
    </row>
    <row r="37" spans="1:129" x14ac:dyDescent="0.25">
      <c r="DR37" s="49" t="s">
        <v>129</v>
      </c>
      <c r="DT37" s="32">
        <f>IF(DT31&gt;$DX$31,1,0)</f>
        <v>0</v>
      </c>
      <c r="DU37" s="32">
        <f>IF(DU31&gt;$DX$31,1,0)</f>
        <v>0</v>
      </c>
      <c r="DV37" s="32">
        <f>IF(DV31&gt;$DX$31,1,0)</f>
        <v>0</v>
      </c>
      <c r="DW37" s="32">
        <f>IF(DW31&gt;$DX$31,1,0)</f>
        <v>0</v>
      </c>
    </row>
    <row r="38" spans="1:129" x14ac:dyDescent="0.25">
      <c r="DR38" s="49" t="s">
        <v>130</v>
      </c>
      <c r="DT38" s="32">
        <f>IF(DT32&gt;$DX$32,1,0)</f>
        <v>0</v>
      </c>
      <c r="DU38" s="32">
        <f>IF(DU32&gt;$DX$32,1,0)</f>
        <v>0</v>
      </c>
      <c r="DV38" s="32">
        <f>IF(DV32&gt;$DX$32,1,0)</f>
        <v>0</v>
      </c>
      <c r="DW38" s="32">
        <f>IF(DW32&gt;$DX$32,1,0)</f>
        <v>0</v>
      </c>
    </row>
    <row r="39" spans="1:129" x14ac:dyDescent="0.25">
      <c r="DR39" s="49" t="s">
        <v>133</v>
      </c>
      <c r="DT39" s="32">
        <f>IF(OR(DT33&gt;$DX$33,DT34&gt;$DX$34,DT35&gt;$DX$35),1,0)</f>
        <v>0</v>
      </c>
      <c r="DU39" s="32">
        <f>IF(OR(DU33&gt;$DX$33,DU34&gt;$DX$34,DU35&gt;$DX$35),1,0)</f>
        <v>0</v>
      </c>
      <c r="DV39" s="32">
        <f>IF(OR(DV33&gt;$DX$33,DV34&gt;$DX$34,DV35&gt;$DX$35),1,0)</f>
        <v>0</v>
      </c>
      <c r="DW39" s="32">
        <f>IF(OR(DW33&gt;$DX$33,DW34&gt;$DX$34,DW35&gt;$DX$35),1,0)</f>
        <v>0</v>
      </c>
    </row>
    <row r="40" spans="1:129" x14ac:dyDescent="0.25">
      <c r="DR40" s="49" t="s">
        <v>109</v>
      </c>
      <c r="DT40" s="32">
        <f>IF(SUM(DO26:DQ26)=0,0,1)</f>
        <v>0</v>
      </c>
      <c r="DU40" s="32">
        <f>IF(SUM(DR26:DV26)=0,0,1)</f>
        <v>0</v>
      </c>
      <c r="DV40" s="32">
        <f>IF(SUM(DW26:DY26)=0,0,1)</f>
        <v>0</v>
      </c>
      <c r="DW40" s="32">
        <f>IF(SUM(DZ26:EC26)=0,0,1)</f>
        <v>0</v>
      </c>
    </row>
  </sheetData>
  <mergeCells count="46">
    <mergeCell ref="EF3:EH3"/>
    <mergeCell ref="EI3:EM3"/>
    <mergeCell ref="EN3:EP3"/>
    <mergeCell ref="EQ3:ET3"/>
    <mergeCell ref="C4:G4"/>
    <mergeCell ref="DK3:DN3"/>
    <mergeCell ref="DO3:DQ3"/>
    <mergeCell ref="DR3:DV3"/>
    <mergeCell ref="DW3:DY3"/>
    <mergeCell ref="DZ3:EC3"/>
    <mergeCell ref="CS3:CU3"/>
    <mergeCell ref="CV3:CY3"/>
    <mergeCell ref="CZ3:DB3"/>
    <mergeCell ref="DC3:DG3"/>
    <mergeCell ref="DH3:DJ3"/>
    <mergeCell ref="BY3:CC3"/>
    <mergeCell ref="CD3:CF3"/>
    <mergeCell ref="CG3:CJ3"/>
    <mergeCell ref="CK3:CM3"/>
    <mergeCell ref="CN3:CR3"/>
    <mergeCell ref="BG3:BI3"/>
    <mergeCell ref="BJ3:BN3"/>
    <mergeCell ref="BO3:BQ3"/>
    <mergeCell ref="BR3:BU3"/>
    <mergeCell ref="BV3:BX3"/>
    <mergeCell ref="CZ2:DN2"/>
    <mergeCell ref="DO2:EC2"/>
    <mergeCell ref="EF2:ET2"/>
    <mergeCell ref="C3:G3"/>
    <mergeCell ref="J3:L3"/>
    <mergeCell ref="M3:Q3"/>
    <mergeCell ref="R3:T3"/>
    <mergeCell ref="U3:X3"/>
    <mergeCell ref="AC3:AE3"/>
    <mergeCell ref="AF3:AJ3"/>
    <mergeCell ref="AK3:AM3"/>
    <mergeCell ref="AN3:AQ3"/>
    <mergeCell ref="AR3:AT3"/>
    <mergeCell ref="AU3:AY3"/>
    <mergeCell ref="AZ3:BB3"/>
    <mergeCell ref="BC3:BF3"/>
    <mergeCell ref="AC2:AQ2"/>
    <mergeCell ref="AR2:BF2"/>
    <mergeCell ref="BG2:BU2"/>
    <mergeCell ref="BV2:CJ2"/>
    <mergeCell ref="CK2:CY2"/>
  </mergeCells>
  <conditionalFormatting sqref="C4:G4">
    <cfRule type="expression" dxfId="32" priority="2">
      <formula>$DY$36=0</formula>
    </cfRule>
  </conditionalFormatting>
  <conditionalFormatting sqref="E9:F23">
    <cfRule type="expression" dxfId="31" priority="3">
      <formula>$H9=2</formula>
    </cfRule>
    <cfRule type="expression" dxfId="30" priority="4">
      <formula>$H9=3</formula>
    </cfRule>
    <cfRule type="expression" dxfId="29" priority="5">
      <formula>$H9=4</formula>
    </cfRule>
  </conditionalFormatting>
  <conditionalFormatting sqref="E17:F20">
    <cfRule type="expression" dxfId="28" priority="6">
      <formula>$H17=1</formula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'Item Builder'!$A$4:$A$551</xm:f>
          </x14:formula1>
          <x14:formula2>
            <xm:f>0</xm:f>
          </x14:formula2>
          <xm:sqref>B5:B32</xm:sqref>
        </x14:dataValidation>
        <x14:dataValidation type="list" allowBlank="1" showInputMessage="1" showErrorMessage="1" xr:uid="{00000000-0002-0000-0100-000001000000}">
          <x14:formula1>
            <xm:f>Tables!$W$15:$W$16</xm:f>
          </x14:formula1>
          <x14:formula2>
            <xm:f>0</xm:f>
          </x14:formula2>
          <xm:sqref>G25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251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7109375" defaultRowHeight="15" x14ac:dyDescent="0.25"/>
  <cols>
    <col min="1" max="1" width="32.7109375" customWidth="1"/>
    <col min="2" max="16" width="4.7109375" style="31" customWidth="1"/>
    <col min="17" max="17" width="8.7109375" style="52"/>
    <col min="18" max="18" width="7.7109375" style="53" customWidth="1"/>
    <col min="19" max="20" width="6.7109375" style="54" customWidth="1"/>
    <col min="21" max="21" width="5.7109375" style="31" customWidth="1"/>
    <col min="22" max="22" width="9.7109375" style="31" customWidth="1"/>
    <col min="23" max="23" width="6.7109375" style="31" customWidth="1"/>
    <col min="24" max="38" width="4.7109375" hidden="1" customWidth="1"/>
    <col min="39" max="39" width="9.140625" hidden="1" customWidth="1"/>
    <col min="40" max="54" width="4.7109375" hidden="1" customWidth="1"/>
    <col min="55" max="58" width="9.140625" hidden="1" customWidth="1"/>
    <col min="59" max="73" width="4.7109375" hidden="1" customWidth="1"/>
    <col min="74" max="88" width="5.7109375" hidden="1" customWidth="1"/>
    <col min="89" max="118" width="6.7109375" hidden="1" customWidth="1"/>
    <col min="119" max="148" width="5.7109375" hidden="1" customWidth="1"/>
    <col min="149" max="149" width="9.140625" hidden="1" customWidth="1"/>
    <col min="150" max="164" width="4.7109375" hidden="1" customWidth="1"/>
    <col min="165" max="171" width="9.140625" customWidth="1"/>
  </cols>
  <sheetData>
    <row r="1" spans="1:172" ht="18.75" x14ac:dyDescent="0.3">
      <c r="A1" s="55" t="s">
        <v>134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U1" s="56"/>
      <c r="V1" s="56"/>
      <c r="W1" s="57"/>
      <c r="X1" s="43">
        <v>0.04</v>
      </c>
      <c r="Y1" s="43">
        <v>0.03</v>
      </c>
      <c r="Z1" s="43">
        <v>0.02</v>
      </c>
      <c r="AA1" s="43">
        <v>0.03</v>
      </c>
      <c r="AB1" s="43">
        <v>0.06</v>
      </c>
      <c r="AC1" s="43">
        <v>0.02</v>
      </c>
      <c r="AD1" s="43">
        <v>0.05</v>
      </c>
      <c r="AE1" s="43">
        <v>0.05</v>
      </c>
      <c r="AF1" s="43">
        <v>0.12</v>
      </c>
      <c r="AG1" s="43">
        <v>0.12</v>
      </c>
      <c r="AH1" s="43">
        <v>0.1</v>
      </c>
      <c r="AI1" s="43">
        <v>0.14000000000000001</v>
      </c>
      <c r="AJ1" s="43">
        <v>0.03</v>
      </c>
      <c r="AK1" s="43">
        <v>0.12</v>
      </c>
      <c r="AL1" s="43">
        <v>7.0000000000000007E-2</v>
      </c>
      <c r="AN1" s="7" t="s">
        <v>135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G1" s="7" t="s">
        <v>90</v>
      </c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 t="s">
        <v>136</v>
      </c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59">
        <v>0.5</v>
      </c>
      <c r="CL1" s="59">
        <v>0.5</v>
      </c>
      <c r="CM1" s="59">
        <v>0.5</v>
      </c>
      <c r="CN1" s="59">
        <v>1.5</v>
      </c>
      <c r="CO1" s="59">
        <v>1.75</v>
      </c>
      <c r="CP1" s="59">
        <v>2</v>
      </c>
      <c r="CQ1" s="59">
        <v>2</v>
      </c>
      <c r="CR1" s="59">
        <v>1.5</v>
      </c>
      <c r="CS1" s="59">
        <v>0.7</v>
      </c>
      <c r="CT1" s="59">
        <v>0.4</v>
      </c>
      <c r="CU1" s="59">
        <v>1</v>
      </c>
      <c r="CV1" s="59">
        <v>1.25</v>
      </c>
      <c r="CW1" s="59">
        <v>1.25</v>
      </c>
      <c r="CX1" s="59">
        <v>1.25</v>
      </c>
      <c r="CY1" s="59">
        <v>0.75</v>
      </c>
      <c r="CZ1" s="60">
        <v>1.5</v>
      </c>
      <c r="DA1" s="7" t="s">
        <v>93</v>
      </c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58"/>
      <c r="DO1" s="7" t="s">
        <v>137</v>
      </c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 t="s">
        <v>138</v>
      </c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T1" s="11" t="s">
        <v>139</v>
      </c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</row>
    <row r="2" spans="1:172" x14ac:dyDescent="0.25">
      <c r="B2" s="6" t="s">
        <v>60</v>
      </c>
      <c r="C2" s="6"/>
      <c r="D2" s="6"/>
      <c r="E2" s="6" t="s">
        <v>61</v>
      </c>
      <c r="F2" s="6"/>
      <c r="G2" s="6"/>
      <c r="H2" s="6"/>
      <c r="I2" s="6"/>
      <c r="J2" s="6" t="s">
        <v>62</v>
      </c>
      <c r="K2" s="6"/>
      <c r="L2" s="6"/>
      <c r="M2" s="5" t="s">
        <v>63</v>
      </c>
      <c r="N2" s="5"/>
      <c r="O2" s="5"/>
      <c r="P2" s="5"/>
      <c r="S2" s="61">
        <v>12</v>
      </c>
      <c r="X2" s="9" t="s">
        <v>60</v>
      </c>
      <c r="Y2" s="9"/>
      <c r="Z2" s="9"/>
      <c r="AA2" s="9" t="s">
        <v>61</v>
      </c>
      <c r="AB2" s="9"/>
      <c r="AC2" s="9"/>
      <c r="AD2" s="9"/>
      <c r="AE2" s="9"/>
      <c r="AF2" s="9" t="s">
        <v>62</v>
      </c>
      <c r="AG2" s="9"/>
      <c r="AH2" s="9"/>
      <c r="AI2" s="8" t="s">
        <v>63</v>
      </c>
      <c r="AJ2" s="8"/>
      <c r="AK2" s="8"/>
      <c r="AL2" s="8"/>
      <c r="AM2" s="31" t="s">
        <v>109</v>
      </c>
      <c r="AN2" s="9" t="s">
        <v>60</v>
      </c>
      <c r="AO2" s="9"/>
      <c r="AP2" s="9"/>
      <c r="AQ2" s="9" t="s">
        <v>61</v>
      </c>
      <c r="AR2" s="9"/>
      <c r="AS2" s="9"/>
      <c r="AT2" s="9"/>
      <c r="AU2" s="9"/>
      <c r="AV2" s="9" t="s">
        <v>62</v>
      </c>
      <c r="AW2" s="9"/>
      <c r="AX2" s="9"/>
      <c r="AY2" s="8" t="s">
        <v>63</v>
      </c>
      <c r="AZ2" s="8"/>
      <c r="BA2" s="8"/>
      <c r="BB2" s="8"/>
      <c r="BC2" s="4" t="s">
        <v>140</v>
      </c>
      <c r="BD2" s="4"/>
      <c r="BE2" s="4"/>
      <c r="BF2" s="4"/>
      <c r="BG2" s="9" t="s">
        <v>60</v>
      </c>
      <c r="BH2" s="9"/>
      <c r="BI2" s="9"/>
      <c r="BJ2" s="9" t="s">
        <v>61</v>
      </c>
      <c r="BK2" s="9"/>
      <c r="BL2" s="9"/>
      <c r="BM2" s="9"/>
      <c r="BN2" s="9"/>
      <c r="BO2" s="9" t="s">
        <v>62</v>
      </c>
      <c r="BP2" s="9"/>
      <c r="BQ2" s="9"/>
      <c r="BR2" s="8" t="s">
        <v>63</v>
      </c>
      <c r="BS2" s="8"/>
      <c r="BT2" s="8"/>
      <c r="BU2" s="8"/>
      <c r="BV2" s="9" t="s">
        <v>60</v>
      </c>
      <c r="BW2" s="9"/>
      <c r="BX2" s="9"/>
      <c r="BY2" s="9" t="s">
        <v>61</v>
      </c>
      <c r="BZ2" s="9"/>
      <c r="CA2" s="9"/>
      <c r="CB2" s="9"/>
      <c r="CC2" s="9"/>
      <c r="CD2" s="9" t="s">
        <v>62</v>
      </c>
      <c r="CE2" s="9"/>
      <c r="CF2" s="9"/>
      <c r="CG2" s="8" t="s">
        <v>63</v>
      </c>
      <c r="CH2" s="8"/>
      <c r="CI2" s="8"/>
      <c r="CJ2" s="8"/>
      <c r="CK2" s="9" t="s">
        <v>60</v>
      </c>
      <c r="CL2" s="9"/>
      <c r="CM2" s="9"/>
      <c r="CN2" s="9" t="s">
        <v>61</v>
      </c>
      <c r="CO2" s="9"/>
      <c r="CP2" s="9"/>
      <c r="CQ2" s="9"/>
      <c r="CR2" s="9"/>
      <c r="CS2" s="9" t="s">
        <v>62</v>
      </c>
      <c r="CT2" s="9"/>
      <c r="CU2" s="9"/>
      <c r="CV2" s="8" t="s">
        <v>63</v>
      </c>
      <c r="CW2" s="8"/>
      <c r="CX2" s="8"/>
      <c r="CY2" s="8"/>
      <c r="CZ2" s="9" t="s">
        <v>60</v>
      </c>
      <c r="DA2" s="9"/>
      <c r="DB2" s="9"/>
      <c r="DC2" s="9" t="s">
        <v>61</v>
      </c>
      <c r="DD2" s="9"/>
      <c r="DE2" s="9"/>
      <c r="DF2" s="9"/>
      <c r="DG2" s="9"/>
      <c r="DH2" s="9" t="s">
        <v>62</v>
      </c>
      <c r="DI2" s="9"/>
      <c r="DJ2" s="9"/>
      <c r="DK2" s="8" t="s">
        <v>63</v>
      </c>
      <c r="DL2" s="8"/>
      <c r="DM2" s="8"/>
      <c r="DN2" s="8"/>
      <c r="DO2" s="9" t="s">
        <v>60</v>
      </c>
      <c r="DP2" s="9"/>
      <c r="DQ2" s="9"/>
      <c r="DR2" s="9" t="s">
        <v>61</v>
      </c>
      <c r="DS2" s="9"/>
      <c r="DT2" s="9"/>
      <c r="DU2" s="9"/>
      <c r="DV2" s="9"/>
      <c r="DW2" s="9" t="s">
        <v>62</v>
      </c>
      <c r="DX2" s="9"/>
      <c r="DY2" s="9"/>
      <c r="DZ2" s="8" t="s">
        <v>63</v>
      </c>
      <c r="EA2" s="8"/>
      <c r="EB2" s="8"/>
      <c r="EC2" s="8"/>
      <c r="ED2" s="9" t="s">
        <v>60</v>
      </c>
      <c r="EE2" s="9"/>
      <c r="EF2" s="9"/>
      <c r="EG2" s="9" t="s">
        <v>61</v>
      </c>
      <c r="EH2" s="9"/>
      <c r="EI2" s="9"/>
      <c r="EJ2" s="9"/>
      <c r="EK2" s="9"/>
      <c r="EL2" s="9" t="s">
        <v>62</v>
      </c>
      <c r="EM2" s="9"/>
      <c r="EN2" s="9"/>
      <c r="EO2" s="8" t="s">
        <v>63</v>
      </c>
      <c r="EP2" s="8"/>
      <c r="EQ2" s="8"/>
      <c r="ER2" s="8"/>
      <c r="ET2" s="9" t="s">
        <v>60</v>
      </c>
      <c r="EU2" s="9"/>
      <c r="EV2" s="9"/>
      <c r="EW2" s="9" t="s">
        <v>61</v>
      </c>
      <c r="EX2" s="9"/>
      <c r="EY2" s="9"/>
      <c r="EZ2" s="9"/>
      <c r="FA2" s="9"/>
      <c r="FB2" s="9" t="s">
        <v>62</v>
      </c>
      <c r="FC2" s="9"/>
      <c r="FD2" s="9"/>
      <c r="FE2" s="8" t="s">
        <v>63</v>
      </c>
      <c r="FF2" s="8"/>
      <c r="FG2" s="8"/>
      <c r="FH2" s="8"/>
    </row>
    <row r="3" spans="1:172" x14ac:dyDescent="0.25">
      <c r="A3" s="45" t="s">
        <v>141</v>
      </c>
      <c r="B3" s="62" t="s">
        <v>34</v>
      </c>
      <c r="C3" s="30" t="s">
        <v>37</v>
      </c>
      <c r="D3" s="30" t="s">
        <v>40</v>
      </c>
      <c r="E3" s="62" t="s">
        <v>43</v>
      </c>
      <c r="F3" s="30" t="s">
        <v>44</v>
      </c>
      <c r="G3" s="30" t="s">
        <v>47</v>
      </c>
      <c r="H3" s="30" t="s">
        <v>49</v>
      </c>
      <c r="I3" s="30" t="s">
        <v>51</v>
      </c>
      <c r="J3" s="62" t="s">
        <v>52</v>
      </c>
      <c r="K3" s="30" t="s">
        <v>53</v>
      </c>
      <c r="L3" s="30" t="s">
        <v>54</v>
      </c>
      <c r="M3" s="62" t="s">
        <v>55</v>
      </c>
      <c r="N3" s="30" t="s">
        <v>56</v>
      </c>
      <c r="O3" s="30" t="s">
        <v>57</v>
      </c>
      <c r="P3" s="63" t="s">
        <v>58</v>
      </c>
      <c r="Q3" s="64" t="s">
        <v>12</v>
      </c>
      <c r="R3" s="65" t="s">
        <v>96</v>
      </c>
      <c r="S3" s="66" t="s">
        <v>13</v>
      </c>
      <c r="T3" s="66" t="s">
        <v>14</v>
      </c>
      <c r="U3" s="30" t="s">
        <v>137</v>
      </c>
      <c r="V3" s="30" t="s">
        <v>142</v>
      </c>
      <c r="W3" s="30" t="s">
        <v>97</v>
      </c>
      <c r="X3" s="44" t="s">
        <v>34</v>
      </c>
      <c r="Y3" s="45" t="s">
        <v>37</v>
      </c>
      <c r="Z3" s="45" t="s">
        <v>40</v>
      </c>
      <c r="AA3" s="44" t="s">
        <v>43</v>
      </c>
      <c r="AB3" s="45" t="s">
        <v>44</v>
      </c>
      <c r="AC3" s="45" t="s">
        <v>47</v>
      </c>
      <c r="AD3" s="45" t="s">
        <v>49</v>
      </c>
      <c r="AE3" s="45" t="s">
        <v>51</v>
      </c>
      <c r="AF3" s="44" t="s">
        <v>52</v>
      </c>
      <c r="AG3" s="45" t="s">
        <v>53</v>
      </c>
      <c r="AH3" s="45" t="s">
        <v>54</v>
      </c>
      <c r="AI3" s="44" t="s">
        <v>55</v>
      </c>
      <c r="AJ3" s="45" t="s">
        <v>56</v>
      </c>
      <c r="AK3" s="45" t="s">
        <v>57</v>
      </c>
      <c r="AL3" s="46" t="s">
        <v>58</v>
      </c>
      <c r="AM3" t="s">
        <v>140</v>
      </c>
      <c r="AN3" s="44" t="s">
        <v>34</v>
      </c>
      <c r="AO3" s="45" t="s">
        <v>37</v>
      </c>
      <c r="AP3" s="45" t="s">
        <v>40</v>
      </c>
      <c r="AQ3" s="44" t="s">
        <v>43</v>
      </c>
      <c r="AR3" s="45" t="s">
        <v>44</v>
      </c>
      <c r="AS3" s="45" t="s">
        <v>47</v>
      </c>
      <c r="AT3" s="45" t="s">
        <v>49</v>
      </c>
      <c r="AU3" s="45" t="s">
        <v>51</v>
      </c>
      <c r="AV3" s="44" t="s">
        <v>52</v>
      </c>
      <c r="AW3" s="45" t="s">
        <v>53</v>
      </c>
      <c r="AX3" s="45" t="s">
        <v>54</v>
      </c>
      <c r="AY3" s="44" t="s">
        <v>55</v>
      </c>
      <c r="AZ3" s="45" t="s">
        <v>56</v>
      </c>
      <c r="BA3" s="45" t="s">
        <v>57</v>
      </c>
      <c r="BB3" s="46" t="s">
        <v>58</v>
      </c>
      <c r="BC3" s="31" t="s">
        <v>60</v>
      </c>
      <c r="BD3" s="31" t="s">
        <v>61</v>
      </c>
      <c r="BE3" s="31" t="s">
        <v>62</v>
      </c>
      <c r="BF3" s="31" t="s">
        <v>63</v>
      </c>
      <c r="BG3" s="44" t="s">
        <v>34</v>
      </c>
      <c r="BH3" s="45" t="s">
        <v>37</v>
      </c>
      <c r="BI3" s="45" t="s">
        <v>40</v>
      </c>
      <c r="BJ3" s="44" t="s">
        <v>43</v>
      </c>
      <c r="BK3" s="45" t="s">
        <v>44</v>
      </c>
      <c r="BL3" s="45" t="s">
        <v>47</v>
      </c>
      <c r="BM3" s="45" t="s">
        <v>49</v>
      </c>
      <c r="BN3" s="45" t="s">
        <v>51</v>
      </c>
      <c r="BO3" s="44" t="s">
        <v>52</v>
      </c>
      <c r="BP3" s="45" t="s">
        <v>53</v>
      </c>
      <c r="BQ3" s="45" t="s">
        <v>54</v>
      </c>
      <c r="BR3" s="44" t="s">
        <v>55</v>
      </c>
      <c r="BS3" s="45" t="s">
        <v>56</v>
      </c>
      <c r="BT3" s="45" t="s">
        <v>57</v>
      </c>
      <c r="BU3" s="46" t="s">
        <v>58</v>
      </c>
      <c r="BV3" s="44" t="s">
        <v>34</v>
      </c>
      <c r="BW3" s="45" t="s">
        <v>37</v>
      </c>
      <c r="BX3" s="45" t="s">
        <v>40</v>
      </c>
      <c r="BY3" s="44" t="s">
        <v>43</v>
      </c>
      <c r="BZ3" s="45" t="s">
        <v>44</v>
      </c>
      <c r="CA3" s="45" t="s">
        <v>47</v>
      </c>
      <c r="CB3" s="45" t="s">
        <v>49</v>
      </c>
      <c r="CC3" s="45" t="s">
        <v>51</v>
      </c>
      <c r="CD3" s="44" t="s">
        <v>52</v>
      </c>
      <c r="CE3" s="45" t="s">
        <v>53</v>
      </c>
      <c r="CF3" s="45" t="s">
        <v>54</v>
      </c>
      <c r="CG3" s="44" t="s">
        <v>55</v>
      </c>
      <c r="CH3" s="45" t="s">
        <v>56</v>
      </c>
      <c r="CI3" s="45" t="s">
        <v>57</v>
      </c>
      <c r="CJ3" s="46" t="s">
        <v>58</v>
      </c>
      <c r="CK3" s="44" t="s">
        <v>34</v>
      </c>
      <c r="CL3" s="45" t="s">
        <v>37</v>
      </c>
      <c r="CM3" s="45" t="s">
        <v>40</v>
      </c>
      <c r="CN3" s="44" t="s">
        <v>43</v>
      </c>
      <c r="CO3" s="45" t="s">
        <v>44</v>
      </c>
      <c r="CP3" s="45" t="s">
        <v>47</v>
      </c>
      <c r="CQ3" s="45" t="s">
        <v>49</v>
      </c>
      <c r="CR3" s="45" t="s">
        <v>51</v>
      </c>
      <c r="CS3" s="44" t="s">
        <v>52</v>
      </c>
      <c r="CT3" s="45" t="s">
        <v>53</v>
      </c>
      <c r="CU3" s="45" t="s">
        <v>54</v>
      </c>
      <c r="CV3" s="44" t="s">
        <v>55</v>
      </c>
      <c r="CW3" s="45" t="s">
        <v>56</v>
      </c>
      <c r="CX3" s="45" t="s">
        <v>57</v>
      </c>
      <c r="CY3" s="46" t="s">
        <v>58</v>
      </c>
      <c r="CZ3" s="44" t="s">
        <v>34</v>
      </c>
      <c r="DA3" s="45" t="s">
        <v>37</v>
      </c>
      <c r="DB3" s="45" t="s">
        <v>40</v>
      </c>
      <c r="DC3" s="44" t="s">
        <v>43</v>
      </c>
      <c r="DD3" s="45" t="s">
        <v>44</v>
      </c>
      <c r="DE3" s="45" t="s">
        <v>47</v>
      </c>
      <c r="DF3" s="45" t="s">
        <v>49</v>
      </c>
      <c r="DG3" s="45" t="s">
        <v>51</v>
      </c>
      <c r="DH3" s="44" t="s">
        <v>52</v>
      </c>
      <c r="DI3" s="45" t="s">
        <v>53</v>
      </c>
      <c r="DJ3" s="45" t="s">
        <v>54</v>
      </c>
      <c r="DK3" s="44" t="s">
        <v>55</v>
      </c>
      <c r="DL3" s="45" t="s">
        <v>56</v>
      </c>
      <c r="DM3" s="45" t="s">
        <v>57</v>
      </c>
      <c r="DN3" s="46" t="s">
        <v>58</v>
      </c>
      <c r="DO3" s="44" t="s">
        <v>34</v>
      </c>
      <c r="DP3" s="45" t="s">
        <v>37</v>
      </c>
      <c r="DQ3" s="45" t="s">
        <v>40</v>
      </c>
      <c r="DR3" s="44" t="s">
        <v>43</v>
      </c>
      <c r="DS3" s="45" t="s">
        <v>44</v>
      </c>
      <c r="DT3" s="45" t="s">
        <v>47</v>
      </c>
      <c r="DU3" s="45" t="s">
        <v>49</v>
      </c>
      <c r="DV3" s="45" t="s">
        <v>51</v>
      </c>
      <c r="DW3" s="44" t="s">
        <v>52</v>
      </c>
      <c r="DX3" s="45" t="s">
        <v>53</v>
      </c>
      <c r="DY3" s="45" t="s">
        <v>54</v>
      </c>
      <c r="DZ3" s="44" t="s">
        <v>55</v>
      </c>
      <c r="EA3" s="45" t="s">
        <v>56</v>
      </c>
      <c r="EB3" s="45" t="s">
        <v>57</v>
      </c>
      <c r="EC3" s="46" t="s">
        <v>58</v>
      </c>
      <c r="ED3" s="44" t="s">
        <v>34</v>
      </c>
      <c r="EE3" s="45" t="s">
        <v>37</v>
      </c>
      <c r="EF3" s="45" t="s">
        <v>40</v>
      </c>
      <c r="EG3" s="44" t="s">
        <v>43</v>
      </c>
      <c r="EH3" s="45" t="s">
        <v>44</v>
      </c>
      <c r="EI3" s="45" t="s">
        <v>47</v>
      </c>
      <c r="EJ3" s="45" t="s">
        <v>49</v>
      </c>
      <c r="EK3" s="45" t="s">
        <v>51</v>
      </c>
      <c r="EL3" s="44" t="s">
        <v>52</v>
      </c>
      <c r="EM3" s="45" t="s">
        <v>53</v>
      </c>
      <c r="EN3" s="45" t="s">
        <v>54</v>
      </c>
      <c r="EO3" s="44" t="s">
        <v>55</v>
      </c>
      <c r="EP3" s="45" t="s">
        <v>56</v>
      </c>
      <c r="EQ3" s="45" t="s">
        <v>57</v>
      </c>
      <c r="ER3" s="46" t="s">
        <v>58</v>
      </c>
      <c r="ES3" t="s">
        <v>97</v>
      </c>
      <c r="ET3" s="44" t="s">
        <v>34</v>
      </c>
      <c r="EU3" s="45" t="s">
        <v>37</v>
      </c>
      <c r="EV3" s="45" t="s">
        <v>40</v>
      </c>
      <c r="EW3" s="44" t="s">
        <v>43</v>
      </c>
      <c r="EX3" s="45" t="s">
        <v>44</v>
      </c>
      <c r="EY3" s="45" t="s">
        <v>47</v>
      </c>
      <c r="EZ3" s="45" t="s">
        <v>49</v>
      </c>
      <c r="FA3" s="45" t="s">
        <v>51</v>
      </c>
      <c r="FB3" s="44" t="s">
        <v>52</v>
      </c>
      <c r="FC3" s="45" t="s">
        <v>53</v>
      </c>
      <c r="FD3" s="45" t="s">
        <v>54</v>
      </c>
      <c r="FE3" s="44" t="s">
        <v>55</v>
      </c>
      <c r="FF3" s="45" t="s">
        <v>56</v>
      </c>
      <c r="FG3" s="45" t="s">
        <v>57</v>
      </c>
      <c r="FH3" s="46" t="s">
        <v>58</v>
      </c>
      <c r="FJ3" s="3" t="s">
        <v>143</v>
      </c>
      <c r="FK3" s="3"/>
      <c r="FL3" s="3"/>
    </row>
    <row r="4" spans="1:172" ht="15" customHeight="1" x14ac:dyDescent="0.25">
      <c r="A4" s="67" t="s">
        <v>144</v>
      </c>
      <c r="B4" s="68" t="s">
        <v>131</v>
      </c>
      <c r="C4" s="69"/>
      <c r="D4" s="70"/>
      <c r="E4" s="68"/>
      <c r="F4" s="69"/>
      <c r="G4" s="69"/>
      <c r="H4" s="69"/>
      <c r="I4" s="70"/>
      <c r="J4" s="68"/>
      <c r="K4" s="69"/>
      <c r="L4" s="70"/>
      <c r="M4" s="68"/>
      <c r="N4" s="69"/>
      <c r="O4" s="69"/>
      <c r="P4" s="71"/>
      <c r="Q4" s="72">
        <f>SUM(BV4:CJ4)*VLOOKUP(W4,Tables!$W$3:$Z$8,4)</f>
        <v>4</v>
      </c>
      <c r="R4" s="73">
        <f t="shared" ref="R4:R67" si="0">SUM(CK4:CY4)</f>
        <v>0.2</v>
      </c>
      <c r="S4" s="74">
        <f t="shared" ref="S4:S67" si="1">ROUND(SUMPRODUCT(CK4:CY4,CZ4:DN4,$CK$1:$CY$1)/$S$2,0)*5</f>
        <v>0</v>
      </c>
      <c r="T4" s="74">
        <f t="shared" ref="T4:T67" si="2">IF(OR(B4="",D4=""),0,5)+IF(C4="",0,5)</f>
        <v>0</v>
      </c>
      <c r="U4" s="75">
        <f t="shared" ref="U4:U67" si="3">SUM(DO4:EC4)</f>
        <v>0.8</v>
      </c>
      <c r="V4" s="76">
        <f t="shared" ref="V4:V67" si="4">SUM(ED4:ER4)</f>
        <v>3.2</v>
      </c>
      <c r="W4" s="77">
        <v>0</v>
      </c>
      <c r="X4" s="78">
        <f t="shared" ref="X4:X67" si="5">COUNTA(B4)</f>
        <v>1</v>
      </c>
      <c r="Y4" s="79">
        <f t="shared" ref="Y4:Y67" si="6">COUNTA(C4)</f>
        <v>0</v>
      </c>
      <c r="Z4" s="79">
        <f t="shared" ref="Z4:Z67" si="7">COUNTA(D4)</f>
        <v>0</v>
      </c>
      <c r="AA4" s="78">
        <f t="shared" ref="AA4:AA67" si="8">COUNTA(E4)</f>
        <v>0</v>
      </c>
      <c r="AB4" s="79">
        <f t="shared" ref="AB4:AB67" si="9">COUNTA(F4)</f>
        <v>0</v>
      </c>
      <c r="AC4" s="79">
        <f t="shared" ref="AC4:AC67" si="10">COUNTA(G4)</f>
        <v>0</v>
      </c>
      <c r="AD4" s="79">
        <f t="shared" ref="AD4:AD67" si="11">COUNTA(H4)</f>
        <v>0</v>
      </c>
      <c r="AE4" s="79">
        <f t="shared" ref="AE4:AE67" si="12">COUNTA(I4)</f>
        <v>0</v>
      </c>
      <c r="AF4" s="78">
        <f t="shared" ref="AF4:AF67" si="13">COUNTA(J4)</f>
        <v>0</v>
      </c>
      <c r="AG4" s="79">
        <f t="shared" ref="AG4:AG67" si="14">COUNTA(K4)</f>
        <v>0</v>
      </c>
      <c r="AH4" s="79">
        <f t="shared" ref="AH4:AH67" si="15">COUNTA(L4)</f>
        <v>0</v>
      </c>
      <c r="AI4" s="78">
        <f t="shared" ref="AI4:AI67" si="16">COUNTA(M4)</f>
        <v>0</v>
      </c>
      <c r="AJ4" s="79">
        <f t="shared" ref="AJ4:AJ67" si="17">COUNTA(N4)</f>
        <v>0</v>
      </c>
      <c r="AK4" s="79">
        <f t="shared" ref="AK4:AK67" si="18">COUNTA(O4)</f>
        <v>0</v>
      </c>
      <c r="AL4" s="80">
        <f t="shared" ref="AL4:AL67" si="19">COUNTA(P4)</f>
        <v>0</v>
      </c>
      <c r="AM4" s="81">
        <f t="shared" ref="AM4:AM67" si="20">SUMPRODUCT(X4:AL4,$X$1:$AL$1)</f>
        <v>0.04</v>
      </c>
      <c r="AN4" s="82" t="str">
        <f t="shared" ref="AN4:AN67" si="21">LEFT(B4,1)</f>
        <v>C</v>
      </c>
      <c r="AO4" s="79" t="str">
        <f t="shared" ref="AO4:AO67" si="22">LEFT(C4,1)</f>
        <v/>
      </c>
      <c r="AP4" t="str">
        <f t="shared" ref="AP4:AP67" si="23">LEFT(D4,1)</f>
        <v/>
      </c>
      <c r="AQ4" s="82" t="str">
        <f t="shared" ref="AQ4:AQ67" si="24">LEFT(E4,1)</f>
        <v/>
      </c>
      <c r="AR4" t="str">
        <f t="shared" ref="AR4:AR67" si="25">LEFT(F4,1)</f>
        <v/>
      </c>
      <c r="AS4" t="str">
        <f t="shared" ref="AS4:AS67" si="26">LEFT(G4,1)</f>
        <v/>
      </c>
      <c r="AT4" t="str">
        <f t="shared" ref="AT4:AT67" si="27">LEFT(H4,1)</f>
        <v/>
      </c>
      <c r="AU4" t="str">
        <f t="shared" ref="AU4:AU67" si="28">LEFT(I4,1)</f>
        <v/>
      </c>
      <c r="AV4" s="82" t="str">
        <f t="shared" ref="AV4:AV67" si="29">LEFT(J4,1)</f>
        <v/>
      </c>
      <c r="AW4" t="str">
        <f t="shared" ref="AW4:AW67" si="30">LEFT(K4,1)</f>
        <v/>
      </c>
      <c r="AX4" t="str">
        <f t="shared" ref="AX4:AX67" si="31">LEFT(L4,1)</f>
        <v/>
      </c>
      <c r="AY4" s="82" t="str">
        <f t="shared" ref="AY4:AY67" si="32">LEFT(M4,1)</f>
        <v/>
      </c>
      <c r="AZ4" t="str">
        <f t="shared" ref="AZ4:AZ67" si="33">LEFT(N4,1)</f>
        <v/>
      </c>
      <c r="BA4" t="str">
        <f t="shared" ref="BA4:BA67" si="34">LEFT(O4,1)</f>
        <v/>
      </c>
      <c r="BB4" s="83" t="str">
        <f t="shared" ref="BB4:BB67" si="35">LEFT(P4,1)</f>
        <v/>
      </c>
      <c r="BC4" s="84">
        <f t="shared" ref="BC4:BC67" si="36">SUMPRODUCT(X4:Z4,$X$1:$Z$1)/SUM($X$1:$Z$1)</f>
        <v>0.44444444444444442</v>
      </c>
      <c r="BD4" s="84">
        <f t="shared" ref="BD4:BD67" si="37">SUMPRODUCT(AA4:AE4,$AA$1:$AE$1)/SUM($AA$1:$AE$1)</f>
        <v>0</v>
      </c>
      <c r="BE4" s="84">
        <f t="shared" ref="BE4:BE67" si="38">SUMPRODUCT(AF4:AH4,$AF$1:$AH$1)/SUM($AF$1:$AH$1)</f>
        <v>0</v>
      </c>
      <c r="BF4" s="84">
        <f t="shared" ref="BF4:BF67" si="39">SUMPRODUCT(AI4:AL4,$AI$1:$AL$1)/SUM($AI$1:$AL$1)</f>
        <v>0</v>
      </c>
      <c r="BG4" s="78">
        <f>IF(AN4="",0,VLOOKUP(AN4,Tables!$AB$3:$AC$12,2))</f>
        <v>1</v>
      </c>
      <c r="BH4" s="79">
        <f>IF(AO4="",0,VLOOKUP(AO4,Tables!$AB$3:$AC$12,2))</f>
        <v>0</v>
      </c>
      <c r="BI4" s="79">
        <f>IF(AP4="",0,VLOOKUP(AP4,Tables!$AB$3:$AC$12,2))</f>
        <v>0</v>
      </c>
      <c r="BJ4" s="78">
        <f>IF(AQ4="",0,VLOOKUP(AQ4,Tables!$AB$3:$AC$12,2))</f>
        <v>0</v>
      </c>
      <c r="BK4" s="79">
        <f>IF(AR4="",0,VLOOKUP(AR4,Tables!$AB$3:$AC$12,2))</f>
        <v>0</v>
      </c>
      <c r="BL4" s="79">
        <f>IF(AS4="",0,VLOOKUP(AS4,Tables!$AB$3:$AC$12,2))</f>
        <v>0</v>
      </c>
      <c r="BM4" s="79">
        <f>IF(AT4="",0,VLOOKUP(AT4,Tables!$AB$3:$AC$12,2))</f>
        <v>0</v>
      </c>
      <c r="BN4" s="79">
        <f>IF(AU4="",0,VLOOKUP(AU4,Tables!$AB$3:$AC$12,2))</f>
        <v>0</v>
      </c>
      <c r="BO4" s="78">
        <f>IF(AV4="",0,VLOOKUP(AV4,Tables!$AB$3:$AC$12,2))</f>
        <v>0</v>
      </c>
      <c r="BP4" s="79">
        <f>IF(AW4="",0,VLOOKUP(AW4,Tables!$AB$3:$AC$12,2))</f>
        <v>0</v>
      </c>
      <c r="BQ4" s="79">
        <f>IF(AX4="",0,VLOOKUP(AX4,Tables!$AB$3:$AC$12,2))</f>
        <v>0</v>
      </c>
      <c r="BR4" s="78">
        <f>IF(AY4="",0,VLOOKUP(AY4,Tables!$AB$3:$AC$12,2))</f>
        <v>0</v>
      </c>
      <c r="BS4" s="79">
        <f>IF(AZ4="",0,VLOOKUP(AZ4,Tables!$AB$3:$AC$12,2))</f>
        <v>0</v>
      </c>
      <c r="BT4" s="79">
        <f>IF(BA4="",0,VLOOKUP(BA4,Tables!$AB$3:$AC$12,2))</f>
        <v>0</v>
      </c>
      <c r="BU4" s="80">
        <f>IF(BB4="",0,VLOOKUP(BB4,Tables!$AB$3:$AC$12,2))</f>
        <v>0</v>
      </c>
      <c r="BV4" s="85">
        <f>IF(AN4="",0,VLOOKUP(B4,Tables!$B$3:$D$36,2,FALSE())*X$1)</f>
        <v>4</v>
      </c>
      <c r="BW4" s="72">
        <f>IF(AO4="",0,VLOOKUP(C4,Tables!$B$3:$D$36,2,FALSE())*Y$1)</f>
        <v>0</v>
      </c>
      <c r="BX4" s="72">
        <f>IF(AP4="",0,VLOOKUP(D4,Tables!$B$3:$D$36,2,FALSE())*Z$1)</f>
        <v>0</v>
      </c>
      <c r="BY4" s="85">
        <f>IF(AQ4="",0,VLOOKUP(E4,Tables!$B$3:$D$36,2,FALSE())*AA$1)</f>
        <v>0</v>
      </c>
      <c r="BZ4" s="72">
        <f>IF(AR4="",0,VLOOKUP(F4,Tables!$B$3:$D$36,2,FALSE())*AB$1)</f>
        <v>0</v>
      </c>
      <c r="CA4" s="72">
        <f>IF(AS4="",0,VLOOKUP(G4,Tables!$B$3:$D$36,2,FALSE())*AC$1)</f>
        <v>0</v>
      </c>
      <c r="CB4" s="72">
        <f>IF(AT4="",0,VLOOKUP(H4,Tables!$B$3:$D$36,2,FALSE())*AD$1)</f>
        <v>0</v>
      </c>
      <c r="CC4" s="72">
        <f>IF(AU4="",0,VLOOKUP(I4,Tables!$B$3:$D$36,2,FALSE())*AE$1)</f>
        <v>0</v>
      </c>
      <c r="CD4" s="85">
        <f>IF(AV4="",0,VLOOKUP(J4,Tables!$B$3:$D$36,2,FALSE())*AF$1)</f>
        <v>0</v>
      </c>
      <c r="CE4" s="72">
        <f>IF(AW4="",0,VLOOKUP(K4,Tables!$B$3:$D$36,2,FALSE())*AG$1)</f>
        <v>0</v>
      </c>
      <c r="CF4" s="72">
        <f>IF(AX4="",0,VLOOKUP(L4,Tables!$B$3:$D$36,2,FALSE())*AH$1)</f>
        <v>0</v>
      </c>
      <c r="CG4" s="85">
        <f>IF(AY4="",0,VLOOKUP(M4,Tables!$B$3:$D$36,2,FALSE())*AI$1)</f>
        <v>0</v>
      </c>
      <c r="CH4" s="72">
        <f>IF(AZ4="",0,VLOOKUP(N4,Tables!$B$3:$D$36,2,FALSE())*AJ$1)</f>
        <v>0</v>
      </c>
      <c r="CI4" s="72">
        <f>IF(BA4="",0,VLOOKUP(O4,Tables!$B$3:$D$36,2,FALSE())*AK$1)</f>
        <v>0</v>
      </c>
      <c r="CJ4" s="86">
        <f>IF(BB4="",0,VLOOKUP(P4,Tables!$B$3:$D$36,2,FALSE())*AL$1)</f>
        <v>0</v>
      </c>
      <c r="CK4" s="87">
        <f>IF(AN4="",0,VLOOKUP(B4,Tables!$B$3:$D$36,3,FALSE())*X$1)*IF(OR(AN4="K",AN4="P"),2,1)</f>
        <v>0.2</v>
      </c>
      <c r="CL4" s="73">
        <f>IF(AO4="",0,VLOOKUP(C4,Tables!$B$3:$D$36,3,FALSE())*Y$1)*IF(OR(AO4="K",AO4="P"),2,1)</f>
        <v>0</v>
      </c>
      <c r="CM4" s="73">
        <f>IF(AP4="",0,VLOOKUP(D4,Tables!$B$3:$D$36,3,FALSE())*Z$1)*IF(OR(AP4="K",AP4="P"),2,1)</f>
        <v>0</v>
      </c>
      <c r="CN4" s="87">
        <f>IF(AQ4="",0,VLOOKUP(E4,Tables!$B$3:$D$36,3,FALSE())*AA$1)</f>
        <v>0</v>
      </c>
      <c r="CO4" s="73">
        <f>IF(AR4="",0,VLOOKUP(F4,Tables!$B$3:$D$36,3,FALSE())*AB$1)</f>
        <v>0</v>
      </c>
      <c r="CP4" s="73">
        <f>IF(AS4="",0,VLOOKUP(G4,Tables!$B$3:$D$36,3,FALSE())*AC$1)</f>
        <v>0</v>
      </c>
      <c r="CQ4" s="73">
        <f>IF(AT4="",0,VLOOKUP(H4,Tables!$B$3:$D$36,3,FALSE())*AD$1)</f>
        <v>0</v>
      </c>
      <c r="CR4" s="73">
        <f>IF(AU4="",0,VLOOKUP(I4,Tables!$B$3:$D$36,3,FALSE())*AE$1)</f>
        <v>0</v>
      </c>
      <c r="CS4" s="87">
        <f>IF(AV4="",0,VLOOKUP(J4,Tables!$B$3:$D$36,3,FALSE())*AF$1)</f>
        <v>0</v>
      </c>
      <c r="CT4" s="73">
        <f>IF(AW4="",0,VLOOKUP(K4,Tables!$B$3:$D$36,3,FALSE())*AG$1)</f>
        <v>0</v>
      </c>
      <c r="CU4" s="73">
        <f>IF(AX4="",0,VLOOKUP(L4,Tables!$B$3:$D$36,3,FALSE())*AH$1)</f>
        <v>0</v>
      </c>
      <c r="CV4" s="87">
        <f>IF(AY4="",0,VLOOKUP(M4,Tables!$B$3:$D$36,3,FALSE())*AI$1)</f>
        <v>0</v>
      </c>
      <c r="CW4" s="73">
        <f>IF(AZ4="",0,VLOOKUP(N4,Tables!$B$3:$D$36,3,FALSE())*AJ$1)</f>
        <v>0</v>
      </c>
      <c r="CX4" s="73">
        <f>IF(BA4="",0,VLOOKUP(O4,Tables!$B$3:$D$36,3,FALSE())*AK$1)</f>
        <v>0</v>
      </c>
      <c r="CY4" s="88">
        <f>IF(BB4="",0,VLOOKUP(P4,Tables!$B$3:$D$36,3,FALSE())*AL$1)</f>
        <v>0</v>
      </c>
      <c r="CZ4" s="89">
        <f t="shared" ref="CZ4:CZ67" si="40">IF(B4="",0,VLOOKUP(B4,MATERIAL,10,FALSE()))</f>
        <v>1</v>
      </c>
      <c r="DA4" s="75">
        <f t="shared" ref="DA4:DA67" si="41">IF(C4="",0,VLOOKUP(C4,MATERIAL,10,FALSE()))</f>
        <v>0</v>
      </c>
      <c r="DB4" s="75">
        <f t="shared" ref="DB4:DB67" si="42">IF(D4="",0,VLOOKUP(D4,MATERIAL,10,FALSE()))</f>
        <v>0</v>
      </c>
      <c r="DC4" s="89">
        <f t="shared" ref="DC4:DC67" si="43">IF(E4="",0,VLOOKUP(E4,MATERIAL,10,FALSE()))</f>
        <v>0</v>
      </c>
      <c r="DD4" s="75">
        <f t="shared" ref="DD4:DD67" si="44">IF(F4="",0,VLOOKUP(F4,MATERIAL,10,FALSE()))</f>
        <v>0</v>
      </c>
      <c r="DE4" s="75">
        <f t="shared" ref="DE4:DE67" si="45">IF(G4="",0,VLOOKUP(G4,MATERIAL,10,FALSE()))</f>
        <v>0</v>
      </c>
      <c r="DF4" s="75">
        <f t="shared" ref="DF4:DF67" si="46">IF(H4="",0,VLOOKUP(H4,MATERIAL,10,FALSE()))</f>
        <v>0</v>
      </c>
      <c r="DG4" s="75">
        <f t="shared" ref="DG4:DG67" si="47">IF(I4="",0,VLOOKUP(I4,MATERIAL,10,FALSE()))</f>
        <v>0</v>
      </c>
      <c r="DH4" s="89">
        <f t="shared" ref="DH4:DH67" si="48">IF(J4="",0,VLOOKUP(J4,MATERIAL,10,FALSE()))</f>
        <v>0</v>
      </c>
      <c r="DI4" s="75">
        <f t="shared" ref="DI4:DI67" si="49">IF(K4="",0,VLOOKUP(K4,MATERIAL,10,FALSE()))</f>
        <v>0</v>
      </c>
      <c r="DJ4" s="75">
        <f t="shared" ref="DJ4:DJ67" si="50">IF(L4="",0,VLOOKUP(L4,MATERIAL,10,FALSE()))</f>
        <v>0</v>
      </c>
      <c r="DK4" s="89">
        <f t="shared" ref="DK4:DK67" si="51">IF(M4="",0,VLOOKUP(M4,MATERIAL,10,FALSE()))</f>
        <v>0</v>
      </c>
      <c r="DL4" s="75">
        <f t="shared" ref="DL4:DL67" si="52">IF(N4="",0,VLOOKUP(N4,MATERIAL,10,FALSE()))</f>
        <v>0</v>
      </c>
      <c r="DM4" s="75">
        <f t="shared" ref="DM4:DM67" si="53">IF(O4="",0,VLOOKUP(O4,MATERIAL,10,FALSE()))</f>
        <v>0</v>
      </c>
      <c r="DN4" s="90">
        <f t="shared" ref="DN4:DN67" si="54">IF(P4="",0,VLOOKUP(P4,MATERIAL,10,FALSE()))</f>
        <v>0</v>
      </c>
      <c r="DO4" s="91">
        <f>IF(AN4="",0,VLOOKUP(B4,Tables!$B$3:$M$36,11,FALSE())*X$1)</f>
        <v>0.8</v>
      </c>
      <c r="DP4" s="92">
        <f>IF(AO4="",0,VLOOKUP(C4,Tables!$B$3:$M$36,11,FALSE())*Y$1)</f>
        <v>0</v>
      </c>
      <c r="DQ4" s="92">
        <f>IF(AP4="",0,VLOOKUP(D4,Tables!$B$3:$M$36,11,FALSE())*Z$1)</f>
        <v>0</v>
      </c>
      <c r="DR4" s="91">
        <f>IF(AQ4="",0,VLOOKUP(E4,Tables!$B$3:$M$36,11,FALSE())*AA$1)</f>
        <v>0</v>
      </c>
      <c r="DS4" s="92">
        <f>IF(AR4="",0,VLOOKUP(F4,Tables!$B$3:$M$36,11,FALSE())*AB$1)</f>
        <v>0</v>
      </c>
      <c r="DT4" s="92">
        <f>IF(AS4="",0,VLOOKUP(G4,Tables!$B$3:$M$36,11,FALSE())*AC$1)</f>
        <v>0</v>
      </c>
      <c r="DU4" s="92">
        <f>IF(AT4="",0,VLOOKUP(H4,Tables!$B$3:$M$36,11,FALSE())*AD$1)</f>
        <v>0</v>
      </c>
      <c r="DV4" s="92">
        <f>IF(AU4="",0,VLOOKUP(I4,Tables!$B$3:$M$36,11,FALSE())*AE$1)</f>
        <v>0</v>
      </c>
      <c r="DW4" s="91">
        <f>IF(AV4="",0,VLOOKUP(J4,Tables!$B$3:$M$36,11,FALSE())*AF$1)</f>
        <v>0</v>
      </c>
      <c r="DX4" s="92">
        <f>IF(AW4="",0,VLOOKUP(K4,Tables!$B$3:$M$36,11,FALSE())*AG$1)</f>
        <v>0</v>
      </c>
      <c r="DY4" s="92">
        <f>IF(AX4="",0,VLOOKUP(L4,Tables!$B$3:$M$36,11,FALSE())*AH$1)</f>
        <v>0</v>
      </c>
      <c r="DZ4" s="91">
        <f>IF(AY4="",0,VLOOKUP(M4,Tables!$B$3:$M$36,11,FALSE())*AI$1)</f>
        <v>0</v>
      </c>
      <c r="EA4" s="92">
        <f>IF(AZ4="",0,VLOOKUP(N4,Tables!$B$3:$M$36,11,FALSE())*AJ$1)</f>
        <v>0</v>
      </c>
      <c r="EB4" s="92">
        <f>IF(BA4="",0,VLOOKUP(O4,Tables!$B$3:$M$36,11,FALSE())*AK$1)</f>
        <v>0</v>
      </c>
      <c r="EC4" s="93">
        <f>IF(BB4="",0,VLOOKUP(P4,Tables!$B$3:$M$36,11,FALSE())*AL$1)</f>
        <v>0</v>
      </c>
      <c r="ED4" s="91">
        <f>IF(AN4="",0,VLOOKUP(B4,Tables!$B$3:$M$36,12,FALSE())*X$1)</f>
        <v>3.2</v>
      </c>
      <c r="EE4" s="92">
        <f>IF(AO4="",0,VLOOKUP(C4,Tables!$B$3:$M$36,12,FALSE())*Y$1)</f>
        <v>0</v>
      </c>
      <c r="EF4" s="92">
        <f>IF(AP4="",0,VLOOKUP(D4,Tables!$B$3:$M$36,12,FALSE())*Z$1)</f>
        <v>0</v>
      </c>
      <c r="EG4" s="91">
        <f>IF(AQ4="",0,VLOOKUP(E4,Tables!$B$3:$M$36,12,FALSE())*AA$1)</f>
        <v>0</v>
      </c>
      <c r="EH4" s="92">
        <f>IF(AR4="",0,VLOOKUP(F4,Tables!$B$3:$M$36,12,FALSE())*AB$1)</f>
        <v>0</v>
      </c>
      <c r="EI4" s="92">
        <f>IF(AS4="",0,VLOOKUP(G4,Tables!$B$3:$M$36,12,FALSE())*AC$1)</f>
        <v>0</v>
      </c>
      <c r="EJ4" s="92">
        <f>IF(AT4="",0,VLOOKUP(H4,Tables!$B$3:$M$36,12,FALSE())*AD$1)</f>
        <v>0</v>
      </c>
      <c r="EK4" s="92">
        <f>IF(AU4="",0,VLOOKUP(I4,Tables!$B$3:$M$36,12,FALSE())*AE$1)</f>
        <v>0</v>
      </c>
      <c r="EL4" s="91">
        <f>IF(AV4="",0,VLOOKUP(J4,Tables!$B$3:$M$36,12,FALSE())*AF$1)</f>
        <v>0</v>
      </c>
      <c r="EM4" s="92">
        <f>IF(AW4="",0,VLOOKUP(K4,Tables!$B$3:$M$36,12,FALSE())*AG$1)</f>
        <v>0</v>
      </c>
      <c r="EN4" s="92">
        <f>IF(AX4="",0,VLOOKUP(L4,Tables!$B$3:$M$36,12,FALSE())*AH$1)</f>
        <v>0</v>
      </c>
      <c r="EO4" s="91">
        <f>IF(AY4="",0,VLOOKUP(M4,Tables!$B$3:$M$36,12,FALSE())*AI$1)</f>
        <v>0</v>
      </c>
      <c r="EP4" s="92">
        <f>IF(AZ4="",0,VLOOKUP(N4,Tables!$B$3:$M$36,12,FALSE())*AJ$1)</f>
        <v>0</v>
      </c>
      <c r="EQ4" s="92">
        <f>IF(BA4="",0,VLOOKUP(O4,Tables!$B$3:$M$36,12,FALSE())*AK$1)</f>
        <v>0</v>
      </c>
      <c r="ER4" s="93">
        <f>IF(BB4="",0,VLOOKUP(P4,Tables!$B$3:$M$36,12,FALSE())*AL$1)</f>
        <v>0</v>
      </c>
      <c r="ES4" s="94">
        <f t="shared" ref="ES4:ES67" si="55">IF(MIN(ET4:FH4)=10,0,MIN(ET4:FH4))</f>
        <v>0</v>
      </c>
      <c r="ET4" s="95">
        <f>IF(AN4="",10,MIN(VLOOKUP(B4,Tables!$B$3:$N$34,13,FALSE()),'Item Builder'!$W4))</f>
        <v>0</v>
      </c>
      <c r="EU4" s="95">
        <f>IF(AO4="",10,MIN(VLOOKUP(C4,Tables!$B$3:$N$34,13,FALSE()),'Item Builder'!$W4))</f>
        <v>10</v>
      </c>
      <c r="EV4" s="95">
        <f>IF(AP4="",10,MIN(VLOOKUP(D4,Tables!$B$3:$N$34,13,FALSE()),'Item Builder'!$W4))</f>
        <v>10</v>
      </c>
      <c r="EW4" s="95">
        <f>IF(AQ4="",10,MIN(VLOOKUP(E4,Tables!$B$3:$N$34,13,FALSE()),'Item Builder'!$W4))</f>
        <v>10</v>
      </c>
      <c r="EX4" s="95">
        <f>IF(AR4="",10,MIN(VLOOKUP(F4,Tables!$B$3:$N$34,13,FALSE()),'Item Builder'!$W4))</f>
        <v>10</v>
      </c>
      <c r="EY4" s="95">
        <f>IF(AS4="",10,MIN(VLOOKUP(G4,Tables!$B$3:$N$34,13,FALSE()),'Item Builder'!$W4))</f>
        <v>10</v>
      </c>
      <c r="EZ4" s="95">
        <f>IF(AT4="",10,MIN(VLOOKUP(H4,Tables!$B$3:$N$34,13,FALSE()),'Item Builder'!$W4))</f>
        <v>10</v>
      </c>
      <c r="FA4" s="95">
        <f>IF(AU4="",10,MIN(VLOOKUP(I4,Tables!$B$3:$N$34,13,FALSE()),'Item Builder'!$W4))</f>
        <v>10</v>
      </c>
      <c r="FB4" s="95">
        <f>IF(AV4="",10,MIN(VLOOKUP(J4,Tables!$B$3:$N$34,13,FALSE()),'Item Builder'!$W4))</f>
        <v>10</v>
      </c>
      <c r="FC4" s="95">
        <f>IF(AW4="",10,MIN(VLOOKUP(K4,Tables!$B$3:$N$34,13,FALSE()),'Item Builder'!$W4))</f>
        <v>10</v>
      </c>
      <c r="FD4" s="95">
        <f>IF(AX4="",10,MIN(VLOOKUP(L4,Tables!$B$3:$N$34,13,FALSE()),'Item Builder'!$W4))</f>
        <v>10</v>
      </c>
      <c r="FE4" s="95">
        <f>IF(AY4="",10,MIN(VLOOKUP(M4,Tables!$B$3:$N$34,13,FALSE()),'Item Builder'!$W4))</f>
        <v>10</v>
      </c>
      <c r="FF4" s="95">
        <f>IF(AZ4="",10,MIN(VLOOKUP(N4,Tables!$B$3:$N$34,13,FALSE()),'Item Builder'!$W4))</f>
        <v>10</v>
      </c>
      <c r="FG4" s="95">
        <f>IF(BA4="",10,MIN(VLOOKUP(O4,Tables!$B$3:$N$34,13,FALSE()),'Item Builder'!$W4))</f>
        <v>10</v>
      </c>
      <c r="FH4" s="96">
        <f>IF(BB4="",10,MIN(VLOOKUP(P4,Tables!$B$3:$N$34,13,FALSE()),'Item Builder'!$W4))</f>
        <v>10</v>
      </c>
      <c r="FJ4" s="2" t="s">
        <v>145</v>
      </c>
      <c r="FK4" s="2"/>
      <c r="FL4" s="31" t="s">
        <v>146</v>
      </c>
      <c r="FM4" s="97" t="s">
        <v>147</v>
      </c>
      <c r="FN4" s="1" t="s">
        <v>148</v>
      </c>
      <c r="FO4" s="1"/>
      <c r="FP4" s="1"/>
    </row>
    <row r="5" spans="1:172" x14ac:dyDescent="0.25">
      <c r="A5" s="67" t="s">
        <v>149</v>
      </c>
      <c r="B5" s="68" t="s">
        <v>131</v>
      </c>
      <c r="C5" s="69"/>
      <c r="D5" s="70" t="s">
        <v>131</v>
      </c>
      <c r="E5" s="68"/>
      <c r="F5" s="69"/>
      <c r="G5" s="69"/>
      <c r="H5" s="69"/>
      <c r="I5" s="70"/>
      <c r="J5" s="68"/>
      <c r="K5" s="69"/>
      <c r="L5" s="70"/>
      <c r="M5" s="68"/>
      <c r="N5" s="69"/>
      <c r="O5" s="69"/>
      <c r="P5" s="71"/>
      <c r="Q5" s="72">
        <f>SUM(BV5:CJ5)*VLOOKUP(W5,Tables!$W$3:$Z$8,4)</f>
        <v>6</v>
      </c>
      <c r="R5" s="73">
        <f t="shared" si="0"/>
        <v>0.30000000000000004</v>
      </c>
      <c r="S5" s="74">
        <f t="shared" si="1"/>
        <v>0</v>
      </c>
      <c r="T5" s="74">
        <f t="shared" si="2"/>
        <v>5</v>
      </c>
      <c r="U5" s="75">
        <f t="shared" si="3"/>
        <v>1.2000000000000002</v>
      </c>
      <c r="V5" s="76">
        <f t="shared" si="4"/>
        <v>4.8000000000000007</v>
      </c>
      <c r="W5" s="77">
        <v>0</v>
      </c>
      <c r="X5" s="78">
        <f t="shared" si="5"/>
        <v>1</v>
      </c>
      <c r="Y5" s="79">
        <f t="shared" si="6"/>
        <v>0</v>
      </c>
      <c r="Z5" s="79">
        <f t="shared" si="7"/>
        <v>1</v>
      </c>
      <c r="AA5" s="78">
        <f t="shared" si="8"/>
        <v>0</v>
      </c>
      <c r="AB5" s="79">
        <f t="shared" si="9"/>
        <v>0</v>
      </c>
      <c r="AC5" s="79">
        <f t="shared" si="10"/>
        <v>0</v>
      </c>
      <c r="AD5" s="79">
        <f t="shared" si="11"/>
        <v>0</v>
      </c>
      <c r="AE5" s="79">
        <f t="shared" si="12"/>
        <v>0</v>
      </c>
      <c r="AF5" s="78">
        <f t="shared" si="13"/>
        <v>0</v>
      </c>
      <c r="AG5" s="79">
        <f t="shared" si="14"/>
        <v>0</v>
      </c>
      <c r="AH5" s="79">
        <f t="shared" si="15"/>
        <v>0</v>
      </c>
      <c r="AI5" s="78">
        <f t="shared" si="16"/>
        <v>0</v>
      </c>
      <c r="AJ5" s="79">
        <f t="shared" si="17"/>
        <v>0</v>
      </c>
      <c r="AK5" s="79">
        <f t="shared" si="18"/>
        <v>0</v>
      </c>
      <c r="AL5" s="80">
        <f t="shared" si="19"/>
        <v>0</v>
      </c>
      <c r="AM5" s="81">
        <f t="shared" si="20"/>
        <v>0.06</v>
      </c>
      <c r="AN5" s="82" t="str">
        <f t="shared" si="21"/>
        <v>C</v>
      </c>
      <c r="AO5" s="79" t="str">
        <f t="shared" si="22"/>
        <v/>
      </c>
      <c r="AP5" t="str">
        <f t="shared" si="23"/>
        <v>C</v>
      </c>
      <c r="AQ5" s="82" t="str">
        <f t="shared" si="24"/>
        <v/>
      </c>
      <c r="AR5" t="str">
        <f t="shared" si="25"/>
        <v/>
      </c>
      <c r="AS5" t="str">
        <f t="shared" si="26"/>
        <v/>
      </c>
      <c r="AT5" t="str">
        <f t="shared" si="27"/>
        <v/>
      </c>
      <c r="AU5" t="str">
        <f t="shared" si="28"/>
        <v/>
      </c>
      <c r="AV5" s="82" t="str">
        <f t="shared" si="29"/>
        <v/>
      </c>
      <c r="AW5" t="str">
        <f t="shared" si="30"/>
        <v/>
      </c>
      <c r="AX5" t="str">
        <f t="shared" si="31"/>
        <v/>
      </c>
      <c r="AY5" s="82" t="str">
        <f t="shared" si="32"/>
        <v/>
      </c>
      <c r="AZ5" t="str">
        <f t="shared" si="33"/>
        <v/>
      </c>
      <c r="BA5" t="str">
        <f t="shared" si="34"/>
        <v/>
      </c>
      <c r="BB5" s="83" t="str">
        <f t="shared" si="35"/>
        <v/>
      </c>
      <c r="BC5" s="84">
        <f t="shared" si="36"/>
        <v>0.66666666666666652</v>
      </c>
      <c r="BD5" s="84">
        <f t="shared" si="37"/>
        <v>0</v>
      </c>
      <c r="BE5" s="84">
        <f t="shared" si="38"/>
        <v>0</v>
      </c>
      <c r="BF5" s="84">
        <f t="shared" si="39"/>
        <v>0</v>
      </c>
      <c r="BG5" s="78">
        <f>IF(AN5="",0,VLOOKUP(AN5,Tables!$AB$3:$AC$12,2))</f>
        <v>1</v>
      </c>
      <c r="BH5" s="79">
        <f>IF(AO5="",0,VLOOKUP(AO5,Tables!$AB$3:$AC$12,2))</f>
        <v>0</v>
      </c>
      <c r="BI5" s="79">
        <f>IF(AP5="",0,VLOOKUP(AP5,Tables!$AB$3:$AC$12,2))</f>
        <v>1</v>
      </c>
      <c r="BJ5" s="78">
        <f>IF(AQ5="",0,VLOOKUP(AQ5,Tables!$AB$3:$AC$12,2))</f>
        <v>0</v>
      </c>
      <c r="BK5" s="79">
        <f>IF(AR5="",0,VLOOKUP(AR5,Tables!$AB$3:$AC$12,2))</f>
        <v>0</v>
      </c>
      <c r="BL5" s="79">
        <f>IF(AS5="",0,VLOOKUP(AS5,Tables!$AB$3:$AC$12,2))</f>
        <v>0</v>
      </c>
      <c r="BM5" s="79">
        <f>IF(AT5="",0,VLOOKUP(AT5,Tables!$AB$3:$AC$12,2))</f>
        <v>0</v>
      </c>
      <c r="BN5" s="79">
        <f>IF(AU5="",0,VLOOKUP(AU5,Tables!$AB$3:$AC$12,2))</f>
        <v>0</v>
      </c>
      <c r="BO5" s="78">
        <f>IF(AV5="",0,VLOOKUP(AV5,Tables!$AB$3:$AC$12,2))</f>
        <v>0</v>
      </c>
      <c r="BP5" s="79">
        <f>IF(AW5="",0,VLOOKUP(AW5,Tables!$AB$3:$AC$12,2))</f>
        <v>0</v>
      </c>
      <c r="BQ5" s="79">
        <f>IF(AX5="",0,VLOOKUP(AX5,Tables!$AB$3:$AC$12,2))</f>
        <v>0</v>
      </c>
      <c r="BR5" s="78">
        <f>IF(AY5="",0,VLOOKUP(AY5,Tables!$AB$3:$AC$12,2))</f>
        <v>0</v>
      </c>
      <c r="BS5" s="79">
        <f>IF(AZ5="",0,VLOOKUP(AZ5,Tables!$AB$3:$AC$12,2))</f>
        <v>0</v>
      </c>
      <c r="BT5" s="79">
        <f>IF(BA5="",0,VLOOKUP(BA5,Tables!$AB$3:$AC$12,2))</f>
        <v>0</v>
      </c>
      <c r="BU5" s="80">
        <f>IF(BB5="",0,VLOOKUP(BB5,Tables!$AB$3:$AC$12,2))</f>
        <v>0</v>
      </c>
      <c r="BV5" s="85">
        <f>IF(AN5="",0,VLOOKUP(B5,Tables!$B$3:$D$36,2,FALSE())*X$1)</f>
        <v>4</v>
      </c>
      <c r="BW5" s="72">
        <f>IF(AO5="",0,VLOOKUP(C5,Tables!$B$3:$D$36,2,FALSE())*Y$1)</f>
        <v>0</v>
      </c>
      <c r="BX5" s="72">
        <f>IF(AP5="",0,VLOOKUP(D5,Tables!$B$3:$D$36,2,FALSE())*Z$1)</f>
        <v>2</v>
      </c>
      <c r="BY5" s="85">
        <f>IF(AQ5="",0,VLOOKUP(E5,Tables!$B$3:$D$36,2,FALSE())*AA$1)</f>
        <v>0</v>
      </c>
      <c r="BZ5" s="72">
        <f>IF(AR5="",0,VLOOKUP(F5,Tables!$B$3:$D$36,2,FALSE())*AB$1)</f>
        <v>0</v>
      </c>
      <c r="CA5" s="72">
        <f>IF(AS5="",0,VLOOKUP(G5,Tables!$B$3:$D$36,2,FALSE())*AC$1)</f>
        <v>0</v>
      </c>
      <c r="CB5" s="72">
        <f>IF(AT5="",0,VLOOKUP(H5,Tables!$B$3:$D$36,2,FALSE())*AD$1)</f>
        <v>0</v>
      </c>
      <c r="CC5" s="72">
        <f>IF(AU5="",0,VLOOKUP(I5,Tables!$B$3:$D$36,2,FALSE())*AE$1)</f>
        <v>0</v>
      </c>
      <c r="CD5" s="85">
        <f>IF(AV5="",0,VLOOKUP(J5,Tables!$B$3:$D$36,2,FALSE())*AF$1)</f>
        <v>0</v>
      </c>
      <c r="CE5" s="72">
        <f>IF(AW5="",0,VLOOKUP(K5,Tables!$B$3:$D$36,2,FALSE())*AG$1)</f>
        <v>0</v>
      </c>
      <c r="CF5" s="72">
        <f>IF(AX5="",0,VLOOKUP(L5,Tables!$B$3:$D$36,2,FALSE())*AH$1)</f>
        <v>0</v>
      </c>
      <c r="CG5" s="85">
        <f>IF(AY5="",0,VLOOKUP(M5,Tables!$B$3:$D$36,2,FALSE())*AI$1)</f>
        <v>0</v>
      </c>
      <c r="CH5" s="72">
        <f>IF(AZ5="",0,VLOOKUP(N5,Tables!$B$3:$D$36,2,FALSE())*AJ$1)</f>
        <v>0</v>
      </c>
      <c r="CI5" s="72">
        <f>IF(BA5="",0,VLOOKUP(O5,Tables!$B$3:$D$36,2,FALSE())*AK$1)</f>
        <v>0</v>
      </c>
      <c r="CJ5" s="86">
        <f>IF(BB5="",0,VLOOKUP(P5,Tables!$B$3:$D$36,2,FALSE())*AL$1)</f>
        <v>0</v>
      </c>
      <c r="CK5" s="87">
        <f>IF(AN5="",0,VLOOKUP(B5,Tables!$B$3:$D$36,3,FALSE())*X$1)*IF(OR(AN5="K",AN5="P"),2,1)</f>
        <v>0.2</v>
      </c>
      <c r="CL5" s="73">
        <f>IF(AO5="",0,VLOOKUP(C5,Tables!$B$3:$D$36,3,FALSE())*Y$1)*IF(OR(AO5="K",AO5="P"),2,1)</f>
        <v>0</v>
      </c>
      <c r="CM5" s="73">
        <f>IF(AP5="",0,VLOOKUP(D5,Tables!$B$3:$D$36,3,FALSE())*Z$1)*IF(OR(AP5="K",AP5="P"),2,1)</f>
        <v>0.1</v>
      </c>
      <c r="CN5" s="87">
        <f>IF(AQ5="",0,VLOOKUP(E5,Tables!$B$3:$D$36,3,FALSE())*AA$1)</f>
        <v>0</v>
      </c>
      <c r="CO5" s="73">
        <f>IF(AR5="",0,VLOOKUP(F5,Tables!$B$3:$D$36,3,FALSE())*AB$1)</f>
        <v>0</v>
      </c>
      <c r="CP5" s="73">
        <f>IF(AS5="",0,VLOOKUP(G5,Tables!$B$3:$D$36,3,FALSE())*AC$1)</f>
        <v>0</v>
      </c>
      <c r="CQ5" s="73">
        <f>IF(AT5="",0,VLOOKUP(H5,Tables!$B$3:$D$36,3,FALSE())*AD$1)</f>
        <v>0</v>
      </c>
      <c r="CR5" s="73">
        <f>IF(AU5="",0,VLOOKUP(I5,Tables!$B$3:$D$36,3,FALSE())*AE$1)</f>
        <v>0</v>
      </c>
      <c r="CS5" s="87">
        <f>IF(AV5="",0,VLOOKUP(J5,Tables!$B$3:$D$36,3,FALSE())*AF$1)</f>
        <v>0</v>
      </c>
      <c r="CT5" s="73">
        <f>IF(AW5="",0,VLOOKUP(K5,Tables!$B$3:$D$36,3,FALSE())*AG$1)</f>
        <v>0</v>
      </c>
      <c r="CU5" s="73">
        <f>IF(AX5="",0,VLOOKUP(L5,Tables!$B$3:$D$36,3,FALSE())*AH$1)</f>
        <v>0</v>
      </c>
      <c r="CV5" s="87">
        <f>IF(AY5="",0,VLOOKUP(M5,Tables!$B$3:$D$36,3,FALSE())*AI$1)</f>
        <v>0</v>
      </c>
      <c r="CW5" s="73">
        <f>IF(AZ5="",0,VLOOKUP(N5,Tables!$B$3:$D$36,3,FALSE())*AJ$1)</f>
        <v>0</v>
      </c>
      <c r="CX5" s="73">
        <f>IF(BA5="",0,VLOOKUP(O5,Tables!$B$3:$D$36,3,FALSE())*AK$1)</f>
        <v>0</v>
      </c>
      <c r="CY5" s="88">
        <f>IF(BB5="",0,VLOOKUP(P5,Tables!$B$3:$D$36,3,FALSE())*AL$1)</f>
        <v>0</v>
      </c>
      <c r="CZ5" s="89">
        <f t="shared" si="40"/>
        <v>1</v>
      </c>
      <c r="DA5" s="75">
        <f t="shared" si="41"/>
        <v>0</v>
      </c>
      <c r="DB5" s="75">
        <f t="shared" si="42"/>
        <v>1</v>
      </c>
      <c r="DC5" s="89">
        <f t="shared" si="43"/>
        <v>0</v>
      </c>
      <c r="DD5" s="75">
        <f t="shared" si="44"/>
        <v>0</v>
      </c>
      <c r="DE5" s="75">
        <f t="shared" si="45"/>
        <v>0</v>
      </c>
      <c r="DF5" s="75">
        <f t="shared" si="46"/>
        <v>0</v>
      </c>
      <c r="DG5" s="75">
        <f t="shared" si="47"/>
        <v>0</v>
      </c>
      <c r="DH5" s="89">
        <f t="shared" si="48"/>
        <v>0</v>
      </c>
      <c r="DI5" s="75">
        <f t="shared" si="49"/>
        <v>0</v>
      </c>
      <c r="DJ5" s="75">
        <f t="shared" si="50"/>
        <v>0</v>
      </c>
      <c r="DK5" s="89">
        <f t="shared" si="51"/>
        <v>0</v>
      </c>
      <c r="DL5" s="75">
        <f t="shared" si="52"/>
        <v>0</v>
      </c>
      <c r="DM5" s="75">
        <f t="shared" si="53"/>
        <v>0</v>
      </c>
      <c r="DN5" s="90">
        <f t="shared" si="54"/>
        <v>0</v>
      </c>
      <c r="DO5" s="91">
        <f>IF(AN5="",0,VLOOKUP(B5,Tables!$B$3:$M$36,11,FALSE())*X$1)</f>
        <v>0.8</v>
      </c>
      <c r="DP5" s="92">
        <f>IF(AO5="",0,VLOOKUP(C5,Tables!$B$3:$M$36,11,FALSE())*Y$1)</f>
        <v>0</v>
      </c>
      <c r="DQ5" s="92">
        <f>IF(AP5="",0,VLOOKUP(D5,Tables!$B$3:$M$36,11,FALSE())*Z$1)</f>
        <v>0.4</v>
      </c>
      <c r="DR5" s="91">
        <f>IF(AQ5="",0,VLOOKUP(E5,Tables!$B$3:$M$36,11,FALSE())*AA$1)</f>
        <v>0</v>
      </c>
      <c r="DS5" s="92">
        <f>IF(AR5="",0,VLOOKUP(F5,Tables!$B$3:$M$36,11,FALSE())*AB$1)</f>
        <v>0</v>
      </c>
      <c r="DT5" s="92">
        <f>IF(AS5="",0,VLOOKUP(G5,Tables!$B$3:$M$36,11,FALSE())*AC$1)</f>
        <v>0</v>
      </c>
      <c r="DU5" s="92">
        <f>IF(AT5="",0,VLOOKUP(H5,Tables!$B$3:$M$36,11,FALSE())*AD$1)</f>
        <v>0</v>
      </c>
      <c r="DV5" s="92">
        <f>IF(AU5="",0,VLOOKUP(I5,Tables!$B$3:$M$36,11,FALSE())*AE$1)</f>
        <v>0</v>
      </c>
      <c r="DW5" s="91">
        <f>IF(AV5="",0,VLOOKUP(J5,Tables!$B$3:$M$36,11,FALSE())*AF$1)</f>
        <v>0</v>
      </c>
      <c r="DX5" s="92">
        <f>IF(AW5="",0,VLOOKUP(K5,Tables!$B$3:$M$36,11,FALSE())*AG$1)</f>
        <v>0</v>
      </c>
      <c r="DY5" s="92">
        <f>IF(AX5="",0,VLOOKUP(L5,Tables!$B$3:$M$36,11,FALSE())*AH$1)</f>
        <v>0</v>
      </c>
      <c r="DZ5" s="91">
        <f>IF(AY5="",0,VLOOKUP(M5,Tables!$B$3:$M$36,11,FALSE())*AI$1)</f>
        <v>0</v>
      </c>
      <c r="EA5" s="92">
        <f>IF(AZ5="",0,VLOOKUP(N5,Tables!$B$3:$M$36,11,FALSE())*AJ$1)</f>
        <v>0</v>
      </c>
      <c r="EB5" s="92">
        <f>IF(BA5="",0,VLOOKUP(O5,Tables!$B$3:$M$36,11,FALSE())*AK$1)</f>
        <v>0</v>
      </c>
      <c r="EC5" s="93">
        <f>IF(BB5="",0,VLOOKUP(P5,Tables!$B$3:$M$36,11,FALSE())*AL$1)</f>
        <v>0</v>
      </c>
      <c r="ED5" s="91">
        <f>IF(AN5="",0,VLOOKUP(B5,Tables!$B$3:$M$36,12,FALSE())*X$1)</f>
        <v>3.2</v>
      </c>
      <c r="EE5" s="92">
        <f>IF(AO5="",0,VLOOKUP(C5,Tables!$B$3:$M$36,12,FALSE())*Y$1)</f>
        <v>0</v>
      </c>
      <c r="EF5" s="92">
        <f>IF(AP5="",0,VLOOKUP(D5,Tables!$B$3:$M$36,12,FALSE())*Z$1)</f>
        <v>1.6</v>
      </c>
      <c r="EG5" s="91">
        <f>IF(AQ5="",0,VLOOKUP(E5,Tables!$B$3:$M$36,12,FALSE())*AA$1)</f>
        <v>0</v>
      </c>
      <c r="EH5" s="92">
        <f>IF(AR5="",0,VLOOKUP(F5,Tables!$B$3:$M$36,12,FALSE())*AB$1)</f>
        <v>0</v>
      </c>
      <c r="EI5" s="92">
        <f>IF(AS5="",0,VLOOKUP(G5,Tables!$B$3:$M$36,12,FALSE())*AC$1)</f>
        <v>0</v>
      </c>
      <c r="EJ5" s="92">
        <f>IF(AT5="",0,VLOOKUP(H5,Tables!$B$3:$M$36,12,FALSE())*AD$1)</f>
        <v>0</v>
      </c>
      <c r="EK5" s="92">
        <f>IF(AU5="",0,VLOOKUP(I5,Tables!$B$3:$M$36,12,FALSE())*AE$1)</f>
        <v>0</v>
      </c>
      <c r="EL5" s="91">
        <f>IF(AV5="",0,VLOOKUP(J5,Tables!$B$3:$M$36,12,FALSE())*AF$1)</f>
        <v>0</v>
      </c>
      <c r="EM5" s="92">
        <f>IF(AW5="",0,VLOOKUP(K5,Tables!$B$3:$M$36,12,FALSE())*AG$1)</f>
        <v>0</v>
      </c>
      <c r="EN5" s="92">
        <f>IF(AX5="",0,VLOOKUP(L5,Tables!$B$3:$M$36,12,FALSE())*AH$1)</f>
        <v>0</v>
      </c>
      <c r="EO5" s="91">
        <f>IF(AY5="",0,VLOOKUP(M5,Tables!$B$3:$M$36,12,FALSE())*AI$1)</f>
        <v>0</v>
      </c>
      <c r="EP5" s="92">
        <f>IF(AZ5="",0,VLOOKUP(N5,Tables!$B$3:$M$36,12,FALSE())*AJ$1)</f>
        <v>0</v>
      </c>
      <c r="EQ5" s="92">
        <f>IF(BA5="",0,VLOOKUP(O5,Tables!$B$3:$M$36,12,FALSE())*AK$1)</f>
        <v>0</v>
      </c>
      <c r="ER5" s="93">
        <f>IF(BB5="",0,VLOOKUP(P5,Tables!$B$3:$M$36,12,FALSE())*AL$1)</f>
        <v>0</v>
      </c>
      <c r="ES5" s="94">
        <f t="shared" si="55"/>
        <v>0</v>
      </c>
      <c r="ET5" s="95">
        <f>IF(AN5="",10,MIN(VLOOKUP(B5,Tables!$B$3:$N$34,13,FALSE()),'Item Builder'!$W5))</f>
        <v>0</v>
      </c>
      <c r="EU5" s="95">
        <f>IF(AO5="",10,MIN(VLOOKUP(C5,Tables!$B$3:$N$34,13,FALSE()),'Item Builder'!$W5))</f>
        <v>10</v>
      </c>
      <c r="EV5" s="95">
        <f>IF(AP5="",10,MIN(VLOOKUP(D5,Tables!$B$3:$N$34,13,FALSE()),'Item Builder'!$W5))</f>
        <v>0</v>
      </c>
      <c r="EW5" s="95">
        <f>IF(AQ5="",10,MIN(VLOOKUP(E5,Tables!$B$3:$N$34,13,FALSE()),'Item Builder'!$W5))</f>
        <v>10</v>
      </c>
      <c r="EX5" s="95">
        <f>IF(AR5="",10,MIN(VLOOKUP(F5,Tables!$B$3:$N$34,13,FALSE()),'Item Builder'!$W5))</f>
        <v>10</v>
      </c>
      <c r="EY5" s="95">
        <f>IF(AS5="",10,MIN(VLOOKUP(G5,Tables!$B$3:$N$34,13,FALSE()),'Item Builder'!$W5))</f>
        <v>10</v>
      </c>
      <c r="EZ5" s="95">
        <f>IF(AT5="",10,MIN(VLOOKUP(H5,Tables!$B$3:$N$34,13,FALSE()),'Item Builder'!$W5))</f>
        <v>10</v>
      </c>
      <c r="FA5" s="95">
        <f>IF(AU5="",10,MIN(VLOOKUP(I5,Tables!$B$3:$N$34,13,FALSE()),'Item Builder'!$W5))</f>
        <v>10</v>
      </c>
      <c r="FB5" s="95">
        <f>IF(AV5="",10,MIN(VLOOKUP(J5,Tables!$B$3:$N$34,13,FALSE()),'Item Builder'!$W5))</f>
        <v>10</v>
      </c>
      <c r="FC5" s="95">
        <f>IF(AW5="",10,MIN(VLOOKUP(K5,Tables!$B$3:$N$34,13,FALSE()),'Item Builder'!$W5))</f>
        <v>10</v>
      </c>
      <c r="FD5" s="95">
        <f>IF(AX5="",10,MIN(VLOOKUP(L5,Tables!$B$3:$N$34,13,FALSE()),'Item Builder'!$W5))</f>
        <v>10</v>
      </c>
      <c r="FE5" s="95">
        <f>IF(AY5="",10,MIN(VLOOKUP(M5,Tables!$B$3:$N$34,13,FALSE()),'Item Builder'!$W5))</f>
        <v>10</v>
      </c>
      <c r="FF5" s="95">
        <f>IF(AZ5="",10,MIN(VLOOKUP(N5,Tables!$B$3:$N$34,13,FALSE()),'Item Builder'!$W5))</f>
        <v>10</v>
      </c>
      <c r="FG5" s="95">
        <f>IF(BA5="",10,MIN(VLOOKUP(O5,Tables!$B$3:$N$34,13,FALSE()),'Item Builder'!$W5))</f>
        <v>10</v>
      </c>
      <c r="FH5" s="98">
        <f>IF(BB5="",10,MIN(VLOOKUP(P5,Tables!$B$3:$N$34,13,FALSE()),'Item Builder'!$W5))</f>
        <v>10</v>
      </c>
      <c r="FJ5" s="2" t="s">
        <v>150</v>
      </c>
      <c r="FK5" s="2"/>
      <c r="FL5" s="31" t="s">
        <v>151</v>
      </c>
      <c r="FM5" s="99" t="s">
        <v>152</v>
      </c>
      <c r="FN5" s="1"/>
      <c r="FO5" s="1"/>
      <c r="FP5" s="1"/>
    </row>
    <row r="6" spans="1:172" x14ac:dyDescent="0.25">
      <c r="A6" s="67" t="s">
        <v>153</v>
      </c>
      <c r="B6" s="68"/>
      <c r="C6" s="69"/>
      <c r="D6" s="70"/>
      <c r="E6" s="68" t="s">
        <v>131</v>
      </c>
      <c r="F6" s="69" t="s">
        <v>131</v>
      </c>
      <c r="G6" s="69"/>
      <c r="H6" s="69"/>
      <c r="I6" s="70"/>
      <c r="J6" s="68" t="s">
        <v>131</v>
      </c>
      <c r="K6" s="69"/>
      <c r="L6" s="70"/>
      <c r="M6" s="68"/>
      <c r="N6" s="69"/>
      <c r="O6" s="69"/>
      <c r="P6" s="71"/>
      <c r="Q6" s="72">
        <f>SUM(BV6:CJ6)*VLOOKUP(W6,Tables!$W$3:$Z$8,4)</f>
        <v>21</v>
      </c>
      <c r="R6" s="73">
        <f t="shared" si="0"/>
        <v>1.0499999999999998</v>
      </c>
      <c r="S6" s="74">
        <f t="shared" si="1"/>
        <v>0</v>
      </c>
      <c r="T6" s="74">
        <f t="shared" si="2"/>
        <v>0</v>
      </c>
      <c r="U6" s="75">
        <f t="shared" si="3"/>
        <v>4.1999999999999993</v>
      </c>
      <c r="V6" s="76">
        <f t="shared" si="4"/>
        <v>16.799999999999997</v>
      </c>
      <c r="W6" s="77">
        <v>0</v>
      </c>
      <c r="X6" s="78">
        <f t="shared" si="5"/>
        <v>0</v>
      </c>
      <c r="Y6" s="79">
        <f t="shared" si="6"/>
        <v>0</v>
      </c>
      <c r="Z6" s="79">
        <f t="shared" si="7"/>
        <v>0</v>
      </c>
      <c r="AA6" s="78">
        <f t="shared" si="8"/>
        <v>1</v>
      </c>
      <c r="AB6" s="79">
        <f t="shared" si="9"/>
        <v>1</v>
      </c>
      <c r="AC6" s="79">
        <f t="shared" si="10"/>
        <v>0</v>
      </c>
      <c r="AD6" s="79">
        <f t="shared" si="11"/>
        <v>0</v>
      </c>
      <c r="AE6" s="79">
        <f t="shared" si="12"/>
        <v>0</v>
      </c>
      <c r="AF6" s="78">
        <f t="shared" si="13"/>
        <v>1</v>
      </c>
      <c r="AG6" s="79">
        <f t="shared" si="14"/>
        <v>0</v>
      </c>
      <c r="AH6" s="79">
        <f t="shared" si="15"/>
        <v>0</v>
      </c>
      <c r="AI6" s="78">
        <f t="shared" si="16"/>
        <v>0</v>
      </c>
      <c r="AJ6" s="79">
        <f t="shared" si="17"/>
        <v>0</v>
      </c>
      <c r="AK6" s="79">
        <f t="shared" si="18"/>
        <v>0</v>
      </c>
      <c r="AL6" s="80">
        <f t="shared" si="19"/>
        <v>0</v>
      </c>
      <c r="AM6" s="81">
        <f t="shared" si="20"/>
        <v>0.21</v>
      </c>
      <c r="AN6" s="82" t="str">
        <f t="shared" si="21"/>
        <v/>
      </c>
      <c r="AO6" s="79" t="str">
        <f t="shared" si="22"/>
        <v/>
      </c>
      <c r="AP6" t="str">
        <f t="shared" si="23"/>
        <v/>
      </c>
      <c r="AQ6" s="82" t="str">
        <f t="shared" si="24"/>
        <v>C</v>
      </c>
      <c r="AR6" t="str">
        <f t="shared" si="25"/>
        <v>C</v>
      </c>
      <c r="AS6" t="str">
        <f t="shared" si="26"/>
        <v/>
      </c>
      <c r="AT6" t="str">
        <f t="shared" si="27"/>
        <v/>
      </c>
      <c r="AU6" t="str">
        <f t="shared" si="28"/>
        <v/>
      </c>
      <c r="AV6" s="82" t="str">
        <f t="shared" si="29"/>
        <v>C</v>
      </c>
      <c r="AW6" t="str">
        <f t="shared" si="30"/>
        <v/>
      </c>
      <c r="AX6" t="str">
        <f t="shared" si="31"/>
        <v/>
      </c>
      <c r="AY6" s="82" t="str">
        <f t="shared" si="32"/>
        <v/>
      </c>
      <c r="AZ6" t="str">
        <f t="shared" si="33"/>
        <v/>
      </c>
      <c r="BA6" t="str">
        <f t="shared" si="34"/>
        <v/>
      </c>
      <c r="BB6" s="83" t="str">
        <f t="shared" si="35"/>
        <v/>
      </c>
      <c r="BC6" s="84">
        <f t="shared" si="36"/>
        <v>0</v>
      </c>
      <c r="BD6" s="84">
        <f t="shared" si="37"/>
        <v>0.42857142857142849</v>
      </c>
      <c r="BE6" s="84">
        <f t="shared" si="38"/>
        <v>0.35294117647058826</v>
      </c>
      <c r="BF6" s="84">
        <f t="shared" si="39"/>
        <v>0</v>
      </c>
      <c r="BG6" s="78">
        <f>IF(AN6="",0,VLOOKUP(AN6,Tables!$AB$3:$AC$12,2))</f>
        <v>0</v>
      </c>
      <c r="BH6" s="79">
        <f>IF(AO6="",0,VLOOKUP(AO6,Tables!$AB$3:$AC$12,2))</f>
        <v>0</v>
      </c>
      <c r="BI6" s="79">
        <f>IF(AP6="",0,VLOOKUP(AP6,Tables!$AB$3:$AC$12,2))</f>
        <v>0</v>
      </c>
      <c r="BJ6" s="78">
        <f>IF(AQ6="",0,VLOOKUP(AQ6,Tables!$AB$3:$AC$12,2))</f>
        <v>1</v>
      </c>
      <c r="BK6" s="79">
        <f>IF(AR6="",0,VLOOKUP(AR6,Tables!$AB$3:$AC$12,2))</f>
        <v>1</v>
      </c>
      <c r="BL6" s="79">
        <f>IF(AS6="",0,VLOOKUP(AS6,Tables!$AB$3:$AC$12,2))</f>
        <v>0</v>
      </c>
      <c r="BM6" s="79">
        <f>IF(AT6="",0,VLOOKUP(AT6,Tables!$AB$3:$AC$12,2))</f>
        <v>0</v>
      </c>
      <c r="BN6" s="79">
        <f>IF(AU6="",0,VLOOKUP(AU6,Tables!$AB$3:$AC$12,2))</f>
        <v>0</v>
      </c>
      <c r="BO6" s="78">
        <f>IF(AV6="",0,VLOOKUP(AV6,Tables!$AB$3:$AC$12,2))</f>
        <v>1</v>
      </c>
      <c r="BP6" s="79">
        <f>IF(AW6="",0,VLOOKUP(AW6,Tables!$AB$3:$AC$12,2))</f>
        <v>0</v>
      </c>
      <c r="BQ6" s="79">
        <f>IF(AX6="",0,VLOOKUP(AX6,Tables!$AB$3:$AC$12,2))</f>
        <v>0</v>
      </c>
      <c r="BR6" s="78">
        <f>IF(AY6="",0,VLOOKUP(AY6,Tables!$AB$3:$AC$12,2))</f>
        <v>0</v>
      </c>
      <c r="BS6" s="79">
        <f>IF(AZ6="",0,VLOOKUP(AZ6,Tables!$AB$3:$AC$12,2))</f>
        <v>0</v>
      </c>
      <c r="BT6" s="79">
        <f>IF(BA6="",0,VLOOKUP(BA6,Tables!$AB$3:$AC$12,2))</f>
        <v>0</v>
      </c>
      <c r="BU6" s="80">
        <f>IF(BB6="",0,VLOOKUP(BB6,Tables!$AB$3:$AC$12,2))</f>
        <v>0</v>
      </c>
      <c r="BV6" s="85">
        <f>IF(AN6="",0,VLOOKUP(B6,Tables!$B$3:$D$36,2,FALSE())*X$1)</f>
        <v>0</v>
      </c>
      <c r="BW6" s="72">
        <f>IF(AO6="",0,VLOOKUP(C6,Tables!$B$3:$D$36,2,FALSE())*Y$1)</f>
        <v>0</v>
      </c>
      <c r="BX6" s="72">
        <f>IF(AP6="",0,VLOOKUP(D6,Tables!$B$3:$D$36,2,FALSE())*Z$1)</f>
        <v>0</v>
      </c>
      <c r="BY6" s="85">
        <f>IF(AQ6="",0,VLOOKUP(E6,Tables!$B$3:$D$36,2,FALSE())*AA$1)</f>
        <v>3</v>
      </c>
      <c r="BZ6" s="72">
        <f>IF(AR6="",0,VLOOKUP(F6,Tables!$B$3:$D$36,2,FALSE())*AB$1)</f>
        <v>6</v>
      </c>
      <c r="CA6" s="72">
        <f>IF(AS6="",0,VLOOKUP(G6,Tables!$B$3:$D$36,2,FALSE())*AC$1)</f>
        <v>0</v>
      </c>
      <c r="CB6" s="72">
        <f>IF(AT6="",0,VLOOKUP(H6,Tables!$B$3:$D$36,2,FALSE())*AD$1)</f>
        <v>0</v>
      </c>
      <c r="CC6" s="72">
        <f>IF(AU6="",0,VLOOKUP(I6,Tables!$B$3:$D$36,2,FALSE())*AE$1)</f>
        <v>0</v>
      </c>
      <c r="CD6" s="85">
        <f>IF(AV6="",0,VLOOKUP(J6,Tables!$B$3:$D$36,2,FALSE())*AF$1)</f>
        <v>12</v>
      </c>
      <c r="CE6" s="72">
        <f>IF(AW6="",0,VLOOKUP(K6,Tables!$B$3:$D$36,2,FALSE())*AG$1)</f>
        <v>0</v>
      </c>
      <c r="CF6" s="72">
        <f>IF(AX6="",0,VLOOKUP(L6,Tables!$B$3:$D$36,2,FALSE())*AH$1)</f>
        <v>0</v>
      </c>
      <c r="CG6" s="85">
        <f>IF(AY6="",0,VLOOKUP(M6,Tables!$B$3:$D$36,2,FALSE())*AI$1)</f>
        <v>0</v>
      </c>
      <c r="CH6" s="72">
        <f>IF(AZ6="",0,VLOOKUP(N6,Tables!$B$3:$D$36,2,FALSE())*AJ$1)</f>
        <v>0</v>
      </c>
      <c r="CI6" s="72">
        <f>IF(BA6="",0,VLOOKUP(O6,Tables!$B$3:$D$36,2,FALSE())*AK$1)</f>
        <v>0</v>
      </c>
      <c r="CJ6" s="86">
        <f>IF(BB6="",0,VLOOKUP(P6,Tables!$B$3:$D$36,2,FALSE())*AL$1)</f>
        <v>0</v>
      </c>
      <c r="CK6" s="87">
        <f>IF(AN6="",0,VLOOKUP(B6,Tables!$B$3:$D$36,3,FALSE())*X$1)*IF(OR(AN6="K",AN6="P"),2,1)</f>
        <v>0</v>
      </c>
      <c r="CL6" s="73">
        <f>IF(AO6="",0,VLOOKUP(C6,Tables!$B$3:$D$36,3,FALSE())*Y$1)*IF(OR(AO6="K",AO6="P"),2,1)</f>
        <v>0</v>
      </c>
      <c r="CM6" s="73">
        <f>IF(AP6="",0,VLOOKUP(D6,Tables!$B$3:$D$36,3,FALSE())*Z$1)*IF(OR(AP6="K",AP6="P"),2,1)</f>
        <v>0</v>
      </c>
      <c r="CN6" s="87">
        <f>IF(AQ6="",0,VLOOKUP(E6,Tables!$B$3:$D$36,3,FALSE())*AA$1)</f>
        <v>0.15</v>
      </c>
      <c r="CO6" s="73">
        <f>IF(AR6="",0,VLOOKUP(F6,Tables!$B$3:$D$36,3,FALSE())*AB$1)</f>
        <v>0.3</v>
      </c>
      <c r="CP6" s="73">
        <f>IF(AS6="",0,VLOOKUP(G6,Tables!$B$3:$D$36,3,FALSE())*AC$1)</f>
        <v>0</v>
      </c>
      <c r="CQ6" s="73">
        <f>IF(AT6="",0,VLOOKUP(H6,Tables!$B$3:$D$36,3,FALSE())*AD$1)</f>
        <v>0</v>
      </c>
      <c r="CR6" s="73">
        <f>IF(AU6="",0,VLOOKUP(I6,Tables!$B$3:$D$36,3,FALSE())*AE$1)</f>
        <v>0</v>
      </c>
      <c r="CS6" s="87">
        <f>IF(AV6="",0,VLOOKUP(J6,Tables!$B$3:$D$36,3,FALSE())*AF$1)</f>
        <v>0.6</v>
      </c>
      <c r="CT6" s="73">
        <f>IF(AW6="",0,VLOOKUP(K6,Tables!$B$3:$D$36,3,FALSE())*AG$1)</f>
        <v>0</v>
      </c>
      <c r="CU6" s="73">
        <f>IF(AX6="",0,VLOOKUP(L6,Tables!$B$3:$D$36,3,FALSE())*AH$1)</f>
        <v>0</v>
      </c>
      <c r="CV6" s="87">
        <f>IF(AY6="",0,VLOOKUP(M6,Tables!$B$3:$D$36,3,FALSE())*AI$1)</f>
        <v>0</v>
      </c>
      <c r="CW6" s="73">
        <f>IF(AZ6="",0,VLOOKUP(N6,Tables!$B$3:$D$36,3,FALSE())*AJ$1)</f>
        <v>0</v>
      </c>
      <c r="CX6" s="73">
        <f>IF(BA6="",0,VLOOKUP(O6,Tables!$B$3:$D$36,3,FALSE())*AK$1)</f>
        <v>0</v>
      </c>
      <c r="CY6" s="88">
        <f>IF(BB6="",0,VLOOKUP(P6,Tables!$B$3:$D$36,3,FALSE())*AL$1)</f>
        <v>0</v>
      </c>
      <c r="CZ6" s="89">
        <f t="shared" si="40"/>
        <v>0</v>
      </c>
      <c r="DA6" s="75">
        <f t="shared" si="41"/>
        <v>0</v>
      </c>
      <c r="DB6" s="75">
        <f t="shared" si="42"/>
        <v>0</v>
      </c>
      <c r="DC6" s="89">
        <f t="shared" si="43"/>
        <v>1</v>
      </c>
      <c r="DD6" s="75">
        <f t="shared" si="44"/>
        <v>1</v>
      </c>
      <c r="DE6" s="75">
        <f t="shared" si="45"/>
        <v>0</v>
      </c>
      <c r="DF6" s="75">
        <f t="shared" si="46"/>
        <v>0</v>
      </c>
      <c r="DG6" s="75">
        <f t="shared" si="47"/>
        <v>0</v>
      </c>
      <c r="DH6" s="89">
        <f t="shared" si="48"/>
        <v>1</v>
      </c>
      <c r="DI6" s="75">
        <f t="shared" si="49"/>
        <v>0</v>
      </c>
      <c r="DJ6" s="75">
        <f t="shared" si="50"/>
        <v>0</v>
      </c>
      <c r="DK6" s="89">
        <f t="shared" si="51"/>
        <v>0</v>
      </c>
      <c r="DL6" s="75">
        <f t="shared" si="52"/>
        <v>0</v>
      </c>
      <c r="DM6" s="75">
        <f t="shared" si="53"/>
        <v>0</v>
      </c>
      <c r="DN6" s="90">
        <f t="shared" si="54"/>
        <v>0</v>
      </c>
      <c r="DO6" s="91">
        <f>IF(AN6="",0,VLOOKUP(B6,Tables!$B$3:$M$36,11,FALSE())*X$1)</f>
        <v>0</v>
      </c>
      <c r="DP6" s="92">
        <f>IF(AO6="",0,VLOOKUP(C6,Tables!$B$3:$M$36,11,FALSE())*Y$1)</f>
        <v>0</v>
      </c>
      <c r="DQ6" s="92">
        <f>IF(AP6="",0,VLOOKUP(D6,Tables!$B$3:$M$36,11,FALSE())*Z$1)</f>
        <v>0</v>
      </c>
      <c r="DR6" s="91">
        <f>IF(AQ6="",0,VLOOKUP(E6,Tables!$B$3:$M$36,11,FALSE())*AA$1)</f>
        <v>0.6</v>
      </c>
      <c r="DS6" s="92">
        <f>IF(AR6="",0,VLOOKUP(F6,Tables!$B$3:$M$36,11,FALSE())*AB$1)</f>
        <v>1.2</v>
      </c>
      <c r="DT6" s="92">
        <f>IF(AS6="",0,VLOOKUP(G6,Tables!$B$3:$M$36,11,FALSE())*AC$1)</f>
        <v>0</v>
      </c>
      <c r="DU6" s="92">
        <f>IF(AT6="",0,VLOOKUP(H6,Tables!$B$3:$M$36,11,FALSE())*AD$1)</f>
        <v>0</v>
      </c>
      <c r="DV6" s="92">
        <f>IF(AU6="",0,VLOOKUP(I6,Tables!$B$3:$M$36,11,FALSE())*AE$1)</f>
        <v>0</v>
      </c>
      <c r="DW6" s="91">
        <f>IF(AV6="",0,VLOOKUP(J6,Tables!$B$3:$M$36,11,FALSE())*AF$1)</f>
        <v>2.4</v>
      </c>
      <c r="DX6" s="92">
        <f>IF(AW6="",0,VLOOKUP(K6,Tables!$B$3:$M$36,11,FALSE())*AG$1)</f>
        <v>0</v>
      </c>
      <c r="DY6" s="92">
        <f>IF(AX6="",0,VLOOKUP(L6,Tables!$B$3:$M$36,11,FALSE())*AH$1)</f>
        <v>0</v>
      </c>
      <c r="DZ6" s="91">
        <f>IF(AY6="",0,VLOOKUP(M6,Tables!$B$3:$M$36,11,FALSE())*AI$1)</f>
        <v>0</v>
      </c>
      <c r="EA6" s="92">
        <f>IF(AZ6="",0,VLOOKUP(N6,Tables!$B$3:$M$36,11,FALSE())*AJ$1)</f>
        <v>0</v>
      </c>
      <c r="EB6" s="92">
        <f>IF(BA6="",0,VLOOKUP(O6,Tables!$B$3:$M$36,11,FALSE())*AK$1)</f>
        <v>0</v>
      </c>
      <c r="EC6" s="93">
        <f>IF(BB6="",0,VLOOKUP(P6,Tables!$B$3:$M$36,11,FALSE())*AL$1)</f>
        <v>0</v>
      </c>
      <c r="ED6" s="91">
        <f>IF(AN6="",0,VLOOKUP(B6,Tables!$B$3:$M$36,12,FALSE())*X$1)</f>
        <v>0</v>
      </c>
      <c r="EE6" s="92">
        <f>IF(AO6="",0,VLOOKUP(C6,Tables!$B$3:$M$36,12,FALSE())*Y$1)</f>
        <v>0</v>
      </c>
      <c r="EF6" s="92">
        <f>IF(AP6="",0,VLOOKUP(D6,Tables!$B$3:$M$36,12,FALSE())*Z$1)</f>
        <v>0</v>
      </c>
      <c r="EG6" s="91">
        <f>IF(AQ6="",0,VLOOKUP(E6,Tables!$B$3:$M$36,12,FALSE())*AA$1)</f>
        <v>2.4</v>
      </c>
      <c r="EH6" s="92">
        <f>IF(AR6="",0,VLOOKUP(F6,Tables!$B$3:$M$36,12,FALSE())*AB$1)</f>
        <v>4.8</v>
      </c>
      <c r="EI6" s="92">
        <f>IF(AS6="",0,VLOOKUP(G6,Tables!$B$3:$M$36,12,FALSE())*AC$1)</f>
        <v>0</v>
      </c>
      <c r="EJ6" s="92">
        <f>IF(AT6="",0,VLOOKUP(H6,Tables!$B$3:$M$36,12,FALSE())*AD$1)</f>
        <v>0</v>
      </c>
      <c r="EK6" s="92">
        <f>IF(AU6="",0,VLOOKUP(I6,Tables!$B$3:$M$36,12,FALSE())*AE$1)</f>
        <v>0</v>
      </c>
      <c r="EL6" s="91">
        <f>IF(AV6="",0,VLOOKUP(J6,Tables!$B$3:$M$36,12,FALSE())*AF$1)</f>
        <v>9.6</v>
      </c>
      <c r="EM6" s="92">
        <f>IF(AW6="",0,VLOOKUP(K6,Tables!$B$3:$M$36,12,FALSE())*AG$1)</f>
        <v>0</v>
      </c>
      <c r="EN6" s="92">
        <f>IF(AX6="",0,VLOOKUP(L6,Tables!$B$3:$M$36,12,FALSE())*AH$1)</f>
        <v>0</v>
      </c>
      <c r="EO6" s="91">
        <f>IF(AY6="",0,VLOOKUP(M6,Tables!$B$3:$M$36,12,FALSE())*AI$1)</f>
        <v>0</v>
      </c>
      <c r="EP6" s="92">
        <f>IF(AZ6="",0,VLOOKUP(N6,Tables!$B$3:$M$36,12,FALSE())*AJ$1)</f>
        <v>0</v>
      </c>
      <c r="EQ6" s="92">
        <f>IF(BA6="",0,VLOOKUP(O6,Tables!$B$3:$M$36,12,FALSE())*AK$1)</f>
        <v>0</v>
      </c>
      <c r="ER6" s="93">
        <f>IF(BB6="",0,VLOOKUP(P6,Tables!$B$3:$M$36,12,FALSE())*AL$1)</f>
        <v>0</v>
      </c>
      <c r="ES6" s="94">
        <f t="shared" si="55"/>
        <v>0</v>
      </c>
      <c r="ET6" s="95">
        <f>IF(AN6="",10,MIN(VLOOKUP(B6,Tables!$B$3:$N$34,13,FALSE()),'Item Builder'!$W6))</f>
        <v>10</v>
      </c>
      <c r="EU6" s="95">
        <f>IF(AO6="",10,MIN(VLOOKUP(C6,Tables!$B$3:$N$34,13,FALSE()),'Item Builder'!$W6))</f>
        <v>10</v>
      </c>
      <c r="EV6" s="95">
        <f>IF(AP6="",10,MIN(VLOOKUP(D6,Tables!$B$3:$N$34,13,FALSE()),'Item Builder'!$W6))</f>
        <v>10</v>
      </c>
      <c r="EW6" s="95">
        <f>IF(AQ6="",10,MIN(VLOOKUP(E6,Tables!$B$3:$N$34,13,FALSE()),'Item Builder'!$W6))</f>
        <v>0</v>
      </c>
      <c r="EX6" s="95">
        <f>IF(AR6="",10,MIN(VLOOKUP(F6,Tables!$B$3:$N$34,13,FALSE()),'Item Builder'!$W6))</f>
        <v>0</v>
      </c>
      <c r="EY6" s="95">
        <f>IF(AS6="",10,MIN(VLOOKUP(G6,Tables!$B$3:$N$34,13,FALSE()),'Item Builder'!$W6))</f>
        <v>10</v>
      </c>
      <c r="EZ6" s="95">
        <f>IF(AT6="",10,MIN(VLOOKUP(H6,Tables!$B$3:$N$34,13,FALSE()),'Item Builder'!$W6))</f>
        <v>10</v>
      </c>
      <c r="FA6" s="95">
        <f>IF(AU6="",10,MIN(VLOOKUP(I6,Tables!$B$3:$N$34,13,FALSE()),'Item Builder'!$W6))</f>
        <v>10</v>
      </c>
      <c r="FB6" s="95">
        <f>IF(AV6="",10,MIN(VLOOKUP(J6,Tables!$B$3:$N$34,13,FALSE()),'Item Builder'!$W6))</f>
        <v>0</v>
      </c>
      <c r="FC6" s="95">
        <f>IF(AW6="",10,MIN(VLOOKUP(K6,Tables!$B$3:$N$34,13,FALSE()),'Item Builder'!$W6))</f>
        <v>10</v>
      </c>
      <c r="FD6" s="95">
        <f>IF(AX6="",10,MIN(VLOOKUP(L6,Tables!$B$3:$N$34,13,FALSE()),'Item Builder'!$W6))</f>
        <v>10</v>
      </c>
      <c r="FE6" s="95">
        <f>IF(AY6="",10,MIN(VLOOKUP(M6,Tables!$B$3:$N$34,13,FALSE()),'Item Builder'!$W6))</f>
        <v>10</v>
      </c>
      <c r="FF6" s="95">
        <f>IF(AZ6="",10,MIN(VLOOKUP(N6,Tables!$B$3:$N$34,13,FALSE()),'Item Builder'!$W6))</f>
        <v>10</v>
      </c>
      <c r="FG6" s="95">
        <f>IF(BA6="",10,MIN(VLOOKUP(O6,Tables!$B$3:$N$34,13,FALSE()),'Item Builder'!$W6))</f>
        <v>10</v>
      </c>
      <c r="FH6" s="98">
        <f>IF(BB6="",10,MIN(VLOOKUP(P6,Tables!$B$3:$N$34,13,FALSE()),'Item Builder'!$W6))</f>
        <v>10</v>
      </c>
      <c r="FJ6" s="2" t="s">
        <v>154</v>
      </c>
      <c r="FK6" s="2"/>
      <c r="FL6" s="31" t="s">
        <v>155</v>
      </c>
      <c r="FM6" s="99" t="s">
        <v>156</v>
      </c>
      <c r="FN6" s="1"/>
      <c r="FO6" s="1"/>
      <c r="FP6" s="1"/>
    </row>
    <row r="7" spans="1:172" x14ac:dyDescent="0.25">
      <c r="A7" s="67" t="s">
        <v>157</v>
      </c>
      <c r="B7" s="68"/>
      <c r="C7" s="69"/>
      <c r="D7" s="70"/>
      <c r="E7" s="68"/>
      <c r="F7" s="69"/>
      <c r="G7" s="69"/>
      <c r="H7" s="69"/>
      <c r="I7" s="70" t="s">
        <v>131</v>
      </c>
      <c r="J7" s="68"/>
      <c r="K7" s="69"/>
      <c r="L7" s="70"/>
      <c r="M7" s="68"/>
      <c r="N7" s="69"/>
      <c r="O7" s="69"/>
      <c r="P7" s="71"/>
      <c r="Q7" s="72">
        <f>SUM(BV7:CJ7)*VLOOKUP(W7,Tables!$W$3:$Z$8,4)</f>
        <v>5</v>
      </c>
      <c r="R7" s="73">
        <f t="shared" si="0"/>
        <v>0.25</v>
      </c>
      <c r="S7" s="74">
        <f t="shared" si="1"/>
        <v>0</v>
      </c>
      <c r="T7" s="74">
        <f t="shared" si="2"/>
        <v>0</v>
      </c>
      <c r="U7" s="75">
        <f t="shared" si="3"/>
        <v>1</v>
      </c>
      <c r="V7" s="76">
        <f t="shared" si="4"/>
        <v>4</v>
      </c>
      <c r="W7" s="77">
        <v>0</v>
      </c>
      <c r="X7" s="78">
        <f t="shared" si="5"/>
        <v>0</v>
      </c>
      <c r="Y7" s="79">
        <f t="shared" si="6"/>
        <v>0</v>
      </c>
      <c r="Z7" s="79">
        <f t="shared" si="7"/>
        <v>0</v>
      </c>
      <c r="AA7" s="78">
        <f t="shared" si="8"/>
        <v>0</v>
      </c>
      <c r="AB7" s="79">
        <f t="shared" si="9"/>
        <v>0</v>
      </c>
      <c r="AC7" s="79">
        <f t="shared" si="10"/>
        <v>0</v>
      </c>
      <c r="AD7" s="79">
        <f t="shared" si="11"/>
        <v>0</v>
      </c>
      <c r="AE7" s="79">
        <f t="shared" si="12"/>
        <v>1</v>
      </c>
      <c r="AF7" s="78">
        <f t="shared" si="13"/>
        <v>0</v>
      </c>
      <c r="AG7" s="79">
        <f t="shared" si="14"/>
        <v>0</v>
      </c>
      <c r="AH7" s="79">
        <f t="shared" si="15"/>
        <v>0</v>
      </c>
      <c r="AI7" s="78">
        <f t="shared" si="16"/>
        <v>0</v>
      </c>
      <c r="AJ7" s="79">
        <f t="shared" si="17"/>
        <v>0</v>
      </c>
      <c r="AK7" s="79">
        <f t="shared" si="18"/>
        <v>0</v>
      </c>
      <c r="AL7" s="80">
        <f t="shared" si="19"/>
        <v>0</v>
      </c>
      <c r="AM7" s="81">
        <f t="shared" si="20"/>
        <v>0.05</v>
      </c>
      <c r="AN7" s="82" t="str">
        <f t="shared" si="21"/>
        <v/>
      </c>
      <c r="AO7" s="79" t="str">
        <f t="shared" si="22"/>
        <v/>
      </c>
      <c r="AP7" t="str">
        <f t="shared" si="23"/>
        <v/>
      </c>
      <c r="AQ7" s="82" t="str">
        <f t="shared" si="24"/>
        <v/>
      </c>
      <c r="AR7" t="str">
        <f t="shared" si="25"/>
        <v/>
      </c>
      <c r="AS7" t="str">
        <f t="shared" si="26"/>
        <v/>
      </c>
      <c r="AT7" t="str">
        <f t="shared" si="27"/>
        <v/>
      </c>
      <c r="AU7" t="str">
        <f t="shared" si="28"/>
        <v>C</v>
      </c>
      <c r="AV7" s="82" t="str">
        <f t="shared" si="29"/>
        <v/>
      </c>
      <c r="AW7" t="str">
        <f t="shared" si="30"/>
        <v/>
      </c>
      <c r="AX7" t="str">
        <f t="shared" si="31"/>
        <v/>
      </c>
      <c r="AY7" s="82" t="str">
        <f t="shared" si="32"/>
        <v/>
      </c>
      <c r="AZ7" t="str">
        <f t="shared" si="33"/>
        <v/>
      </c>
      <c r="BA7" t="str">
        <f t="shared" si="34"/>
        <v/>
      </c>
      <c r="BB7" s="83" t="str">
        <f t="shared" si="35"/>
        <v/>
      </c>
      <c r="BC7" s="84">
        <f t="shared" si="36"/>
        <v>0</v>
      </c>
      <c r="BD7" s="84">
        <f t="shared" si="37"/>
        <v>0.23809523809523808</v>
      </c>
      <c r="BE7" s="84">
        <f t="shared" si="38"/>
        <v>0</v>
      </c>
      <c r="BF7" s="84">
        <f t="shared" si="39"/>
        <v>0</v>
      </c>
      <c r="BG7" s="78">
        <f>IF(AN7="",0,VLOOKUP(AN7,Tables!$AB$3:$AC$12,2))</f>
        <v>0</v>
      </c>
      <c r="BH7" s="79">
        <f>IF(AO7="",0,VLOOKUP(AO7,Tables!$AB$3:$AC$12,2))</f>
        <v>0</v>
      </c>
      <c r="BI7" s="79">
        <f>IF(AP7="",0,VLOOKUP(AP7,Tables!$AB$3:$AC$12,2))</f>
        <v>0</v>
      </c>
      <c r="BJ7" s="78">
        <f>IF(AQ7="",0,VLOOKUP(AQ7,Tables!$AB$3:$AC$12,2))</f>
        <v>0</v>
      </c>
      <c r="BK7" s="79">
        <f>IF(AR7="",0,VLOOKUP(AR7,Tables!$AB$3:$AC$12,2))</f>
        <v>0</v>
      </c>
      <c r="BL7" s="79">
        <f>IF(AS7="",0,VLOOKUP(AS7,Tables!$AB$3:$AC$12,2))</f>
        <v>0</v>
      </c>
      <c r="BM7" s="79">
        <f>IF(AT7="",0,VLOOKUP(AT7,Tables!$AB$3:$AC$12,2))</f>
        <v>0</v>
      </c>
      <c r="BN7" s="79">
        <f>IF(AU7="",0,VLOOKUP(AU7,Tables!$AB$3:$AC$12,2))</f>
        <v>1</v>
      </c>
      <c r="BO7" s="78">
        <f>IF(AV7="",0,VLOOKUP(AV7,Tables!$AB$3:$AC$12,2))</f>
        <v>0</v>
      </c>
      <c r="BP7" s="79">
        <f>IF(AW7="",0,VLOOKUP(AW7,Tables!$AB$3:$AC$12,2))</f>
        <v>0</v>
      </c>
      <c r="BQ7" s="79">
        <f>IF(AX7="",0,VLOOKUP(AX7,Tables!$AB$3:$AC$12,2))</f>
        <v>0</v>
      </c>
      <c r="BR7" s="78">
        <f>IF(AY7="",0,VLOOKUP(AY7,Tables!$AB$3:$AC$12,2))</f>
        <v>0</v>
      </c>
      <c r="BS7" s="79">
        <f>IF(AZ7="",0,VLOOKUP(AZ7,Tables!$AB$3:$AC$12,2))</f>
        <v>0</v>
      </c>
      <c r="BT7" s="79">
        <f>IF(BA7="",0,VLOOKUP(BA7,Tables!$AB$3:$AC$12,2))</f>
        <v>0</v>
      </c>
      <c r="BU7" s="80">
        <f>IF(BB7="",0,VLOOKUP(BB7,Tables!$AB$3:$AC$12,2))</f>
        <v>0</v>
      </c>
      <c r="BV7" s="85">
        <f>IF(AN7="",0,VLOOKUP(B7,Tables!$B$3:$D$36,2,FALSE())*X$1)</f>
        <v>0</v>
      </c>
      <c r="BW7" s="72">
        <f>IF(AO7="",0,VLOOKUP(C7,Tables!$B$3:$D$36,2,FALSE())*Y$1)</f>
        <v>0</v>
      </c>
      <c r="BX7" s="72">
        <f>IF(AP7="",0,VLOOKUP(D7,Tables!$B$3:$D$36,2,FALSE())*Z$1)</f>
        <v>0</v>
      </c>
      <c r="BY7" s="85">
        <f>IF(AQ7="",0,VLOOKUP(E7,Tables!$B$3:$D$36,2,FALSE())*AA$1)</f>
        <v>0</v>
      </c>
      <c r="BZ7" s="72">
        <f>IF(AR7="",0,VLOOKUP(F7,Tables!$B$3:$D$36,2,FALSE())*AB$1)</f>
        <v>0</v>
      </c>
      <c r="CA7" s="72">
        <f>IF(AS7="",0,VLOOKUP(G7,Tables!$B$3:$D$36,2,FALSE())*AC$1)</f>
        <v>0</v>
      </c>
      <c r="CB7" s="72">
        <f>IF(AT7="",0,VLOOKUP(H7,Tables!$B$3:$D$36,2,FALSE())*AD$1)</f>
        <v>0</v>
      </c>
      <c r="CC7" s="72">
        <f>IF(AU7="",0,VLOOKUP(I7,Tables!$B$3:$D$36,2,FALSE())*AE$1)</f>
        <v>5</v>
      </c>
      <c r="CD7" s="85">
        <f>IF(AV7="",0,VLOOKUP(J7,Tables!$B$3:$D$36,2,FALSE())*AF$1)</f>
        <v>0</v>
      </c>
      <c r="CE7" s="72">
        <f>IF(AW7="",0,VLOOKUP(K7,Tables!$B$3:$D$36,2,FALSE())*AG$1)</f>
        <v>0</v>
      </c>
      <c r="CF7" s="72">
        <f>IF(AX7="",0,VLOOKUP(L7,Tables!$B$3:$D$36,2,FALSE())*AH$1)</f>
        <v>0</v>
      </c>
      <c r="CG7" s="85">
        <f>IF(AY7="",0,VLOOKUP(M7,Tables!$B$3:$D$36,2,FALSE())*AI$1)</f>
        <v>0</v>
      </c>
      <c r="CH7" s="72">
        <f>IF(AZ7="",0,VLOOKUP(N7,Tables!$B$3:$D$36,2,FALSE())*AJ$1)</f>
        <v>0</v>
      </c>
      <c r="CI7" s="72">
        <f>IF(BA7="",0,VLOOKUP(O7,Tables!$B$3:$D$36,2,FALSE())*AK$1)</f>
        <v>0</v>
      </c>
      <c r="CJ7" s="86">
        <f>IF(BB7="",0,VLOOKUP(P7,Tables!$B$3:$D$36,2,FALSE())*AL$1)</f>
        <v>0</v>
      </c>
      <c r="CK7" s="87">
        <f>IF(AN7="",0,VLOOKUP(B7,Tables!$B$3:$D$36,3,FALSE())*X$1)*IF(OR(AN7="K",AN7="P"),2,1)</f>
        <v>0</v>
      </c>
      <c r="CL7" s="73">
        <f>IF(AO7="",0,VLOOKUP(C7,Tables!$B$3:$D$36,3,FALSE())*Y$1)*IF(OR(AO7="K",AO7="P"),2,1)</f>
        <v>0</v>
      </c>
      <c r="CM7" s="73">
        <f>IF(AP7="",0,VLOOKUP(D7,Tables!$B$3:$D$36,3,FALSE())*Z$1)*IF(OR(AP7="K",AP7="P"),2,1)</f>
        <v>0</v>
      </c>
      <c r="CN7" s="87">
        <f>IF(AQ7="",0,VLOOKUP(E7,Tables!$B$3:$D$36,3,FALSE())*AA$1)</f>
        <v>0</v>
      </c>
      <c r="CO7" s="73">
        <f>IF(AR7="",0,VLOOKUP(F7,Tables!$B$3:$D$36,3,FALSE())*AB$1)</f>
        <v>0</v>
      </c>
      <c r="CP7" s="73">
        <f>IF(AS7="",0,VLOOKUP(G7,Tables!$B$3:$D$36,3,FALSE())*AC$1)</f>
        <v>0</v>
      </c>
      <c r="CQ7" s="73">
        <f>IF(AT7="",0,VLOOKUP(H7,Tables!$B$3:$D$36,3,FALSE())*AD$1)</f>
        <v>0</v>
      </c>
      <c r="CR7" s="73">
        <f>IF(AU7="",0,VLOOKUP(I7,Tables!$B$3:$D$36,3,FALSE())*AE$1)</f>
        <v>0.25</v>
      </c>
      <c r="CS7" s="87">
        <f>IF(AV7="",0,VLOOKUP(J7,Tables!$B$3:$D$36,3,FALSE())*AF$1)</f>
        <v>0</v>
      </c>
      <c r="CT7" s="73">
        <f>IF(AW7="",0,VLOOKUP(K7,Tables!$B$3:$D$36,3,FALSE())*AG$1)</f>
        <v>0</v>
      </c>
      <c r="CU7" s="73">
        <f>IF(AX7="",0,VLOOKUP(L7,Tables!$B$3:$D$36,3,FALSE())*AH$1)</f>
        <v>0</v>
      </c>
      <c r="CV7" s="87">
        <f>IF(AY7="",0,VLOOKUP(M7,Tables!$B$3:$D$36,3,FALSE())*AI$1)</f>
        <v>0</v>
      </c>
      <c r="CW7" s="73">
        <f>IF(AZ7="",0,VLOOKUP(N7,Tables!$B$3:$D$36,3,FALSE())*AJ$1)</f>
        <v>0</v>
      </c>
      <c r="CX7" s="73">
        <f>IF(BA7="",0,VLOOKUP(O7,Tables!$B$3:$D$36,3,FALSE())*AK$1)</f>
        <v>0</v>
      </c>
      <c r="CY7" s="88">
        <f>IF(BB7="",0,VLOOKUP(P7,Tables!$B$3:$D$36,3,FALSE())*AL$1)</f>
        <v>0</v>
      </c>
      <c r="CZ7" s="89">
        <f t="shared" si="40"/>
        <v>0</v>
      </c>
      <c r="DA7" s="75">
        <f t="shared" si="41"/>
        <v>0</v>
      </c>
      <c r="DB7" s="75">
        <f t="shared" si="42"/>
        <v>0</v>
      </c>
      <c r="DC7" s="89">
        <f t="shared" si="43"/>
        <v>0</v>
      </c>
      <c r="DD7" s="75">
        <f t="shared" si="44"/>
        <v>0</v>
      </c>
      <c r="DE7" s="75">
        <f t="shared" si="45"/>
        <v>0</v>
      </c>
      <c r="DF7" s="75">
        <f t="shared" si="46"/>
        <v>0</v>
      </c>
      <c r="DG7" s="75">
        <f t="shared" si="47"/>
        <v>1</v>
      </c>
      <c r="DH7" s="89">
        <f t="shared" si="48"/>
        <v>0</v>
      </c>
      <c r="DI7" s="75">
        <f t="shared" si="49"/>
        <v>0</v>
      </c>
      <c r="DJ7" s="75">
        <f t="shared" si="50"/>
        <v>0</v>
      </c>
      <c r="DK7" s="89">
        <f t="shared" si="51"/>
        <v>0</v>
      </c>
      <c r="DL7" s="75">
        <f t="shared" si="52"/>
        <v>0</v>
      </c>
      <c r="DM7" s="75">
        <f t="shared" si="53"/>
        <v>0</v>
      </c>
      <c r="DN7" s="90">
        <f t="shared" si="54"/>
        <v>0</v>
      </c>
      <c r="DO7" s="91">
        <f>IF(AN7="",0,VLOOKUP(B7,Tables!$B$3:$M$36,11,FALSE())*X$1)</f>
        <v>0</v>
      </c>
      <c r="DP7" s="92">
        <f>IF(AO7="",0,VLOOKUP(C7,Tables!$B$3:$M$36,11,FALSE())*Y$1)</f>
        <v>0</v>
      </c>
      <c r="DQ7" s="92">
        <f>IF(AP7="",0,VLOOKUP(D7,Tables!$B$3:$M$36,11,FALSE())*Z$1)</f>
        <v>0</v>
      </c>
      <c r="DR7" s="91">
        <f>IF(AQ7="",0,VLOOKUP(E7,Tables!$B$3:$M$36,11,FALSE())*AA$1)</f>
        <v>0</v>
      </c>
      <c r="DS7" s="92">
        <f>IF(AR7="",0,VLOOKUP(F7,Tables!$B$3:$M$36,11,FALSE())*AB$1)</f>
        <v>0</v>
      </c>
      <c r="DT7" s="92">
        <f>IF(AS7="",0,VLOOKUP(G7,Tables!$B$3:$M$36,11,FALSE())*AC$1)</f>
        <v>0</v>
      </c>
      <c r="DU7" s="92">
        <f>IF(AT7="",0,VLOOKUP(H7,Tables!$B$3:$M$36,11,FALSE())*AD$1)</f>
        <v>0</v>
      </c>
      <c r="DV7" s="92">
        <f>IF(AU7="",0,VLOOKUP(I7,Tables!$B$3:$M$36,11,FALSE())*AE$1)</f>
        <v>1</v>
      </c>
      <c r="DW7" s="91">
        <f>IF(AV7="",0,VLOOKUP(J7,Tables!$B$3:$M$36,11,FALSE())*AF$1)</f>
        <v>0</v>
      </c>
      <c r="DX7" s="92">
        <f>IF(AW7="",0,VLOOKUP(K7,Tables!$B$3:$M$36,11,FALSE())*AG$1)</f>
        <v>0</v>
      </c>
      <c r="DY7" s="92">
        <f>IF(AX7="",0,VLOOKUP(L7,Tables!$B$3:$M$36,11,FALSE())*AH$1)</f>
        <v>0</v>
      </c>
      <c r="DZ7" s="91">
        <f>IF(AY7="",0,VLOOKUP(M7,Tables!$B$3:$M$36,11,FALSE())*AI$1)</f>
        <v>0</v>
      </c>
      <c r="EA7" s="92">
        <f>IF(AZ7="",0,VLOOKUP(N7,Tables!$B$3:$M$36,11,FALSE())*AJ$1)</f>
        <v>0</v>
      </c>
      <c r="EB7" s="92">
        <f>IF(BA7="",0,VLOOKUP(O7,Tables!$B$3:$M$36,11,FALSE())*AK$1)</f>
        <v>0</v>
      </c>
      <c r="EC7" s="93">
        <f>IF(BB7="",0,VLOOKUP(P7,Tables!$B$3:$M$36,11,FALSE())*AL$1)</f>
        <v>0</v>
      </c>
      <c r="ED7" s="91">
        <f>IF(AN7="",0,VLOOKUP(B7,Tables!$B$3:$M$36,12,FALSE())*X$1)</f>
        <v>0</v>
      </c>
      <c r="EE7" s="92">
        <f>IF(AO7="",0,VLOOKUP(C7,Tables!$B$3:$M$36,12,FALSE())*Y$1)</f>
        <v>0</v>
      </c>
      <c r="EF7" s="92">
        <f>IF(AP7="",0,VLOOKUP(D7,Tables!$B$3:$M$36,12,FALSE())*Z$1)</f>
        <v>0</v>
      </c>
      <c r="EG7" s="91">
        <f>IF(AQ7="",0,VLOOKUP(E7,Tables!$B$3:$M$36,12,FALSE())*AA$1)</f>
        <v>0</v>
      </c>
      <c r="EH7" s="92">
        <f>IF(AR7="",0,VLOOKUP(F7,Tables!$B$3:$M$36,12,FALSE())*AB$1)</f>
        <v>0</v>
      </c>
      <c r="EI7" s="92">
        <f>IF(AS7="",0,VLOOKUP(G7,Tables!$B$3:$M$36,12,FALSE())*AC$1)</f>
        <v>0</v>
      </c>
      <c r="EJ7" s="92">
        <f>IF(AT7="",0,VLOOKUP(H7,Tables!$B$3:$M$36,12,FALSE())*AD$1)</f>
        <v>0</v>
      </c>
      <c r="EK7" s="92">
        <f>IF(AU7="",0,VLOOKUP(I7,Tables!$B$3:$M$36,12,FALSE())*AE$1)</f>
        <v>4</v>
      </c>
      <c r="EL7" s="91">
        <f>IF(AV7="",0,VLOOKUP(J7,Tables!$B$3:$M$36,12,FALSE())*AF$1)</f>
        <v>0</v>
      </c>
      <c r="EM7" s="92">
        <f>IF(AW7="",0,VLOOKUP(K7,Tables!$B$3:$M$36,12,FALSE())*AG$1)</f>
        <v>0</v>
      </c>
      <c r="EN7" s="92">
        <f>IF(AX7="",0,VLOOKUP(L7,Tables!$B$3:$M$36,12,FALSE())*AH$1)</f>
        <v>0</v>
      </c>
      <c r="EO7" s="91">
        <f>IF(AY7="",0,VLOOKUP(M7,Tables!$B$3:$M$36,12,FALSE())*AI$1)</f>
        <v>0</v>
      </c>
      <c r="EP7" s="92">
        <f>IF(AZ7="",0,VLOOKUP(N7,Tables!$B$3:$M$36,12,FALSE())*AJ$1)</f>
        <v>0</v>
      </c>
      <c r="EQ7" s="92">
        <f>IF(BA7="",0,VLOOKUP(O7,Tables!$B$3:$M$36,12,FALSE())*AK$1)</f>
        <v>0</v>
      </c>
      <c r="ER7" s="93">
        <f>IF(BB7="",0,VLOOKUP(P7,Tables!$B$3:$M$36,12,FALSE())*AL$1)</f>
        <v>0</v>
      </c>
      <c r="ES7" s="94">
        <f t="shared" si="55"/>
        <v>0</v>
      </c>
      <c r="ET7" s="95">
        <f>IF(AN7="",10,MIN(VLOOKUP(B7,Tables!$B$3:$N$34,13,FALSE()),'Item Builder'!$W7))</f>
        <v>10</v>
      </c>
      <c r="EU7" s="95">
        <f>IF(AO7="",10,MIN(VLOOKUP(C7,Tables!$B$3:$N$34,13,FALSE()),'Item Builder'!$W7))</f>
        <v>10</v>
      </c>
      <c r="EV7" s="95">
        <f>IF(AP7="",10,MIN(VLOOKUP(D7,Tables!$B$3:$N$34,13,FALSE()),'Item Builder'!$W7))</f>
        <v>10</v>
      </c>
      <c r="EW7" s="95">
        <f>IF(AQ7="",10,MIN(VLOOKUP(E7,Tables!$B$3:$N$34,13,FALSE()),'Item Builder'!$W7))</f>
        <v>10</v>
      </c>
      <c r="EX7" s="95">
        <f>IF(AR7="",10,MIN(VLOOKUP(F7,Tables!$B$3:$N$34,13,FALSE()),'Item Builder'!$W7))</f>
        <v>10</v>
      </c>
      <c r="EY7" s="95">
        <f>IF(AS7="",10,MIN(VLOOKUP(G7,Tables!$B$3:$N$34,13,FALSE()),'Item Builder'!$W7))</f>
        <v>10</v>
      </c>
      <c r="EZ7" s="95">
        <f>IF(AT7="",10,MIN(VLOOKUP(H7,Tables!$B$3:$N$34,13,FALSE()),'Item Builder'!$W7))</f>
        <v>10</v>
      </c>
      <c r="FA7" s="95">
        <f>IF(AU7="",10,MIN(VLOOKUP(I7,Tables!$B$3:$N$34,13,FALSE()),'Item Builder'!$W7))</f>
        <v>0</v>
      </c>
      <c r="FB7" s="95">
        <f>IF(AV7="",10,MIN(VLOOKUP(J7,Tables!$B$3:$N$34,13,FALSE()),'Item Builder'!$W7))</f>
        <v>10</v>
      </c>
      <c r="FC7" s="95">
        <f>IF(AW7="",10,MIN(VLOOKUP(K7,Tables!$B$3:$N$34,13,FALSE()),'Item Builder'!$W7))</f>
        <v>10</v>
      </c>
      <c r="FD7" s="95">
        <f>IF(AX7="",10,MIN(VLOOKUP(L7,Tables!$B$3:$N$34,13,FALSE()),'Item Builder'!$W7))</f>
        <v>10</v>
      </c>
      <c r="FE7" s="95">
        <f>IF(AY7="",10,MIN(VLOOKUP(M7,Tables!$B$3:$N$34,13,FALSE()),'Item Builder'!$W7))</f>
        <v>10</v>
      </c>
      <c r="FF7" s="95">
        <f>IF(AZ7="",10,MIN(VLOOKUP(N7,Tables!$B$3:$N$34,13,FALSE()),'Item Builder'!$W7))</f>
        <v>10</v>
      </c>
      <c r="FG7" s="95">
        <f>IF(BA7="",10,MIN(VLOOKUP(O7,Tables!$B$3:$N$34,13,FALSE()),'Item Builder'!$W7))</f>
        <v>10</v>
      </c>
      <c r="FH7" s="98">
        <f>IF(BB7="",10,MIN(VLOOKUP(P7,Tables!$B$3:$N$34,13,FALSE()),'Item Builder'!$W7))</f>
        <v>10</v>
      </c>
      <c r="FJ7" s="2" t="s">
        <v>158</v>
      </c>
      <c r="FK7" s="2"/>
      <c r="FL7" s="31" t="s">
        <v>131</v>
      </c>
      <c r="FM7" s="99" t="s">
        <v>159</v>
      </c>
      <c r="FN7" s="1"/>
      <c r="FO7" s="1"/>
      <c r="FP7" s="1"/>
    </row>
    <row r="8" spans="1:172" x14ac:dyDescent="0.25">
      <c r="A8" s="67" t="s">
        <v>11</v>
      </c>
      <c r="B8" s="68"/>
      <c r="C8" s="69"/>
      <c r="D8" s="70"/>
      <c r="E8" s="68"/>
      <c r="F8" s="69"/>
      <c r="G8" s="69"/>
      <c r="H8" s="69"/>
      <c r="I8" s="70"/>
      <c r="J8" s="68" t="s">
        <v>131</v>
      </c>
      <c r="K8" s="69" t="s">
        <v>131</v>
      </c>
      <c r="L8" s="70"/>
      <c r="M8" s="68"/>
      <c r="N8" s="69"/>
      <c r="O8" s="69"/>
      <c r="P8" s="71"/>
      <c r="Q8" s="72">
        <f>SUM(BV8:CJ8)*VLOOKUP(W8,Tables!$W$3:$Z$8,4)</f>
        <v>24</v>
      </c>
      <c r="R8" s="73">
        <f t="shared" si="0"/>
        <v>1.2</v>
      </c>
      <c r="S8" s="74">
        <f t="shared" si="1"/>
        <v>0</v>
      </c>
      <c r="T8" s="74">
        <f t="shared" si="2"/>
        <v>0</v>
      </c>
      <c r="U8" s="75">
        <f t="shared" si="3"/>
        <v>4.8</v>
      </c>
      <c r="V8" s="76">
        <f t="shared" si="4"/>
        <v>19.2</v>
      </c>
      <c r="W8" s="77">
        <v>0</v>
      </c>
      <c r="X8" s="78">
        <f t="shared" si="5"/>
        <v>0</v>
      </c>
      <c r="Y8" s="79">
        <f t="shared" si="6"/>
        <v>0</v>
      </c>
      <c r="Z8" s="79">
        <f t="shared" si="7"/>
        <v>0</v>
      </c>
      <c r="AA8" s="78">
        <f t="shared" si="8"/>
        <v>0</v>
      </c>
      <c r="AB8" s="79">
        <f t="shared" si="9"/>
        <v>0</v>
      </c>
      <c r="AC8" s="79">
        <f t="shared" si="10"/>
        <v>0</v>
      </c>
      <c r="AD8" s="79">
        <f t="shared" si="11"/>
        <v>0</v>
      </c>
      <c r="AE8" s="79">
        <f t="shared" si="12"/>
        <v>0</v>
      </c>
      <c r="AF8" s="78">
        <f t="shared" si="13"/>
        <v>1</v>
      </c>
      <c r="AG8" s="79">
        <f t="shared" si="14"/>
        <v>1</v>
      </c>
      <c r="AH8" s="79">
        <f t="shared" si="15"/>
        <v>0</v>
      </c>
      <c r="AI8" s="78">
        <f t="shared" si="16"/>
        <v>0</v>
      </c>
      <c r="AJ8" s="79">
        <f t="shared" si="17"/>
        <v>0</v>
      </c>
      <c r="AK8" s="79">
        <f t="shared" si="18"/>
        <v>0</v>
      </c>
      <c r="AL8" s="80">
        <f t="shared" si="19"/>
        <v>0</v>
      </c>
      <c r="AM8" s="81">
        <f t="shared" si="20"/>
        <v>0.24</v>
      </c>
      <c r="AN8" s="82" t="str">
        <f t="shared" si="21"/>
        <v/>
      </c>
      <c r="AO8" s="79" t="str">
        <f t="shared" si="22"/>
        <v/>
      </c>
      <c r="AP8" t="str">
        <f t="shared" si="23"/>
        <v/>
      </c>
      <c r="AQ8" s="82" t="str">
        <f t="shared" si="24"/>
        <v/>
      </c>
      <c r="AR8" t="str">
        <f t="shared" si="25"/>
        <v/>
      </c>
      <c r="AS8" t="str">
        <f t="shared" si="26"/>
        <v/>
      </c>
      <c r="AT8" t="str">
        <f t="shared" si="27"/>
        <v/>
      </c>
      <c r="AU8" t="str">
        <f t="shared" si="28"/>
        <v/>
      </c>
      <c r="AV8" s="82" t="str">
        <f t="shared" si="29"/>
        <v>C</v>
      </c>
      <c r="AW8" t="str">
        <f t="shared" si="30"/>
        <v>C</v>
      </c>
      <c r="AX8" t="str">
        <f t="shared" si="31"/>
        <v/>
      </c>
      <c r="AY8" s="82" t="str">
        <f t="shared" si="32"/>
        <v/>
      </c>
      <c r="AZ8" t="str">
        <f t="shared" si="33"/>
        <v/>
      </c>
      <c r="BA8" t="str">
        <f t="shared" si="34"/>
        <v/>
      </c>
      <c r="BB8" s="83" t="str">
        <f t="shared" si="35"/>
        <v/>
      </c>
      <c r="BC8" s="84">
        <f t="shared" si="36"/>
        <v>0</v>
      </c>
      <c r="BD8" s="84">
        <f t="shared" si="37"/>
        <v>0</v>
      </c>
      <c r="BE8" s="84">
        <f t="shared" si="38"/>
        <v>0.70588235294117652</v>
      </c>
      <c r="BF8" s="84">
        <f t="shared" si="39"/>
        <v>0</v>
      </c>
      <c r="BG8" s="78">
        <f>IF(AN8="",0,VLOOKUP(AN8,Tables!$AB$3:$AC$12,2))</f>
        <v>0</v>
      </c>
      <c r="BH8" s="79">
        <f>IF(AO8="",0,VLOOKUP(AO8,Tables!$AB$3:$AC$12,2))</f>
        <v>0</v>
      </c>
      <c r="BI8" s="79">
        <f>IF(AP8="",0,VLOOKUP(AP8,Tables!$AB$3:$AC$12,2))</f>
        <v>0</v>
      </c>
      <c r="BJ8" s="78">
        <f>IF(AQ8="",0,VLOOKUP(AQ8,Tables!$AB$3:$AC$12,2))</f>
        <v>0</v>
      </c>
      <c r="BK8" s="79">
        <f>IF(AR8="",0,VLOOKUP(AR8,Tables!$AB$3:$AC$12,2))</f>
        <v>0</v>
      </c>
      <c r="BL8" s="79">
        <f>IF(AS8="",0,VLOOKUP(AS8,Tables!$AB$3:$AC$12,2))</f>
        <v>0</v>
      </c>
      <c r="BM8" s="79">
        <f>IF(AT8="",0,VLOOKUP(AT8,Tables!$AB$3:$AC$12,2))</f>
        <v>0</v>
      </c>
      <c r="BN8" s="79">
        <f>IF(AU8="",0,VLOOKUP(AU8,Tables!$AB$3:$AC$12,2))</f>
        <v>0</v>
      </c>
      <c r="BO8" s="78">
        <f>IF(AV8="",0,VLOOKUP(AV8,Tables!$AB$3:$AC$12,2))</f>
        <v>1</v>
      </c>
      <c r="BP8" s="79">
        <f>IF(AW8="",0,VLOOKUP(AW8,Tables!$AB$3:$AC$12,2))</f>
        <v>1</v>
      </c>
      <c r="BQ8" s="79">
        <f>IF(AX8="",0,VLOOKUP(AX8,Tables!$AB$3:$AC$12,2))</f>
        <v>0</v>
      </c>
      <c r="BR8" s="78">
        <f>IF(AY8="",0,VLOOKUP(AY8,Tables!$AB$3:$AC$12,2))</f>
        <v>0</v>
      </c>
      <c r="BS8" s="79">
        <f>IF(AZ8="",0,VLOOKUP(AZ8,Tables!$AB$3:$AC$12,2))</f>
        <v>0</v>
      </c>
      <c r="BT8" s="79">
        <f>IF(BA8="",0,VLOOKUP(BA8,Tables!$AB$3:$AC$12,2))</f>
        <v>0</v>
      </c>
      <c r="BU8" s="80">
        <f>IF(BB8="",0,VLOOKUP(BB8,Tables!$AB$3:$AC$12,2))</f>
        <v>0</v>
      </c>
      <c r="BV8" s="85">
        <f>IF(AN8="",0,VLOOKUP(B8,Tables!$B$3:$D$36,2,FALSE())*X$1)</f>
        <v>0</v>
      </c>
      <c r="BW8" s="72">
        <f>IF(AO8="",0,VLOOKUP(C8,Tables!$B$3:$D$36,2,FALSE())*Y$1)</f>
        <v>0</v>
      </c>
      <c r="BX8" s="72">
        <f>IF(AP8="",0,VLOOKUP(D8,Tables!$B$3:$D$36,2,FALSE())*Z$1)</f>
        <v>0</v>
      </c>
      <c r="BY8" s="85">
        <f>IF(AQ8="",0,VLOOKUP(E8,Tables!$B$3:$D$36,2,FALSE())*AA$1)</f>
        <v>0</v>
      </c>
      <c r="BZ8" s="72">
        <f>IF(AR8="",0,VLOOKUP(F8,Tables!$B$3:$D$36,2,FALSE())*AB$1)</f>
        <v>0</v>
      </c>
      <c r="CA8" s="72">
        <f>IF(AS8="",0,VLOOKUP(G8,Tables!$B$3:$D$36,2,FALSE())*AC$1)</f>
        <v>0</v>
      </c>
      <c r="CB8" s="72">
        <f>IF(AT8="",0,VLOOKUP(H8,Tables!$B$3:$D$36,2,FALSE())*AD$1)</f>
        <v>0</v>
      </c>
      <c r="CC8" s="72">
        <f>IF(AU8="",0,VLOOKUP(I8,Tables!$B$3:$D$36,2,FALSE())*AE$1)</f>
        <v>0</v>
      </c>
      <c r="CD8" s="85">
        <f>IF(AV8="",0,VLOOKUP(J8,Tables!$B$3:$D$36,2,FALSE())*AF$1)</f>
        <v>12</v>
      </c>
      <c r="CE8" s="72">
        <f>IF(AW8="",0,VLOOKUP(K8,Tables!$B$3:$D$36,2,FALSE())*AG$1)</f>
        <v>12</v>
      </c>
      <c r="CF8" s="72">
        <f>IF(AX8="",0,VLOOKUP(L8,Tables!$B$3:$D$36,2,FALSE())*AH$1)</f>
        <v>0</v>
      </c>
      <c r="CG8" s="85">
        <f>IF(AY8="",0,VLOOKUP(M8,Tables!$B$3:$D$36,2,FALSE())*AI$1)</f>
        <v>0</v>
      </c>
      <c r="CH8" s="72">
        <f>IF(AZ8="",0,VLOOKUP(N8,Tables!$B$3:$D$36,2,FALSE())*AJ$1)</f>
        <v>0</v>
      </c>
      <c r="CI8" s="72">
        <f>IF(BA8="",0,VLOOKUP(O8,Tables!$B$3:$D$36,2,FALSE())*AK$1)</f>
        <v>0</v>
      </c>
      <c r="CJ8" s="86">
        <f>IF(BB8="",0,VLOOKUP(P8,Tables!$B$3:$D$36,2,FALSE())*AL$1)</f>
        <v>0</v>
      </c>
      <c r="CK8" s="87">
        <f>IF(AN8="",0,VLOOKUP(B8,Tables!$B$3:$D$36,3,FALSE())*X$1)*IF(OR(AN8="K",AN8="P"),2,1)</f>
        <v>0</v>
      </c>
      <c r="CL8" s="73">
        <f>IF(AO8="",0,VLOOKUP(C8,Tables!$B$3:$D$36,3,FALSE())*Y$1)*IF(OR(AO8="K",AO8="P"),2,1)</f>
        <v>0</v>
      </c>
      <c r="CM8" s="73">
        <f>IF(AP8="",0,VLOOKUP(D8,Tables!$B$3:$D$36,3,FALSE())*Z$1)*IF(OR(AP8="K",AP8="P"),2,1)</f>
        <v>0</v>
      </c>
      <c r="CN8" s="87">
        <f>IF(AQ8="",0,VLOOKUP(E8,Tables!$B$3:$D$36,3,FALSE())*AA$1)</f>
        <v>0</v>
      </c>
      <c r="CO8" s="73">
        <f>IF(AR8="",0,VLOOKUP(F8,Tables!$B$3:$D$36,3,FALSE())*AB$1)</f>
        <v>0</v>
      </c>
      <c r="CP8" s="73">
        <f>IF(AS8="",0,VLOOKUP(G8,Tables!$B$3:$D$36,3,FALSE())*AC$1)</f>
        <v>0</v>
      </c>
      <c r="CQ8" s="73">
        <f>IF(AT8="",0,VLOOKUP(H8,Tables!$B$3:$D$36,3,FALSE())*AD$1)</f>
        <v>0</v>
      </c>
      <c r="CR8" s="73">
        <f>IF(AU8="",0,VLOOKUP(I8,Tables!$B$3:$D$36,3,FALSE())*AE$1)</f>
        <v>0</v>
      </c>
      <c r="CS8" s="87">
        <f>IF(AV8="",0,VLOOKUP(J8,Tables!$B$3:$D$36,3,FALSE())*AF$1)</f>
        <v>0.6</v>
      </c>
      <c r="CT8" s="73">
        <f>IF(AW8="",0,VLOOKUP(K8,Tables!$B$3:$D$36,3,FALSE())*AG$1)</f>
        <v>0.6</v>
      </c>
      <c r="CU8" s="73">
        <f>IF(AX8="",0,VLOOKUP(L8,Tables!$B$3:$D$36,3,FALSE())*AH$1)</f>
        <v>0</v>
      </c>
      <c r="CV8" s="87">
        <f>IF(AY8="",0,VLOOKUP(M8,Tables!$B$3:$D$36,3,FALSE())*AI$1)</f>
        <v>0</v>
      </c>
      <c r="CW8" s="73">
        <f>IF(AZ8="",0,VLOOKUP(N8,Tables!$B$3:$D$36,3,FALSE())*AJ$1)</f>
        <v>0</v>
      </c>
      <c r="CX8" s="73">
        <f>IF(BA8="",0,VLOOKUP(O8,Tables!$B$3:$D$36,3,FALSE())*AK$1)</f>
        <v>0</v>
      </c>
      <c r="CY8" s="88">
        <f>IF(BB8="",0,VLOOKUP(P8,Tables!$B$3:$D$36,3,FALSE())*AL$1)</f>
        <v>0</v>
      </c>
      <c r="CZ8" s="89">
        <f t="shared" si="40"/>
        <v>0</v>
      </c>
      <c r="DA8" s="75">
        <f t="shared" si="41"/>
        <v>0</v>
      </c>
      <c r="DB8" s="75">
        <f t="shared" si="42"/>
        <v>0</v>
      </c>
      <c r="DC8" s="89">
        <f t="shared" si="43"/>
        <v>0</v>
      </c>
      <c r="DD8" s="75">
        <f t="shared" si="44"/>
        <v>0</v>
      </c>
      <c r="DE8" s="75">
        <f t="shared" si="45"/>
        <v>0</v>
      </c>
      <c r="DF8" s="75">
        <f t="shared" si="46"/>
        <v>0</v>
      </c>
      <c r="DG8" s="75">
        <f t="shared" si="47"/>
        <v>0</v>
      </c>
      <c r="DH8" s="89">
        <f t="shared" si="48"/>
        <v>1</v>
      </c>
      <c r="DI8" s="75">
        <f t="shared" si="49"/>
        <v>1</v>
      </c>
      <c r="DJ8" s="75">
        <f t="shared" si="50"/>
        <v>0</v>
      </c>
      <c r="DK8" s="89">
        <f t="shared" si="51"/>
        <v>0</v>
      </c>
      <c r="DL8" s="75">
        <f t="shared" si="52"/>
        <v>0</v>
      </c>
      <c r="DM8" s="75">
        <f t="shared" si="53"/>
        <v>0</v>
      </c>
      <c r="DN8" s="90">
        <f t="shared" si="54"/>
        <v>0</v>
      </c>
      <c r="DO8" s="91">
        <f>IF(AN8="",0,VLOOKUP(B8,Tables!$B$3:$M$36,11,FALSE())*X$1)</f>
        <v>0</v>
      </c>
      <c r="DP8" s="92">
        <f>IF(AO8="",0,VLOOKUP(C8,Tables!$B$3:$M$36,11,FALSE())*Y$1)</f>
        <v>0</v>
      </c>
      <c r="DQ8" s="92">
        <f>IF(AP8="",0,VLOOKUP(D8,Tables!$B$3:$M$36,11,FALSE())*Z$1)</f>
        <v>0</v>
      </c>
      <c r="DR8" s="91">
        <f>IF(AQ8="",0,VLOOKUP(E8,Tables!$B$3:$M$36,11,FALSE())*AA$1)</f>
        <v>0</v>
      </c>
      <c r="DS8" s="92">
        <f>IF(AR8="",0,VLOOKUP(F8,Tables!$B$3:$M$36,11,FALSE())*AB$1)</f>
        <v>0</v>
      </c>
      <c r="DT8" s="92">
        <f>IF(AS8="",0,VLOOKUP(G8,Tables!$B$3:$M$36,11,FALSE())*AC$1)</f>
        <v>0</v>
      </c>
      <c r="DU8" s="92">
        <f>IF(AT8="",0,VLOOKUP(H8,Tables!$B$3:$M$36,11,FALSE())*AD$1)</f>
        <v>0</v>
      </c>
      <c r="DV8" s="92">
        <f>IF(AU8="",0,VLOOKUP(I8,Tables!$B$3:$M$36,11,FALSE())*AE$1)</f>
        <v>0</v>
      </c>
      <c r="DW8" s="91">
        <f>IF(AV8="",0,VLOOKUP(J8,Tables!$B$3:$M$36,11,FALSE())*AF$1)</f>
        <v>2.4</v>
      </c>
      <c r="DX8" s="92">
        <f>IF(AW8="",0,VLOOKUP(K8,Tables!$B$3:$M$36,11,FALSE())*AG$1)</f>
        <v>2.4</v>
      </c>
      <c r="DY8" s="92">
        <f>IF(AX8="",0,VLOOKUP(L8,Tables!$B$3:$M$36,11,FALSE())*AH$1)</f>
        <v>0</v>
      </c>
      <c r="DZ8" s="91">
        <f>IF(AY8="",0,VLOOKUP(M8,Tables!$B$3:$M$36,11,FALSE())*AI$1)</f>
        <v>0</v>
      </c>
      <c r="EA8" s="92">
        <f>IF(AZ8="",0,VLOOKUP(N8,Tables!$B$3:$M$36,11,FALSE())*AJ$1)</f>
        <v>0</v>
      </c>
      <c r="EB8" s="92">
        <f>IF(BA8="",0,VLOOKUP(O8,Tables!$B$3:$M$36,11,FALSE())*AK$1)</f>
        <v>0</v>
      </c>
      <c r="EC8" s="93">
        <f>IF(BB8="",0,VLOOKUP(P8,Tables!$B$3:$M$36,11,FALSE())*AL$1)</f>
        <v>0</v>
      </c>
      <c r="ED8" s="91">
        <f>IF(AN8="",0,VLOOKUP(B8,Tables!$B$3:$M$36,12,FALSE())*X$1)</f>
        <v>0</v>
      </c>
      <c r="EE8" s="92">
        <f>IF(AO8="",0,VLOOKUP(C8,Tables!$B$3:$M$36,12,FALSE())*Y$1)</f>
        <v>0</v>
      </c>
      <c r="EF8" s="92">
        <f>IF(AP8="",0,VLOOKUP(D8,Tables!$B$3:$M$36,12,FALSE())*Z$1)</f>
        <v>0</v>
      </c>
      <c r="EG8" s="91">
        <f>IF(AQ8="",0,VLOOKUP(E8,Tables!$B$3:$M$36,12,FALSE())*AA$1)</f>
        <v>0</v>
      </c>
      <c r="EH8" s="92">
        <f>IF(AR8="",0,VLOOKUP(F8,Tables!$B$3:$M$36,12,FALSE())*AB$1)</f>
        <v>0</v>
      </c>
      <c r="EI8" s="92">
        <f>IF(AS8="",0,VLOOKUP(G8,Tables!$B$3:$M$36,12,FALSE())*AC$1)</f>
        <v>0</v>
      </c>
      <c r="EJ8" s="92">
        <f>IF(AT8="",0,VLOOKUP(H8,Tables!$B$3:$M$36,12,FALSE())*AD$1)</f>
        <v>0</v>
      </c>
      <c r="EK8" s="92">
        <f>IF(AU8="",0,VLOOKUP(I8,Tables!$B$3:$M$36,12,FALSE())*AE$1)</f>
        <v>0</v>
      </c>
      <c r="EL8" s="91">
        <f>IF(AV8="",0,VLOOKUP(J8,Tables!$B$3:$M$36,12,FALSE())*AF$1)</f>
        <v>9.6</v>
      </c>
      <c r="EM8" s="92">
        <f>IF(AW8="",0,VLOOKUP(K8,Tables!$B$3:$M$36,12,FALSE())*AG$1)</f>
        <v>9.6</v>
      </c>
      <c r="EN8" s="92">
        <f>IF(AX8="",0,VLOOKUP(L8,Tables!$B$3:$M$36,12,FALSE())*AH$1)</f>
        <v>0</v>
      </c>
      <c r="EO8" s="91">
        <f>IF(AY8="",0,VLOOKUP(M8,Tables!$B$3:$M$36,12,FALSE())*AI$1)</f>
        <v>0</v>
      </c>
      <c r="EP8" s="92">
        <f>IF(AZ8="",0,VLOOKUP(N8,Tables!$B$3:$M$36,12,FALSE())*AJ$1)</f>
        <v>0</v>
      </c>
      <c r="EQ8" s="92">
        <f>IF(BA8="",0,VLOOKUP(O8,Tables!$B$3:$M$36,12,FALSE())*AK$1)</f>
        <v>0</v>
      </c>
      <c r="ER8" s="93">
        <f>IF(BB8="",0,VLOOKUP(P8,Tables!$B$3:$M$36,12,FALSE())*AL$1)</f>
        <v>0</v>
      </c>
      <c r="ES8" s="94">
        <f t="shared" si="55"/>
        <v>0</v>
      </c>
      <c r="ET8" s="95">
        <f>IF(AN8="",10,MIN(VLOOKUP(B8,Tables!$B$3:$N$34,13,FALSE()),'Item Builder'!$W8))</f>
        <v>10</v>
      </c>
      <c r="EU8" s="95">
        <f>IF(AO8="",10,MIN(VLOOKUP(C8,Tables!$B$3:$N$34,13,FALSE()),'Item Builder'!$W8))</f>
        <v>10</v>
      </c>
      <c r="EV8" s="95">
        <f>IF(AP8="",10,MIN(VLOOKUP(D8,Tables!$B$3:$N$34,13,FALSE()),'Item Builder'!$W8))</f>
        <v>10</v>
      </c>
      <c r="EW8" s="95">
        <f>IF(AQ8="",10,MIN(VLOOKUP(E8,Tables!$B$3:$N$34,13,FALSE()),'Item Builder'!$W8))</f>
        <v>10</v>
      </c>
      <c r="EX8" s="95">
        <f>IF(AR8="",10,MIN(VLOOKUP(F8,Tables!$B$3:$N$34,13,FALSE()),'Item Builder'!$W8))</f>
        <v>10</v>
      </c>
      <c r="EY8" s="95">
        <f>IF(AS8="",10,MIN(VLOOKUP(G8,Tables!$B$3:$N$34,13,FALSE()),'Item Builder'!$W8))</f>
        <v>10</v>
      </c>
      <c r="EZ8" s="95">
        <f>IF(AT8="",10,MIN(VLOOKUP(H8,Tables!$B$3:$N$34,13,FALSE()),'Item Builder'!$W8))</f>
        <v>10</v>
      </c>
      <c r="FA8" s="95">
        <f>IF(AU8="",10,MIN(VLOOKUP(I8,Tables!$B$3:$N$34,13,FALSE()),'Item Builder'!$W8))</f>
        <v>10</v>
      </c>
      <c r="FB8" s="95">
        <f>IF(AV8="",10,MIN(VLOOKUP(J8,Tables!$B$3:$N$34,13,FALSE()),'Item Builder'!$W8))</f>
        <v>0</v>
      </c>
      <c r="FC8" s="95">
        <f>IF(AW8="",10,MIN(VLOOKUP(K8,Tables!$B$3:$N$34,13,FALSE()),'Item Builder'!$W8))</f>
        <v>0</v>
      </c>
      <c r="FD8" s="95">
        <f>IF(AX8="",10,MIN(VLOOKUP(L8,Tables!$B$3:$N$34,13,FALSE()),'Item Builder'!$W8))</f>
        <v>10</v>
      </c>
      <c r="FE8" s="95">
        <f>IF(AY8="",10,MIN(VLOOKUP(M8,Tables!$B$3:$N$34,13,FALSE()),'Item Builder'!$W8))</f>
        <v>10</v>
      </c>
      <c r="FF8" s="95">
        <f>IF(AZ8="",10,MIN(VLOOKUP(N8,Tables!$B$3:$N$34,13,FALSE()),'Item Builder'!$W8))</f>
        <v>10</v>
      </c>
      <c r="FG8" s="95">
        <f>IF(BA8="",10,MIN(VLOOKUP(O8,Tables!$B$3:$N$34,13,FALSE()),'Item Builder'!$W8))</f>
        <v>10</v>
      </c>
      <c r="FH8" s="98">
        <f>IF(BB8="",10,MIN(VLOOKUP(P8,Tables!$B$3:$N$34,13,FALSE()),'Item Builder'!$W8))</f>
        <v>10</v>
      </c>
      <c r="FJ8" s="2" t="s">
        <v>160</v>
      </c>
      <c r="FK8" s="2"/>
      <c r="FL8" s="31" t="s">
        <v>161</v>
      </c>
      <c r="FM8" s="99" t="s">
        <v>162</v>
      </c>
      <c r="FN8" s="1"/>
      <c r="FO8" s="1"/>
      <c r="FP8" s="1"/>
    </row>
    <row r="9" spans="1:172" x14ac:dyDescent="0.25">
      <c r="A9" s="67" t="s">
        <v>163</v>
      </c>
      <c r="B9" s="68"/>
      <c r="C9" s="69"/>
      <c r="D9" s="70"/>
      <c r="E9" s="68" t="s">
        <v>131</v>
      </c>
      <c r="F9" s="69" t="s">
        <v>131</v>
      </c>
      <c r="G9" s="69"/>
      <c r="H9" s="69"/>
      <c r="I9" s="70"/>
      <c r="J9" s="68" t="s">
        <v>131</v>
      </c>
      <c r="K9" s="69" t="s">
        <v>131</v>
      </c>
      <c r="L9" s="70"/>
      <c r="M9" s="68"/>
      <c r="N9" s="69"/>
      <c r="O9" s="69"/>
      <c r="P9" s="71"/>
      <c r="Q9" s="72">
        <f>SUM(BV9:CJ9)*VLOOKUP(W9,Tables!$W$3:$Z$8,4)</f>
        <v>33</v>
      </c>
      <c r="R9" s="73">
        <f t="shared" si="0"/>
        <v>1.65</v>
      </c>
      <c r="S9" s="74">
        <f t="shared" si="1"/>
        <v>0</v>
      </c>
      <c r="T9" s="74">
        <f t="shared" si="2"/>
        <v>0</v>
      </c>
      <c r="U9" s="75">
        <f t="shared" si="3"/>
        <v>6.6</v>
      </c>
      <c r="V9" s="76">
        <f t="shared" si="4"/>
        <v>26.4</v>
      </c>
      <c r="W9" s="77">
        <v>0</v>
      </c>
      <c r="X9" s="78">
        <f t="shared" si="5"/>
        <v>0</v>
      </c>
      <c r="Y9" s="79">
        <f t="shared" si="6"/>
        <v>0</v>
      </c>
      <c r="Z9" s="79">
        <f t="shared" si="7"/>
        <v>0</v>
      </c>
      <c r="AA9" s="78">
        <f t="shared" si="8"/>
        <v>1</v>
      </c>
      <c r="AB9" s="79">
        <f t="shared" si="9"/>
        <v>1</v>
      </c>
      <c r="AC9" s="79">
        <f t="shared" si="10"/>
        <v>0</v>
      </c>
      <c r="AD9" s="79">
        <f t="shared" si="11"/>
        <v>0</v>
      </c>
      <c r="AE9" s="79">
        <f t="shared" si="12"/>
        <v>0</v>
      </c>
      <c r="AF9" s="78">
        <f t="shared" si="13"/>
        <v>1</v>
      </c>
      <c r="AG9" s="79">
        <f t="shared" si="14"/>
        <v>1</v>
      </c>
      <c r="AH9" s="79">
        <f t="shared" si="15"/>
        <v>0</v>
      </c>
      <c r="AI9" s="78">
        <f t="shared" si="16"/>
        <v>0</v>
      </c>
      <c r="AJ9" s="79">
        <f t="shared" si="17"/>
        <v>0</v>
      </c>
      <c r="AK9" s="79">
        <f t="shared" si="18"/>
        <v>0</v>
      </c>
      <c r="AL9" s="80">
        <f t="shared" si="19"/>
        <v>0</v>
      </c>
      <c r="AM9" s="81">
        <f t="shared" si="20"/>
        <v>0.32999999999999996</v>
      </c>
      <c r="AN9" s="82" t="str">
        <f t="shared" si="21"/>
        <v/>
      </c>
      <c r="AO9" s="79" t="str">
        <f t="shared" si="22"/>
        <v/>
      </c>
      <c r="AP9" t="str">
        <f t="shared" si="23"/>
        <v/>
      </c>
      <c r="AQ9" s="82" t="str">
        <f t="shared" si="24"/>
        <v>C</v>
      </c>
      <c r="AR9" t="str">
        <f t="shared" si="25"/>
        <v>C</v>
      </c>
      <c r="AS9" t="str">
        <f t="shared" si="26"/>
        <v/>
      </c>
      <c r="AT9" t="str">
        <f t="shared" si="27"/>
        <v/>
      </c>
      <c r="AU9" t="str">
        <f t="shared" si="28"/>
        <v/>
      </c>
      <c r="AV9" s="82" t="str">
        <f t="shared" si="29"/>
        <v>C</v>
      </c>
      <c r="AW9" t="str">
        <f t="shared" si="30"/>
        <v>C</v>
      </c>
      <c r="AX9" t="str">
        <f t="shared" si="31"/>
        <v/>
      </c>
      <c r="AY9" s="82" t="str">
        <f t="shared" si="32"/>
        <v/>
      </c>
      <c r="AZ9" t="str">
        <f t="shared" si="33"/>
        <v/>
      </c>
      <c r="BA9" t="str">
        <f t="shared" si="34"/>
        <v/>
      </c>
      <c r="BB9" s="83" t="str">
        <f t="shared" si="35"/>
        <v/>
      </c>
      <c r="BC9" s="84">
        <f t="shared" si="36"/>
        <v>0</v>
      </c>
      <c r="BD9" s="84">
        <f t="shared" si="37"/>
        <v>0.42857142857142849</v>
      </c>
      <c r="BE9" s="84">
        <f t="shared" si="38"/>
        <v>0.70588235294117652</v>
      </c>
      <c r="BF9" s="84">
        <f t="shared" si="39"/>
        <v>0</v>
      </c>
      <c r="BG9" s="78">
        <f>IF(AN9="",0,VLOOKUP(AN9,Tables!$AB$3:$AC$12,2))</f>
        <v>0</v>
      </c>
      <c r="BH9" s="79">
        <f>IF(AO9="",0,VLOOKUP(AO9,Tables!$AB$3:$AC$12,2))</f>
        <v>0</v>
      </c>
      <c r="BI9" s="79">
        <f>IF(AP9="",0,VLOOKUP(AP9,Tables!$AB$3:$AC$12,2))</f>
        <v>0</v>
      </c>
      <c r="BJ9" s="78">
        <f>IF(AQ9="",0,VLOOKUP(AQ9,Tables!$AB$3:$AC$12,2))</f>
        <v>1</v>
      </c>
      <c r="BK9" s="79">
        <f>IF(AR9="",0,VLOOKUP(AR9,Tables!$AB$3:$AC$12,2))</f>
        <v>1</v>
      </c>
      <c r="BL9" s="79">
        <f>IF(AS9="",0,VLOOKUP(AS9,Tables!$AB$3:$AC$12,2))</f>
        <v>0</v>
      </c>
      <c r="BM9" s="79">
        <f>IF(AT9="",0,VLOOKUP(AT9,Tables!$AB$3:$AC$12,2))</f>
        <v>0</v>
      </c>
      <c r="BN9" s="79">
        <f>IF(AU9="",0,VLOOKUP(AU9,Tables!$AB$3:$AC$12,2))</f>
        <v>0</v>
      </c>
      <c r="BO9" s="78">
        <f>IF(AV9="",0,VLOOKUP(AV9,Tables!$AB$3:$AC$12,2))</f>
        <v>1</v>
      </c>
      <c r="BP9" s="79">
        <f>IF(AW9="",0,VLOOKUP(AW9,Tables!$AB$3:$AC$12,2))</f>
        <v>1</v>
      </c>
      <c r="BQ9" s="79">
        <f>IF(AX9="",0,VLOOKUP(AX9,Tables!$AB$3:$AC$12,2))</f>
        <v>0</v>
      </c>
      <c r="BR9" s="78">
        <f>IF(AY9="",0,VLOOKUP(AY9,Tables!$AB$3:$AC$12,2))</f>
        <v>0</v>
      </c>
      <c r="BS9" s="79">
        <f>IF(AZ9="",0,VLOOKUP(AZ9,Tables!$AB$3:$AC$12,2))</f>
        <v>0</v>
      </c>
      <c r="BT9" s="79">
        <f>IF(BA9="",0,VLOOKUP(BA9,Tables!$AB$3:$AC$12,2))</f>
        <v>0</v>
      </c>
      <c r="BU9" s="80">
        <f>IF(BB9="",0,VLOOKUP(BB9,Tables!$AB$3:$AC$12,2))</f>
        <v>0</v>
      </c>
      <c r="BV9" s="85">
        <f>IF(AN9="",0,VLOOKUP(B9,Tables!$B$3:$D$36,2,FALSE())*X$1)</f>
        <v>0</v>
      </c>
      <c r="BW9" s="72">
        <f>IF(AO9="",0,VLOOKUP(C9,Tables!$B$3:$D$36,2,FALSE())*Y$1)</f>
        <v>0</v>
      </c>
      <c r="BX9" s="72">
        <f>IF(AP9="",0,VLOOKUP(D9,Tables!$B$3:$D$36,2,FALSE())*Z$1)</f>
        <v>0</v>
      </c>
      <c r="BY9" s="85">
        <f>IF(AQ9="",0,VLOOKUP(E9,Tables!$B$3:$D$36,2,FALSE())*AA$1)</f>
        <v>3</v>
      </c>
      <c r="BZ9" s="72">
        <f>IF(AR9="",0,VLOOKUP(F9,Tables!$B$3:$D$36,2,FALSE())*AB$1)</f>
        <v>6</v>
      </c>
      <c r="CA9" s="72">
        <f>IF(AS9="",0,VLOOKUP(G9,Tables!$B$3:$D$36,2,FALSE())*AC$1)</f>
        <v>0</v>
      </c>
      <c r="CB9" s="72">
        <f>IF(AT9="",0,VLOOKUP(H9,Tables!$B$3:$D$36,2,FALSE())*AD$1)</f>
        <v>0</v>
      </c>
      <c r="CC9" s="72">
        <f>IF(AU9="",0,VLOOKUP(I9,Tables!$B$3:$D$36,2,FALSE())*AE$1)</f>
        <v>0</v>
      </c>
      <c r="CD9" s="85">
        <f>IF(AV9="",0,VLOOKUP(J9,Tables!$B$3:$D$36,2,FALSE())*AF$1)</f>
        <v>12</v>
      </c>
      <c r="CE9" s="72">
        <f>IF(AW9="",0,VLOOKUP(K9,Tables!$B$3:$D$36,2,FALSE())*AG$1)</f>
        <v>12</v>
      </c>
      <c r="CF9" s="72">
        <f>IF(AX9="",0,VLOOKUP(L9,Tables!$B$3:$D$36,2,FALSE())*AH$1)</f>
        <v>0</v>
      </c>
      <c r="CG9" s="85">
        <f>IF(AY9="",0,VLOOKUP(M9,Tables!$B$3:$D$36,2,FALSE())*AI$1)</f>
        <v>0</v>
      </c>
      <c r="CH9" s="72">
        <f>IF(AZ9="",0,VLOOKUP(N9,Tables!$B$3:$D$36,2,FALSE())*AJ$1)</f>
        <v>0</v>
      </c>
      <c r="CI9" s="72">
        <f>IF(BA9="",0,VLOOKUP(O9,Tables!$B$3:$D$36,2,FALSE())*AK$1)</f>
        <v>0</v>
      </c>
      <c r="CJ9" s="86">
        <f>IF(BB9="",0,VLOOKUP(P9,Tables!$B$3:$D$36,2,FALSE())*AL$1)</f>
        <v>0</v>
      </c>
      <c r="CK9" s="87">
        <f>IF(AN9="",0,VLOOKUP(B9,Tables!$B$3:$D$36,3,FALSE())*X$1)*IF(OR(AN9="K",AN9="P"),2,1)</f>
        <v>0</v>
      </c>
      <c r="CL9" s="73">
        <f>IF(AO9="",0,VLOOKUP(C9,Tables!$B$3:$D$36,3,FALSE())*Y$1)*IF(OR(AO9="K",AO9="P"),2,1)</f>
        <v>0</v>
      </c>
      <c r="CM9" s="73">
        <f>IF(AP9="",0,VLOOKUP(D9,Tables!$B$3:$D$36,3,FALSE())*Z$1)*IF(OR(AP9="K",AP9="P"),2,1)</f>
        <v>0</v>
      </c>
      <c r="CN9" s="87">
        <f>IF(AQ9="",0,VLOOKUP(E9,Tables!$B$3:$D$36,3,FALSE())*AA$1)</f>
        <v>0.15</v>
      </c>
      <c r="CO9" s="73">
        <f>IF(AR9="",0,VLOOKUP(F9,Tables!$B$3:$D$36,3,FALSE())*AB$1)</f>
        <v>0.3</v>
      </c>
      <c r="CP9" s="73">
        <f>IF(AS9="",0,VLOOKUP(G9,Tables!$B$3:$D$36,3,FALSE())*AC$1)</f>
        <v>0</v>
      </c>
      <c r="CQ9" s="73">
        <f>IF(AT9="",0,VLOOKUP(H9,Tables!$B$3:$D$36,3,FALSE())*AD$1)</f>
        <v>0</v>
      </c>
      <c r="CR9" s="73">
        <f>IF(AU9="",0,VLOOKUP(I9,Tables!$B$3:$D$36,3,FALSE())*AE$1)</f>
        <v>0</v>
      </c>
      <c r="CS9" s="87">
        <f>IF(AV9="",0,VLOOKUP(J9,Tables!$B$3:$D$36,3,FALSE())*AF$1)</f>
        <v>0.6</v>
      </c>
      <c r="CT9" s="73">
        <f>IF(AW9="",0,VLOOKUP(K9,Tables!$B$3:$D$36,3,FALSE())*AG$1)</f>
        <v>0.6</v>
      </c>
      <c r="CU9" s="73">
        <f>IF(AX9="",0,VLOOKUP(L9,Tables!$B$3:$D$36,3,FALSE())*AH$1)</f>
        <v>0</v>
      </c>
      <c r="CV9" s="87">
        <f>IF(AY9="",0,VLOOKUP(M9,Tables!$B$3:$D$36,3,FALSE())*AI$1)</f>
        <v>0</v>
      </c>
      <c r="CW9" s="73">
        <f>IF(AZ9="",0,VLOOKUP(N9,Tables!$B$3:$D$36,3,FALSE())*AJ$1)</f>
        <v>0</v>
      </c>
      <c r="CX9" s="73">
        <f>IF(BA9="",0,VLOOKUP(O9,Tables!$B$3:$D$36,3,FALSE())*AK$1)</f>
        <v>0</v>
      </c>
      <c r="CY9" s="88">
        <f>IF(BB9="",0,VLOOKUP(P9,Tables!$B$3:$D$36,3,FALSE())*AL$1)</f>
        <v>0</v>
      </c>
      <c r="CZ9" s="89">
        <f t="shared" si="40"/>
        <v>0</v>
      </c>
      <c r="DA9" s="75">
        <f t="shared" si="41"/>
        <v>0</v>
      </c>
      <c r="DB9" s="75">
        <f t="shared" si="42"/>
        <v>0</v>
      </c>
      <c r="DC9" s="89">
        <f t="shared" si="43"/>
        <v>1</v>
      </c>
      <c r="DD9" s="75">
        <f t="shared" si="44"/>
        <v>1</v>
      </c>
      <c r="DE9" s="75">
        <f t="shared" si="45"/>
        <v>0</v>
      </c>
      <c r="DF9" s="75">
        <f t="shared" si="46"/>
        <v>0</v>
      </c>
      <c r="DG9" s="75">
        <f t="shared" si="47"/>
        <v>0</v>
      </c>
      <c r="DH9" s="89">
        <f t="shared" si="48"/>
        <v>1</v>
      </c>
      <c r="DI9" s="75">
        <f t="shared" si="49"/>
        <v>1</v>
      </c>
      <c r="DJ9" s="75">
        <f t="shared" si="50"/>
        <v>0</v>
      </c>
      <c r="DK9" s="89">
        <f t="shared" si="51"/>
        <v>0</v>
      </c>
      <c r="DL9" s="75">
        <f t="shared" si="52"/>
        <v>0</v>
      </c>
      <c r="DM9" s="75">
        <f t="shared" si="53"/>
        <v>0</v>
      </c>
      <c r="DN9" s="90">
        <f t="shared" si="54"/>
        <v>0</v>
      </c>
      <c r="DO9" s="91">
        <f>IF(AN9="",0,VLOOKUP(B9,Tables!$B$3:$M$36,11,FALSE())*X$1)</f>
        <v>0</v>
      </c>
      <c r="DP9" s="92">
        <f>IF(AO9="",0,VLOOKUP(C9,Tables!$B$3:$M$36,11,FALSE())*Y$1)</f>
        <v>0</v>
      </c>
      <c r="DQ9" s="92">
        <f>IF(AP9="",0,VLOOKUP(D9,Tables!$B$3:$M$36,11,FALSE())*Z$1)</f>
        <v>0</v>
      </c>
      <c r="DR9" s="91">
        <f>IF(AQ9="",0,VLOOKUP(E9,Tables!$B$3:$M$36,11,FALSE())*AA$1)</f>
        <v>0.6</v>
      </c>
      <c r="DS9" s="92">
        <f>IF(AR9="",0,VLOOKUP(F9,Tables!$B$3:$M$36,11,FALSE())*AB$1)</f>
        <v>1.2</v>
      </c>
      <c r="DT9" s="92">
        <f>IF(AS9="",0,VLOOKUP(G9,Tables!$B$3:$M$36,11,FALSE())*AC$1)</f>
        <v>0</v>
      </c>
      <c r="DU9" s="92">
        <f>IF(AT9="",0,VLOOKUP(H9,Tables!$B$3:$M$36,11,FALSE())*AD$1)</f>
        <v>0</v>
      </c>
      <c r="DV9" s="92">
        <f>IF(AU9="",0,VLOOKUP(I9,Tables!$B$3:$M$36,11,FALSE())*AE$1)</f>
        <v>0</v>
      </c>
      <c r="DW9" s="91">
        <f>IF(AV9="",0,VLOOKUP(J9,Tables!$B$3:$M$36,11,FALSE())*AF$1)</f>
        <v>2.4</v>
      </c>
      <c r="DX9" s="92">
        <f>IF(AW9="",0,VLOOKUP(K9,Tables!$B$3:$M$36,11,FALSE())*AG$1)</f>
        <v>2.4</v>
      </c>
      <c r="DY9" s="92">
        <f>IF(AX9="",0,VLOOKUP(L9,Tables!$B$3:$M$36,11,FALSE())*AH$1)</f>
        <v>0</v>
      </c>
      <c r="DZ9" s="91">
        <f>IF(AY9="",0,VLOOKUP(M9,Tables!$B$3:$M$36,11,FALSE())*AI$1)</f>
        <v>0</v>
      </c>
      <c r="EA9" s="92">
        <f>IF(AZ9="",0,VLOOKUP(N9,Tables!$B$3:$M$36,11,FALSE())*AJ$1)</f>
        <v>0</v>
      </c>
      <c r="EB9" s="92">
        <f>IF(BA9="",0,VLOOKUP(O9,Tables!$B$3:$M$36,11,FALSE())*AK$1)</f>
        <v>0</v>
      </c>
      <c r="EC9" s="93">
        <f>IF(BB9="",0,VLOOKUP(P9,Tables!$B$3:$M$36,11,FALSE())*AL$1)</f>
        <v>0</v>
      </c>
      <c r="ED9" s="91">
        <f>IF(AN9="",0,VLOOKUP(B9,Tables!$B$3:$M$36,12,FALSE())*X$1)</f>
        <v>0</v>
      </c>
      <c r="EE9" s="92">
        <f>IF(AO9="",0,VLOOKUP(C9,Tables!$B$3:$M$36,12,FALSE())*Y$1)</f>
        <v>0</v>
      </c>
      <c r="EF9" s="92">
        <f>IF(AP9="",0,VLOOKUP(D9,Tables!$B$3:$M$36,12,FALSE())*Z$1)</f>
        <v>0</v>
      </c>
      <c r="EG9" s="91">
        <f>IF(AQ9="",0,VLOOKUP(E9,Tables!$B$3:$M$36,12,FALSE())*AA$1)</f>
        <v>2.4</v>
      </c>
      <c r="EH9" s="92">
        <f>IF(AR9="",0,VLOOKUP(F9,Tables!$B$3:$M$36,12,FALSE())*AB$1)</f>
        <v>4.8</v>
      </c>
      <c r="EI9" s="92">
        <f>IF(AS9="",0,VLOOKUP(G9,Tables!$B$3:$M$36,12,FALSE())*AC$1)</f>
        <v>0</v>
      </c>
      <c r="EJ9" s="92">
        <f>IF(AT9="",0,VLOOKUP(H9,Tables!$B$3:$M$36,12,FALSE())*AD$1)</f>
        <v>0</v>
      </c>
      <c r="EK9" s="92">
        <f>IF(AU9="",0,VLOOKUP(I9,Tables!$B$3:$M$36,12,FALSE())*AE$1)</f>
        <v>0</v>
      </c>
      <c r="EL9" s="91">
        <f>IF(AV9="",0,VLOOKUP(J9,Tables!$B$3:$M$36,12,FALSE())*AF$1)</f>
        <v>9.6</v>
      </c>
      <c r="EM9" s="92">
        <f>IF(AW9="",0,VLOOKUP(K9,Tables!$B$3:$M$36,12,FALSE())*AG$1)</f>
        <v>9.6</v>
      </c>
      <c r="EN9" s="92">
        <f>IF(AX9="",0,VLOOKUP(L9,Tables!$B$3:$M$36,12,FALSE())*AH$1)</f>
        <v>0</v>
      </c>
      <c r="EO9" s="91">
        <f>IF(AY9="",0,VLOOKUP(M9,Tables!$B$3:$M$36,12,FALSE())*AI$1)</f>
        <v>0</v>
      </c>
      <c r="EP9" s="92">
        <f>IF(AZ9="",0,VLOOKUP(N9,Tables!$B$3:$M$36,12,FALSE())*AJ$1)</f>
        <v>0</v>
      </c>
      <c r="EQ9" s="92">
        <f>IF(BA9="",0,VLOOKUP(O9,Tables!$B$3:$M$36,12,FALSE())*AK$1)</f>
        <v>0</v>
      </c>
      <c r="ER9" s="93">
        <f>IF(BB9="",0,VLOOKUP(P9,Tables!$B$3:$M$36,12,FALSE())*AL$1)</f>
        <v>0</v>
      </c>
      <c r="ES9" s="94">
        <f t="shared" si="55"/>
        <v>0</v>
      </c>
      <c r="ET9" s="95">
        <f>IF(AN9="",10,MIN(VLOOKUP(B9,Tables!$B$3:$N$34,13,FALSE()),'Item Builder'!$W9))</f>
        <v>10</v>
      </c>
      <c r="EU9" s="95">
        <f>IF(AO9="",10,MIN(VLOOKUP(C9,Tables!$B$3:$N$34,13,FALSE()),'Item Builder'!$W9))</f>
        <v>10</v>
      </c>
      <c r="EV9" s="95">
        <f>IF(AP9="",10,MIN(VLOOKUP(D9,Tables!$B$3:$N$34,13,FALSE()),'Item Builder'!$W9))</f>
        <v>10</v>
      </c>
      <c r="EW9" s="95">
        <f>IF(AQ9="",10,MIN(VLOOKUP(E9,Tables!$B$3:$N$34,13,FALSE()),'Item Builder'!$W9))</f>
        <v>0</v>
      </c>
      <c r="EX9" s="95">
        <f>IF(AR9="",10,MIN(VLOOKUP(F9,Tables!$B$3:$N$34,13,FALSE()),'Item Builder'!$W9))</f>
        <v>0</v>
      </c>
      <c r="EY9" s="95">
        <f>IF(AS9="",10,MIN(VLOOKUP(G9,Tables!$B$3:$N$34,13,FALSE()),'Item Builder'!$W9))</f>
        <v>10</v>
      </c>
      <c r="EZ9" s="95">
        <f>IF(AT9="",10,MIN(VLOOKUP(H9,Tables!$B$3:$N$34,13,FALSE()),'Item Builder'!$W9))</f>
        <v>10</v>
      </c>
      <c r="FA9" s="95">
        <f>IF(AU9="",10,MIN(VLOOKUP(I9,Tables!$B$3:$N$34,13,FALSE()),'Item Builder'!$W9))</f>
        <v>10</v>
      </c>
      <c r="FB9" s="95">
        <f>IF(AV9="",10,MIN(VLOOKUP(J9,Tables!$B$3:$N$34,13,FALSE()),'Item Builder'!$W9))</f>
        <v>0</v>
      </c>
      <c r="FC9" s="95">
        <f>IF(AW9="",10,MIN(VLOOKUP(K9,Tables!$B$3:$N$34,13,FALSE()),'Item Builder'!$W9))</f>
        <v>0</v>
      </c>
      <c r="FD9" s="95">
        <f>IF(AX9="",10,MIN(VLOOKUP(L9,Tables!$B$3:$N$34,13,FALSE()),'Item Builder'!$W9))</f>
        <v>10</v>
      </c>
      <c r="FE9" s="95">
        <f>IF(AY9="",10,MIN(VLOOKUP(M9,Tables!$B$3:$N$34,13,FALSE()),'Item Builder'!$W9))</f>
        <v>10</v>
      </c>
      <c r="FF9" s="95">
        <f>IF(AZ9="",10,MIN(VLOOKUP(N9,Tables!$B$3:$N$34,13,FALSE()),'Item Builder'!$W9))</f>
        <v>10</v>
      </c>
      <c r="FG9" s="95">
        <f>IF(BA9="",10,MIN(VLOOKUP(O9,Tables!$B$3:$N$34,13,FALSE()),'Item Builder'!$W9))</f>
        <v>10</v>
      </c>
      <c r="FH9" s="98">
        <f>IF(BB9="",10,MIN(VLOOKUP(P9,Tables!$B$3:$N$34,13,FALSE()),'Item Builder'!$W9))</f>
        <v>10</v>
      </c>
      <c r="FJ9" s="2" t="s">
        <v>164</v>
      </c>
      <c r="FK9" s="2"/>
      <c r="FL9" s="31" t="s">
        <v>165</v>
      </c>
      <c r="FM9" s="99" t="s">
        <v>166</v>
      </c>
      <c r="FN9" s="1"/>
      <c r="FO9" s="1"/>
      <c r="FP9" s="1"/>
    </row>
    <row r="10" spans="1:172" x14ac:dyDescent="0.25">
      <c r="A10" s="67" t="s">
        <v>19</v>
      </c>
      <c r="B10" s="68"/>
      <c r="C10" s="69"/>
      <c r="D10" s="70"/>
      <c r="E10" s="68" t="s">
        <v>131</v>
      </c>
      <c r="F10" s="69" t="s">
        <v>131</v>
      </c>
      <c r="G10" s="69" t="s">
        <v>131</v>
      </c>
      <c r="H10" s="69"/>
      <c r="I10" s="70"/>
      <c r="J10" s="68" t="s">
        <v>131</v>
      </c>
      <c r="K10" s="69" t="s">
        <v>131</v>
      </c>
      <c r="L10" s="70" t="s">
        <v>131</v>
      </c>
      <c r="M10" s="68"/>
      <c r="N10" s="69"/>
      <c r="O10" s="69"/>
      <c r="P10" s="71"/>
      <c r="Q10" s="72">
        <f>SUM(BV10:CJ10)*VLOOKUP(W10,Tables!$W$3:$Z$8,4)</f>
        <v>45</v>
      </c>
      <c r="R10" s="73">
        <f t="shared" si="0"/>
        <v>2.25</v>
      </c>
      <c r="S10" s="74">
        <f t="shared" si="1"/>
        <v>0</v>
      </c>
      <c r="T10" s="74">
        <f t="shared" si="2"/>
        <v>0</v>
      </c>
      <c r="U10" s="75">
        <f t="shared" si="3"/>
        <v>9</v>
      </c>
      <c r="V10" s="76">
        <f t="shared" si="4"/>
        <v>36</v>
      </c>
      <c r="W10" s="77">
        <v>0</v>
      </c>
      <c r="X10" s="78">
        <f t="shared" si="5"/>
        <v>0</v>
      </c>
      <c r="Y10" s="79">
        <f t="shared" si="6"/>
        <v>0</v>
      </c>
      <c r="Z10" s="79">
        <f t="shared" si="7"/>
        <v>0</v>
      </c>
      <c r="AA10" s="78">
        <f t="shared" si="8"/>
        <v>1</v>
      </c>
      <c r="AB10" s="79">
        <f t="shared" si="9"/>
        <v>1</v>
      </c>
      <c r="AC10" s="79">
        <f t="shared" si="10"/>
        <v>1</v>
      </c>
      <c r="AD10" s="79">
        <f t="shared" si="11"/>
        <v>0</v>
      </c>
      <c r="AE10" s="79">
        <f t="shared" si="12"/>
        <v>0</v>
      </c>
      <c r="AF10" s="78">
        <f t="shared" si="13"/>
        <v>1</v>
      </c>
      <c r="AG10" s="79">
        <f t="shared" si="14"/>
        <v>1</v>
      </c>
      <c r="AH10" s="79">
        <f t="shared" si="15"/>
        <v>1</v>
      </c>
      <c r="AI10" s="78">
        <f t="shared" si="16"/>
        <v>0</v>
      </c>
      <c r="AJ10" s="79">
        <f t="shared" si="17"/>
        <v>0</v>
      </c>
      <c r="AK10" s="79">
        <f t="shared" si="18"/>
        <v>0</v>
      </c>
      <c r="AL10" s="80">
        <f t="shared" si="19"/>
        <v>0</v>
      </c>
      <c r="AM10" s="81">
        <f t="shared" si="20"/>
        <v>0.44999999999999996</v>
      </c>
      <c r="AN10" s="82" t="str">
        <f t="shared" si="21"/>
        <v/>
      </c>
      <c r="AO10" s="79" t="str">
        <f t="shared" si="22"/>
        <v/>
      </c>
      <c r="AP10" t="str">
        <f t="shared" si="23"/>
        <v/>
      </c>
      <c r="AQ10" s="82" t="str">
        <f t="shared" si="24"/>
        <v>C</v>
      </c>
      <c r="AR10" t="str">
        <f t="shared" si="25"/>
        <v>C</v>
      </c>
      <c r="AS10" t="str">
        <f t="shared" si="26"/>
        <v>C</v>
      </c>
      <c r="AT10" t="str">
        <f t="shared" si="27"/>
        <v/>
      </c>
      <c r="AU10" t="str">
        <f t="shared" si="28"/>
        <v/>
      </c>
      <c r="AV10" s="82" t="str">
        <f t="shared" si="29"/>
        <v>C</v>
      </c>
      <c r="AW10" t="str">
        <f t="shared" si="30"/>
        <v>C</v>
      </c>
      <c r="AX10" t="str">
        <f t="shared" si="31"/>
        <v>C</v>
      </c>
      <c r="AY10" s="82" t="str">
        <f t="shared" si="32"/>
        <v/>
      </c>
      <c r="AZ10" t="str">
        <f t="shared" si="33"/>
        <v/>
      </c>
      <c r="BA10" t="str">
        <f t="shared" si="34"/>
        <v/>
      </c>
      <c r="BB10" s="83" t="str">
        <f t="shared" si="35"/>
        <v/>
      </c>
      <c r="BC10" s="84">
        <f t="shared" si="36"/>
        <v>0</v>
      </c>
      <c r="BD10" s="84">
        <f t="shared" si="37"/>
        <v>0.52380952380952372</v>
      </c>
      <c r="BE10" s="84">
        <f t="shared" si="38"/>
        <v>1</v>
      </c>
      <c r="BF10" s="84">
        <f t="shared" si="39"/>
        <v>0</v>
      </c>
      <c r="BG10" s="78">
        <f>IF(AN10="",0,VLOOKUP(AN10,Tables!$AB$3:$AC$12,2))</f>
        <v>0</v>
      </c>
      <c r="BH10" s="79">
        <f>IF(AO10="",0,VLOOKUP(AO10,Tables!$AB$3:$AC$12,2))</f>
        <v>0</v>
      </c>
      <c r="BI10" s="79">
        <f>IF(AP10="",0,VLOOKUP(AP10,Tables!$AB$3:$AC$12,2))</f>
        <v>0</v>
      </c>
      <c r="BJ10" s="78">
        <f>IF(AQ10="",0,VLOOKUP(AQ10,Tables!$AB$3:$AC$12,2))</f>
        <v>1</v>
      </c>
      <c r="BK10" s="79">
        <f>IF(AR10="",0,VLOOKUP(AR10,Tables!$AB$3:$AC$12,2))</f>
        <v>1</v>
      </c>
      <c r="BL10" s="79">
        <f>IF(AS10="",0,VLOOKUP(AS10,Tables!$AB$3:$AC$12,2))</f>
        <v>1</v>
      </c>
      <c r="BM10" s="79">
        <f>IF(AT10="",0,VLOOKUP(AT10,Tables!$AB$3:$AC$12,2))</f>
        <v>0</v>
      </c>
      <c r="BN10" s="79">
        <f>IF(AU10="",0,VLOOKUP(AU10,Tables!$AB$3:$AC$12,2))</f>
        <v>0</v>
      </c>
      <c r="BO10" s="78">
        <f>IF(AV10="",0,VLOOKUP(AV10,Tables!$AB$3:$AC$12,2))</f>
        <v>1</v>
      </c>
      <c r="BP10" s="79">
        <f>IF(AW10="",0,VLOOKUP(AW10,Tables!$AB$3:$AC$12,2))</f>
        <v>1</v>
      </c>
      <c r="BQ10" s="79">
        <f>IF(AX10="",0,VLOOKUP(AX10,Tables!$AB$3:$AC$12,2))</f>
        <v>1</v>
      </c>
      <c r="BR10" s="78">
        <f>IF(AY10="",0,VLOOKUP(AY10,Tables!$AB$3:$AC$12,2))</f>
        <v>0</v>
      </c>
      <c r="BS10" s="79">
        <f>IF(AZ10="",0,VLOOKUP(AZ10,Tables!$AB$3:$AC$12,2))</f>
        <v>0</v>
      </c>
      <c r="BT10" s="79">
        <f>IF(BA10="",0,VLOOKUP(BA10,Tables!$AB$3:$AC$12,2))</f>
        <v>0</v>
      </c>
      <c r="BU10" s="80">
        <f>IF(BB10="",0,VLOOKUP(BB10,Tables!$AB$3:$AC$12,2))</f>
        <v>0</v>
      </c>
      <c r="BV10" s="85">
        <f>IF(AN10="",0,VLOOKUP(B10,Tables!$B$3:$D$36,2,FALSE())*X$1)</f>
        <v>0</v>
      </c>
      <c r="BW10" s="72">
        <f>IF(AO10="",0,VLOOKUP(C10,Tables!$B$3:$D$36,2,FALSE())*Y$1)</f>
        <v>0</v>
      </c>
      <c r="BX10" s="72">
        <f>IF(AP10="",0,VLOOKUP(D10,Tables!$B$3:$D$36,2,FALSE())*Z$1)</f>
        <v>0</v>
      </c>
      <c r="BY10" s="85">
        <f>IF(AQ10="",0,VLOOKUP(E10,Tables!$B$3:$D$36,2,FALSE())*AA$1)</f>
        <v>3</v>
      </c>
      <c r="BZ10" s="72">
        <f>IF(AR10="",0,VLOOKUP(F10,Tables!$B$3:$D$36,2,FALSE())*AB$1)</f>
        <v>6</v>
      </c>
      <c r="CA10" s="72">
        <f>IF(AS10="",0,VLOOKUP(G10,Tables!$B$3:$D$36,2,FALSE())*AC$1)</f>
        <v>2</v>
      </c>
      <c r="CB10" s="72">
        <f>IF(AT10="",0,VLOOKUP(H10,Tables!$B$3:$D$36,2,FALSE())*AD$1)</f>
        <v>0</v>
      </c>
      <c r="CC10" s="72">
        <f>IF(AU10="",0,VLOOKUP(I10,Tables!$B$3:$D$36,2,FALSE())*AE$1)</f>
        <v>0</v>
      </c>
      <c r="CD10" s="85">
        <f>IF(AV10="",0,VLOOKUP(J10,Tables!$B$3:$D$36,2,FALSE())*AF$1)</f>
        <v>12</v>
      </c>
      <c r="CE10" s="72">
        <f>IF(AW10="",0,VLOOKUP(K10,Tables!$B$3:$D$36,2,FALSE())*AG$1)</f>
        <v>12</v>
      </c>
      <c r="CF10" s="72">
        <f>IF(AX10="",0,VLOOKUP(L10,Tables!$B$3:$D$36,2,FALSE())*AH$1)</f>
        <v>10</v>
      </c>
      <c r="CG10" s="85">
        <f>IF(AY10="",0,VLOOKUP(M10,Tables!$B$3:$D$36,2,FALSE())*AI$1)</f>
        <v>0</v>
      </c>
      <c r="CH10" s="72">
        <f>IF(AZ10="",0,VLOOKUP(N10,Tables!$B$3:$D$36,2,FALSE())*AJ$1)</f>
        <v>0</v>
      </c>
      <c r="CI10" s="72">
        <f>IF(BA10="",0,VLOOKUP(O10,Tables!$B$3:$D$36,2,FALSE())*AK$1)</f>
        <v>0</v>
      </c>
      <c r="CJ10" s="86">
        <f>IF(BB10="",0,VLOOKUP(P10,Tables!$B$3:$D$36,2,FALSE())*AL$1)</f>
        <v>0</v>
      </c>
      <c r="CK10" s="87">
        <f>IF(AN10="",0,VLOOKUP(B10,Tables!$B$3:$D$36,3,FALSE())*X$1)*IF(OR(AN10="K",AN10="P"),2,1)</f>
        <v>0</v>
      </c>
      <c r="CL10" s="73">
        <f>IF(AO10="",0,VLOOKUP(C10,Tables!$B$3:$D$36,3,FALSE())*Y$1)*IF(OR(AO10="K",AO10="P"),2,1)</f>
        <v>0</v>
      </c>
      <c r="CM10" s="73">
        <f>IF(AP10="",0,VLOOKUP(D10,Tables!$B$3:$D$36,3,FALSE())*Z$1)*IF(OR(AP10="K",AP10="P"),2,1)</f>
        <v>0</v>
      </c>
      <c r="CN10" s="87">
        <f>IF(AQ10="",0,VLOOKUP(E10,Tables!$B$3:$D$36,3,FALSE())*AA$1)</f>
        <v>0.15</v>
      </c>
      <c r="CO10" s="73">
        <f>IF(AR10="",0,VLOOKUP(F10,Tables!$B$3:$D$36,3,FALSE())*AB$1)</f>
        <v>0.3</v>
      </c>
      <c r="CP10" s="73">
        <f>IF(AS10="",0,VLOOKUP(G10,Tables!$B$3:$D$36,3,FALSE())*AC$1)</f>
        <v>0.1</v>
      </c>
      <c r="CQ10" s="73">
        <f>IF(AT10="",0,VLOOKUP(H10,Tables!$B$3:$D$36,3,FALSE())*AD$1)</f>
        <v>0</v>
      </c>
      <c r="CR10" s="73">
        <f>IF(AU10="",0,VLOOKUP(I10,Tables!$B$3:$D$36,3,FALSE())*AE$1)</f>
        <v>0</v>
      </c>
      <c r="CS10" s="87">
        <f>IF(AV10="",0,VLOOKUP(J10,Tables!$B$3:$D$36,3,FALSE())*AF$1)</f>
        <v>0.6</v>
      </c>
      <c r="CT10" s="73">
        <f>IF(AW10="",0,VLOOKUP(K10,Tables!$B$3:$D$36,3,FALSE())*AG$1)</f>
        <v>0.6</v>
      </c>
      <c r="CU10" s="73">
        <f>IF(AX10="",0,VLOOKUP(L10,Tables!$B$3:$D$36,3,FALSE())*AH$1)</f>
        <v>0.5</v>
      </c>
      <c r="CV10" s="87">
        <f>IF(AY10="",0,VLOOKUP(M10,Tables!$B$3:$D$36,3,FALSE())*AI$1)</f>
        <v>0</v>
      </c>
      <c r="CW10" s="73">
        <f>IF(AZ10="",0,VLOOKUP(N10,Tables!$B$3:$D$36,3,FALSE())*AJ$1)</f>
        <v>0</v>
      </c>
      <c r="CX10" s="73">
        <f>IF(BA10="",0,VLOOKUP(O10,Tables!$B$3:$D$36,3,FALSE())*AK$1)</f>
        <v>0</v>
      </c>
      <c r="CY10" s="88">
        <f>IF(BB10="",0,VLOOKUP(P10,Tables!$B$3:$D$36,3,FALSE())*AL$1)</f>
        <v>0</v>
      </c>
      <c r="CZ10" s="89">
        <f t="shared" si="40"/>
        <v>0</v>
      </c>
      <c r="DA10" s="75">
        <f t="shared" si="41"/>
        <v>0</v>
      </c>
      <c r="DB10" s="75">
        <f t="shared" si="42"/>
        <v>0</v>
      </c>
      <c r="DC10" s="89">
        <f t="shared" si="43"/>
        <v>1</v>
      </c>
      <c r="DD10" s="75">
        <f t="shared" si="44"/>
        <v>1</v>
      </c>
      <c r="DE10" s="75">
        <f t="shared" si="45"/>
        <v>1</v>
      </c>
      <c r="DF10" s="75">
        <f t="shared" si="46"/>
        <v>0</v>
      </c>
      <c r="DG10" s="75">
        <f t="shared" si="47"/>
        <v>0</v>
      </c>
      <c r="DH10" s="89">
        <f t="shared" si="48"/>
        <v>1</v>
      </c>
      <c r="DI10" s="75">
        <f t="shared" si="49"/>
        <v>1</v>
      </c>
      <c r="DJ10" s="75">
        <f t="shared" si="50"/>
        <v>1</v>
      </c>
      <c r="DK10" s="89">
        <f t="shared" si="51"/>
        <v>0</v>
      </c>
      <c r="DL10" s="75">
        <f t="shared" si="52"/>
        <v>0</v>
      </c>
      <c r="DM10" s="75">
        <f t="shared" si="53"/>
        <v>0</v>
      </c>
      <c r="DN10" s="90">
        <f t="shared" si="54"/>
        <v>0</v>
      </c>
      <c r="DO10" s="91">
        <f>IF(AN10="",0,VLOOKUP(B10,Tables!$B$3:$M$36,11,FALSE())*X$1)</f>
        <v>0</v>
      </c>
      <c r="DP10" s="92">
        <f>IF(AO10="",0,VLOOKUP(C10,Tables!$B$3:$M$36,11,FALSE())*Y$1)</f>
        <v>0</v>
      </c>
      <c r="DQ10" s="92">
        <f>IF(AP10="",0,VLOOKUP(D10,Tables!$B$3:$M$36,11,FALSE())*Z$1)</f>
        <v>0</v>
      </c>
      <c r="DR10" s="91">
        <f>IF(AQ10="",0,VLOOKUP(E10,Tables!$B$3:$M$36,11,FALSE())*AA$1)</f>
        <v>0.6</v>
      </c>
      <c r="DS10" s="92">
        <f>IF(AR10="",0,VLOOKUP(F10,Tables!$B$3:$M$36,11,FALSE())*AB$1)</f>
        <v>1.2</v>
      </c>
      <c r="DT10" s="92">
        <f>IF(AS10="",0,VLOOKUP(G10,Tables!$B$3:$M$36,11,FALSE())*AC$1)</f>
        <v>0.4</v>
      </c>
      <c r="DU10" s="92">
        <f>IF(AT10="",0,VLOOKUP(H10,Tables!$B$3:$M$36,11,FALSE())*AD$1)</f>
        <v>0</v>
      </c>
      <c r="DV10" s="92">
        <f>IF(AU10="",0,VLOOKUP(I10,Tables!$B$3:$M$36,11,FALSE())*AE$1)</f>
        <v>0</v>
      </c>
      <c r="DW10" s="91">
        <f>IF(AV10="",0,VLOOKUP(J10,Tables!$B$3:$M$36,11,FALSE())*AF$1)</f>
        <v>2.4</v>
      </c>
      <c r="DX10" s="92">
        <f>IF(AW10="",0,VLOOKUP(K10,Tables!$B$3:$M$36,11,FALSE())*AG$1)</f>
        <v>2.4</v>
      </c>
      <c r="DY10" s="92">
        <f>IF(AX10="",0,VLOOKUP(L10,Tables!$B$3:$M$36,11,FALSE())*AH$1)</f>
        <v>2</v>
      </c>
      <c r="DZ10" s="91">
        <f>IF(AY10="",0,VLOOKUP(M10,Tables!$B$3:$M$36,11,FALSE())*AI$1)</f>
        <v>0</v>
      </c>
      <c r="EA10" s="92">
        <f>IF(AZ10="",0,VLOOKUP(N10,Tables!$B$3:$M$36,11,FALSE())*AJ$1)</f>
        <v>0</v>
      </c>
      <c r="EB10" s="92">
        <f>IF(BA10="",0,VLOOKUP(O10,Tables!$B$3:$M$36,11,FALSE())*AK$1)</f>
        <v>0</v>
      </c>
      <c r="EC10" s="93">
        <f>IF(BB10="",0,VLOOKUP(P10,Tables!$B$3:$M$36,11,FALSE())*AL$1)</f>
        <v>0</v>
      </c>
      <c r="ED10" s="91">
        <f>IF(AN10="",0,VLOOKUP(B10,Tables!$B$3:$M$36,12,FALSE())*X$1)</f>
        <v>0</v>
      </c>
      <c r="EE10" s="92">
        <f>IF(AO10="",0,VLOOKUP(C10,Tables!$B$3:$M$36,12,FALSE())*Y$1)</f>
        <v>0</v>
      </c>
      <c r="EF10" s="92">
        <f>IF(AP10="",0,VLOOKUP(D10,Tables!$B$3:$M$36,12,FALSE())*Z$1)</f>
        <v>0</v>
      </c>
      <c r="EG10" s="91">
        <f>IF(AQ10="",0,VLOOKUP(E10,Tables!$B$3:$M$36,12,FALSE())*AA$1)</f>
        <v>2.4</v>
      </c>
      <c r="EH10" s="92">
        <f>IF(AR10="",0,VLOOKUP(F10,Tables!$B$3:$M$36,12,FALSE())*AB$1)</f>
        <v>4.8</v>
      </c>
      <c r="EI10" s="92">
        <f>IF(AS10="",0,VLOOKUP(G10,Tables!$B$3:$M$36,12,FALSE())*AC$1)</f>
        <v>1.6</v>
      </c>
      <c r="EJ10" s="92">
        <f>IF(AT10="",0,VLOOKUP(H10,Tables!$B$3:$M$36,12,FALSE())*AD$1)</f>
        <v>0</v>
      </c>
      <c r="EK10" s="92">
        <f>IF(AU10="",0,VLOOKUP(I10,Tables!$B$3:$M$36,12,FALSE())*AE$1)</f>
        <v>0</v>
      </c>
      <c r="EL10" s="91">
        <f>IF(AV10="",0,VLOOKUP(J10,Tables!$B$3:$M$36,12,FALSE())*AF$1)</f>
        <v>9.6</v>
      </c>
      <c r="EM10" s="92">
        <f>IF(AW10="",0,VLOOKUP(K10,Tables!$B$3:$M$36,12,FALSE())*AG$1)</f>
        <v>9.6</v>
      </c>
      <c r="EN10" s="92">
        <f>IF(AX10="",0,VLOOKUP(L10,Tables!$B$3:$M$36,12,FALSE())*AH$1)</f>
        <v>8</v>
      </c>
      <c r="EO10" s="91">
        <f>IF(AY10="",0,VLOOKUP(M10,Tables!$B$3:$M$36,12,FALSE())*AI$1)</f>
        <v>0</v>
      </c>
      <c r="EP10" s="92">
        <f>IF(AZ10="",0,VLOOKUP(N10,Tables!$B$3:$M$36,12,FALSE())*AJ$1)</f>
        <v>0</v>
      </c>
      <c r="EQ10" s="92">
        <f>IF(BA10="",0,VLOOKUP(O10,Tables!$B$3:$M$36,12,FALSE())*AK$1)</f>
        <v>0</v>
      </c>
      <c r="ER10" s="93">
        <f>IF(BB10="",0,VLOOKUP(P10,Tables!$B$3:$M$36,12,FALSE())*AL$1)</f>
        <v>0</v>
      </c>
      <c r="ES10" s="94">
        <f t="shared" si="55"/>
        <v>0</v>
      </c>
      <c r="ET10" s="95">
        <f>IF(AN10="",10,MIN(VLOOKUP(B10,Tables!$B$3:$N$34,13,FALSE()),'Item Builder'!$W10))</f>
        <v>10</v>
      </c>
      <c r="EU10" s="95">
        <f>IF(AO10="",10,MIN(VLOOKUP(C10,Tables!$B$3:$N$34,13,FALSE()),'Item Builder'!$W10))</f>
        <v>10</v>
      </c>
      <c r="EV10" s="95">
        <f>IF(AP10="",10,MIN(VLOOKUP(D10,Tables!$B$3:$N$34,13,FALSE()),'Item Builder'!$W10))</f>
        <v>10</v>
      </c>
      <c r="EW10" s="95">
        <f>IF(AQ10="",10,MIN(VLOOKUP(E10,Tables!$B$3:$N$34,13,FALSE()),'Item Builder'!$W10))</f>
        <v>0</v>
      </c>
      <c r="EX10" s="95">
        <f>IF(AR10="",10,MIN(VLOOKUP(F10,Tables!$B$3:$N$34,13,FALSE()),'Item Builder'!$W10))</f>
        <v>0</v>
      </c>
      <c r="EY10" s="95">
        <f>IF(AS10="",10,MIN(VLOOKUP(G10,Tables!$B$3:$N$34,13,FALSE()),'Item Builder'!$W10))</f>
        <v>0</v>
      </c>
      <c r="EZ10" s="95">
        <f>IF(AT10="",10,MIN(VLOOKUP(H10,Tables!$B$3:$N$34,13,FALSE()),'Item Builder'!$W10))</f>
        <v>10</v>
      </c>
      <c r="FA10" s="95">
        <f>IF(AU10="",10,MIN(VLOOKUP(I10,Tables!$B$3:$N$34,13,FALSE()),'Item Builder'!$W10))</f>
        <v>10</v>
      </c>
      <c r="FB10" s="95">
        <f>IF(AV10="",10,MIN(VLOOKUP(J10,Tables!$B$3:$N$34,13,FALSE()),'Item Builder'!$W10))</f>
        <v>0</v>
      </c>
      <c r="FC10" s="95">
        <f>IF(AW10="",10,MIN(VLOOKUP(K10,Tables!$B$3:$N$34,13,FALSE()),'Item Builder'!$W10))</f>
        <v>0</v>
      </c>
      <c r="FD10" s="95">
        <f>IF(AX10="",10,MIN(VLOOKUP(L10,Tables!$B$3:$N$34,13,FALSE()),'Item Builder'!$W10))</f>
        <v>0</v>
      </c>
      <c r="FE10" s="95">
        <f>IF(AY10="",10,MIN(VLOOKUP(M10,Tables!$B$3:$N$34,13,FALSE()),'Item Builder'!$W10))</f>
        <v>10</v>
      </c>
      <c r="FF10" s="95">
        <f>IF(AZ10="",10,MIN(VLOOKUP(N10,Tables!$B$3:$N$34,13,FALSE()),'Item Builder'!$W10))</f>
        <v>10</v>
      </c>
      <c r="FG10" s="95">
        <f>IF(BA10="",10,MIN(VLOOKUP(O10,Tables!$B$3:$N$34,13,FALSE()),'Item Builder'!$W10))</f>
        <v>10</v>
      </c>
      <c r="FH10" s="98">
        <f>IF(BB10="",10,MIN(VLOOKUP(P10,Tables!$B$3:$N$34,13,FALSE()),'Item Builder'!$W10))</f>
        <v>10</v>
      </c>
      <c r="FJ10" s="2" t="s">
        <v>167</v>
      </c>
      <c r="FK10" s="2"/>
      <c r="FL10" s="31" t="s">
        <v>168</v>
      </c>
      <c r="FM10" s="99" t="s">
        <v>169</v>
      </c>
      <c r="FN10" s="1"/>
      <c r="FO10" s="1"/>
      <c r="FP10" s="1"/>
    </row>
    <row r="11" spans="1:172" x14ac:dyDescent="0.25">
      <c r="A11" s="67" t="s">
        <v>71</v>
      </c>
      <c r="B11" s="68"/>
      <c r="C11" s="69"/>
      <c r="D11" s="70"/>
      <c r="E11" s="68" t="s">
        <v>131</v>
      </c>
      <c r="F11" s="69" t="s">
        <v>131</v>
      </c>
      <c r="G11" s="69" t="s">
        <v>131</v>
      </c>
      <c r="H11" s="69" t="s">
        <v>131</v>
      </c>
      <c r="I11" s="70"/>
      <c r="J11" s="68" t="s">
        <v>131</v>
      </c>
      <c r="K11" s="69" t="s">
        <v>131</v>
      </c>
      <c r="L11" s="70" t="s">
        <v>131</v>
      </c>
      <c r="M11" s="68"/>
      <c r="N11" s="69"/>
      <c r="O11" s="69"/>
      <c r="P11" s="71"/>
      <c r="Q11" s="72">
        <f>SUM(BV11:CJ11)*VLOOKUP(W11,Tables!$W$3:$Z$8,4)</f>
        <v>50</v>
      </c>
      <c r="R11" s="73">
        <f t="shared" si="0"/>
        <v>2.5</v>
      </c>
      <c r="S11" s="74">
        <f t="shared" si="1"/>
        <v>0</v>
      </c>
      <c r="T11" s="74">
        <f t="shared" si="2"/>
        <v>0</v>
      </c>
      <c r="U11" s="75">
        <f t="shared" si="3"/>
        <v>10</v>
      </c>
      <c r="V11" s="76">
        <f t="shared" si="4"/>
        <v>40</v>
      </c>
      <c r="W11" s="77">
        <v>0</v>
      </c>
      <c r="X11" s="78">
        <f t="shared" si="5"/>
        <v>0</v>
      </c>
      <c r="Y11" s="79">
        <f t="shared" si="6"/>
        <v>0</v>
      </c>
      <c r="Z11" s="79">
        <f t="shared" si="7"/>
        <v>0</v>
      </c>
      <c r="AA11" s="78">
        <f t="shared" si="8"/>
        <v>1</v>
      </c>
      <c r="AB11" s="79">
        <f t="shared" si="9"/>
        <v>1</v>
      </c>
      <c r="AC11" s="79">
        <f t="shared" si="10"/>
        <v>1</v>
      </c>
      <c r="AD11" s="79">
        <f t="shared" si="11"/>
        <v>1</v>
      </c>
      <c r="AE11" s="79">
        <f t="shared" si="12"/>
        <v>0</v>
      </c>
      <c r="AF11" s="78">
        <f t="shared" si="13"/>
        <v>1</v>
      </c>
      <c r="AG11" s="79">
        <f t="shared" si="14"/>
        <v>1</v>
      </c>
      <c r="AH11" s="79">
        <f t="shared" si="15"/>
        <v>1</v>
      </c>
      <c r="AI11" s="78">
        <f t="shared" si="16"/>
        <v>0</v>
      </c>
      <c r="AJ11" s="79">
        <f t="shared" si="17"/>
        <v>0</v>
      </c>
      <c r="AK11" s="79">
        <f t="shared" si="18"/>
        <v>0</v>
      </c>
      <c r="AL11" s="80">
        <f t="shared" si="19"/>
        <v>0</v>
      </c>
      <c r="AM11" s="81">
        <f t="shared" si="20"/>
        <v>0.5</v>
      </c>
      <c r="AN11" s="82" t="str">
        <f t="shared" si="21"/>
        <v/>
      </c>
      <c r="AO11" s="79" t="str">
        <f t="shared" si="22"/>
        <v/>
      </c>
      <c r="AP11" t="str">
        <f t="shared" si="23"/>
        <v/>
      </c>
      <c r="AQ11" s="82" t="str">
        <f t="shared" si="24"/>
        <v>C</v>
      </c>
      <c r="AR11" t="str">
        <f t="shared" si="25"/>
        <v>C</v>
      </c>
      <c r="AS11" t="str">
        <f t="shared" si="26"/>
        <v>C</v>
      </c>
      <c r="AT11" t="str">
        <f t="shared" si="27"/>
        <v>C</v>
      </c>
      <c r="AU11" t="str">
        <f t="shared" si="28"/>
        <v/>
      </c>
      <c r="AV11" s="82" t="str">
        <f t="shared" si="29"/>
        <v>C</v>
      </c>
      <c r="AW11" t="str">
        <f t="shared" si="30"/>
        <v>C</v>
      </c>
      <c r="AX11" t="str">
        <f t="shared" si="31"/>
        <v>C</v>
      </c>
      <c r="AY11" s="82" t="str">
        <f t="shared" si="32"/>
        <v/>
      </c>
      <c r="AZ11" t="str">
        <f t="shared" si="33"/>
        <v/>
      </c>
      <c r="BA11" t="str">
        <f t="shared" si="34"/>
        <v/>
      </c>
      <c r="BB11" s="83" t="str">
        <f t="shared" si="35"/>
        <v/>
      </c>
      <c r="BC11" s="84">
        <f t="shared" si="36"/>
        <v>0</v>
      </c>
      <c r="BD11" s="84">
        <f t="shared" si="37"/>
        <v>0.76190476190476186</v>
      </c>
      <c r="BE11" s="84">
        <f t="shared" si="38"/>
        <v>1</v>
      </c>
      <c r="BF11" s="84">
        <f t="shared" si="39"/>
        <v>0</v>
      </c>
      <c r="BG11" s="78">
        <f>IF(AN11="",0,VLOOKUP(AN11,Tables!$AB$3:$AC$12,2))</f>
        <v>0</v>
      </c>
      <c r="BH11" s="79">
        <f>IF(AO11="",0,VLOOKUP(AO11,Tables!$AB$3:$AC$12,2))</f>
        <v>0</v>
      </c>
      <c r="BI11" s="79">
        <f>IF(AP11="",0,VLOOKUP(AP11,Tables!$AB$3:$AC$12,2))</f>
        <v>0</v>
      </c>
      <c r="BJ11" s="78">
        <f>IF(AQ11="",0,VLOOKUP(AQ11,Tables!$AB$3:$AC$12,2))</f>
        <v>1</v>
      </c>
      <c r="BK11" s="79">
        <f>IF(AR11="",0,VLOOKUP(AR11,Tables!$AB$3:$AC$12,2))</f>
        <v>1</v>
      </c>
      <c r="BL11" s="79">
        <f>IF(AS11="",0,VLOOKUP(AS11,Tables!$AB$3:$AC$12,2))</f>
        <v>1</v>
      </c>
      <c r="BM11" s="79">
        <f>IF(AT11="",0,VLOOKUP(AT11,Tables!$AB$3:$AC$12,2))</f>
        <v>1</v>
      </c>
      <c r="BN11" s="79">
        <f>IF(AU11="",0,VLOOKUP(AU11,Tables!$AB$3:$AC$12,2))</f>
        <v>0</v>
      </c>
      <c r="BO11" s="78">
        <f>IF(AV11="",0,VLOOKUP(AV11,Tables!$AB$3:$AC$12,2))</f>
        <v>1</v>
      </c>
      <c r="BP11" s="79">
        <f>IF(AW11="",0,VLOOKUP(AW11,Tables!$AB$3:$AC$12,2))</f>
        <v>1</v>
      </c>
      <c r="BQ11" s="79">
        <f>IF(AX11="",0,VLOOKUP(AX11,Tables!$AB$3:$AC$12,2))</f>
        <v>1</v>
      </c>
      <c r="BR11" s="78">
        <f>IF(AY11="",0,VLOOKUP(AY11,Tables!$AB$3:$AC$12,2))</f>
        <v>0</v>
      </c>
      <c r="BS11" s="79">
        <f>IF(AZ11="",0,VLOOKUP(AZ11,Tables!$AB$3:$AC$12,2))</f>
        <v>0</v>
      </c>
      <c r="BT11" s="79">
        <f>IF(BA11="",0,VLOOKUP(BA11,Tables!$AB$3:$AC$12,2))</f>
        <v>0</v>
      </c>
      <c r="BU11" s="80">
        <f>IF(BB11="",0,VLOOKUP(BB11,Tables!$AB$3:$AC$12,2))</f>
        <v>0</v>
      </c>
      <c r="BV11" s="85">
        <f>IF(AN11="",0,VLOOKUP(B11,Tables!$B$3:$D$36,2,FALSE())*X$1)</f>
        <v>0</v>
      </c>
      <c r="BW11" s="72">
        <f>IF(AO11="",0,VLOOKUP(C11,Tables!$B$3:$D$36,2,FALSE())*Y$1)</f>
        <v>0</v>
      </c>
      <c r="BX11" s="72">
        <f>IF(AP11="",0,VLOOKUP(D11,Tables!$B$3:$D$36,2,FALSE())*Z$1)</f>
        <v>0</v>
      </c>
      <c r="BY11" s="85">
        <f>IF(AQ11="",0,VLOOKUP(E11,Tables!$B$3:$D$36,2,FALSE())*AA$1)</f>
        <v>3</v>
      </c>
      <c r="BZ11" s="72">
        <f>IF(AR11="",0,VLOOKUP(F11,Tables!$B$3:$D$36,2,FALSE())*AB$1)</f>
        <v>6</v>
      </c>
      <c r="CA11" s="72">
        <f>IF(AS11="",0,VLOOKUP(G11,Tables!$B$3:$D$36,2,FALSE())*AC$1)</f>
        <v>2</v>
      </c>
      <c r="CB11" s="72">
        <f>IF(AT11="",0,VLOOKUP(H11,Tables!$B$3:$D$36,2,FALSE())*AD$1)</f>
        <v>5</v>
      </c>
      <c r="CC11" s="72">
        <f>IF(AU11="",0,VLOOKUP(I11,Tables!$B$3:$D$36,2,FALSE())*AE$1)</f>
        <v>0</v>
      </c>
      <c r="CD11" s="85">
        <f>IF(AV11="",0,VLOOKUP(J11,Tables!$B$3:$D$36,2,FALSE())*AF$1)</f>
        <v>12</v>
      </c>
      <c r="CE11" s="72">
        <f>IF(AW11="",0,VLOOKUP(K11,Tables!$B$3:$D$36,2,FALSE())*AG$1)</f>
        <v>12</v>
      </c>
      <c r="CF11" s="72">
        <f>IF(AX11="",0,VLOOKUP(L11,Tables!$B$3:$D$36,2,FALSE())*AH$1)</f>
        <v>10</v>
      </c>
      <c r="CG11" s="85">
        <f>IF(AY11="",0,VLOOKUP(M11,Tables!$B$3:$D$36,2,FALSE())*AI$1)</f>
        <v>0</v>
      </c>
      <c r="CH11" s="72">
        <f>IF(AZ11="",0,VLOOKUP(N11,Tables!$B$3:$D$36,2,FALSE())*AJ$1)</f>
        <v>0</v>
      </c>
      <c r="CI11" s="72">
        <f>IF(BA11="",0,VLOOKUP(O11,Tables!$B$3:$D$36,2,FALSE())*AK$1)</f>
        <v>0</v>
      </c>
      <c r="CJ11" s="86">
        <f>IF(BB11="",0,VLOOKUP(P11,Tables!$B$3:$D$36,2,FALSE())*AL$1)</f>
        <v>0</v>
      </c>
      <c r="CK11" s="87">
        <f>IF(AN11="",0,VLOOKUP(B11,Tables!$B$3:$D$36,3,FALSE())*X$1)*IF(OR(AN11="K",AN11="P"),2,1)</f>
        <v>0</v>
      </c>
      <c r="CL11" s="73">
        <f>IF(AO11="",0,VLOOKUP(C11,Tables!$B$3:$D$36,3,FALSE())*Y$1)*IF(OR(AO11="K",AO11="P"),2,1)</f>
        <v>0</v>
      </c>
      <c r="CM11" s="73">
        <f>IF(AP11="",0,VLOOKUP(D11,Tables!$B$3:$D$36,3,FALSE())*Z$1)*IF(OR(AP11="K",AP11="P"),2,1)</f>
        <v>0</v>
      </c>
      <c r="CN11" s="87">
        <f>IF(AQ11="",0,VLOOKUP(E11,Tables!$B$3:$D$36,3,FALSE())*AA$1)</f>
        <v>0.15</v>
      </c>
      <c r="CO11" s="73">
        <f>IF(AR11="",0,VLOOKUP(F11,Tables!$B$3:$D$36,3,FALSE())*AB$1)</f>
        <v>0.3</v>
      </c>
      <c r="CP11" s="73">
        <f>IF(AS11="",0,VLOOKUP(G11,Tables!$B$3:$D$36,3,FALSE())*AC$1)</f>
        <v>0.1</v>
      </c>
      <c r="CQ11" s="73">
        <f>IF(AT11="",0,VLOOKUP(H11,Tables!$B$3:$D$36,3,FALSE())*AD$1)</f>
        <v>0.25</v>
      </c>
      <c r="CR11" s="73">
        <f>IF(AU11="",0,VLOOKUP(I11,Tables!$B$3:$D$36,3,FALSE())*AE$1)</f>
        <v>0</v>
      </c>
      <c r="CS11" s="87">
        <f>IF(AV11="",0,VLOOKUP(J11,Tables!$B$3:$D$36,3,FALSE())*AF$1)</f>
        <v>0.6</v>
      </c>
      <c r="CT11" s="73">
        <f>IF(AW11="",0,VLOOKUP(K11,Tables!$B$3:$D$36,3,FALSE())*AG$1)</f>
        <v>0.6</v>
      </c>
      <c r="CU11" s="73">
        <f>IF(AX11="",0,VLOOKUP(L11,Tables!$B$3:$D$36,3,FALSE())*AH$1)</f>
        <v>0.5</v>
      </c>
      <c r="CV11" s="87">
        <f>IF(AY11="",0,VLOOKUP(M11,Tables!$B$3:$D$36,3,FALSE())*AI$1)</f>
        <v>0</v>
      </c>
      <c r="CW11" s="73">
        <f>IF(AZ11="",0,VLOOKUP(N11,Tables!$B$3:$D$36,3,FALSE())*AJ$1)</f>
        <v>0</v>
      </c>
      <c r="CX11" s="73">
        <f>IF(BA11="",0,VLOOKUP(O11,Tables!$B$3:$D$36,3,FALSE())*AK$1)</f>
        <v>0</v>
      </c>
      <c r="CY11" s="88">
        <f>IF(BB11="",0,VLOOKUP(P11,Tables!$B$3:$D$36,3,FALSE())*AL$1)</f>
        <v>0</v>
      </c>
      <c r="CZ11" s="89">
        <f t="shared" si="40"/>
        <v>0</v>
      </c>
      <c r="DA11" s="75">
        <f t="shared" si="41"/>
        <v>0</v>
      </c>
      <c r="DB11" s="75">
        <f t="shared" si="42"/>
        <v>0</v>
      </c>
      <c r="DC11" s="89">
        <f t="shared" si="43"/>
        <v>1</v>
      </c>
      <c r="DD11" s="75">
        <f t="shared" si="44"/>
        <v>1</v>
      </c>
      <c r="DE11" s="75">
        <f t="shared" si="45"/>
        <v>1</v>
      </c>
      <c r="DF11" s="75">
        <f t="shared" si="46"/>
        <v>1</v>
      </c>
      <c r="DG11" s="75">
        <f t="shared" si="47"/>
        <v>0</v>
      </c>
      <c r="DH11" s="89">
        <f t="shared" si="48"/>
        <v>1</v>
      </c>
      <c r="DI11" s="75">
        <f t="shared" si="49"/>
        <v>1</v>
      </c>
      <c r="DJ11" s="75">
        <f t="shared" si="50"/>
        <v>1</v>
      </c>
      <c r="DK11" s="89">
        <f t="shared" si="51"/>
        <v>0</v>
      </c>
      <c r="DL11" s="75">
        <f t="shared" si="52"/>
        <v>0</v>
      </c>
      <c r="DM11" s="75">
        <f t="shared" si="53"/>
        <v>0</v>
      </c>
      <c r="DN11" s="90">
        <f t="shared" si="54"/>
        <v>0</v>
      </c>
      <c r="DO11" s="91">
        <f>IF(AN11="",0,VLOOKUP(B11,Tables!$B$3:$M$36,11,FALSE())*X$1)</f>
        <v>0</v>
      </c>
      <c r="DP11" s="92">
        <f>IF(AO11="",0,VLOOKUP(C11,Tables!$B$3:$M$36,11,FALSE())*Y$1)</f>
        <v>0</v>
      </c>
      <c r="DQ11" s="92">
        <f>IF(AP11="",0,VLOOKUP(D11,Tables!$B$3:$M$36,11,FALSE())*Z$1)</f>
        <v>0</v>
      </c>
      <c r="DR11" s="91">
        <f>IF(AQ11="",0,VLOOKUP(E11,Tables!$B$3:$M$36,11,FALSE())*AA$1)</f>
        <v>0.6</v>
      </c>
      <c r="DS11" s="92">
        <f>IF(AR11="",0,VLOOKUP(F11,Tables!$B$3:$M$36,11,FALSE())*AB$1)</f>
        <v>1.2</v>
      </c>
      <c r="DT11" s="92">
        <f>IF(AS11="",0,VLOOKUP(G11,Tables!$B$3:$M$36,11,FALSE())*AC$1)</f>
        <v>0.4</v>
      </c>
      <c r="DU11" s="92">
        <f>IF(AT11="",0,VLOOKUP(H11,Tables!$B$3:$M$36,11,FALSE())*AD$1)</f>
        <v>1</v>
      </c>
      <c r="DV11" s="92">
        <f>IF(AU11="",0,VLOOKUP(I11,Tables!$B$3:$M$36,11,FALSE())*AE$1)</f>
        <v>0</v>
      </c>
      <c r="DW11" s="91">
        <f>IF(AV11="",0,VLOOKUP(J11,Tables!$B$3:$M$36,11,FALSE())*AF$1)</f>
        <v>2.4</v>
      </c>
      <c r="DX11" s="92">
        <f>IF(AW11="",0,VLOOKUP(K11,Tables!$B$3:$M$36,11,FALSE())*AG$1)</f>
        <v>2.4</v>
      </c>
      <c r="DY11" s="92">
        <f>IF(AX11="",0,VLOOKUP(L11,Tables!$B$3:$M$36,11,FALSE())*AH$1)</f>
        <v>2</v>
      </c>
      <c r="DZ11" s="91">
        <f>IF(AY11="",0,VLOOKUP(M11,Tables!$B$3:$M$36,11,FALSE())*AI$1)</f>
        <v>0</v>
      </c>
      <c r="EA11" s="92">
        <f>IF(AZ11="",0,VLOOKUP(N11,Tables!$B$3:$M$36,11,FALSE())*AJ$1)</f>
        <v>0</v>
      </c>
      <c r="EB11" s="92">
        <f>IF(BA11="",0,VLOOKUP(O11,Tables!$B$3:$M$36,11,FALSE())*AK$1)</f>
        <v>0</v>
      </c>
      <c r="EC11" s="93">
        <f>IF(BB11="",0,VLOOKUP(P11,Tables!$B$3:$M$36,11,FALSE())*AL$1)</f>
        <v>0</v>
      </c>
      <c r="ED11" s="91">
        <f>IF(AN11="",0,VLOOKUP(B11,Tables!$B$3:$M$36,12,FALSE())*X$1)</f>
        <v>0</v>
      </c>
      <c r="EE11" s="92">
        <f>IF(AO11="",0,VLOOKUP(C11,Tables!$B$3:$M$36,12,FALSE())*Y$1)</f>
        <v>0</v>
      </c>
      <c r="EF11" s="92">
        <f>IF(AP11="",0,VLOOKUP(D11,Tables!$B$3:$M$36,12,FALSE())*Z$1)</f>
        <v>0</v>
      </c>
      <c r="EG11" s="91">
        <f>IF(AQ11="",0,VLOOKUP(E11,Tables!$B$3:$M$36,12,FALSE())*AA$1)</f>
        <v>2.4</v>
      </c>
      <c r="EH11" s="92">
        <f>IF(AR11="",0,VLOOKUP(F11,Tables!$B$3:$M$36,12,FALSE())*AB$1)</f>
        <v>4.8</v>
      </c>
      <c r="EI11" s="92">
        <f>IF(AS11="",0,VLOOKUP(G11,Tables!$B$3:$M$36,12,FALSE())*AC$1)</f>
        <v>1.6</v>
      </c>
      <c r="EJ11" s="92">
        <f>IF(AT11="",0,VLOOKUP(H11,Tables!$B$3:$M$36,12,FALSE())*AD$1)</f>
        <v>4</v>
      </c>
      <c r="EK11" s="92">
        <f>IF(AU11="",0,VLOOKUP(I11,Tables!$B$3:$M$36,12,FALSE())*AE$1)</f>
        <v>0</v>
      </c>
      <c r="EL11" s="91">
        <f>IF(AV11="",0,VLOOKUP(J11,Tables!$B$3:$M$36,12,FALSE())*AF$1)</f>
        <v>9.6</v>
      </c>
      <c r="EM11" s="92">
        <f>IF(AW11="",0,VLOOKUP(K11,Tables!$B$3:$M$36,12,FALSE())*AG$1)</f>
        <v>9.6</v>
      </c>
      <c r="EN11" s="92">
        <f>IF(AX11="",0,VLOOKUP(L11,Tables!$B$3:$M$36,12,FALSE())*AH$1)</f>
        <v>8</v>
      </c>
      <c r="EO11" s="91">
        <f>IF(AY11="",0,VLOOKUP(M11,Tables!$B$3:$M$36,12,FALSE())*AI$1)</f>
        <v>0</v>
      </c>
      <c r="EP11" s="92">
        <f>IF(AZ11="",0,VLOOKUP(N11,Tables!$B$3:$M$36,12,FALSE())*AJ$1)</f>
        <v>0</v>
      </c>
      <c r="EQ11" s="92">
        <f>IF(BA11="",0,VLOOKUP(O11,Tables!$B$3:$M$36,12,FALSE())*AK$1)</f>
        <v>0</v>
      </c>
      <c r="ER11" s="93">
        <f>IF(BB11="",0,VLOOKUP(P11,Tables!$B$3:$M$36,12,FALSE())*AL$1)</f>
        <v>0</v>
      </c>
      <c r="ES11" s="94">
        <f t="shared" si="55"/>
        <v>0</v>
      </c>
      <c r="ET11" s="95">
        <f>IF(AN11="",10,MIN(VLOOKUP(B11,Tables!$B$3:$N$34,13,FALSE()),'Item Builder'!$W11))</f>
        <v>10</v>
      </c>
      <c r="EU11" s="95">
        <f>IF(AO11="",10,MIN(VLOOKUP(C11,Tables!$B$3:$N$34,13,FALSE()),'Item Builder'!$W11))</f>
        <v>10</v>
      </c>
      <c r="EV11" s="95">
        <f>IF(AP11="",10,MIN(VLOOKUP(D11,Tables!$B$3:$N$34,13,FALSE()),'Item Builder'!$W11))</f>
        <v>10</v>
      </c>
      <c r="EW11" s="95">
        <f>IF(AQ11="",10,MIN(VLOOKUP(E11,Tables!$B$3:$N$34,13,FALSE()),'Item Builder'!$W11))</f>
        <v>0</v>
      </c>
      <c r="EX11" s="95">
        <f>IF(AR11="",10,MIN(VLOOKUP(F11,Tables!$B$3:$N$34,13,FALSE()),'Item Builder'!$W11))</f>
        <v>0</v>
      </c>
      <c r="EY11" s="95">
        <f>IF(AS11="",10,MIN(VLOOKUP(G11,Tables!$B$3:$N$34,13,FALSE()),'Item Builder'!$W11))</f>
        <v>0</v>
      </c>
      <c r="EZ11" s="95">
        <f>IF(AT11="",10,MIN(VLOOKUP(H11,Tables!$B$3:$N$34,13,FALSE()),'Item Builder'!$W11))</f>
        <v>0</v>
      </c>
      <c r="FA11" s="95">
        <f>IF(AU11="",10,MIN(VLOOKUP(I11,Tables!$B$3:$N$34,13,FALSE()),'Item Builder'!$W11))</f>
        <v>10</v>
      </c>
      <c r="FB11" s="95">
        <f>IF(AV11="",10,MIN(VLOOKUP(J11,Tables!$B$3:$N$34,13,FALSE()),'Item Builder'!$W11))</f>
        <v>0</v>
      </c>
      <c r="FC11" s="95">
        <f>IF(AW11="",10,MIN(VLOOKUP(K11,Tables!$B$3:$N$34,13,FALSE()),'Item Builder'!$W11))</f>
        <v>0</v>
      </c>
      <c r="FD11" s="95">
        <f>IF(AX11="",10,MIN(VLOOKUP(L11,Tables!$B$3:$N$34,13,FALSE()),'Item Builder'!$W11))</f>
        <v>0</v>
      </c>
      <c r="FE11" s="95">
        <f>IF(AY11="",10,MIN(VLOOKUP(M11,Tables!$B$3:$N$34,13,FALSE()),'Item Builder'!$W11))</f>
        <v>10</v>
      </c>
      <c r="FF11" s="95">
        <f>IF(AZ11="",10,MIN(VLOOKUP(N11,Tables!$B$3:$N$34,13,FALSE()),'Item Builder'!$W11))</f>
        <v>10</v>
      </c>
      <c r="FG11" s="95">
        <f>IF(BA11="",10,MIN(VLOOKUP(O11,Tables!$B$3:$N$34,13,FALSE()),'Item Builder'!$W11))</f>
        <v>10</v>
      </c>
      <c r="FH11" s="98">
        <f>IF(BB11="",10,MIN(VLOOKUP(P11,Tables!$B$3:$N$34,13,FALSE()),'Item Builder'!$W11))</f>
        <v>10</v>
      </c>
      <c r="FJ11" s="2" t="s">
        <v>170</v>
      </c>
      <c r="FK11" s="2"/>
      <c r="FL11" s="31" t="s">
        <v>171</v>
      </c>
      <c r="FM11" s="99" t="s">
        <v>172</v>
      </c>
      <c r="FN11" s="1"/>
      <c r="FO11" s="1"/>
      <c r="FP11" s="1"/>
    </row>
    <row r="12" spans="1:172" x14ac:dyDescent="0.25">
      <c r="A12" s="67" t="s">
        <v>173</v>
      </c>
      <c r="B12" s="68"/>
      <c r="C12" s="69"/>
      <c r="D12" s="70"/>
      <c r="E12" s="68" t="s">
        <v>131</v>
      </c>
      <c r="F12" s="69" t="s">
        <v>131</v>
      </c>
      <c r="G12" s="69" t="s">
        <v>131</v>
      </c>
      <c r="H12" s="69" t="s">
        <v>131</v>
      </c>
      <c r="I12" s="70"/>
      <c r="J12" s="68" t="s">
        <v>131</v>
      </c>
      <c r="K12" s="69" t="s">
        <v>131</v>
      </c>
      <c r="L12" s="70" t="s">
        <v>131</v>
      </c>
      <c r="M12" s="68" t="s">
        <v>131</v>
      </c>
      <c r="N12" s="69"/>
      <c r="O12" s="69"/>
      <c r="P12" s="71"/>
      <c r="Q12" s="72">
        <f>SUM(BV12:CJ12)*VLOOKUP(W12,Tables!$W$3:$Z$8,4)</f>
        <v>64</v>
      </c>
      <c r="R12" s="73">
        <f t="shared" si="0"/>
        <v>3.2</v>
      </c>
      <c r="S12" s="74">
        <f t="shared" si="1"/>
        <v>0</v>
      </c>
      <c r="T12" s="74">
        <f t="shared" si="2"/>
        <v>0</v>
      </c>
      <c r="U12" s="75">
        <f t="shared" si="3"/>
        <v>12.8</v>
      </c>
      <c r="V12" s="76">
        <f t="shared" si="4"/>
        <v>51.2</v>
      </c>
      <c r="W12" s="77">
        <v>0</v>
      </c>
      <c r="X12" s="78">
        <f t="shared" si="5"/>
        <v>0</v>
      </c>
      <c r="Y12" s="79">
        <f t="shared" si="6"/>
        <v>0</v>
      </c>
      <c r="Z12" s="79">
        <f t="shared" si="7"/>
        <v>0</v>
      </c>
      <c r="AA12" s="78">
        <f t="shared" si="8"/>
        <v>1</v>
      </c>
      <c r="AB12" s="79">
        <f t="shared" si="9"/>
        <v>1</v>
      </c>
      <c r="AC12" s="79">
        <f t="shared" si="10"/>
        <v>1</v>
      </c>
      <c r="AD12" s="79">
        <f t="shared" si="11"/>
        <v>1</v>
      </c>
      <c r="AE12" s="79">
        <f t="shared" si="12"/>
        <v>0</v>
      </c>
      <c r="AF12" s="78">
        <f t="shared" si="13"/>
        <v>1</v>
      </c>
      <c r="AG12" s="79">
        <f t="shared" si="14"/>
        <v>1</v>
      </c>
      <c r="AH12" s="79">
        <f t="shared" si="15"/>
        <v>1</v>
      </c>
      <c r="AI12" s="78">
        <f t="shared" si="16"/>
        <v>1</v>
      </c>
      <c r="AJ12" s="79">
        <f t="shared" si="17"/>
        <v>0</v>
      </c>
      <c r="AK12" s="79">
        <f t="shared" si="18"/>
        <v>0</v>
      </c>
      <c r="AL12" s="80">
        <f t="shared" si="19"/>
        <v>0</v>
      </c>
      <c r="AM12" s="81">
        <f t="shared" si="20"/>
        <v>0.64</v>
      </c>
      <c r="AN12" s="82" t="str">
        <f t="shared" si="21"/>
        <v/>
      </c>
      <c r="AO12" s="79" t="str">
        <f t="shared" si="22"/>
        <v/>
      </c>
      <c r="AP12" t="str">
        <f t="shared" si="23"/>
        <v/>
      </c>
      <c r="AQ12" s="82" t="str">
        <f t="shared" si="24"/>
        <v>C</v>
      </c>
      <c r="AR12" t="str">
        <f t="shared" si="25"/>
        <v>C</v>
      </c>
      <c r="AS12" t="str">
        <f t="shared" si="26"/>
        <v>C</v>
      </c>
      <c r="AT12" t="str">
        <f t="shared" si="27"/>
        <v>C</v>
      </c>
      <c r="AU12" t="str">
        <f t="shared" si="28"/>
        <v/>
      </c>
      <c r="AV12" s="82" t="str">
        <f t="shared" si="29"/>
        <v>C</v>
      </c>
      <c r="AW12" t="str">
        <f t="shared" si="30"/>
        <v>C</v>
      </c>
      <c r="AX12" t="str">
        <f t="shared" si="31"/>
        <v>C</v>
      </c>
      <c r="AY12" s="82" t="str">
        <f t="shared" si="32"/>
        <v>C</v>
      </c>
      <c r="AZ12" t="str">
        <f t="shared" si="33"/>
        <v/>
      </c>
      <c r="BA12" t="str">
        <f t="shared" si="34"/>
        <v/>
      </c>
      <c r="BB12" s="83" t="str">
        <f t="shared" si="35"/>
        <v/>
      </c>
      <c r="BC12" s="84">
        <f t="shared" si="36"/>
        <v>0</v>
      </c>
      <c r="BD12" s="84">
        <f t="shared" si="37"/>
        <v>0.76190476190476186</v>
      </c>
      <c r="BE12" s="84">
        <f t="shared" si="38"/>
        <v>1</v>
      </c>
      <c r="BF12" s="84">
        <f t="shared" si="39"/>
        <v>0.3888888888888889</v>
      </c>
      <c r="BG12" s="78">
        <f>IF(AN12="",0,VLOOKUP(AN12,Tables!$AB$3:$AC$12,2))</f>
        <v>0</v>
      </c>
      <c r="BH12" s="79">
        <f>IF(AO12="",0,VLOOKUP(AO12,Tables!$AB$3:$AC$12,2))</f>
        <v>0</v>
      </c>
      <c r="BI12" s="79">
        <f>IF(AP12="",0,VLOOKUP(AP12,Tables!$AB$3:$AC$12,2))</f>
        <v>0</v>
      </c>
      <c r="BJ12" s="78">
        <f>IF(AQ12="",0,VLOOKUP(AQ12,Tables!$AB$3:$AC$12,2))</f>
        <v>1</v>
      </c>
      <c r="BK12" s="79">
        <f>IF(AR12="",0,VLOOKUP(AR12,Tables!$AB$3:$AC$12,2))</f>
        <v>1</v>
      </c>
      <c r="BL12" s="79">
        <f>IF(AS12="",0,VLOOKUP(AS12,Tables!$AB$3:$AC$12,2))</f>
        <v>1</v>
      </c>
      <c r="BM12" s="79">
        <f>IF(AT12="",0,VLOOKUP(AT12,Tables!$AB$3:$AC$12,2))</f>
        <v>1</v>
      </c>
      <c r="BN12" s="79">
        <f>IF(AU12="",0,VLOOKUP(AU12,Tables!$AB$3:$AC$12,2))</f>
        <v>0</v>
      </c>
      <c r="BO12" s="78">
        <f>IF(AV12="",0,VLOOKUP(AV12,Tables!$AB$3:$AC$12,2))</f>
        <v>1</v>
      </c>
      <c r="BP12" s="79">
        <f>IF(AW12="",0,VLOOKUP(AW12,Tables!$AB$3:$AC$12,2))</f>
        <v>1</v>
      </c>
      <c r="BQ12" s="79">
        <f>IF(AX12="",0,VLOOKUP(AX12,Tables!$AB$3:$AC$12,2))</f>
        <v>1</v>
      </c>
      <c r="BR12" s="78">
        <f>IF(AY12="",0,VLOOKUP(AY12,Tables!$AB$3:$AC$12,2))</f>
        <v>1</v>
      </c>
      <c r="BS12" s="79">
        <f>IF(AZ12="",0,VLOOKUP(AZ12,Tables!$AB$3:$AC$12,2))</f>
        <v>0</v>
      </c>
      <c r="BT12" s="79">
        <f>IF(BA12="",0,VLOOKUP(BA12,Tables!$AB$3:$AC$12,2))</f>
        <v>0</v>
      </c>
      <c r="BU12" s="80">
        <f>IF(BB12="",0,VLOOKUP(BB12,Tables!$AB$3:$AC$12,2))</f>
        <v>0</v>
      </c>
      <c r="BV12" s="85">
        <f>IF(AN12="",0,VLOOKUP(B12,Tables!$B$3:$D$36,2,FALSE())*X$1)</f>
        <v>0</v>
      </c>
      <c r="BW12" s="72">
        <f>IF(AO12="",0,VLOOKUP(C12,Tables!$B$3:$D$36,2,FALSE())*Y$1)</f>
        <v>0</v>
      </c>
      <c r="BX12" s="72">
        <f>IF(AP12="",0,VLOOKUP(D12,Tables!$B$3:$D$36,2,FALSE())*Z$1)</f>
        <v>0</v>
      </c>
      <c r="BY12" s="85">
        <f>IF(AQ12="",0,VLOOKUP(E12,Tables!$B$3:$D$36,2,FALSE())*AA$1)</f>
        <v>3</v>
      </c>
      <c r="BZ12" s="72">
        <f>IF(AR12="",0,VLOOKUP(F12,Tables!$B$3:$D$36,2,FALSE())*AB$1)</f>
        <v>6</v>
      </c>
      <c r="CA12" s="72">
        <f>IF(AS12="",0,VLOOKUP(G12,Tables!$B$3:$D$36,2,FALSE())*AC$1)</f>
        <v>2</v>
      </c>
      <c r="CB12" s="72">
        <f>IF(AT12="",0,VLOOKUP(H12,Tables!$B$3:$D$36,2,FALSE())*AD$1)</f>
        <v>5</v>
      </c>
      <c r="CC12" s="72">
        <f>IF(AU12="",0,VLOOKUP(I12,Tables!$B$3:$D$36,2,FALSE())*AE$1)</f>
        <v>0</v>
      </c>
      <c r="CD12" s="85">
        <f>IF(AV12="",0,VLOOKUP(J12,Tables!$B$3:$D$36,2,FALSE())*AF$1)</f>
        <v>12</v>
      </c>
      <c r="CE12" s="72">
        <f>IF(AW12="",0,VLOOKUP(K12,Tables!$B$3:$D$36,2,FALSE())*AG$1)</f>
        <v>12</v>
      </c>
      <c r="CF12" s="72">
        <f>IF(AX12="",0,VLOOKUP(L12,Tables!$B$3:$D$36,2,FALSE())*AH$1)</f>
        <v>10</v>
      </c>
      <c r="CG12" s="85">
        <f>IF(AY12="",0,VLOOKUP(M12,Tables!$B$3:$D$36,2,FALSE())*AI$1)</f>
        <v>14.000000000000002</v>
      </c>
      <c r="CH12" s="72">
        <f>IF(AZ12="",0,VLOOKUP(N12,Tables!$B$3:$D$36,2,FALSE())*AJ$1)</f>
        <v>0</v>
      </c>
      <c r="CI12" s="72">
        <f>IF(BA12="",0,VLOOKUP(O12,Tables!$B$3:$D$36,2,FALSE())*AK$1)</f>
        <v>0</v>
      </c>
      <c r="CJ12" s="86">
        <f>IF(BB12="",0,VLOOKUP(P12,Tables!$B$3:$D$36,2,FALSE())*AL$1)</f>
        <v>0</v>
      </c>
      <c r="CK12" s="87">
        <f>IF(AN12="",0,VLOOKUP(B12,Tables!$B$3:$D$36,3,FALSE())*X$1)*IF(OR(AN12="K",AN12="P"),2,1)</f>
        <v>0</v>
      </c>
      <c r="CL12" s="73">
        <f>IF(AO12="",0,VLOOKUP(C12,Tables!$B$3:$D$36,3,FALSE())*Y$1)*IF(OR(AO12="K",AO12="P"),2,1)</f>
        <v>0</v>
      </c>
      <c r="CM12" s="73">
        <f>IF(AP12="",0,VLOOKUP(D12,Tables!$B$3:$D$36,3,FALSE())*Z$1)*IF(OR(AP12="K",AP12="P"),2,1)</f>
        <v>0</v>
      </c>
      <c r="CN12" s="87">
        <f>IF(AQ12="",0,VLOOKUP(E12,Tables!$B$3:$D$36,3,FALSE())*AA$1)</f>
        <v>0.15</v>
      </c>
      <c r="CO12" s="73">
        <f>IF(AR12="",0,VLOOKUP(F12,Tables!$B$3:$D$36,3,FALSE())*AB$1)</f>
        <v>0.3</v>
      </c>
      <c r="CP12" s="73">
        <f>IF(AS12="",0,VLOOKUP(G12,Tables!$B$3:$D$36,3,FALSE())*AC$1)</f>
        <v>0.1</v>
      </c>
      <c r="CQ12" s="73">
        <f>IF(AT12="",0,VLOOKUP(H12,Tables!$B$3:$D$36,3,FALSE())*AD$1)</f>
        <v>0.25</v>
      </c>
      <c r="CR12" s="73">
        <f>IF(AU12="",0,VLOOKUP(I12,Tables!$B$3:$D$36,3,FALSE())*AE$1)</f>
        <v>0</v>
      </c>
      <c r="CS12" s="87">
        <f>IF(AV12="",0,VLOOKUP(J12,Tables!$B$3:$D$36,3,FALSE())*AF$1)</f>
        <v>0.6</v>
      </c>
      <c r="CT12" s="73">
        <f>IF(AW12="",0,VLOOKUP(K12,Tables!$B$3:$D$36,3,FALSE())*AG$1)</f>
        <v>0.6</v>
      </c>
      <c r="CU12" s="73">
        <f>IF(AX12="",0,VLOOKUP(L12,Tables!$B$3:$D$36,3,FALSE())*AH$1)</f>
        <v>0.5</v>
      </c>
      <c r="CV12" s="87">
        <f>IF(AY12="",0,VLOOKUP(M12,Tables!$B$3:$D$36,3,FALSE())*AI$1)</f>
        <v>0.70000000000000007</v>
      </c>
      <c r="CW12" s="73">
        <f>IF(AZ12="",0,VLOOKUP(N12,Tables!$B$3:$D$36,3,FALSE())*AJ$1)</f>
        <v>0</v>
      </c>
      <c r="CX12" s="73">
        <f>IF(BA12="",0,VLOOKUP(O12,Tables!$B$3:$D$36,3,FALSE())*AK$1)</f>
        <v>0</v>
      </c>
      <c r="CY12" s="88">
        <f>IF(BB12="",0,VLOOKUP(P12,Tables!$B$3:$D$36,3,FALSE())*AL$1)</f>
        <v>0</v>
      </c>
      <c r="CZ12" s="89">
        <f t="shared" si="40"/>
        <v>0</v>
      </c>
      <c r="DA12" s="75">
        <f t="shared" si="41"/>
        <v>0</v>
      </c>
      <c r="DB12" s="75">
        <f t="shared" si="42"/>
        <v>0</v>
      </c>
      <c r="DC12" s="89">
        <f t="shared" si="43"/>
        <v>1</v>
      </c>
      <c r="DD12" s="75">
        <f t="shared" si="44"/>
        <v>1</v>
      </c>
      <c r="DE12" s="75">
        <f t="shared" si="45"/>
        <v>1</v>
      </c>
      <c r="DF12" s="75">
        <f t="shared" si="46"/>
        <v>1</v>
      </c>
      <c r="DG12" s="75">
        <f t="shared" si="47"/>
        <v>0</v>
      </c>
      <c r="DH12" s="89">
        <f t="shared" si="48"/>
        <v>1</v>
      </c>
      <c r="DI12" s="75">
        <f t="shared" si="49"/>
        <v>1</v>
      </c>
      <c r="DJ12" s="75">
        <f t="shared" si="50"/>
        <v>1</v>
      </c>
      <c r="DK12" s="89">
        <f t="shared" si="51"/>
        <v>1</v>
      </c>
      <c r="DL12" s="75">
        <f t="shared" si="52"/>
        <v>0</v>
      </c>
      <c r="DM12" s="75">
        <f t="shared" si="53"/>
        <v>0</v>
      </c>
      <c r="DN12" s="90">
        <f t="shared" si="54"/>
        <v>0</v>
      </c>
      <c r="DO12" s="91">
        <f>IF(AN12="",0,VLOOKUP(B12,Tables!$B$3:$M$36,11,FALSE())*X$1)</f>
        <v>0</v>
      </c>
      <c r="DP12" s="92">
        <f>IF(AO12="",0,VLOOKUP(C12,Tables!$B$3:$M$36,11,FALSE())*Y$1)</f>
        <v>0</v>
      </c>
      <c r="DQ12" s="92">
        <f>IF(AP12="",0,VLOOKUP(D12,Tables!$B$3:$M$36,11,FALSE())*Z$1)</f>
        <v>0</v>
      </c>
      <c r="DR12" s="91">
        <f>IF(AQ12="",0,VLOOKUP(E12,Tables!$B$3:$M$36,11,FALSE())*AA$1)</f>
        <v>0.6</v>
      </c>
      <c r="DS12" s="92">
        <f>IF(AR12="",0,VLOOKUP(F12,Tables!$B$3:$M$36,11,FALSE())*AB$1)</f>
        <v>1.2</v>
      </c>
      <c r="DT12" s="92">
        <f>IF(AS12="",0,VLOOKUP(G12,Tables!$B$3:$M$36,11,FALSE())*AC$1)</f>
        <v>0.4</v>
      </c>
      <c r="DU12" s="92">
        <f>IF(AT12="",0,VLOOKUP(H12,Tables!$B$3:$M$36,11,FALSE())*AD$1)</f>
        <v>1</v>
      </c>
      <c r="DV12" s="92">
        <f>IF(AU12="",0,VLOOKUP(I12,Tables!$B$3:$M$36,11,FALSE())*AE$1)</f>
        <v>0</v>
      </c>
      <c r="DW12" s="91">
        <f>IF(AV12="",0,VLOOKUP(J12,Tables!$B$3:$M$36,11,FALSE())*AF$1)</f>
        <v>2.4</v>
      </c>
      <c r="DX12" s="92">
        <f>IF(AW12="",0,VLOOKUP(K12,Tables!$B$3:$M$36,11,FALSE())*AG$1)</f>
        <v>2.4</v>
      </c>
      <c r="DY12" s="92">
        <f>IF(AX12="",0,VLOOKUP(L12,Tables!$B$3:$M$36,11,FALSE())*AH$1)</f>
        <v>2</v>
      </c>
      <c r="DZ12" s="91">
        <f>IF(AY12="",0,VLOOKUP(M12,Tables!$B$3:$M$36,11,FALSE())*AI$1)</f>
        <v>2.8000000000000003</v>
      </c>
      <c r="EA12" s="92">
        <f>IF(AZ12="",0,VLOOKUP(N12,Tables!$B$3:$M$36,11,FALSE())*AJ$1)</f>
        <v>0</v>
      </c>
      <c r="EB12" s="92">
        <f>IF(BA12="",0,VLOOKUP(O12,Tables!$B$3:$M$36,11,FALSE())*AK$1)</f>
        <v>0</v>
      </c>
      <c r="EC12" s="93">
        <f>IF(BB12="",0,VLOOKUP(P12,Tables!$B$3:$M$36,11,FALSE())*AL$1)</f>
        <v>0</v>
      </c>
      <c r="ED12" s="91">
        <f>IF(AN12="",0,VLOOKUP(B12,Tables!$B$3:$M$36,12,FALSE())*X$1)</f>
        <v>0</v>
      </c>
      <c r="EE12" s="92">
        <f>IF(AO12="",0,VLOOKUP(C12,Tables!$B$3:$M$36,12,FALSE())*Y$1)</f>
        <v>0</v>
      </c>
      <c r="EF12" s="92">
        <f>IF(AP12="",0,VLOOKUP(D12,Tables!$B$3:$M$36,12,FALSE())*Z$1)</f>
        <v>0</v>
      </c>
      <c r="EG12" s="91">
        <f>IF(AQ12="",0,VLOOKUP(E12,Tables!$B$3:$M$36,12,FALSE())*AA$1)</f>
        <v>2.4</v>
      </c>
      <c r="EH12" s="92">
        <f>IF(AR12="",0,VLOOKUP(F12,Tables!$B$3:$M$36,12,FALSE())*AB$1)</f>
        <v>4.8</v>
      </c>
      <c r="EI12" s="92">
        <f>IF(AS12="",0,VLOOKUP(G12,Tables!$B$3:$M$36,12,FALSE())*AC$1)</f>
        <v>1.6</v>
      </c>
      <c r="EJ12" s="92">
        <f>IF(AT12="",0,VLOOKUP(H12,Tables!$B$3:$M$36,12,FALSE())*AD$1)</f>
        <v>4</v>
      </c>
      <c r="EK12" s="92">
        <f>IF(AU12="",0,VLOOKUP(I12,Tables!$B$3:$M$36,12,FALSE())*AE$1)</f>
        <v>0</v>
      </c>
      <c r="EL12" s="91">
        <f>IF(AV12="",0,VLOOKUP(J12,Tables!$B$3:$M$36,12,FALSE())*AF$1)</f>
        <v>9.6</v>
      </c>
      <c r="EM12" s="92">
        <f>IF(AW12="",0,VLOOKUP(K12,Tables!$B$3:$M$36,12,FALSE())*AG$1)</f>
        <v>9.6</v>
      </c>
      <c r="EN12" s="92">
        <f>IF(AX12="",0,VLOOKUP(L12,Tables!$B$3:$M$36,12,FALSE())*AH$1)</f>
        <v>8</v>
      </c>
      <c r="EO12" s="91">
        <f>IF(AY12="",0,VLOOKUP(M12,Tables!$B$3:$M$36,12,FALSE())*AI$1)</f>
        <v>11.200000000000001</v>
      </c>
      <c r="EP12" s="92">
        <f>IF(AZ12="",0,VLOOKUP(N12,Tables!$B$3:$M$36,12,FALSE())*AJ$1)</f>
        <v>0</v>
      </c>
      <c r="EQ12" s="92">
        <f>IF(BA12="",0,VLOOKUP(O12,Tables!$B$3:$M$36,12,FALSE())*AK$1)</f>
        <v>0</v>
      </c>
      <c r="ER12" s="93">
        <f>IF(BB12="",0,VLOOKUP(P12,Tables!$B$3:$M$36,12,FALSE())*AL$1)</f>
        <v>0</v>
      </c>
      <c r="ES12" s="94">
        <f t="shared" si="55"/>
        <v>0</v>
      </c>
      <c r="ET12" s="95">
        <f>IF(AN12="",10,MIN(VLOOKUP(B12,Tables!$B$3:$N$34,13,FALSE()),'Item Builder'!$W12))</f>
        <v>10</v>
      </c>
      <c r="EU12" s="95">
        <f>IF(AO12="",10,MIN(VLOOKUP(C12,Tables!$B$3:$N$34,13,FALSE()),'Item Builder'!$W12))</f>
        <v>10</v>
      </c>
      <c r="EV12" s="95">
        <f>IF(AP12="",10,MIN(VLOOKUP(D12,Tables!$B$3:$N$34,13,FALSE()),'Item Builder'!$W12))</f>
        <v>10</v>
      </c>
      <c r="EW12" s="95">
        <f>IF(AQ12="",10,MIN(VLOOKUP(E12,Tables!$B$3:$N$34,13,FALSE()),'Item Builder'!$W12))</f>
        <v>0</v>
      </c>
      <c r="EX12" s="95">
        <f>IF(AR12="",10,MIN(VLOOKUP(F12,Tables!$B$3:$N$34,13,FALSE()),'Item Builder'!$W12))</f>
        <v>0</v>
      </c>
      <c r="EY12" s="95">
        <f>IF(AS12="",10,MIN(VLOOKUP(G12,Tables!$B$3:$N$34,13,FALSE()),'Item Builder'!$W12))</f>
        <v>0</v>
      </c>
      <c r="EZ12" s="95">
        <f>IF(AT12="",10,MIN(VLOOKUP(H12,Tables!$B$3:$N$34,13,FALSE()),'Item Builder'!$W12))</f>
        <v>0</v>
      </c>
      <c r="FA12" s="95">
        <f>IF(AU12="",10,MIN(VLOOKUP(I12,Tables!$B$3:$N$34,13,FALSE()),'Item Builder'!$W12))</f>
        <v>10</v>
      </c>
      <c r="FB12" s="95">
        <f>IF(AV12="",10,MIN(VLOOKUP(J12,Tables!$B$3:$N$34,13,FALSE()),'Item Builder'!$W12))</f>
        <v>0</v>
      </c>
      <c r="FC12" s="95">
        <f>IF(AW12="",10,MIN(VLOOKUP(K12,Tables!$B$3:$N$34,13,FALSE()),'Item Builder'!$W12))</f>
        <v>0</v>
      </c>
      <c r="FD12" s="95">
        <f>IF(AX12="",10,MIN(VLOOKUP(L12,Tables!$B$3:$N$34,13,FALSE()),'Item Builder'!$W12))</f>
        <v>0</v>
      </c>
      <c r="FE12" s="95">
        <f>IF(AY12="",10,MIN(VLOOKUP(M12,Tables!$B$3:$N$34,13,FALSE()),'Item Builder'!$W12))</f>
        <v>0</v>
      </c>
      <c r="FF12" s="95">
        <f>IF(AZ12="",10,MIN(VLOOKUP(N12,Tables!$B$3:$N$34,13,FALSE()),'Item Builder'!$W12))</f>
        <v>10</v>
      </c>
      <c r="FG12" s="95">
        <f>IF(BA12="",10,MIN(VLOOKUP(O12,Tables!$B$3:$N$34,13,FALSE()),'Item Builder'!$W12))</f>
        <v>10</v>
      </c>
      <c r="FH12" s="98">
        <f>IF(BB12="",10,MIN(VLOOKUP(P12,Tables!$B$3:$N$34,13,FALSE()),'Item Builder'!$W12))</f>
        <v>10</v>
      </c>
      <c r="FJ12" s="2" t="s">
        <v>174</v>
      </c>
      <c r="FK12" s="2"/>
      <c r="FL12" s="31" t="s">
        <v>175</v>
      </c>
      <c r="FM12" s="99" t="s">
        <v>176</v>
      </c>
      <c r="FN12" s="1"/>
      <c r="FO12" s="1"/>
      <c r="FP12" s="1"/>
    </row>
    <row r="13" spans="1:172" x14ac:dyDescent="0.25">
      <c r="A13" s="67" t="s">
        <v>72</v>
      </c>
      <c r="B13" s="68"/>
      <c r="C13" s="69"/>
      <c r="D13" s="70"/>
      <c r="E13" s="68" t="s">
        <v>131</v>
      </c>
      <c r="F13" s="69"/>
      <c r="G13" s="69"/>
      <c r="H13" s="69"/>
      <c r="I13" s="70"/>
      <c r="J13" s="68" t="s">
        <v>131</v>
      </c>
      <c r="K13" s="69" t="s">
        <v>131</v>
      </c>
      <c r="L13" s="70" t="s">
        <v>131</v>
      </c>
      <c r="M13" s="68" t="s">
        <v>131</v>
      </c>
      <c r="N13" s="69" t="s">
        <v>131</v>
      </c>
      <c r="O13" s="69"/>
      <c r="P13" s="71"/>
      <c r="Q13" s="72">
        <f>SUM(BV13:CJ13)*VLOOKUP(W13,Tables!$W$3:$Z$8,4)</f>
        <v>54</v>
      </c>
      <c r="R13" s="73">
        <f t="shared" si="0"/>
        <v>2.7</v>
      </c>
      <c r="S13" s="74">
        <f t="shared" si="1"/>
        <v>0</v>
      </c>
      <c r="T13" s="74">
        <f t="shared" si="2"/>
        <v>0</v>
      </c>
      <c r="U13" s="75">
        <f t="shared" si="3"/>
        <v>10.8</v>
      </c>
      <c r="V13" s="76">
        <f t="shared" si="4"/>
        <v>43.2</v>
      </c>
      <c r="W13" s="77">
        <v>0</v>
      </c>
      <c r="X13" s="78">
        <f t="shared" si="5"/>
        <v>0</v>
      </c>
      <c r="Y13" s="79">
        <f t="shared" si="6"/>
        <v>0</v>
      </c>
      <c r="Z13" s="79">
        <f t="shared" si="7"/>
        <v>0</v>
      </c>
      <c r="AA13" s="78">
        <f t="shared" si="8"/>
        <v>1</v>
      </c>
      <c r="AB13" s="79">
        <f t="shared" si="9"/>
        <v>0</v>
      </c>
      <c r="AC13" s="79">
        <f t="shared" si="10"/>
        <v>0</v>
      </c>
      <c r="AD13" s="79">
        <f t="shared" si="11"/>
        <v>0</v>
      </c>
      <c r="AE13" s="79">
        <f t="shared" si="12"/>
        <v>0</v>
      </c>
      <c r="AF13" s="78">
        <f t="shared" si="13"/>
        <v>1</v>
      </c>
      <c r="AG13" s="79">
        <f t="shared" si="14"/>
        <v>1</v>
      </c>
      <c r="AH13" s="79">
        <f t="shared" si="15"/>
        <v>1</v>
      </c>
      <c r="AI13" s="78">
        <f t="shared" si="16"/>
        <v>1</v>
      </c>
      <c r="AJ13" s="79">
        <f t="shared" si="17"/>
        <v>1</v>
      </c>
      <c r="AK13" s="79">
        <f t="shared" si="18"/>
        <v>0</v>
      </c>
      <c r="AL13" s="80">
        <f t="shared" si="19"/>
        <v>0</v>
      </c>
      <c r="AM13" s="81">
        <f t="shared" si="20"/>
        <v>0.54</v>
      </c>
      <c r="AN13" s="82" t="str">
        <f t="shared" si="21"/>
        <v/>
      </c>
      <c r="AO13" s="79" t="str">
        <f t="shared" si="22"/>
        <v/>
      </c>
      <c r="AP13" t="str">
        <f t="shared" si="23"/>
        <v/>
      </c>
      <c r="AQ13" s="82" t="str">
        <f t="shared" si="24"/>
        <v>C</v>
      </c>
      <c r="AR13" t="str">
        <f t="shared" si="25"/>
        <v/>
      </c>
      <c r="AS13" t="str">
        <f t="shared" si="26"/>
        <v/>
      </c>
      <c r="AT13" t="str">
        <f t="shared" si="27"/>
        <v/>
      </c>
      <c r="AU13" t="str">
        <f t="shared" si="28"/>
        <v/>
      </c>
      <c r="AV13" s="82" t="str">
        <f t="shared" si="29"/>
        <v>C</v>
      </c>
      <c r="AW13" t="str">
        <f t="shared" si="30"/>
        <v>C</v>
      </c>
      <c r="AX13" t="str">
        <f t="shared" si="31"/>
        <v>C</v>
      </c>
      <c r="AY13" s="82" t="str">
        <f t="shared" si="32"/>
        <v>C</v>
      </c>
      <c r="AZ13" t="str">
        <f t="shared" si="33"/>
        <v>C</v>
      </c>
      <c r="BA13" t="str">
        <f t="shared" si="34"/>
        <v/>
      </c>
      <c r="BB13" s="83" t="str">
        <f t="shared" si="35"/>
        <v/>
      </c>
      <c r="BC13" s="84">
        <f t="shared" si="36"/>
        <v>0</v>
      </c>
      <c r="BD13" s="84">
        <f t="shared" si="37"/>
        <v>0.14285714285714285</v>
      </c>
      <c r="BE13" s="84">
        <f t="shared" si="38"/>
        <v>1</v>
      </c>
      <c r="BF13" s="84">
        <f t="shared" si="39"/>
        <v>0.47222222222222221</v>
      </c>
      <c r="BG13" s="78">
        <f>IF(AN13="",0,VLOOKUP(AN13,Tables!$AB$3:$AC$12,2))</f>
        <v>0</v>
      </c>
      <c r="BH13" s="79">
        <f>IF(AO13="",0,VLOOKUP(AO13,Tables!$AB$3:$AC$12,2))</f>
        <v>0</v>
      </c>
      <c r="BI13" s="79">
        <f>IF(AP13="",0,VLOOKUP(AP13,Tables!$AB$3:$AC$12,2))</f>
        <v>0</v>
      </c>
      <c r="BJ13" s="78">
        <f>IF(AQ13="",0,VLOOKUP(AQ13,Tables!$AB$3:$AC$12,2))</f>
        <v>1</v>
      </c>
      <c r="BK13" s="79">
        <f>IF(AR13="",0,VLOOKUP(AR13,Tables!$AB$3:$AC$12,2))</f>
        <v>0</v>
      </c>
      <c r="BL13" s="79">
        <f>IF(AS13="",0,VLOOKUP(AS13,Tables!$AB$3:$AC$12,2))</f>
        <v>0</v>
      </c>
      <c r="BM13" s="79">
        <f>IF(AT13="",0,VLOOKUP(AT13,Tables!$AB$3:$AC$12,2))</f>
        <v>0</v>
      </c>
      <c r="BN13" s="79">
        <f>IF(AU13="",0,VLOOKUP(AU13,Tables!$AB$3:$AC$12,2))</f>
        <v>0</v>
      </c>
      <c r="BO13" s="78">
        <f>IF(AV13="",0,VLOOKUP(AV13,Tables!$AB$3:$AC$12,2))</f>
        <v>1</v>
      </c>
      <c r="BP13" s="79">
        <f>IF(AW13="",0,VLOOKUP(AW13,Tables!$AB$3:$AC$12,2))</f>
        <v>1</v>
      </c>
      <c r="BQ13" s="79">
        <f>IF(AX13="",0,VLOOKUP(AX13,Tables!$AB$3:$AC$12,2))</f>
        <v>1</v>
      </c>
      <c r="BR13" s="78">
        <f>IF(AY13="",0,VLOOKUP(AY13,Tables!$AB$3:$AC$12,2))</f>
        <v>1</v>
      </c>
      <c r="BS13" s="79">
        <f>IF(AZ13="",0,VLOOKUP(AZ13,Tables!$AB$3:$AC$12,2))</f>
        <v>1</v>
      </c>
      <c r="BT13" s="79">
        <f>IF(BA13="",0,VLOOKUP(BA13,Tables!$AB$3:$AC$12,2))</f>
        <v>0</v>
      </c>
      <c r="BU13" s="80">
        <f>IF(BB13="",0,VLOOKUP(BB13,Tables!$AB$3:$AC$12,2))</f>
        <v>0</v>
      </c>
      <c r="BV13" s="85">
        <f>IF(AN13="",0,VLOOKUP(B13,Tables!$B$3:$D$36,2,FALSE())*X$1)</f>
        <v>0</v>
      </c>
      <c r="BW13" s="72">
        <f>IF(AO13="",0,VLOOKUP(C13,Tables!$B$3:$D$36,2,FALSE())*Y$1)</f>
        <v>0</v>
      </c>
      <c r="BX13" s="72">
        <f>IF(AP13="",0,VLOOKUP(D13,Tables!$B$3:$D$36,2,FALSE())*Z$1)</f>
        <v>0</v>
      </c>
      <c r="BY13" s="85">
        <f>IF(AQ13="",0,VLOOKUP(E13,Tables!$B$3:$D$36,2,FALSE())*AA$1)</f>
        <v>3</v>
      </c>
      <c r="BZ13" s="72">
        <f>IF(AR13="",0,VLOOKUP(F13,Tables!$B$3:$D$36,2,FALSE())*AB$1)</f>
        <v>0</v>
      </c>
      <c r="CA13" s="72">
        <f>IF(AS13="",0,VLOOKUP(G13,Tables!$B$3:$D$36,2,FALSE())*AC$1)</f>
        <v>0</v>
      </c>
      <c r="CB13" s="72">
        <f>IF(AT13="",0,VLOOKUP(H13,Tables!$B$3:$D$36,2,FALSE())*AD$1)</f>
        <v>0</v>
      </c>
      <c r="CC13" s="72">
        <f>IF(AU13="",0,VLOOKUP(I13,Tables!$B$3:$D$36,2,FALSE())*AE$1)</f>
        <v>0</v>
      </c>
      <c r="CD13" s="85">
        <f>IF(AV13="",0,VLOOKUP(J13,Tables!$B$3:$D$36,2,FALSE())*AF$1)</f>
        <v>12</v>
      </c>
      <c r="CE13" s="72">
        <f>IF(AW13="",0,VLOOKUP(K13,Tables!$B$3:$D$36,2,FALSE())*AG$1)</f>
        <v>12</v>
      </c>
      <c r="CF13" s="72">
        <f>IF(AX13="",0,VLOOKUP(L13,Tables!$B$3:$D$36,2,FALSE())*AH$1)</f>
        <v>10</v>
      </c>
      <c r="CG13" s="85">
        <f>IF(AY13="",0,VLOOKUP(M13,Tables!$B$3:$D$36,2,FALSE())*AI$1)</f>
        <v>14.000000000000002</v>
      </c>
      <c r="CH13" s="72">
        <f>IF(AZ13="",0,VLOOKUP(N13,Tables!$B$3:$D$36,2,FALSE())*AJ$1)</f>
        <v>3</v>
      </c>
      <c r="CI13" s="72">
        <f>IF(BA13="",0,VLOOKUP(O13,Tables!$B$3:$D$36,2,FALSE())*AK$1)</f>
        <v>0</v>
      </c>
      <c r="CJ13" s="86">
        <f>IF(BB13="",0,VLOOKUP(P13,Tables!$B$3:$D$36,2,FALSE())*AL$1)</f>
        <v>0</v>
      </c>
      <c r="CK13" s="87">
        <f>IF(AN13="",0,VLOOKUP(B13,Tables!$B$3:$D$36,3,FALSE())*X$1)*IF(OR(AN13="K",AN13="P"),2,1)</f>
        <v>0</v>
      </c>
      <c r="CL13" s="73">
        <f>IF(AO13="",0,VLOOKUP(C13,Tables!$B$3:$D$36,3,FALSE())*Y$1)*IF(OR(AO13="K",AO13="P"),2,1)</f>
        <v>0</v>
      </c>
      <c r="CM13" s="73">
        <f>IF(AP13="",0,VLOOKUP(D13,Tables!$B$3:$D$36,3,FALSE())*Z$1)*IF(OR(AP13="K",AP13="P"),2,1)</f>
        <v>0</v>
      </c>
      <c r="CN13" s="87">
        <f>IF(AQ13="",0,VLOOKUP(E13,Tables!$B$3:$D$36,3,FALSE())*AA$1)</f>
        <v>0.15</v>
      </c>
      <c r="CO13" s="73">
        <f>IF(AR13="",0,VLOOKUP(F13,Tables!$B$3:$D$36,3,FALSE())*AB$1)</f>
        <v>0</v>
      </c>
      <c r="CP13" s="73">
        <f>IF(AS13="",0,VLOOKUP(G13,Tables!$B$3:$D$36,3,FALSE())*AC$1)</f>
        <v>0</v>
      </c>
      <c r="CQ13" s="73">
        <f>IF(AT13="",0,VLOOKUP(H13,Tables!$B$3:$D$36,3,FALSE())*AD$1)</f>
        <v>0</v>
      </c>
      <c r="CR13" s="73">
        <f>IF(AU13="",0,VLOOKUP(I13,Tables!$B$3:$D$36,3,FALSE())*AE$1)</f>
        <v>0</v>
      </c>
      <c r="CS13" s="87">
        <f>IF(AV13="",0,VLOOKUP(J13,Tables!$B$3:$D$36,3,FALSE())*AF$1)</f>
        <v>0.6</v>
      </c>
      <c r="CT13" s="73">
        <f>IF(AW13="",0,VLOOKUP(K13,Tables!$B$3:$D$36,3,FALSE())*AG$1)</f>
        <v>0.6</v>
      </c>
      <c r="CU13" s="73">
        <f>IF(AX13="",0,VLOOKUP(L13,Tables!$B$3:$D$36,3,FALSE())*AH$1)</f>
        <v>0.5</v>
      </c>
      <c r="CV13" s="87">
        <f>IF(AY13="",0,VLOOKUP(M13,Tables!$B$3:$D$36,3,FALSE())*AI$1)</f>
        <v>0.70000000000000007</v>
      </c>
      <c r="CW13" s="73">
        <f>IF(AZ13="",0,VLOOKUP(N13,Tables!$B$3:$D$36,3,FALSE())*AJ$1)</f>
        <v>0.15</v>
      </c>
      <c r="CX13" s="73">
        <f>IF(BA13="",0,VLOOKUP(O13,Tables!$B$3:$D$36,3,FALSE())*AK$1)</f>
        <v>0</v>
      </c>
      <c r="CY13" s="88">
        <f>IF(BB13="",0,VLOOKUP(P13,Tables!$B$3:$D$36,3,FALSE())*AL$1)</f>
        <v>0</v>
      </c>
      <c r="CZ13" s="89">
        <f t="shared" si="40"/>
        <v>0</v>
      </c>
      <c r="DA13" s="75">
        <f t="shared" si="41"/>
        <v>0</v>
      </c>
      <c r="DB13" s="75">
        <f t="shared" si="42"/>
        <v>0</v>
      </c>
      <c r="DC13" s="89">
        <f t="shared" si="43"/>
        <v>1</v>
      </c>
      <c r="DD13" s="75">
        <f t="shared" si="44"/>
        <v>0</v>
      </c>
      <c r="DE13" s="75">
        <f t="shared" si="45"/>
        <v>0</v>
      </c>
      <c r="DF13" s="75">
        <f t="shared" si="46"/>
        <v>0</v>
      </c>
      <c r="DG13" s="75">
        <f t="shared" si="47"/>
        <v>0</v>
      </c>
      <c r="DH13" s="89">
        <f t="shared" si="48"/>
        <v>1</v>
      </c>
      <c r="DI13" s="75">
        <f t="shared" si="49"/>
        <v>1</v>
      </c>
      <c r="DJ13" s="75">
        <f t="shared" si="50"/>
        <v>1</v>
      </c>
      <c r="DK13" s="89">
        <f t="shared" si="51"/>
        <v>1</v>
      </c>
      <c r="DL13" s="75">
        <f t="shared" si="52"/>
        <v>1</v>
      </c>
      <c r="DM13" s="75">
        <f t="shared" si="53"/>
        <v>0</v>
      </c>
      <c r="DN13" s="90">
        <f t="shared" si="54"/>
        <v>0</v>
      </c>
      <c r="DO13" s="91">
        <f>IF(AN13="",0,VLOOKUP(B13,Tables!$B$3:$M$36,11,FALSE())*X$1)</f>
        <v>0</v>
      </c>
      <c r="DP13" s="92">
        <f>IF(AO13="",0,VLOOKUP(C13,Tables!$B$3:$M$36,11,FALSE())*Y$1)</f>
        <v>0</v>
      </c>
      <c r="DQ13" s="92">
        <f>IF(AP13="",0,VLOOKUP(D13,Tables!$B$3:$M$36,11,FALSE())*Z$1)</f>
        <v>0</v>
      </c>
      <c r="DR13" s="91">
        <f>IF(AQ13="",0,VLOOKUP(E13,Tables!$B$3:$M$36,11,FALSE())*AA$1)</f>
        <v>0.6</v>
      </c>
      <c r="DS13" s="92">
        <f>IF(AR13="",0,VLOOKUP(F13,Tables!$B$3:$M$36,11,FALSE())*AB$1)</f>
        <v>0</v>
      </c>
      <c r="DT13" s="92">
        <f>IF(AS13="",0,VLOOKUP(G13,Tables!$B$3:$M$36,11,FALSE())*AC$1)</f>
        <v>0</v>
      </c>
      <c r="DU13" s="92">
        <f>IF(AT13="",0,VLOOKUP(H13,Tables!$B$3:$M$36,11,FALSE())*AD$1)</f>
        <v>0</v>
      </c>
      <c r="DV13" s="92">
        <f>IF(AU13="",0,VLOOKUP(I13,Tables!$B$3:$M$36,11,FALSE())*AE$1)</f>
        <v>0</v>
      </c>
      <c r="DW13" s="91">
        <f>IF(AV13="",0,VLOOKUP(J13,Tables!$B$3:$M$36,11,FALSE())*AF$1)</f>
        <v>2.4</v>
      </c>
      <c r="DX13" s="92">
        <f>IF(AW13="",0,VLOOKUP(K13,Tables!$B$3:$M$36,11,FALSE())*AG$1)</f>
        <v>2.4</v>
      </c>
      <c r="DY13" s="92">
        <f>IF(AX13="",0,VLOOKUP(L13,Tables!$B$3:$M$36,11,FALSE())*AH$1)</f>
        <v>2</v>
      </c>
      <c r="DZ13" s="91">
        <f>IF(AY13="",0,VLOOKUP(M13,Tables!$B$3:$M$36,11,FALSE())*AI$1)</f>
        <v>2.8000000000000003</v>
      </c>
      <c r="EA13" s="92">
        <f>IF(AZ13="",0,VLOOKUP(N13,Tables!$B$3:$M$36,11,FALSE())*AJ$1)</f>
        <v>0.6</v>
      </c>
      <c r="EB13" s="92">
        <f>IF(BA13="",0,VLOOKUP(O13,Tables!$B$3:$M$36,11,FALSE())*AK$1)</f>
        <v>0</v>
      </c>
      <c r="EC13" s="93">
        <f>IF(BB13="",0,VLOOKUP(P13,Tables!$B$3:$M$36,11,FALSE())*AL$1)</f>
        <v>0</v>
      </c>
      <c r="ED13" s="91">
        <f>IF(AN13="",0,VLOOKUP(B13,Tables!$B$3:$M$36,12,FALSE())*X$1)</f>
        <v>0</v>
      </c>
      <c r="EE13" s="92">
        <f>IF(AO13="",0,VLOOKUP(C13,Tables!$B$3:$M$36,12,FALSE())*Y$1)</f>
        <v>0</v>
      </c>
      <c r="EF13" s="92">
        <f>IF(AP13="",0,VLOOKUP(D13,Tables!$B$3:$M$36,12,FALSE())*Z$1)</f>
        <v>0</v>
      </c>
      <c r="EG13" s="91">
        <f>IF(AQ13="",0,VLOOKUP(E13,Tables!$B$3:$M$36,12,FALSE())*AA$1)</f>
        <v>2.4</v>
      </c>
      <c r="EH13" s="92">
        <f>IF(AR13="",0,VLOOKUP(F13,Tables!$B$3:$M$36,12,FALSE())*AB$1)</f>
        <v>0</v>
      </c>
      <c r="EI13" s="92">
        <f>IF(AS13="",0,VLOOKUP(G13,Tables!$B$3:$M$36,12,FALSE())*AC$1)</f>
        <v>0</v>
      </c>
      <c r="EJ13" s="92">
        <f>IF(AT13="",0,VLOOKUP(H13,Tables!$B$3:$M$36,12,FALSE())*AD$1)</f>
        <v>0</v>
      </c>
      <c r="EK13" s="92">
        <f>IF(AU13="",0,VLOOKUP(I13,Tables!$B$3:$M$36,12,FALSE())*AE$1)</f>
        <v>0</v>
      </c>
      <c r="EL13" s="91">
        <f>IF(AV13="",0,VLOOKUP(J13,Tables!$B$3:$M$36,12,FALSE())*AF$1)</f>
        <v>9.6</v>
      </c>
      <c r="EM13" s="92">
        <f>IF(AW13="",0,VLOOKUP(K13,Tables!$B$3:$M$36,12,FALSE())*AG$1)</f>
        <v>9.6</v>
      </c>
      <c r="EN13" s="92">
        <f>IF(AX13="",0,VLOOKUP(L13,Tables!$B$3:$M$36,12,FALSE())*AH$1)</f>
        <v>8</v>
      </c>
      <c r="EO13" s="91">
        <f>IF(AY13="",0,VLOOKUP(M13,Tables!$B$3:$M$36,12,FALSE())*AI$1)</f>
        <v>11.200000000000001</v>
      </c>
      <c r="EP13" s="92">
        <f>IF(AZ13="",0,VLOOKUP(N13,Tables!$B$3:$M$36,12,FALSE())*AJ$1)</f>
        <v>2.4</v>
      </c>
      <c r="EQ13" s="92">
        <f>IF(BA13="",0,VLOOKUP(O13,Tables!$B$3:$M$36,12,FALSE())*AK$1)</f>
        <v>0</v>
      </c>
      <c r="ER13" s="93">
        <f>IF(BB13="",0,VLOOKUP(P13,Tables!$B$3:$M$36,12,FALSE())*AL$1)</f>
        <v>0</v>
      </c>
      <c r="ES13" s="94">
        <f t="shared" si="55"/>
        <v>0</v>
      </c>
      <c r="ET13" s="95">
        <f>IF(AN13="",10,MIN(VLOOKUP(B13,Tables!$B$3:$N$34,13,FALSE()),'Item Builder'!$W13))</f>
        <v>10</v>
      </c>
      <c r="EU13" s="95">
        <f>IF(AO13="",10,MIN(VLOOKUP(C13,Tables!$B$3:$N$34,13,FALSE()),'Item Builder'!$W13))</f>
        <v>10</v>
      </c>
      <c r="EV13" s="95">
        <f>IF(AP13="",10,MIN(VLOOKUP(D13,Tables!$B$3:$N$34,13,FALSE()),'Item Builder'!$W13))</f>
        <v>10</v>
      </c>
      <c r="EW13" s="95">
        <f>IF(AQ13="",10,MIN(VLOOKUP(E13,Tables!$B$3:$N$34,13,FALSE()),'Item Builder'!$W13))</f>
        <v>0</v>
      </c>
      <c r="EX13" s="95">
        <f>IF(AR13="",10,MIN(VLOOKUP(F13,Tables!$B$3:$N$34,13,FALSE()),'Item Builder'!$W13))</f>
        <v>10</v>
      </c>
      <c r="EY13" s="95">
        <f>IF(AS13="",10,MIN(VLOOKUP(G13,Tables!$B$3:$N$34,13,FALSE()),'Item Builder'!$W13))</f>
        <v>10</v>
      </c>
      <c r="EZ13" s="95">
        <f>IF(AT13="",10,MIN(VLOOKUP(H13,Tables!$B$3:$N$34,13,FALSE()),'Item Builder'!$W13))</f>
        <v>10</v>
      </c>
      <c r="FA13" s="95">
        <f>IF(AU13="",10,MIN(VLOOKUP(I13,Tables!$B$3:$N$34,13,FALSE()),'Item Builder'!$W13))</f>
        <v>10</v>
      </c>
      <c r="FB13" s="95">
        <f>IF(AV13="",10,MIN(VLOOKUP(J13,Tables!$B$3:$N$34,13,FALSE()),'Item Builder'!$W13))</f>
        <v>0</v>
      </c>
      <c r="FC13" s="95">
        <f>IF(AW13="",10,MIN(VLOOKUP(K13,Tables!$B$3:$N$34,13,FALSE()),'Item Builder'!$W13))</f>
        <v>0</v>
      </c>
      <c r="FD13" s="95">
        <f>IF(AX13="",10,MIN(VLOOKUP(L13,Tables!$B$3:$N$34,13,FALSE()),'Item Builder'!$W13))</f>
        <v>0</v>
      </c>
      <c r="FE13" s="95">
        <f>IF(AY13="",10,MIN(VLOOKUP(M13,Tables!$B$3:$N$34,13,FALSE()),'Item Builder'!$W13))</f>
        <v>0</v>
      </c>
      <c r="FF13" s="95">
        <f>IF(AZ13="",10,MIN(VLOOKUP(N13,Tables!$B$3:$N$34,13,FALSE()),'Item Builder'!$W13))</f>
        <v>0</v>
      </c>
      <c r="FG13" s="95">
        <f>IF(BA13="",10,MIN(VLOOKUP(O13,Tables!$B$3:$N$34,13,FALSE()),'Item Builder'!$W13))</f>
        <v>10</v>
      </c>
      <c r="FH13" s="98">
        <f>IF(BB13="",10,MIN(VLOOKUP(P13,Tables!$B$3:$N$34,13,FALSE()),'Item Builder'!$W13))</f>
        <v>10</v>
      </c>
      <c r="FJ13" s="2" t="s">
        <v>177</v>
      </c>
      <c r="FK13" s="2"/>
      <c r="FL13" s="31" t="s">
        <v>101</v>
      </c>
      <c r="FM13" s="99" t="s">
        <v>178</v>
      </c>
      <c r="FN13" s="1"/>
      <c r="FO13" s="1"/>
      <c r="FP13" s="1"/>
    </row>
    <row r="14" spans="1:172" x14ac:dyDescent="0.25">
      <c r="A14" s="67" t="s">
        <v>179</v>
      </c>
      <c r="B14" s="68"/>
      <c r="C14" s="69"/>
      <c r="D14" s="70"/>
      <c r="E14" s="68" t="s">
        <v>159</v>
      </c>
      <c r="F14" s="69"/>
      <c r="G14" s="69"/>
      <c r="H14" s="69"/>
      <c r="I14" s="70"/>
      <c r="J14" s="68" t="s">
        <v>159</v>
      </c>
      <c r="K14" s="69" t="s">
        <v>159</v>
      </c>
      <c r="L14" s="70" t="s">
        <v>159</v>
      </c>
      <c r="M14" s="68" t="s">
        <v>159</v>
      </c>
      <c r="N14" s="69" t="s">
        <v>159</v>
      </c>
      <c r="O14" s="69" t="s">
        <v>159</v>
      </c>
      <c r="P14" s="71"/>
      <c r="Q14" s="72">
        <f>SUM(BV14:CJ14)*VLOOKUP(W14,Tables!$W$3:$Z$8,4)</f>
        <v>66</v>
      </c>
      <c r="R14" s="73">
        <f t="shared" si="0"/>
        <v>3.3000000000000003</v>
      </c>
      <c r="S14" s="74">
        <f t="shared" si="1"/>
        <v>0</v>
      </c>
      <c r="T14" s="74">
        <f t="shared" si="2"/>
        <v>0</v>
      </c>
      <c r="U14" s="75">
        <f t="shared" si="3"/>
        <v>13.200000000000001</v>
      </c>
      <c r="V14" s="76">
        <f t="shared" si="4"/>
        <v>52.800000000000004</v>
      </c>
      <c r="W14" s="77">
        <v>0</v>
      </c>
      <c r="X14" s="78">
        <f t="shared" si="5"/>
        <v>0</v>
      </c>
      <c r="Y14" s="79">
        <f t="shared" si="6"/>
        <v>0</v>
      </c>
      <c r="Z14" s="79">
        <f t="shared" si="7"/>
        <v>0</v>
      </c>
      <c r="AA14" s="78">
        <f t="shared" si="8"/>
        <v>1</v>
      </c>
      <c r="AB14" s="79">
        <f t="shared" si="9"/>
        <v>0</v>
      </c>
      <c r="AC14" s="79">
        <f t="shared" si="10"/>
        <v>0</v>
      </c>
      <c r="AD14" s="79">
        <f t="shared" si="11"/>
        <v>0</v>
      </c>
      <c r="AE14" s="79">
        <f t="shared" si="12"/>
        <v>0</v>
      </c>
      <c r="AF14" s="78">
        <f t="shared" si="13"/>
        <v>1</v>
      </c>
      <c r="AG14" s="79">
        <f t="shared" si="14"/>
        <v>1</v>
      </c>
      <c r="AH14" s="79">
        <f t="shared" si="15"/>
        <v>1</v>
      </c>
      <c r="AI14" s="78">
        <f t="shared" si="16"/>
        <v>1</v>
      </c>
      <c r="AJ14" s="79">
        <f t="shared" si="17"/>
        <v>1</v>
      </c>
      <c r="AK14" s="79">
        <f t="shared" si="18"/>
        <v>1</v>
      </c>
      <c r="AL14" s="80">
        <f t="shared" si="19"/>
        <v>0</v>
      </c>
      <c r="AM14" s="81">
        <f t="shared" si="20"/>
        <v>0.66</v>
      </c>
      <c r="AN14" s="82" t="str">
        <f t="shared" si="21"/>
        <v/>
      </c>
      <c r="AO14" s="79" t="str">
        <f t="shared" si="22"/>
        <v/>
      </c>
      <c r="AP14" t="str">
        <f t="shared" si="23"/>
        <v/>
      </c>
      <c r="AQ14" s="82" t="str">
        <f t="shared" si="24"/>
        <v>C</v>
      </c>
      <c r="AR14" t="str">
        <f t="shared" si="25"/>
        <v/>
      </c>
      <c r="AS14" t="str">
        <f t="shared" si="26"/>
        <v/>
      </c>
      <c r="AT14" t="str">
        <f t="shared" si="27"/>
        <v/>
      </c>
      <c r="AU14" t="str">
        <f t="shared" si="28"/>
        <v/>
      </c>
      <c r="AV14" s="82" t="str">
        <f t="shared" si="29"/>
        <v>C</v>
      </c>
      <c r="AW14" t="str">
        <f t="shared" si="30"/>
        <v>C</v>
      </c>
      <c r="AX14" t="str">
        <f t="shared" si="31"/>
        <v>C</v>
      </c>
      <c r="AY14" s="82" t="str">
        <f t="shared" si="32"/>
        <v>C</v>
      </c>
      <c r="AZ14" t="str">
        <f t="shared" si="33"/>
        <v>C</v>
      </c>
      <c r="BA14" t="str">
        <f t="shared" si="34"/>
        <v>C</v>
      </c>
      <c r="BB14" s="83" t="str">
        <f t="shared" si="35"/>
        <v/>
      </c>
      <c r="BC14" s="84">
        <f t="shared" si="36"/>
        <v>0</v>
      </c>
      <c r="BD14" s="84">
        <f t="shared" si="37"/>
        <v>0.14285714285714285</v>
      </c>
      <c r="BE14" s="84">
        <f t="shared" si="38"/>
        <v>1</v>
      </c>
      <c r="BF14" s="84">
        <f t="shared" si="39"/>
        <v>0.80555555555555558</v>
      </c>
      <c r="BG14" s="78">
        <f>IF(AN14="",0,VLOOKUP(AN14,Tables!$AB$3:$AC$12,2))</f>
        <v>0</v>
      </c>
      <c r="BH14" s="79">
        <f>IF(AO14="",0,VLOOKUP(AO14,Tables!$AB$3:$AC$12,2))</f>
        <v>0</v>
      </c>
      <c r="BI14" s="79">
        <f>IF(AP14="",0,VLOOKUP(AP14,Tables!$AB$3:$AC$12,2))</f>
        <v>0</v>
      </c>
      <c r="BJ14" s="78">
        <f>IF(AQ14="",0,VLOOKUP(AQ14,Tables!$AB$3:$AC$12,2))</f>
        <v>1</v>
      </c>
      <c r="BK14" s="79">
        <f>IF(AR14="",0,VLOOKUP(AR14,Tables!$AB$3:$AC$12,2))</f>
        <v>0</v>
      </c>
      <c r="BL14" s="79">
        <f>IF(AS14="",0,VLOOKUP(AS14,Tables!$AB$3:$AC$12,2))</f>
        <v>0</v>
      </c>
      <c r="BM14" s="79">
        <f>IF(AT14="",0,VLOOKUP(AT14,Tables!$AB$3:$AC$12,2))</f>
        <v>0</v>
      </c>
      <c r="BN14" s="79">
        <f>IF(AU14="",0,VLOOKUP(AU14,Tables!$AB$3:$AC$12,2))</f>
        <v>0</v>
      </c>
      <c r="BO14" s="78">
        <f>IF(AV14="",0,VLOOKUP(AV14,Tables!$AB$3:$AC$12,2))</f>
        <v>1</v>
      </c>
      <c r="BP14" s="79">
        <f>IF(AW14="",0,VLOOKUP(AW14,Tables!$AB$3:$AC$12,2))</f>
        <v>1</v>
      </c>
      <c r="BQ14" s="79">
        <f>IF(AX14="",0,VLOOKUP(AX14,Tables!$AB$3:$AC$12,2))</f>
        <v>1</v>
      </c>
      <c r="BR14" s="78">
        <f>IF(AY14="",0,VLOOKUP(AY14,Tables!$AB$3:$AC$12,2))</f>
        <v>1</v>
      </c>
      <c r="BS14" s="79">
        <f>IF(AZ14="",0,VLOOKUP(AZ14,Tables!$AB$3:$AC$12,2))</f>
        <v>1</v>
      </c>
      <c r="BT14" s="79">
        <f>IF(BA14="",0,VLOOKUP(BA14,Tables!$AB$3:$AC$12,2))</f>
        <v>1</v>
      </c>
      <c r="BU14" s="80">
        <f>IF(BB14="",0,VLOOKUP(BB14,Tables!$AB$3:$AC$12,2))</f>
        <v>0</v>
      </c>
      <c r="BV14" s="85">
        <f>IF(AN14="",0,VLOOKUP(B14,Tables!$B$3:$D$36,2,FALSE())*X$1)</f>
        <v>0</v>
      </c>
      <c r="BW14" s="72">
        <f>IF(AO14="",0,VLOOKUP(C14,Tables!$B$3:$D$36,2,FALSE())*Y$1)</f>
        <v>0</v>
      </c>
      <c r="BX14" s="72">
        <f>IF(AP14="",0,VLOOKUP(D14,Tables!$B$3:$D$36,2,FALSE())*Z$1)</f>
        <v>0</v>
      </c>
      <c r="BY14" s="85">
        <f>IF(AQ14="",0,VLOOKUP(E14,Tables!$B$3:$D$36,2,FALSE())*AA$1)</f>
        <v>3</v>
      </c>
      <c r="BZ14" s="72">
        <f>IF(AR14="",0,VLOOKUP(F14,Tables!$B$3:$D$36,2,FALSE())*AB$1)</f>
        <v>0</v>
      </c>
      <c r="CA14" s="72">
        <f>IF(AS14="",0,VLOOKUP(G14,Tables!$B$3:$D$36,2,FALSE())*AC$1)</f>
        <v>0</v>
      </c>
      <c r="CB14" s="72">
        <f>IF(AT14="",0,VLOOKUP(H14,Tables!$B$3:$D$36,2,FALSE())*AD$1)</f>
        <v>0</v>
      </c>
      <c r="CC14" s="72">
        <f>IF(AU14="",0,VLOOKUP(I14,Tables!$B$3:$D$36,2,FALSE())*AE$1)</f>
        <v>0</v>
      </c>
      <c r="CD14" s="85">
        <f>IF(AV14="",0,VLOOKUP(J14,Tables!$B$3:$D$36,2,FALSE())*AF$1)</f>
        <v>12</v>
      </c>
      <c r="CE14" s="72">
        <f>IF(AW14="",0,VLOOKUP(K14,Tables!$B$3:$D$36,2,FALSE())*AG$1)</f>
        <v>12</v>
      </c>
      <c r="CF14" s="72">
        <f>IF(AX14="",0,VLOOKUP(L14,Tables!$B$3:$D$36,2,FALSE())*AH$1)</f>
        <v>10</v>
      </c>
      <c r="CG14" s="85">
        <f>IF(AY14="",0,VLOOKUP(M14,Tables!$B$3:$D$36,2,FALSE())*AI$1)</f>
        <v>14.000000000000002</v>
      </c>
      <c r="CH14" s="72">
        <f>IF(AZ14="",0,VLOOKUP(N14,Tables!$B$3:$D$36,2,FALSE())*AJ$1)</f>
        <v>3</v>
      </c>
      <c r="CI14" s="72">
        <f>IF(BA14="",0,VLOOKUP(O14,Tables!$B$3:$D$36,2,FALSE())*AK$1)</f>
        <v>12</v>
      </c>
      <c r="CJ14" s="86">
        <f>IF(BB14="",0,VLOOKUP(P14,Tables!$B$3:$D$36,2,FALSE())*AL$1)</f>
        <v>0</v>
      </c>
      <c r="CK14" s="87">
        <f>IF(AN14="",0,VLOOKUP(B14,Tables!$B$3:$D$36,3,FALSE())*X$1)*IF(OR(AN14="K",AN14="P"),2,1)</f>
        <v>0</v>
      </c>
      <c r="CL14" s="73">
        <f>IF(AO14="",0,VLOOKUP(C14,Tables!$B$3:$D$36,3,FALSE())*Y$1)*IF(OR(AO14="K",AO14="P"),2,1)</f>
        <v>0</v>
      </c>
      <c r="CM14" s="73">
        <f>IF(AP14="",0,VLOOKUP(D14,Tables!$B$3:$D$36,3,FALSE())*Z$1)*IF(OR(AP14="K",AP14="P"),2,1)</f>
        <v>0</v>
      </c>
      <c r="CN14" s="87">
        <f>IF(AQ14="",0,VLOOKUP(E14,Tables!$B$3:$D$36,3,FALSE())*AA$1)</f>
        <v>0.15</v>
      </c>
      <c r="CO14" s="73">
        <f>IF(AR14="",0,VLOOKUP(F14,Tables!$B$3:$D$36,3,FALSE())*AB$1)</f>
        <v>0</v>
      </c>
      <c r="CP14" s="73">
        <f>IF(AS14="",0,VLOOKUP(G14,Tables!$B$3:$D$36,3,FALSE())*AC$1)</f>
        <v>0</v>
      </c>
      <c r="CQ14" s="73">
        <f>IF(AT14="",0,VLOOKUP(H14,Tables!$B$3:$D$36,3,FALSE())*AD$1)</f>
        <v>0</v>
      </c>
      <c r="CR14" s="73">
        <f>IF(AU14="",0,VLOOKUP(I14,Tables!$B$3:$D$36,3,FALSE())*AE$1)</f>
        <v>0</v>
      </c>
      <c r="CS14" s="87">
        <f>IF(AV14="",0,VLOOKUP(J14,Tables!$B$3:$D$36,3,FALSE())*AF$1)</f>
        <v>0.6</v>
      </c>
      <c r="CT14" s="73">
        <f>IF(AW14="",0,VLOOKUP(K14,Tables!$B$3:$D$36,3,FALSE())*AG$1)</f>
        <v>0.6</v>
      </c>
      <c r="CU14" s="73">
        <f>IF(AX14="",0,VLOOKUP(L14,Tables!$B$3:$D$36,3,FALSE())*AH$1)</f>
        <v>0.5</v>
      </c>
      <c r="CV14" s="87">
        <f>IF(AY14="",0,VLOOKUP(M14,Tables!$B$3:$D$36,3,FALSE())*AI$1)</f>
        <v>0.70000000000000007</v>
      </c>
      <c r="CW14" s="73">
        <f>IF(AZ14="",0,VLOOKUP(N14,Tables!$B$3:$D$36,3,FALSE())*AJ$1)</f>
        <v>0.15</v>
      </c>
      <c r="CX14" s="73">
        <f>IF(BA14="",0,VLOOKUP(O14,Tables!$B$3:$D$36,3,FALSE())*AK$1)</f>
        <v>0.6</v>
      </c>
      <c r="CY14" s="88">
        <f>IF(BB14="",0,VLOOKUP(P14,Tables!$B$3:$D$36,3,FALSE())*AL$1)</f>
        <v>0</v>
      </c>
      <c r="CZ14" s="89">
        <f t="shared" si="40"/>
        <v>0</v>
      </c>
      <c r="DA14" s="75">
        <f t="shared" si="41"/>
        <v>0</v>
      </c>
      <c r="DB14" s="75">
        <f t="shared" si="42"/>
        <v>0</v>
      </c>
      <c r="DC14" s="89">
        <f t="shared" si="43"/>
        <v>1</v>
      </c>
      <c r="DD14" s="75">
        <f t="shared" si="44"/>
        <v>0</v>
      </c>
      <c r="DE14" s="75">
        <f t="shared" si="45"/>
        <v>0</v>
      </c>
      <c r="DF14" s="75">
        <f t="shared" si="46"/>
        <v>0</v>
      </c>
      <c r="DG14" s="75">
        <f t="shared" si="47"/>
        <v>0</v>
      </c>
      <c r="DH14" s="89">
        <f t="shared" si="48"/>
        <v>1</v>
      </c>
      <c r="DI14" s="75">
        <f t="shared" si="49"/>
        <v>1</v>
      </c>
      <c r="DJ14" s="75">
        <f t="shared" si="50"/>
        <v>1</v>
      </c>
      <c r="DK14" s="89">
        <f t="shared" si="51"/>
        <v>1</v>
      </c>
      <c r="DL14" s="75">
        <f t="shared" si="52"/>
        <v>1</v>
      </c>
      <c r="DM14" s="75">
        <f t="shared" si="53"/>
        <v>1</v>
      </c>
      <c r="DN14" s="90">
        <f t="shared" si="54"/>
        <v>0</v>
      </c>
      <c r="DO14" s="91">
        <f>IF(AN14="",0,VLOOKUP(B14,Tables!$B$3:$M$36,11,FALSE())*X$1)</f>
        <v>0</v>
      </c>
      <c r="DP14" s="92">
        <f>IF(AO14="",0,VLOOKUP(C14,Tables!$B$3:$M$36,11,FALSE())*Y$1)</f>
        <v>0</v>
      </c>
      <c r="DQ14" s="92">
        <f>IF(AP14="",0,VLOOKUP(D14,Tables!$B$3:$M$36,11,FALSE())*Z$1)</f>
        <v>0</v>
      </c>
      <c r="DR14" s="91">
        <f>IF(AQ14="",0,VLOOKUP(E14,Tables!$B$3:$M$36,11,FALSE())*AA$1)</f>
        <v>0.6</v>
      </c>
      <c r="DS14" s="92">
        <f>IF(AR14="",0,VLOOKUP(F14,Tables!$B$3:$M$36,11,FALSE())*AB$1)</f>
        <v>0</v>
      </c>
      <c r="DT14" s="92">
        <f>IF(AS14="",0,VLOOKUP(G14,Tables!$B$3:$M$36,11,FALSE())*AC$1)</f>
        <v>0</v>
      </c>
      <c r="DU14" s="92">
        <f>IF(AT14="",0,VLOOKUP(H14,Tables!$B$3:$M$36,11,FALSE())*AD$1)</f>
        <v>0</v>
      </c>
      <c r="DV14" s="92">
        <f>IF(AU14="",0,VLOOKUP(I14,Tables!$B$3:$M$36,11,FALSE())*AE$1)</f>
        <v>0</v>
      </c>
      <c r="DW14" s="91">
        <f>IF(AV14="",0,VLOOKUP(J14,Tables!$B$3:$M$36,11,FALSE())*AF$1)</f>
        <v>2.4</v>
      </c>
      <c r="DX14" s="92">
        <f>IF(AW14="",0,VLOOKUP(K14,Tables!$B$3:$M$36,11,FALSE())*AG$1)</f>
        <v>2.4</v>
      </c>
      <c r="DY14" s="92">
        <f>IF(AX14="",0,VLOOKUP(L14,Tables!$B$3:$M$36,11,FALSE())*AH$1)</f>
        <v>2</v>
      </c>
      <c r="DZ14" s="91">
        <f>IF(AY14="",0,VLOOKUP(M14,Tables!$B$3:$M$36,11,FALSE())*AI$1)</f>
        <v>2.8000000000000003</v>
      </c>
      <c r="EA14" s="92">
        <f>IF(AZ14="",0,VLOOKUP(N14,Tables!$B$3:$M$36,11,FALSE())*AJ$1)</f>
        <v>0.6</v>
      </c>
      <c r="EB14" s="92">
        <f>IF(BA14="",0,VLOOKUP(O14,Tables!$B$3:$M$36,11,FALSE())*AK$1)</f>
        <v>2.4</v>
      </c>
      <c r="EC14" s="93">
        <f>IF(BB14="",0,VLOOKUP(P14,Tables!$B$3:$M$36,11,FALSE())*AL$1)</f>
        <v>0</v>
      </c>
      <c r="ED14" s="91">
        <f>IF(AN14="",0,VLOOKUP(B14,Tables!$B$3:$M$36,12,FALSE())*X$1)</f>
        <v>0</v>
      </c>
      <c r="EE14" s="92">
        <f>IF(AO14="",0,VLOOKUP(C14,Tables!$B$3:$M$36,12,FALSE())*Y$1)</f>
        <v>0</v>
      </c>
      <c r="EF14" s="92">
        <f>IF(AP14="",0,VLOOKUP(D14,Tables!$B$3:$M$36,12,FALSE())*Z$1)</f>
        <v>0</v>
      </c>
      <c r="EG14" s="91">
        <f>IF(AQ14="",0,VLOOKUP(E14,Tables!$B$3:$M$36,12,FALSE())*AA$1)</f>
        <v>2.4</v>
      </c>
      <c r="EH14" s="92">
        <f>IF(AR14="",0,VLOOKUP(F14,Tables!$B$3:$M$36,12,FALSE())*AB$1)</f>
        <v>0</v>
      </c>
      <c r="EI14" s="92">
        <f>IF(AS14="",0,VLOOKUP(G14,Tables!$B$3:$M$36,12,FALSE())*AC$1)</f>
        <v>0</v>
      </c>
      <c r="EJ14" s="92">
        <f>IF(AT14="",0,VLOOKUP(H14,Tables!$B$3:$M$36,12,FALSE())*AD$1)</f>
        <v>0</v>
      </c>
      <c r="EK14" s="92">
        <f>IF(AU14="",0,VLOOKUP(I14,Tables!$B$3:$M$36,12,FALSE())*AE$1)</f>
        <v>0</v>
      </c>
      <c r="EL14" s="91">
        <f>IF(AV14="",0,VLOOKUP(J14,Tables!$B$3:$M$36,12,FALSE())*AF$1)</f>
        <v>9.6</v>
      </c>
      <c r="EM14" s="92">
        <f>IF(AW14="",0,VLOOKUP(K14,Tables!$B$3:$M$36,12,FALSE())*AG$1)</f>
        <v>9.6</v>
      </c>
      <c r="EN14" s="92">
        <f>IF(AX14="",0,VLOOKUP(L14,Tables!$B$3:$M$36,12,FALSE())*AH$1)</f>
        <v>8</v>
      </c>
      <c r="EO14" s="91">
        <f>IF(AY14="",0,VLOOKUP(M14,Tables!$B$3:$M$36,12,FALSE())*AI$1)</f>
        <v>11.200000000000001</v>
      </c>
      <c r="EP14" s="92">
        <f>IF(AZ14="",0,VLOOKUP(N14,Tables!$B$3:$M$36,12,FALSE())*AJ$1)</f>
        <v>2.4</v>
      </c>
      <c r="EQ14" s="92">
        <f>IF(BA14="",0,VLOOKUP(O14,Tables!$B$3:$M$36,12,FALSE())*AK$1)</f>
        <v>9.6</v>
      </c>
      <c r="ER14" s="93">
        <f>IF(BB14="",0,VLOOKUP(P14,Tables!$B$3:$M$36,12,FALSE())*AL$1)</f>
        <v>0</v>
      </c>
      <c r="ES14" s="94">
        <f t="shared" si="55"/>
        <v>0</v>
      </c>
      <c r="ET14" s="95">
        <f>IF(AN14="",10,MIN(VLOOKUP(B14,Tables!$B$3:$N$34,13,FALSE()),'Item Builder'!$W14))</f>
        <v>10</v>
      </c>
      <c r="EU14" s="95">
        <f>IF(AO14="",10,MIN(VLOOKUP(C14,Tables!$B$3:$N$34,13,FALSE()),'Item Builder'!$W14))</f>
        <v>10</v>
      </c>
      <c r="EV14" s="95">
        <f>IF(AP14="",10,MIN(VLOOKUP(D14,Tables!$B$3:$N$34,13,FALSE()),'Item Builder'!$W14))</f>
        <v>10</v>
      </c>
      <c r="EW14" s="95">
        <f>IF(AQ14="",10,MIN(VLOOKUP(E14,Tables!$B$3:$N$34,13,FALSE()),'Item Builder'!$W14))</f>
        <v>0</v>
      </c>
      <c r="EX14" s="95">
        <f>IF(AR14="",10,MIN(VLOOKUP(F14,Tables!$B$3:$N$34,13,FALSE()),'Item Builder'!$W14))</f>
        <v>10</v>
      </c>
      <c r="EY14" s="95">
        <f>IF(AS14="",10,MIN(VLOOKUP(G14,Tables!$B$3:$N$34,13,FALSE()),'Item Builder'!$W14))</f>
        <v>10</v>
      </c>
      <c r="EZ14" s="95">
        <f>IF(AT14="",10,MIN(VLOOKUP(H14,Tables!$B$3:$N$34,13,FALSE()),'Item Builder'!$W14))</f>
        <v>10</v>
      </c>
      <c r="FA14" s="95">
        <f>IF(AU14="",10,MIN(VLOOKUP(I14,Tables!$B$3:$N$34,13,FALSE()),'Item Builder'!$W14))</f>
        <v>10</v>
      </c>
      <c r="FB14" s="95">
        <f>IF(AV14="",10,MIN(VLOOKUP(J14,Tables!$B$3:$N$34,13,FALSE()),'Item Builder'!$W14))</f>
        <v>0</v>
      </c>
      <c r="FC14" s="95">
        <f>IF(AW14="",10,MIN(VLOOKUP(K14,Tables!$B$3:$N$34,13,FALSE()),'Item Builder'!$W14))</f>
        <v>0</v>
      </c>
      <c r="FD14" s="95">
        <f>IF(AX14="",10,MIN(VLOOKUP(L14,Tables!$B$3:$N$34,13,FALSE()),'Item Builder'!$W14))</f>
        <v>0</v>
      </c>
      <c r="FE14" s="95">
        <f>IF(AY14="",10,MIN(VLOOKUP(M14,Tables!$B$3:$N$34,13,FALSE()),'Item Builder'!$W14))</f>
        <v>0</v>
      </c>
      <c r="FF14" s="95">
        <f>IF(AZ14="",10,MIN(VLOOKUP(N14,Tables!$B$3:$N$34,13,FALSE()),'Item Builder'!$W14))</f>
        <v>0</v>
      </c>
      <c r="FG14" s="95">
        <f>IF(BA14="",10,MIN(VLOOKUP(O14,Tables!$B$3:$N$34,13,FALSE()),'Item Builder'!$W14))</f>
        <v>0</v>
      </c>
      <c r="FH14" s="98">
        <f>IF(BB14="",10,MIN(VLOOKUP(P14,Tables!$B$3:$N$34,13,FALSE()),'Item Builder'!$W14))</f>
        <v>10</v>
      </c>
      <c r="FJ14" s="2" t="s">
        <v>180</v>
      </c>
      <c r="FK14" s="2"/>
      <c r="FL14" s="31" t="s">
        <v>103</v>
      </c>
      <c r="FM14" s="99"/>
      <c r="FN14" s="1"/>
      <c r="FO14" s="1"/>
      <c r="FP14" s="1"/>
    </row>
    <row r="15" spans="1:172" x14ac:dyDescent="0.25">
      <c r="A15" s="67" t="s">
        <v>181</v>
      </c>
      <c r="B15" s="68"/>
      <c r="C15" s="69"/>
      <c r="D15" s="70"/>
      <c r="E15" s="68" t="s">
        <v>131</v>
      </c>
      <c r="F15" s="69" t="s">
        <v>131</v>
      </c>
      <c r="G15" s="69" t="s">
        <v>131</v>
      </c>
      <c r="H15" s="69" t="s">
        <v>131</v>
      </c>
      <c r="I15" s="70"/>
      <c r="J15" s="68" t="s">
        <v>131</v>
      </c>
      <c r="K15" s="69" t="s">
        <v>131</v>
      </c>
      <c r="L15" s="70" t="s">
        <v>131</v>
      </c>
      <c r="M15" s="68" t="s">
        <v>131</v>
      </c>
      <c r="N15" s="69" t="s">
        <v>131</v>
      </c>
      <c r="O15" s="69" t="s">
        <v>131</v>
      </c>
      <c r="P15" s="71"/>
      <c r="Q15" s="72">
        <f>SUM(BV15:CJ15)*VLOOKUP(W15,Tables!$W$3:$Z$8,4)</f>
        <v>79</v>
      </c>
      <c r="R15" s="73">
        <f t="shared" si="0"/>
        <v>3.95</v>
      </c>
      <c r="S15" s="74">
        <f t="shared" si="1"/>
        <v>0</v>
      </c>
      <c r="T15" s="74">
        <f t="shared" si="2"/>
        <v>0</v>
      </c>
      <c r="U15" s="75">
        <f t="shared" si="3"/>
        <v>15.8</v>
      </c>
      <c r="V15" s="76">
        <f t="shared" si="4"/>
        <v>63.2</v>
      </c>
      <c r="W15" s="77">
        <v>0</v>
      </c>
      <c r="X15" s="78">
        <f t="shared" si="5"/>
        <v>0</v>
      </c>
      <c r="Y15" s="79">
        <f t="shared" si="6"/>
        <v>0</v>
      </c>
      <c r="Z15" s="79">
        <f t="shared" si="7"/>
        <v>0</v>
      </c>
      <c r="AA15" s="78">
        <f t="shared" si="8"/>
        <v>1</v>
      </c>
      <c r="AB15" s="79">
        <f t="shared" si="9"/>
        <v>1</v>
      </c>
      <c r="AC15" s="79">
        <f t="shared" si="10"/>
        <v>1</v>
      </c>
      <c r="AD15" s="79">
        <f t="shared" si="11"/>
        <v>1</v>
      </c>
      <c r="AE15" s="79">
        <f t="shared" si="12"/>
        <v>0</v>
      </c>
      <c r="AF15" s="78">
        <f t="shared" si="13"/>
        <v>1</v>
      </c>
      <c r="AG15" s="79">
        <f t="shared" si="14"/>
        <v>1</v>
      </c>
      <c r="AH15" s="79">
        <f t="shared" si="15"/>
        <v>1</v>
      </c>
      <c r="AI15" s="78">
        <f t="shared" si="16"/>
        <v>1</v>
      </c>
      <c r="AJ15" s="79">
        <f t="shared" si="17"/>
        <v>1</v>
      </c>
      <c r="AK15" s="79">
        <f t="shared" si="18"/>
        <v>1</v>
      </c>
      <c r="AL15" s="80">
        <f t="shared" si="19"/>
        <v>0</v>
      </c>
      <c r="AM15" s="81">
        <f t="shared" si="20"/>
        <v>0.79</v>
      </c>
      <c r="AN15" s="82" t="str">
        <f t="shared" si="21"/>
        <v/>
      </c>
      <c r="AO15" s="79" t="str">
        <f t="shared" si="22"/>
        <v/>
      </c>
      <c r="AP15" t="str">
        <f t="shared" si="23"/>
        <v/>
      </c>
      <c r="AQ15" s="82" t="str">
        <f t="shared" si="24"/>
        <v>C</v>
      </c>
      <c r="AR15" t="str">
        <f t="shared" si="25"/>
        <v>C</v>
      </c>
      <c r="AS15" t="str">
        <f t="shared" si="26"/>
        <v>C</v>
      </c>
      <c r="AT15" t="str">
        <f t="shared" si="27"/>
        <v>C</v>
      </c>
      <c r="AU15" t="str">
        <f t="shared" si="28"/>
        <v/>
      </c>
      <c r="AV15" s="82" t="str">
        <f t="shared" si="29"/>
        <v>C</v>
      </c>
      <c r="AW15" t="str">
        <f t="shared" si="30"/>
        <v>C</v>
      </c>
      <c r="AX15" t="str">
        <f t="shared" si="31"/>
        <v>C</v>
      </c>
      <c r="AY15" s="82" t="str">
        <f t="shared" si="32"/>
        <v>C</v>
      </c>
      <c r="AZ15" t="str">
        <f t="shared" si="33"/>
        <v>C</v>
      </c>
      <c r="BA15" t="str">
        <f t="shared" si="34"/>
        <v>C</v>
      </c>
      <c r="BB15" s="83" t="str">
        <f t="shared" si="35"/>
        <v/>
      </c>
      <c r="BC15" s="84">
        <f t="shared" si="36"/>
        <v>0</v>
      </c>
      <c r="BD15" s="84">
        <f t="shared" si="37"/>
        <v>0.76190476190476186</v>
      </c>
      <c r="BE15" s="84">
        <f t="shared" si="38"/>
        <v>1</v>
      </c>
      <c r="BF15" s="84">
        <f t="shared" si="39"/>
        <v>0.80555555555555558</v>
      </c>
      <c r="BG15" s="78">
        <f>IF(AN15="",0,VLOOKUP(AN15,Tables!$AB$3:$AC$12,2))</f>
        <v>0</v>
      </c>
      <c r="BH15" s="79">
        <f>IF(AO15="",0,VLOOKUP(AO15,Tables!$AB$3:$AC$12,2))</f>
        <v>0</v>
      </c>
      <c r="BI15" s="79">
        <f>IF(AP15="",0,VLOOKUP(AP15,Tables!$AB$3:$AC$12,2))</f>
        <v>0</v>
      </c>
      <c r="BJ15" s="78">
        <f>IF(AQ15="",0,VLOOKUP(AQ15,Tables!$AB$3:$AC$12,2))</f>
        <v>1</v>
      </c>
      <c r="BK15" s="79">
        <f>IF(AR15="",0,VLOOKUP(AR15,Tables!$AB$3:$AC$12,2))</f>
        <v>1</v>
      </c>
      <c r="BL15" s="79">
        <f>IF(AS15="",0,VLOOKUP(AS15,Tables!$AB$3:$AC$12,2))</f>
        <v>1</v>
      </c>
      <c r="BM15" s="79">
        <f>IF(AT15="",0,VLOOKUP(AT15,Tables!$AB$3:$AC$12,2))</f>
        <v>1</v>
      </c>
      <c r="BN15" s="79">
        <f>IF(AU15="",0,VLOOKUP(AU15,Tables!$AB$3:$AC$12,2))</f>
        <v>0</v>
      </c>
      <c r="BO15" s="78">
        <f>IF(AV15="",0,VLOOKUP(AV15,Tables!$AB$3:$AC$12,2))</f>
        <v>1</v>
      </c>
      <c r="BP15" s="79">
        <f>IF(AW15="",0,VLOOKUP(AW15,Tables!$AB$3:$AC$12,2))</f>
        <v>1</v>
      </c>
      <c r="BQ15" s="79">
        <f>IF(AX15="",0,VLOOKUP(AX15,Tables!$AB$3:$AC$12,2))</f>
        <v>1</v>
      </c>
      <c r="BR15" s="78">
        <f>IF(AY15="",0,VLOOKUP(AY15,Tables!$AB$3:$AC$12,2))</f>
        <v>1</v>
      </c>
      <c r="BS15" s="79">
        <f>IF(AZ15="",0,VLOOKUP(AZ15,Tables!$AB$3:$AC$12,2))</f>
        <v>1</v>
      </c>
      <c r="BT15" s="79">
        <f>IF(BA15="",0,VLOOKUP(BA15,Tables!$AB$3:$AC$12,2))</f>
        <v>1</v>
      </c>
      <c r="BU15" s="80">
        <f>IF(BB15="",0,VLOOKUP(BB15,Tables!$AB$3:$AC$12,2))</f>
        <v>0</v>
      </c>
      <c r="BV15" s="85">
        <f>IF(AN15="",0,VLOOKUP(B15,Tables!$B$3:$D$36,2,FALSE())*X$1)</f>
        <v>0</v>
      </c>
      <c r="BW15" s="72">
        <f>IF(AO15="",0,VLOOKUP(C15,Tables!$B$3:$D$36,2,FALSE())*Y$1)</f>
        <v>0</v>
      </c>
      <c r="BX15" s="72">
        <f>IF(AP15="",0,VLOOKUP(D15,Tables!$B$3:$D$36,2,FALSE())*Z$1)</f>
        <v>0</v>
      </c>
      <c r="BY15" s="85">
        <f>IF(AQ15="",0,VLOOKUP(E15,Tables!$B$3:$D$36,2,FALSE())*AA$1)</f>
        <v>3</v>
      </c>
      <c r="BZ15" s="72">
        <f>IF(AR15="",0,VLOOKUP(F15,Tables!$B$3:$D$36,2,FALSE())*AB$1)</f>
        <v>6</v>
      </c>
      <c r="CA15" s="72">
        <f>IF(AS15="",0,VLOOKUP(G15,Tables!$B$3:$D$36,2,FALSE())*AC$1)</f>
        <v>2</v>
      </c>
      <c r="CB15" s="72">
        <f>IF(AT15="",0,VLOOKUP(H15,Tables!$B$3:$D$36,2,FALSE())*AD$1)</f>
        <v>5</v>
      </c>
      <c r="CC15" s="72">
        <f>IF(AU15="",0,VLOOKUP(I15,Tables!$B$3:$D$36,2,FALSE())*AE$1)</f>
        <v>0</v>
      </c>
      <c r="CD15" s="85">
        <f>IF(AV15="",0,VLOOKUP(J15,Tables!$B$3:$D$36,2,FALSE())*AF$1)</f>
        <v>12</v>
      </c>
      <c r="CE15" s="72">
        <f>IF(AW15="",0,VLOOKUP(K15,Tables!$B$3:$D$36,2,FALSE())*AG$1)</f>
        <v>12</v>
      </c>
      <c r="CF15" s="72">
        <f>IF(AX15="",0,VLOOKUP(L15,Tables!$B$3:$D$36,2,FALSE())*AH$1)</f>
        <v>10</v>
      </c>
      <c r="CG15" s="85">
        <f>IF(AY15="",0,VLOOKUP(M15,Tables!$B$3:$D$36,2,FALSE())*AI$1)</f>
        <v>14.000000000000002</v>
      </c>
      <c r="CH15" s="72">
        <f>IF(AZ15="",0,VLOOKUP(N15,Tables!$B$3:$D$36,2,FALSE())*AJ$1)</f>
        <v>3</v>
      </c>
      <c r="CI15" s="72">
        <f>IF(BA15="",0,VLOOKUP(O15,Tables!$B$3:$D$36,2,FALSE())*AK$1)</f>
        <v>12</v>
      </c>
      <c r="CJ15" s="86">
        <f>IF(BB15="",0,VLOOKUP(P15,Tables!$B$3:$D$36,2,FALSE())*AL$1)</f>
        <v>0</v>
      </c>
      <c r="CK15" s="87">
        <f>IF(AN15="",0,VLOOKUP(B15,Tables!$B$3:$D$36,3,FALSE())*X$1)*IF(OR(AN15="K",AN15="P"),2,1)</f>
        <v>0</v>
      </c>
      <c r="CL15" s="73">
        <f>IF(AO15="",0,VLOOKUP(C15,Tables!$B$3:$D$36,3,FALSE())*Y$1)*IF(OR(AO15="K",AO15="P"),2,1)</f>
        <v>0</v>
      </c>
      <c r="CM15" s="73">
        <f>IF(AP15="",0,VLOOKUP(D15,Tables!$B$3:$D$36,3,FALSE())*Z$1)*IF(OR(AP15="K",AP15="P"),2,1)</f>
        <v>0</v>
      </c>
      <c r="CN15" s="87">
        <f>IF(AQ15="",0,VLOOKUP(E15,Tables!$B$3:$D$36,3,FALSE())*AA$1)</f>
        <v>0.15</v>
      </c>
      <c r="CO15" s="73">
        <f>IF(AR15="",0,VLOOKUP(F15,Tables!$B$3:$D$36,3,FALSE())*AB$1)</f>
        <v>0.3</v>
      </c>
      <c r="CP15" s="73">
        <f>IF(AS15="",0,VLOOKUP(G15,Tables!$B$3:$D$36,3,FALSE())*AC$1)</f>
        <v>0.1</v>
      </c>
      <c r="CQ15" s="73">
        <f>IF(AT15="",0,VLOOKUP(H15,Tables!$B$3:$D$36,3,FALSE())*AD$1)</f>
        <v>0.25</v>
      </c>
      <c r="CR15" s="73">
        <f>IF(AU15="",0,VLOOKUP(I15,Tables!$B$3:$D$36,3,FALSE())*AE$1)</f>
        <v>0</v>
      </c>
      <c r="CS15" s="87">
        <f>IF(AV15="",0,VLOOKUP(J15,Tables!$B$3:$D$36,3,FALSE())*AF$1)</f>
        <v>0.6</v>
      </c>
      <c r="CT15" s="73">
        <f>IF(AW15="",0,VLOOKUP(K15,Tables!$B$3:$D$36,3,FALSE())*AG$1)</f>
        <v>0.6</v>
      </c>
      <c r="CU15" s="73">
        <f>IF(AX15="",0,VLOOKUP(L15,Tables!$B$3:$D$36,3,FALSE())*AH$1)</f>
        <v>0.5</v>
      </c>
      <c r="CV15" s="87">
        <f>IF(AY15="",0,VLOOKUP(M15,Tables!$B$3:$D$36,3,FALSE())*AI$1)</f>
        <v>0.70000000000000007</v>
      </c>
      <c r="CW15" s="73">
        <f>IF(AZ15="",0,VLOOKUP(N15,Tables!$B$3:$D$36,3,FALSE())*AJ$1)</f>
        <v>0.15</v>
      </c>
      <c r="CX15" s="73">
        <f>IF(BA15="",0,VLOOKUP(O15,Tables!$B$3:$D$36,3,FALSE())*AK$1)</f>
        <v>0.6</v>
      </c>
      <c r="CY15" s="88">
        <f>IF(BB15="",0,VLOOKUP(P15,Tables!$B$3:$D$36,3,FALSE())*AL$1)</f>
        <v>0</v>
      </c>
      <c r="CZ15" s="89">
        <f t="shared" si="40"/>
        <v>0</v>
      </c>
      <c r="DA15" s="75">
        <f t="shared" si="41"/>
        <v>0</v>
      </c>
      <c r="DB15" s="75">
        <f t="shared" si="42"/>
        <v>0</v>
      </c>
      <c r="DC15" s="89">
        <f t="shared" si="43"/>
        <v>1</v>
      </c>
      <c r="DD15" s="75">
        <f t="shared" si="44"/>
        <v>1</v>
      </c>
      <c r="DE15" s="75">
        <f t="shared" si="45"/>
        <v>1</v>
      </c>
      <c r="DF15" s="75">
        <f t="shared" si="46"/>
        <v>1</v>
      </c>
      <c r="DG15" s="75">
        <f t="shared" si="47"/>
        <v>0</v>
      </c>
      <c r="DH15" s="89">
        <f t="shared" si="48"/>
        <v>1</v>
      </c>
      <c r="DI15" s="75">
        <f t="shared" si="49"/>
        <v>1</v>
      </c>
      <c r="DJ15" s="75">
        <f t="shared" si="50"/>
        <v>1</v>
      </c>
      <c r="DK15" s="89">
        <f t="shared" si="51"/>
        <v>1</v>
      </c>
      <c r="DL15" s="75">
        <f t="shared" si="52"/>
        <v>1</v>
      </c>
      <c r="DM15" s="75">
        <f t="shared" si="53"/>
        <v>1</v>
      </c>
      <c r="DN15" s="90">
        <f t="shared" si="54"/>
        <v>0</v>
      </c>
      <c r="DO15" s="91">
        <f>IF(AN15="",0,VLOOKUP(B15,Tables!$B$3:$M$36,11,FALSE())*X$1)</f>
        <v>0</v>
      </c>
      <c r="DP15" s="92">
        <f>IF(AO15="",0,VLOOKUP(C15,Tables!$B$3:$M$36,11,FALSE())*Y$1)</f>
        <v>0</v>
      </c>
      <c r="DQ15" s="92">
        <f>IF(AP15="",0,VLOOKUP(D15,Tables!$B$3:$M$36,11,FALSE())*Z$1)</f>
        <v>0</v>
      </c>
      <c r="DR15" s="91">
        <f>IF(AQ15="",0,VLOOKUP(E15,Tables!$B$3:$M$36,11,FALSE())*AA$1)</f>
        <v>0.6</v>
      </c>
      <c r="DS15" s="92">
        <f>IF(AR15="",0,VLOOKUP(F15,Tables!$B$3:$M$36,11,FALSE())*AB$1)</f>
        <v>1.2</v>
      </c>
      <c r="DT15" s="92">
        <f>IF(AS15="",0,VLOOKUP(G15,Tables!$B$3:$M$36,11,FALSE())*AC$1)</f>
        <v>0.4</v>
      </c>
      <c r="DU15" s="92">
        <f>IF(AT15="",0,VLOOKUP(H15,Tables!$B$3:$M$36,11,FALSE())*AD$1)</f>
        <v>1</v>
      </c>
      <c r="DV15" s="92">
        <f>IF(AU15="",0,VLOOKUP(I15,Tables!$B$3:$M$36,11,FALSE())*AE$1)</f>
        <v>0</v>
      </c>
      <c r="DW15" s="91">
        <f>IF(AV15="",0,VLOOKUP(J15,Tables!$B$3:$M$36,11,FALSE())*AF$1)</f>
        <v>2.4</v>
      </c>
      <c r="DX15" s="92">
        <f>IF(AW15="",0,VLOOKUP(K15,Tables!$B$3:$M$36,11,FALSE())*AG$1)</f>
        <v>2.4</v>
      </c>
      <c r="DY15" s="92">
        <f>IF(AX15="",0,VLOOKUP(L15,Tables!$B$3:$M$36,11,FALSE())*AH$1)</f>
        <v>2</v>
      </c>
      <c r="DZ15" s="91">
        <f>IF(AY15="",0,VLOOKUP(M15,Tables!$B$3:$M$36,11,FALSE())*AI$1)</f>
        <v>2.8000000000000003</v>
      </c>
      <c r="EA15" s="92">
        <f>IF(AZ15="",0,VLOOKUP(N15,Tables!$B$3:$M$36,11,FALSE())*AJ$1)</f>
        <v>0.6</v>
      </c>
      <c r="EB15" s="92">
        <f>IF(BA15="",0,VLOOKUP(O15,Tables!$B$3:$M$36,11,FALSE())*AK$1)</f>
        <v>2.4</v>
      </c>
      <c r="EC15" s="93">
        <f>IF(BB15="",0,VLOOKUP(P15,Tables!$B$3:$M$36,11,FALSE())*AL$1)</f>
        <v>0</v>
      </c>
      <c r="ED15" s="91">
        <f>IF(AN15="",0,VLOOKUP(B15,Tables!$B$3:$M$36,12,FALSE())*X$1)</f>
        <v>0</v>
      </c>
      <c r="EE15" s="92">
        <f>IF(AO15="",0,VLOOKUP(C15,Tables!$B$3:$M$36,12,FALSE())*Y$1)</f>
        <v>0</v>
      </c>
      <c r="EF15" s="92">
        <f>IF(AP15="",0,VLOOKUP(D15,Tables!$B$3:$M$36,12,FALSE())*Z$1)</f>
        <v>0</v>
      </c>
      <c r="EG15" s="91">
        <f>IF(AQ15="",0,VLOOKUP(E15,Tables!$B$3:$M$36,12,FALSE())*AA$1)</f>
        <v>2.4</v>
      </c>
      <c r="EH15" s="92">
        <f>IF(AR15="",0,VLOOKUP(F15,Tables!$B$3:$M$36,12,FALSE())*AB$1)</f>
        <v>4.8</v>
      </c>
      <c r="EI15" s="92">
        <f>IF(AS15="",0,VLOOKUP(G15,Tables!$B$3:$M$36,12,FALSE())*AC$1)</f>
        <v>1.6</v>
      </c>
      <c r="EJ15" s="92">
        <f>IF(AT15="",0,VLOOKUP(H15,Tables!$B$3:$M$36,12,FALSE())*AD$1)</f>
        <v>4</v>
      </c>
      <c r="EK15" s="92">
        <f>IF(AU15="",0,VLOOKUP(I15,Tables!$B$3:$M$36,12,FALSE())*AE$1)</f>
        <v>0</v>
      </c>
      <c r="EL15" s="91">
        <f>IF(AV15="",0,VLOOKUP(J15,Tables!$B$3:$M$36,12,FALSE())*AF$1)</f>
        <v>9.6</v>
      </c>
      <c r="EM15" s="92">
        <f>IF(AW15="",0,VLOOKUP(K15,Tables!$B$3:$M$36,12,FALSE())*AG$1)</f>
        <v>9.6</v>
      </c>
      <c r="EN15" s="92">
        <f>IF(AX15="",0,VLOOKUP(L15,Tables!$B$3:$M$36,12,FALSE())*AH$1)</f>
        <v>8</v>
      </c>
      <c r="EO15" s="91">
        <f>IF(AY15="",0,VLOOKUP(M15,Tables!$B$3:$M$36,12,FALSE())*AI$1)</f>
        <v>11.200000000000001</v>
      </c>
      <c r="EP15" s="92">
        <f>IF(AZ15="",0,VLOOKUP(N15,Tables!$B$3:$M$36,12,FALSE())*AJ$1)</f>
        <v>2.4</v>
      </c>
      <c r="EQ15" s="92">
        <f>IF(BA15="",0,VLOOKUP(O15,Tables!$B$3:$M$36,12,FALSE())*AK$1)</f>
        <v>9.6</v>
      </c>
      <c r="ER15" s="93">
        <f>IF(BB15="",0,VLOOKUP(P15,Tables!$B$3:$M$36,12,FALSE())*AL$1)</f>
        <v>0</v>
      </c>
      <c r="ES15" s="94">
        <f t="shared" si="55"/>
        <v>0</v>
      </c>
      <c r="ET15" s="95">
        <f>IF(AN15="",10,MIN(VLOOKUP(B15,Tables!$B$3:$N$34,13,FALSE()),'Item Builder'!$W15))</f>
        <v>10</v>
      </c>
      <c r="EU15" s="95">
        <f>IF(AO15="",10,MIN(VLOOKUP(C15,Tables!$B$3:$N$34,13,FALSE()),'Item Builder'!$W15))</f>
        <v>10</v>
      </c>
      <c r="EV15" s="95">
        <f>IF(AP15="",10,MIN(VLOOKUP(D15,Tables!$B$3:$N$34,13,FALSE()),'Item Builder'!$W15))</f>
        <v>10</v>
      </c>
      <c r="EW15" s="95">
        <f>IF(AQ15="",10,MIN(VLOOKUP(E15,Tables!$B$3:$N$34,13,FALSE()),'Item Builder'!$W15))</f>
        <v>0</v>
      </c>
      <c r="EX15" s="95">
        <f>IF(AR15="",10,MIN(VLOOKUP(F15,Tables!$B$3:$N$34,13,FALSE()),'Item Builder'!$W15))</f>
        <v>0</v>
      </c>
      <c r="EY15" s="95">
        <f>IF(AS15="",10,MIN(VLOOKUP(G15,Tables!$B$3:$N$34,13,FALSE()),'Item Builder'!$W15))</f>
        <v>0</v>
      </c>
      <c r="EZ15" s="95">
        <f>IF(AT15="",10,MIN(VLOOKUP(H15,Tables!$B$3:$N$34,13,FALSE()),'Item Builder'!$W15))</f>
        <v>0</v>
      </c>
      <c r="FA15" s="95">
        <f>IF(AU15="",10,MIN(VLOOKUP(I15,Tables!$B$3:$N$34,13,FALSE()),'Item Builder'!$W15))</f>
        <v>10</v>
      </c>
      <c r="FB15" s="95">
        <f>IF(AV15="",10,MIN(VLOOKUP(J15,Tables!$B$3:$N$34,13,FALSE()),'Item Builder'!$W15))</f>
        <v>0</v>
      </c>
      <c r="FC15" s="95">
        <f>IF(AW15="",10,MIN(VLOOKUP(K15,Tables!$B$3:$N$34,13,FALSE()),'Item Builder'!$W15))</f>
        <v>0</v>
      </c>
      <c r="FD15" s="95">
        <f>IF(AX15="",10,MIN(VLOOKUP(L15,Tables!$B$3:$N$34,13,FALSE()),'Item Builder'!$W15))</f>
        <v>0</v>
      </c>
      <c r="FE15" s="95">
        <f>IF(AY15="",10,MIN(VLOOKUP(M15,Tables!$B$3:$N$34,13,FALSE()),'Item Builder'!$W15))</f>
        <v>0</v>
      </c>
      <c r="FF15" s="95">
        <f>IF(AZ15="",10,MIN(VLOOKUP(N15,Tables!$B$3:$N$34,13,FALSE()),'Item Builder'!$W15))</f>
        <v>0</v>
      </c>
      <c r="FG15" s="95">
        <f>IF(BA15="",10,MIN(VLOOKUP(O15,Tables!$B$3:$N$34,13,FALSE()),'Item Builder'!$W15))</f>
        <v>0</v>
      </c>
      <c r="FH15" s="98">
        <f>IF(BB15="",10,MIN(VLOOKUP(P15,Tables!$B$3:$N$34,13,FALSE()),'Item Builder'!$W15))</f>
        <v>10</v>
      </c>
      <c r="FJ15" s="2" t="s">
        <v>7</v>
      </c>
      <c r="FK15" s="2"/>
      <c r="FL15" s="31" t="s">
        <v>104</v>
      </c>
      <c r="FM15" s="99"/>
      <c r="FN15" s="1"/>
      <c r="FO15" s="1"/>
      <c r="FP15" s="1"/>
    </row>
    <row r="16" spans="1:172" x14ac:dyDescent="0.25">
      <c r="A16" s="67" t="s">
        <v>22</v>
      </c>
      <c r="B16" s="68"/>
      <c r="C16" s="69"/>
      <c r="D16" s="70"/>
      <c r="E16" s="68"/>
      <c r="F16" s="69"/>
      <c r="G16" s="69"/>
      <c r="H16" s="69"/>
      <c r="I16" s="70"/>
      <c r="J16" s="68"/>
      <c r="K16" s="69"/>
      <c r="L16" s="70" t="s">
        <v>131</v>
      </c>
      <c r="M16" s="68" t="s">
        <v>131</v>
      </c>
      <c r="N16" s="69" t="s">
        <v>131</v>
      </c>
      <c r="O16" s="69"/>
      <c r="P16" s="71"/>
      <c r="Q16" s="72">
        <f>SUM(BV16:CJ16)*VLOOKUP(W16,Tables!$W$3:$Z$8,4)</f>
        <v>27</v>
      </c>
      <c r="R16" s="73">
        <f t="shared" si="0"/>
        <v>1.35</v>
      </c>
      <c r="S16" s="74">
        <f t="shared" si="1"/>
        <v>0</v>
      </c>
      <c r="T16" s="74">
        <f t="shared" si="2"/>
        <v>0</v>
      </c>
      <c r="U16" s="75">
        <f t="shared" si="3"/>
        <v>5.4</v>
      </c>
      <c r="V16" s="76">
        <f t="shared" si="4"/>
        <v>21.6</v>
      </c>
      <c r="W16" s="77">
        <v>0</v>
      </c>
      <c r="X16" s="78">
        <f t="shared" si="5"/>
        <v>0</v>
      </c>
      <c r="Y16" s="79">
        <f t="shared" si="6"/>
        <v>0</v>
      </c>
      <c r="Z16" s="79">
        <f t="shared" si="7"/>
        <v>0</v>
      </c>
      <c r="AA16" s="78">
        <f t="shared" si="8"/>
        <v>0</v>
      </c>
      <c r="AB16" s="79">
        <f t="shared" si="9"/>
        <v>0</v>
      </c>
      <c r="AC16" s="79">
        <f t="shared" si="10"/>
        <v>0</v>
      </c>
      <c r="AD16" s="79">
        <f t="shared" si="11"/>
        <v>0</v>
      </c>
      <c r="AE16" s="79">
        <f t="shared" si="12"/>
        <v>0</v>
      </c>
      <c r="AF16" s="78">
        <f t="shared" si="13"/>
        <v>0</v>
      </c>
      <c r="AG16" s="79">
        <f t="shared" si="14"/>
        <v>0</v>
      </c>
      <c r="AH16" s="79">
        <f t="shared" si="15"/>
        <v>1</v>
      </c>
      <c r="AI16" s="78">
        <f t="shared" si="16"/>
        <v>1</v>
      </c>
      <c r="AJ16" s="79">
        <f t="shared" si="17"/>
        <v>1</v>
      </c>
      <c r="AK16" s="79">
        <f t="shared" si="18"/>
        <v>0</v>
      </c>
      <c r="AL16" s="80">
        <f t="shared" si="19"/>
        <v>0</v>
      </c>
      <c r="AM16" s="81">
        <f t="shared" si="20"/>
        <v>0.27</v>
      </c>
      <c r="AN16" s="82" t="str">
        <f t="shared" si="21"/>
        <v/>
      </c>
      <c r="AO16" s="79" t="str">
        <f t="shared" si="22"/>
        <v/>
      </c>
      <c r="AP16" t="str">
        <f t="shared" si="23"/>
        <v/>
      </c>
      <c r="AQ16" s="82" t="str">
        <f t="shared" si="24"/>
        <v/>
      </c>
      <c r="AR16" t="str">
        <f t="shared" si="25"/>
        <v/>
      </c>
      <c r="AS16" t="str">
        <f t="shared" si="26"/>
        <v/>
      </c>
      <c r="AT16" t="str">
        <f t="shared" si="27"/>
        <v/>
      </c>
      <c r="AU16" t="str">
        <f t="shared" si="28"/>
        <v/>
      </c>
      <c r="AV16" s="82" t="str">
        <f t="shared" si="29"/>
        <v/>
      </c>
      <c r="AW16" t="str">
        <f t="shared" si="30"/>
        <v/>
      </c>
      <c r="AX16" t="str">
        <f t="shared" si="31"/>
        <v>C</v>
      </c>
      <c r="AY16" s="82" t="str">
        <f t="shared" si="32"/>
        <v>C</v>
      </c>
      <c r="AZ16" t="str">
        <f t="shared" si="33"/>
        <v>C</v>
      </c>
      <c r="BA16" t="str">
        <f t="shared" si="34"/>
        <v/>
      </c>
      <c r="BB16" s="83" t="str">
        <f t="shared" si="35"/>
        <v/>
      </c>
      <c r="BC16" s="84">
        <f t="shared" si="36"/>
        <v>0</v>
      </c>
      <c r="BD16" s="84">
        <f t="shared" si="37"/>
        <v>0</v>
      </c>
      <c r="BE16" s="84">
        <f t="shared" si="38"/>
        <v>0.29411764705882359</v>
      </c>
      <c r="BF16" s="84">
        <f t="shared" si="39"/>
        <v>0.47222222222222221</v>
      </c>
      <c r="BG16" s="78">
        <f>IF(AN16="",0,VLOOKUP(AN16,Tables!$AB$3:$AC$12,2))</f>
        <v>0</v>
      </c>
      <c r="BH16" s="79">
        <f>IF(AO16="",0,VLOOKUP(AO16,Tables!$AB$3:$AC$12,2))</f>
        <v>0</v>
      </c>
      <c r="BI16" s="79">
        <f>IF(AP16="",0,VLOOKUP(AP16,Tables!$AB$3:$AC$12,2))</f>
        <v>0</v>
      </c>
      <c r="BJ16" s="78">
        <f>IF(AQ16="",0,VLOOKUP(AQ16,Tables!$AB$3:$AC$12,2))</f>
        <v>0</v>
      </c>
      <c r="BK16" s="79">
        <f>IF(AR16="",0,VLOOKUP(AR16,Tables!$AB$3:$AC$12,2))</f>
        <v>0</v>
      </c>
      <c r="BL16" s="79">
        <f>IF(AS16="",0,VLOOKUP(AS16,Tables!$AB$3:$AC$12,2))</f>
        <v>0</v>
      </c>
      <c r="BM16" s="79">
        <f>IF(AT16="",0,VLOOKUP(AT16,Tables!$AB$3:$AC$12,2))</f>
        <v>0</v>
      </c>
      <c r="BN16" s="79">
        <f>IF(AU16="",0,VLOOKUP(AU16,Tables!$AB$3:$AC$12,2))</f>
        <v>0</v>
      </c>
      <c r="BO16" s="78">
        <f>IF(AV16="",0,VLOOKUP(AV16,Tables!$AB$3:$AC$12,2))</f>
        <v>0</v>
      </c>
      <c r="BP16" s="79">
        <f>IF(AW16="",0,VLOOKUP(AW16,Tables!$AB$3:$AC$12,2))</f>
        <v>0</v>
      </c>
      <c r="BQ16" s="79">
        <f>IF(AX16="",0,VLOOKUP(AX16,Tables!$AB$3:$AC$12,2))</f>
        <v>1</v>
      </c>
      <c r="BR16" s="78">
        <f>IF(AY16="",0,VLOOKUP(AY16,Tables!$AB$3:$AC$12,2))</f>
        <v>1</v>
      </c>
      <c r="BS16" s="79">
        <f>IF(AZ16="",0,VLOOKUP(AZ16,Tables!$AB$3:$AC$12,2))</f>
        <v>1</v>
      </c>
      <c r="BT16" s="79">
        <f>IF(BA16="",0,VLOOKUP(BA16,Tables!$AB$3:$AC$12,2))</f>
        <v>0</v>
      </c>
      <c r="BU16" s="80">
        <f>IF(BB16="",0,VLOOKUP(BB16,Tables!$AB$3:$AC$12,2))</f>
        <v>0</v>
      </c>
      <c r="BV16" s="85">
        <f>IF(AN16="",0,VLOOKUP(B16,Tables!$B$3:$D$36,2,FALSE())*X$1)</f>
        <v>0</v>
      </c>
      <c r="BW16" s="72">
        <f>IF(AO16="",0,VLOOKUP(C16,Tables!$B$3:$D$36,2,FALSE())*Y$1)</f>
        <v>0</v>
      </c>
      <c r="BX16" s="72">
        <f>IF(AP16="",0,VLOOKUP(D16,Tables!$B$3:$D$36,2,FALSE())*Z$1)</f>
        <v>0</v>
      </c>
      <c r="BY16" s="85">
        <f>IF(AQ16="",0,VLOOKUP(E16,Tables!$B$3:$D$36,2,FALSE())*AA$1)</f>
        <v>0</v>
      </c>
      <c r="BZ16" s="72">
        <f>IF(AR16="",0,VLOOKUP(F16,Tables!$B$3:$D$36,2,FALSE())*AB$1)</f>
        <v>0</v>
      </c>
      <c r="CA16" s="72">
        <f>IF(AS16="",0,VLOOKUP(G16,Tables!$B$3:$D$36,2,FALSE())*AC$1)</f>
        <v>0</v>
      </c>
      <c r="CB16" s="72">
        <f>IF(AT16="",0,VLOOKUP(H16,Tables!$B$3:$D$36,2,FALSE())*AD$1)</f>
        <v>0</v>
      </c>
      <c r="CC16" s="72">
        <f>IF(AU16="",0,VLOOKUP(I16,Tables!$B$3:$D$36,2,FALSE())*AE$1)</f>
        <v>0</v>
      </c>
      <c r="CD16" s="85">
        <f>IF(AV16="",0,VLOOKUP(J16,Tables!$B$3:$D$36,2,FALSE())*AF$1)</f>
        <v>0</v>
      </c>
      <c r="CE16" s="72">
        <f>IF(AW16="",0,VLOOKUP(K16,Tables!$B$3:$D$36,2,FALSE())*AG$1)</f>
        <v>0</v>
      </c>
      <c r="CF16" s="72">
        <f>IF(AX16="",0,VLOOKUP(L16,Tables!$B$3:$D$36,2,FALSE())*AH$1)</f>
        <v>10</v>
      </c>
      <c r="CG16" s="85">
        <f>IF(AY16="",0,VLOOKUP(M16,Tables!$B$3:$D$36,2,FALSE())*AI$1)</f>
        <v>14.000000000000002</v>
      </c>
      <c r="CH16" s="72">
        <f>IF(AZ16="",0,VLOOKUP(N16,Tables!$B$3:$D$36,2,FALSE())*AJ$1)</f>
        <v>3</v>
      </c>
      <c r="CI16" s="72">
        <f>IF(BA16="",0,VLOOKUP(O16,Tables!$B$3:$D$36,2,FALSE())*AK$1)</f>
        <v>0</v>
      </c>
      <c r="CJ16" s="86">
        <f>IF(BB16="",0,VLOOKUP(P16,Tables!$B$3:$D$36,2,FALSE())*AL$1)</f>
        <v>0</v>
      </c>
      <c r="CK16" s="87">
        <f>IF(AN16="",0,VLOOKUP(B16,Tables!$B$3:$D$36,3,FALSE())*X$1)*IF(OR(AN16="K",AN16="P"),2,1)</f>
        <v>0</v>
      </c>
      <c r="CL16" s="73">
        <f>IF(AO16="",0,VLOOKUP(C16,Tables!$B$3:$D$36,3,FALSE())*Y$1)*IF(OR(AO16="K",AO16="P"),2,1)</f>
        <v>0</v>
      </c>
      <c r="CM16" s="73">
        <f>IF(AP16="",0,VLOOKUP(D16,Tables!$B$3:$D$36,3,FALSE())*Z$1)*IF(OR(AP16="K",AP16="P"),2,1)</f>
        <v>0</v>
      </c>
      <c r="CN16" s="87">
        <f>IF(AQ16="",0,VLOOKUP(E16,Tables!$B$3:$D$36,3,FALSE())*AA$1)</f>
        <v>0</v>
      </c>
      <c r="CO16" s="73">
        <f>IF(AR16="",0,VLOOKUP(F16,Tables!$B$3:$D$36,3,FALSE())*AB$1)</f>
        <v>0</v>
      </c>
      <c r="CP16" s="73">
        <f>IF(AS16="",0,VLOOKUP(G16,Tables!$B$3:$D$36,3,FALSE())*AC$1)</f>
        <v>0</v>
      </c>
      <c r="CQ16" s="73">
        <f>IF(AT16="",0,VLOOKUP(H16,Tables!$B$3:$D$36,3,FALSE())*AD$1)</f>
        <v>0</v>
      </c>
      <c r="CR16" s="73">
        <f>IF(AU16="",0,VLOOKUP(I16,Tables!$B$3:$D$36,3,FALSE())*AE$1)</f>
        <v>0</v>
      </c>
      <c r="CS16" s="87">
        <f>IF(AV16="",0,VLOOKUP(J16,Tables!$B$3:$D$36,3,FALSE())*AF$1)</f>
        <v>0</v>
      </c>
      <c r="CT16" s="73">
        <f>IF(AW16="",0,VLOOKUP(K16,Tables!$B$3:$D$36,3,FALSE())*AG$1)</f>
        <v>0</v>
      </c>
      <c r="CU16" s="73">
        <f>IF(AX16="",0,VLOOKUP(L16,Tables!$B$3:$D$36,3,FALSE())*AH$1)</f>
        <v>0.5</v>
      </c>
      <c r="CV16" s="87">
        <f>IF(AY16="",0,VLOOKUP(M16,Tables!$B$3:$D$36,3,FALSE())*AI$1)</f>
        <v>0.70000000000000007</v>
      </c>
      <c r="CW16" s="73">
        <f>IF(AZ16="",0,VLOOKUP(N16,Tables!$B$3:$D$36,3,FALSE())*AJ$1)</f>
        <v>0.15</v>
      </c>
      <c r="CX16" s="73">
        <f>IF(BA16="",0,VLOOKUP(O16,Tables!$B$3:$D$36,3,FALSE())*AK$1)</f>
        <v>0</v>
      </c>
      <c r="CY16" s="88">
        <f>IF(BB16="",0,VLOOKUP(P16,Tables!$B$3:$D$36,3,FALSE())*AL$1)</f>
        <v>0</v>
      </c>
      <c r="CZ16" s="89">
        <f t="shared" si="40"/>
        <v>0</v>
      </c>
      <c r="DA16" s="75">
        <f t="shared" si="41"/>
        <v>0</v>
      </c>
      <c r="DB16" s="75">
        <f t="shared" si="42"/>
        <v>0</v>
      </c>
      <c r="DC16" s="89">
        <f t="shared" si="43"/>
        <v>0</v>
      </c>
      <c r="DD16" s="75">
        <f t="shared" si="44"/>
        <v>0</v>
      </c>
      <c r="DE16" s="75">
        <f t="shared" si="45"/>
        <v>0</v>
      </c>
      <c r="DF16" s="75">
        <f t="shared" si="46"/>
        <v>0</v>
      </c>
      <c r="DG16" s="75">
        <f t="shared" si="47"/>
        <v>0</v>
      </c>
      <c r="DH16" s="89">
        <f t="shared" si="48"/>
        <v>0</v>
      </c>
      <c r="DI16" s="75">
        <f t="shared" si="49"/>
        <v>0</v>
      </c>
      <c r="DJ16" s="75">
        <f t="shared" si="50"/>
        <v>1</v>
      </c>
      <c r="DK16" s="89">
        <f t="shared" si="51"/>
        <v>1</v>
      </c>
      <c r="DL16" s="75">
        <f t="shared" si="52"/>
        <v>1</v>
      </c>
      <c r="DM16" s="75">
        <f t="shared" si="53"/>
        <v>0</v>
      </c>
      <c r="DN16" s="90">
        <f t="shared" si="54"/>
        <v>0</v>
      </c>
      <c r="DO16" s="91">
        <f>IF(AN16="",0,VLOOKUP(B16,Tables!$B$3:$M$36,11,FALSE())*X$1)</f>
        <v>0</v>
      </c>
      <c r="DP16" s="92">
        <f>IF(AO16="",0,VLOOKUP(C16,Tables!$B$3:$M$36,11,FALSE())*Y$1)</f>
        <v>0</v>
      </c>
      <c r="DQ16" s="92">
        <f>IF(AP16="",0,VLOOKUP(D16,Tables!$B$3:$M$36,11,FALSE())*Z$1)</f>
        <v>0</v>
      </c>
      <c r="DR16" s="91">
        <f>IF(AQ16="",0,VLOOKUP(E16,Tables!$B$3:$M$36,11,FALSE())*AA$1)</f>
        <v>0</v>
      </c>
      <c r="DS16" s="92">
        <f>IF(AR16="",0,VLOOKUP(F16,Tables!$B$3:$M$36,11,FALSE())*AB$1)</f>
        <v>0</v>
      </c>
      <c r="DT16" s="92">
        <f>IF(AS16="",0,VLOOKUP(G16,Tables!$B$3:$M$36,11,FALSE())*AC$1)</f>
        <v>0</v>
      </c>
      <c r="DU16" s="92">
        <f>IF(AT16="",0,VLOOKUP(H16,Tables!$B$3:$M$36,11,FALSE())*AD$1)</f>
        <v>0</v>
      </c>
      <c r="DV16" s="92">
        <f>IF(AU16="",0,VLOOKUP(I16,Tables!$B$3:$M$36,11,FALSE())*AE$1)</f>
        <v>0</v>
      </c>
      <c r="DW16" s="91">
        <f>IF(AV16="",0,VLOOKUP(J16,Tables!$B$3:$M$36,11,FALSE())*AF$1)</f>
        <v>0</v>
      </c>
      <c r="DX16" s="92">
        <f>IF(AW16="",0,VLOOKUP(K16,Tables!$B$3:$M$36,11,FALSE())*AG$1)</f>
        <v>0</v>
      </c>
      <c r="DY16" s="92">
        <f>IF(AX16="",0,VLOOKUP(L16,Tables!$B$3:$M$36,11,FALSE())*AH$1)</f>
        <v>2</v>
      </c>
      <c r="DZ16" s="91">
        <f>IF(AY16="",0,VLOOKUP(M16,Tables!$B$3:$M$36,11,FALSE())*AI$1)</f>
        <v>2.8000000000000003</v>
      </c>
      <c r="EA16" s="92">
        <f>IF(AZ16="",0,VLOOKUP(N16,Tables!$B$3:$M$36,11,FALSE())*AJ$1)</f>
        <v>0.6</v>
      </c>
      <c r="EB16" s="92">
        <f>IF(BA16="",0,VLOOKUP(O16,Tables!$B$3:$M$36,11,FALSE())*AK$1)</f>
        <v>0</v>
      </c>
      <c r="EC16" s="93">
        <f>IF(BB16="",0,VLOOKUP(P16,Tables!$B$3:$M$36,11,FALSE())*AL$1)</f>
        <v>0</v>
      </c>
      <c r="ED16" s="91">
        <f>IF(AN16="",0,VLOOKUP(B16,Tables!$B$3:$M$36,12,FALSE())*X$1)</f>
        <v>0</v>
      </c>
      <c r="EE16" s="92">
        <f>IF(AO16="",0,VLOOKUP(C16,Tables!$B$3:$M$36,12,FALSE())*Y$1)</f>
        <v>0</v>
      </c>
      <c r="EF16" s="92">
        <f>IF(AP16="",0,VLOOKUP(D16,Tables!$B$3:$M$36,12,FALSE())*Z$1)</f>
        <v>0</v>
      </c>
      <c r="EG16" s="91">
        <f>IF(AQ16="",0,VLOOKUP(E16,Tables!$B$3:$M$36,12,FALSE())*AA$1)</f>
        <v>0</v>
      </c>
      <c r="EH16" s="92">
        <f>IF(AR16="",0,VLOOKUP(F16,Tables!$B$3:$M$36,12,FALSE())*AB$1)</f>
        <v>0</v>
      </c>
      <c r="EI16" s="92">
        <f>IF(AS16="",0,VLOOKUP(G16,Tables!$B$3:$M$36,12,FALSE())*AC$1)</f>
        <v>0</v>
      </c>
      <c r="EJ16" s="92">
        <f>IF(AT16="",0,VLOOKUP(H16,Tables!$B$3:$M$36,12,FALSE())*AD$1)</f>
        <v>0</v>
      </c>
      <c r="EK16" s="92">
        <f>IF(AU16="",0,VLOOKUP(I16,Tables!$B$3:$M$36,12,FALSE())*AE$1)</f>
        <v>0</v>
      </c>
      <c r="EL16" s="91">
        <f>IF(AV16="",0,VLOOKUP(J16,Tables!$B$3:$M$36,12,FALSE())*AF$1)</f>
        <v>0</v>
      </c>
      <c r="EM16" s="92">
        <f>IF(AW16="",0,VLOOKUP(K16,Tables!$B$3:$M$36,12,FALSE())*AG$1)</f>
        <v>0</v>
      </c>
      <c r="EN16" s="92">
        <f>IF(AX16="",0,VLOOKUP(L16,Tables!$B$3:$M$36,12,FALSE())*AH$1)</f>
        <v>8</v>
      </c>
      <c r="EO16" s="91">
        <f>IF(AY16="",0,VLOOKUP(M16,Tables!$B$3:$M$36,12,FALSE())*AI$1)</f>
        <v>11.200000000000001</v>
      </c>
      <c r="EP16" s="92">
        <f>IF(AZ16="",0,VLOOKUP(N16,Tables!$B$3:$M$36,12,FALSE())*AJ$1)</f>
        <v>2.4</v>
      </c>
      <c r="EQ16" s="92">
        <f>IF(BA16="",0,VLOOKUP(O16,Tables!$B$3:$M$36,12,FALSE())*AK$1)</f>
        <v>0</v>
      </c>
      <c r="ER16" s="93">
        <f>IF(BB16="",0,VLOOKUP(P16,Tables!$B$3:$M$36,12,FALSE())*AL$1)</f>
        <v>0</v>
      </c>
      <c r="ES16" s="94">
        <f t="shared" si="55"/>
        <v>0</v>
      </c>
      <c r="ET16" s="95">
        <f>IF(AN16="",10,MIN(VLOOKUP(B16,Tables!$B$3:$N$34,13,FALSE()),'Item Builder'!$W16))</f>
        <v>10</v>
      </c>
      <c r="EU16" s="95">
        <f>IF(AO16="",10,MIN(VLOOKUP(C16,Tables!$B$3:$N$34,13,FALSE()),'Item Builder'!$W16))</f>
        <v>10</v>
      </c>
      <c r="EV16" s="95">
        <f>IF(AP16="",10,MIN(VLOOKUP(D16,Tables!$B$3:$N$34,13,FALSE()),'Item Builder'!$W16))</f>
        <v>10</v>
      </c>
      <c r="EW16" s="95">
        <f>IF(AQ16="",10,MIN(VLOOKUP(E16,Tables!$B$3:$N$34,13,FALSE()),'Item Builder'!$W16))</f>
        <v>10</v>
      </c>
      <c r="EX16" s="95">
        <f>IF(AR16="",10,MIN(VLOOKUP(F16,Tables!$B$3:$N$34,13,FALSE()),'Item Builder'!$W16))</f>
        <v>10</v>
      </c>
      <c r="EY16" s="95">
        <f>IF(AS16="",10,MIN(VLOOKUP(G16,Tables!$B$3:$N$34,13,FALSE()),'Item Builder'!$W16))</f>
        <v>10</v>
      </c>
      <c r="EZ16" s="95">
        <f>IF(AT16="",10,MIN(VLOOKUP(H16,Tables!$B$3:$N$34,13,FALSE()),'Item Builder'!$W16))</f>
        <v>10</v>
      </c>
      <c r="FA16" s="95">
        <f>IF(AU16="",10,MIN(VLOOKUP(I16,Tables!$B$3:$N$34,13,FALSE()),'Item Builder'!$W16))</f>
        <v>10</v>
      </c>
      <c r="FB16" s="95">
        <f>IF(AV16="",10,MIN(VLOOKUP(J16,Tables!$B$3:$N$34,13,FALSE()),'Item Builder'!$W16))</f>
        <v>10</v>
      </c>
      <c r="FC16" s="95">
        <f>IF(AW16="",10,MIN(VLOOKUP(K16,Tables!$B$3:$N$34,13,FALSE()),'Item Builder'!$W16))</f>
        <v>10</v>
      </c>
      <c r="FD16" s="95">
        <f>IF(AX16="",10,MIN(VLOOKUP(L16,Tables!$B$3:$N$34,13,FALSE()),'Item Builder'!$W16))</f>
        <v>0</v>
      </c>
      <c r="FE16" s="95">
        <f>IF(AY16="",10,MIN(VLOOKUP(M16,Tables!$B$3:$N$34,13,FALSE()),'Item Builder'!$W16))</f>
        <v>0</v>
      </c>
      <c r="FF16" s="95">
        <f>IF(AZ16="",10,MIN(VLOOKUP(N16,Tables!$B$3:$N$34,13,FALSE()),'Item Builder'!$W16))</f>
        <v>0</v>
      </c>
      <c r="FG16" s="95">
        <f>IF(BA16="",10,MIN(VLOOKUP(O16,Tables!$B$3:$N$34,13,FALSE()),'Item Builder'!$W16))</f>
        <v>10</v>
      </c>
      <c r="FH16" s="98">
        <f>IF(BB16="",10,MIN(VLOOKUP(P16,Tables!$B$3:$N$34,13,FALSE()),'Item Builder'!$W16))</f>
        <v>10</v>
      </c>
      <c r="FJ16" s="2" t="s">
        <v>182</v>
      </c>
      <c r="FK16" s="2"/>
      <c r="FL16" s="31" t="s">
        <v>183</v>
      </c>
      <c r="FM16" s="100" t="s">
        <v>184</v>
      </c>
      <c r="FN16" s="1"/>
      <c r="FO16" s="1"/>
      <c r="FP16" s="1"/>
    </row>
    <row r="17" spans="1:172" x14ac:dyDescent="0.25">
      <c r="A17" s="67" t="s">
        <v>41</v>
      </c>
      <c r="B17" s="68"/>
      <c r="C17" s="69"/>
      <c r="D17" s="70"/>
      <c r="E17" s="68"/>
      <c r="F17" s="69"/>
      <c r="G17" s="69"/>
      <c r="H17" s="69"/>
      <c r="I17" s="70"/>
      <c r="J17" s="68"/>
      <c r="K17" s="69"/>
      <c r="L17" s="70" t="s">
        <v>131</v>
      </c>
      <c r="M17" s="68" t="s">
        <v>131</v>
      </c>
      <c r="N17" s="69" t="s">
        <v>131</v>
      </c>
      <c r="O17" s="69" t="s">
        <v>131</v>
      </c>
      <c r="P17" s="71"/>
      <c r="Q17" s="72">
        <f>SUM(BV17:CJ17)*VLOOKUP(W17,Tables!$W$3:$Z$8,4)</f>
        <v>39</v>
      </c>
      <c r="R17" s="73">
        <f t="shared" si="0"/>
        <v>1.9500000000000002</v>
      </c>
      <c r="S17" s="74">
        <f t="shared" si="1"/>
        <v>0</v>
      </c>
      <c r="T17" s="74">
        <f t="shared" si="2"/>
        <v>0</v>
      </c>
      <c r="U17" s="75">
        <f t="shared" si="3"/>
        <v>7.8000000000000007</v>
      </c>
      <c r="V17" s="76">
        <f t="shared" si="4"/>
        <v>31.200000000000003</v>
      </c>
      <c r="W17" s="77">
        <v>0</v>
      </c>
      <c r="X17" s="78">
        <f t="shared" si="5"/>
        <v>0</v>
      </c>
      <c r="Y17" s="79">
        <f t="shared" si="6"/>
        <v>0</v>
      </c>
      <c r="Z17" s="79">
        <f t="shared" si="7"/>
        <v>0</v>
      </c>
      <c r="AA17" s="78">
        <f t="shared" si="8"/>
        <v>0</v>
      </c>
      <c r="AB17" s="79">
        <f t="shared" si="9"/>
        <v>0</v>
      </c>
      <c r="AC17" s="79">
        <f t="shared" si="10"/>
        <v>0</v>
      </c>
      <c r="AD17" s="79">
        <f t="shared" si="11"/>
        <v>0</v>
      </c>
      <c r="AE17" s="79">
        <f t="shared" si="12"/>
        <v>0</v>
      </c>
      <c r="AF17" s="78">
        <f t="shared" si="13"/>
        <v>0</v>
      </c>
      <c r="AG17" s="79">
        <f t="shared" si="14"/>
        <v>0</v>
      </c>
      <c r="AH17" s="79">
        <f t="shared" si="15"/>
        <v>1</v>
      </c>
      <c r="AI17" s="78">
        <f t="shared" si="16"/>
        <v>1</v>
      </c>
      <c r="AJ17" s="79">
        <f t="shared" si="17"/>
        <v>1</v>
      </c>
      <c r="AK17" s="79">
        <f t="shared" si="18"/>
        <v>1</v>
      </c>
      <c r="AL17" s="80">
        <f t="shared" si="19"/>
        <v>0</v>
      </c>
      <c r="AM17" s="81">
        <f t="shared" si="20"/>
        <v>0.39</v>
      </c>
      <c r="AN17" s="82" t="str">
        <f t="shared" si="21"/>
        <v/>
      </c>
      <c r="AO17" s="79" t="str">
        <f t="shared" si="22"/>
        <v/>
      </c>
      <c r="AP17" t="str">
        <f t="shared" si="23"/>
        <v/>
      </c>
      <c r="AQ17" s="82" t="str">
        <f t="shared" si="24"/>
        <v/>
      </c>
      <c r="AR17" t="str">
        <f t="shared" si="25"/>
        <v/>
      </c>
      <c r="AS17" t="str">
        <f t="shared" si="26"/>
        <v/>
      </c>
      <c r="AT17" t="str">
        <f t="shared" si="27"/>
        <v/>
      </c>
      <c r="AU17" t="str">
        <f t="shared" si="28"/>
        <v/>
      </c>
      <c r="AV17" s="82" t="str">
        <f t="shared" si="29"/>
        <v/>
      </c>
      <c r="AW17" t="str">
        <f t="shared" si="30"/>
        <v/>
      </c>
      <c r="AX17" t="str">
        <f t="shared" si="31"/>
        <v>C</v>
      </c>
      <c r="AY17" s="82" t="str">
        <f t="shared" si="32"/>
        <v>C</v>
      </c>
      <c r="AZ17" t="str">
        <f t="shared" si="33"/>
        <v>C</v>
      </c>
      <c r="BA17" t="str">
        <f t="shared" si="34"/>
        <v>C</v>
      </c>
      <c r="BB17" s="83" t="str">
        <f t="shared" si="35"/>
        <v/>
      </c>
      <c r="BC17" s="84">
        <f t="shared" si="36"/>
        <v>0</v>
      </c>
      <c r="BD17" s="84">
        <f t="shared" si="37"/>
        <v>0</v>
      </c>
      <c r="BE17" s="84">
        <f t="shared" si="38"/>
        <v>0.29411764705882359</v>
      </c>
      <c r="BF17" s="84">
        <f t="shared" si="39"/>
        <v>0.80555555555555558</v>
      </c>
      <c r="BG17" s="78">
        <f>IF(AN17="",0,VLOOKUP(AN17,Tables!$AB$3:$AC$12,2))</f>
        <v>0</v>
      </c>
      <c r="BH17" s="79">
        <f>IF(AO17="",0,VLOOKUP(AO17,Tables!$AB$3:$AC$12,2))</f>
        <v>0</v>
      </c>
      <c r="BI17" s="79">
        <f>IF(AP17="",0,VLOOKUP(AP17,Tables!$AB$3:$AC$12,2))</f>
        <v>0</v>
      </c>
      <c r="BJ17" s="78">
        <f>IF(AQ17="",0,VLOOKUP(AQ17,Tables!$AB$3:$AC$12,2))</f>
        <v>0</v>
      </c>
      <c r="BK17" s="79">
        <f>IF(AR17="",0,VLOOKUP(AR17,Tables!$AB$3:$AC$12,2))</f>
        <v>0</v>
      </c>
      <c r="BL17" s="79">
        <f>IF(AS17="",0,VLOOKUP(AS17,Tables!$AB$3:$AC$12,2))</f>
        <v>0</v>
      </c>
      <c r="BM17" s="79">
        <f>IF(AT17="",0,VLOOKUP(AT17,Tables!$AB$3:$AC$12,2))</f>
        <v>0</v>
      </c>
      <c r="BN17" s="79">
        <f>IF(AU17="",0,VLOOKUP(AU17,Tables!$AB$3:$AC$12,2))</f>
        <v>0</v>
      </c>
      <c r="BO17" s="78">
        <f>IF(AV17="",0,VLOOKUP(AV17,Tables!$AB$3:$AC$12,2))</f>
        <v>0</v>
      </c>
      <c r="BP17" s="79">
        <f>IF(AW17="",0,VLOOKUP(AW17,Tables!$AB$3:$AC$12,2))</f>
        <v>0</v>
      </c>
      <c r="BQ17" s="79">
        <f>IF(AX17="",0,VLOOKUP(AX17,Tables!$AB$3:$AC$12,2))</f>
        <v>1</v>
      </c>
      <c r="BR17" s="78">
        <f>IF(AY17="",0,VLOOKUP(AY17,Tables!$AB$3:$AC$12,2))</f>
        <v>1</v>
      </c>
      <c r="BS17" s="79">
        <f>IF(AZ17="",0,VLOOKUP(AZ17,Tables!$AB$3:$AC$12,2))</f>
        <v>1</v>
      </c>
      <c r="BT17" s="79">
        <f>IF(BA17="",0,VLOOKUP(BA17,Tables!$AB$3:$AC$12,2))</f>
        <v>1</v>
      </c>
      <c r="BU17" s="80">
        <f>IF(BB17="",0,VLOOKUP(BB17,Tables!$AB$3:$AC$12,2))</f>
        <v>0</v>
      </c>
      <c r="BV17" s="85">
        <f>IF(AN17="",0,VLOOKUP(B17,Tables!$B$3:$D$36,2,FALSE())*X$1)</f>
        <v>0</v>
      </c>
      <c r="BW17" s="72">
        <f>IF(AO17="",0,VLOOKUP(C17,Tables!$B$3:$D$36,2,FALSE())*Y$1)</f>
        <v>0</v>
      </c>
      <c r="BX17" s="72">
        <f>IF(AP17="",0,VLOOKUP(D17,Tables!$B$3:$D$36,2,FALSE())*Z$1)</f>
        <v>0</v>
      </c>
      <c r="BY17" s="85">
        <f>IF(AQ17="",0,VLOOKUP(E17,Tables!$B$3:$D$36,2,FALSE())*AA$1)</f>
        <v>0</v>
      </c>
      <c r="BZ17" s="72">
        <f>IF(AR17="",0,VLOOKUP(F17,Tables!$B$3:$D$36,2,FALSE())*AB$1)</f>
        <v>0</v>
      </c>
      <c r="CA17" s="72">
        <f>IF(AS17="",0,VLOOKUP(G17,Tables!$B$3:$D$36,2,FALSE())*AC$1)</f>
        <v>0</v>
      </c>
      <c r="CB17" s="72">
        <f>IF(AT17="",0,VLOOKUP(H17,Tables!$B$3:$D$36,2,FALSE())*AD$1)</f>
        <v>0</v>
      </c>
      <c r="CC17" s="72">
        <f>IF(AU17="",0,VLOOKUP(I17,Tables!$B$3:$D$36,2,FALSE())*AE$1)</f>
        <v>0</v>
      </c>
      <c r="CD17" s="85">
        <f>IF(AV17="",0,VLOOKUP(J17,Tables!$B$3:$D$36,2,FALSE())*AF$1)</f>
        <v>0</v>
      </c>
      <c r="CE17" s="72">
        <f>IF(AW17="",0,VLOOKUP(K17,Tables!$B$3:$D$36,2,FALSE())*AG$1)</f>
        <v>0</v>
      </c>
      <c r="CF17" s="72">
        <f>IF(AX17="",0,VLOOKUP(L17,Tables!$B$3:$D$36,2,FALSE())*AH$1)</f>
        <v>10</v>
      </c>
      <c r="CG17" s="85">
        <f>IF(AY17="",0,VLOOKUP(M17,Tables!$B$3:$D$36,2,FALSE())*AI$1)</f>
        <v>14.000000000000002</v>
      </c>
      <c r="CH17" s="72">
        <f>IF(AZ17="",0,VLOOKUP(N17,Tables!$B$3:$D$36,2,FALSE())*AJ$1)</f>
        <v>3</v>
      </c>
      <c r="CI17" s="72">
        <f>IF(BA17="",0,VLOOKUP(O17,Tables!$B$3:$D$36,2,FALSE())*AK$1)</f>
        <v>12</v>
      </c>
      <c r="CJ17" s="86">
        <f>IF(BB17="",0,VLOOKUP(P17,Tables!$B$3:$D$36,2,FALSE())*AL$1)</f>
        <v>0</v>
      </c>
      <c r="CK17" s="87">
        <f>IF(AN17="",0,VLOOKUP(B17,Tables!$B$3:$D$36,3,FALSE())*X$1)*IF(OR(AN17="K",AN17="P"),2,1)</f>
        <v>0</v>
      </c>
      <c r="CL17" s="73">
        <f>IF(AO17="",0,VLOOKUP(C17,Tables!$B$3:$D$36,3,FALSE())*Y$1)*IF(OR(AO17="K",AO17="P"),2,1)</f>
        <v>0</v>
      </c>
      <c r="CM17" s="73">
        <f>IF(AP17="",0,VLOOKUP(D17,Tables!$B$3:$D$36,3,FALSE())*Z$1)*IF(OR(AP17="K",AP17="P"),2,1)</f>
        <v>0</v>
      </c>
      <c r="CN17" s="87">
        <f>IF(AQ17="",0,VLOOKUP(E17,Tables!$B$3:$D$36,3,FALSE())*AA$1)</f>
        <v>0</v>
      </c>
      <c r="CO17" s="73">
        <f>IF(AR17="",0,VLOOKUP(F17,Tables!$B$3:$D$36,3,FALSE())*AB$1)</f>
        <v>0</v>
      </c>
      <c r="CP17" s="73">
        <f>IF(AS17="",0,VLOOKUP(G17,Tables!$B$3:$D$36,3,FALSE())*AC$1)</f>
        <v>0</v>
      </c>
      <c r="CQ17" s="73">
        <f>IF(AT17="",0,VLOOKUP(H17,Tables!$B$3:$D$36,3,FALSE())*AD$1)</f>
        <v>0</v>
      </c>
      <c r="CR17" s="73">
        <f>IF(AU17="",0,VLOOKUP(I17,Tables!$B$3:$D$36,3,FALSE())*AE$1)</f>
        <v>0</v>
      </c>
      <c r="CS17" s="87">
        <f>IF(AV17="",0,VLOOKUP(J17,Tables!$B$3:$D$36,3,FALSE())*AF$1)</f>
        <v>0</v>
      </c>
      <c r="CT17" s="73">
        <f>IF(AW17="",0,VLOOKUP(K17,Tables!$B$3:$D$36,3,FALSE())*AG$1)</f>
        <v>0</v>
      </c>
      <c r="CU17" s="73">
        <f>IF(AX17="",0,VLOOKUP(L17,Tables!$B$3:$D$36,3,FALSE())*AH$1)</f>
        <v>0.5</v>
      </c>
      <c r="CV17" s="87">
        <f>IF(AY17="",0,VLOOKUP(M17,Tables!$B$3:$D$36,3,FALSE())*AI$1)</f>
        <v>0.70000000000000007</v>
      </c>
      <c r="CW17" s="73">
        <f>IF(AZ17="",0,VLOOKUP(N17,Tables!$B$3:$D$36,3,FALSE())*AJ$1)</f>
        <v>0.15</v>
      </c>
      <c r="CX17" s="73">
        <f>IF(BA17="",0,VLOOKUP(O17,Tables!$B$3:$D$36,3,FALSE())*AK$1)</f>
        <v>0.6</v>
      </c>
      <c r="CY17" s="88">
        <f>IF(BB17="",0,VLOOKUP(P17,Tables!$B$3:$D$36,3,FALSE())*AL$1)</f>
        <v>0</v>
      </c>
      <c r="CZ17" s="89">
        <f t="shared" si="40"/>
        <v>0</v>
      </c>
      <c r="DA17" s="75">
        <f t="shared" si="41"/>
        <v>0</v>
      </c>
      <c r="DB17" s="75">
        <f t="shared" si="42"/>
        <v>0</v>
      </c>
      <c r="DC17" s="89">
        <f t="shared" si="43"/>
        <v>0</v>
      </c>
      <c r="DD17" s="75">
        <f t="shared" si="44"/>
        <v>0</v>
      </c>
      <c r="DE17" s="75">
        <f t="shared" si="45"/>
        <v>0</v>
      </c>
      <c r="DF17" s="75">
        <f t="shared" si="46"/>
        <v>0</v>
      </c>
      <c r="DG17" s="75">
        <f t="shared" si="47"/>
        <v>0</v>
      </c>
      <c r="DH17" s="89">
        <f t="shared" si="48"/>
        <v>0</v>
      </c>
      <c r="DI17" s="75">
        <f t="shared" si="49"/>
        <v>0</v>
      </c>
      <c r="DJ17" s="75">
        <f t="shared" si="50"/>
        <v>1</v>
      </c>
      <c r="DK17" s="89">
        <f t="shared" si="51"/>
        <v>1</v>
      </c>
      <c r="DL17" s="75">
        <f t="shared" si="52"/>
        <v>1</v>
      </c>
      <c r="DM17" s="75">
        <f t="shared" si="53"/>
        <v>1</v>
      </c>
      <c r="DN17" s="90">
        <f t="shared" si="54"/>
        <v>0</v>
      </c>
      <c r="DO17" s="91">
        <f>IF(AN17="",0,VLOOKUP(B17,Tables!$B$3:$M$36,11,FALSE())*X$1)</f>
        <v>0</v>
      </c>
      <c r="DP17" s="92">
        <f>IF(AO17="",0,VLOOKUP(C17,Tables!$B$3:$M$36,11,FALSE())*Y$1)</f>
        <v>0</v>
      </c>
      <c r="DQ17" s="92">
        <f>IF(AP17="",0,VLOOKUP(D17,Tables!$B$3:$M$36,11,FALSE())*Z$1)</f>
        <v>0</v>
      </c>
      <c r="DR17" s="91">
        <f>IF(AQ17="",0,VLOOKUP(E17,Tables!$B$3:$M$36,11,FALSE())*AA$1)</f>
        <v>0</v>
      </c>
      <c r="DS17" s="92">
        <f>IF(AR17="",0,VLOOKUP(F17,Tables!$B$3:$M$36,11,FALSE())*AB$1)</f>
        <v>0</v>
      </c>
      <c r="DT17" s="92">
        <f>IF(AS17="",0,VLOOKUP(G17,Tables!$B$3:$M$36,11,FALSE())*AC$1)</f>
        <v>0</v>
      </c>
      <c r="DU17" s="92">
        <f>IF(AT17="",0,VLOOKUP(H17,Tables!$B$3:$M$36,11,FALSE())*AD$1)</f>
        <v>0</v>
      </c>
      <c r="DV17" s="92">
        <f>IF(AU17="",0,VLOOKUP(I17,Tables!$B$3:$M$36,11,FALSE())*AE$1)</f>
        <v>0</v>
      </c>
      <c r="DW17" s="91">
        <f>IF(AV17="",0,VLOOKUP(J17,Tables!$B$3:$M$36,11,FALSE())*AF$1)</f>
        <v>0</v>
      </c>
      <c r="DX17" s="92">
        <f>IF(AW17="",0,VLOOKUP(K17,Tables!$B$3:$M$36,11,FALSE())*AG$1)</f>
        <v>0</v>
      </c>
      <c r="DY17" s="92">
        <f>IF(AX17="",0,VLOOKUP(L17,Tables!$B$3:$M$36,11,FALSE())*AH$1)</f>
        <v>2</v>
      </c>
      <c r="DZ17" s="91">
        <f>IF(AY17="",0,VLOOKUP(M17,Tables!$B$3:$M$36,11,FALSE())*AI$1)</f>
        <v>2.8000000000000003</v>
      </c>
      <c r="EA17" s="92">
        <f>IF(AZ17="",0,VLOOKUP(N17,Tables!$B$3:$M$36,11,FALSE())*AJ$1)</f>
        <v>0.6</v>
      </c>
      <c r="EB17" s="92">
        <f>IF(BA17="",0,VLOOKUP(O17,Tables!$B$3:$M$36,11,FALSE())*AK$1)</f>
        <v>2.4</v>
      </c>
      <c r="EC17" s="93">
        <f>IF(BB17="",0,VLOOKUP(P17,Tables!$B$3:$M$36,11,FALSE())*AL$1)</f>
        <v>0</v>
      </c>
      <c r="ED17" s="91">
        <f>IF(AN17="",0,VLOOKUP(B17,Tables!$B$3:$M$36,12,FALSE())*X$1)</f>
        <v>0</v>
      </c>
      <c r="EE17" s="92">
        <f>IF(AO17="",0,VLOOKUP(C17,Tables!$B$3:$M$36,12,FALSE())*Y$1)</f>
        <v>0</v>
      </c>
      <c r="EF17" s="92">
        <f>IF(AP17="",0,VLOOKUP(D17,Tables!$B$3:$M$36,12,FALSE())*Z$1)</f>
        <v>0</v>
      </c>
      <c r="EG17" s="91">
        <f>IF(AQ17="",0,VLOOKUP(E17,Tables!$B$3:$M$36,12,FALSE())*AA$1)</f>
        <v>0</v>
      </c>
      <c r="EH17" s="92">
        <f>IF(AR17="",0,VLOOKUP(F17,Tables!$B$3:$M$36,12,FALSE())*AB$1)</f>
        <v>0</v>
      </c>
      <c r="EI17" s="92">
        <f>IF(AS17="",0,VLOOKUP(G17,Tables!$B$3:$M$36,12,FALSE())*AC$1)</f>
        <v>0</v>
      </c>
      <c r="EJ17" s="92">
        <f>IF(AT17="",0,VLOOKUP(H17,Tables!$B$3:$M$36,12,FALSE())*AD$1)</f>
        <v>0</v>
      </c>
      <c r="EK17" s="92">
        <f>IF(AU17="",0,VLOOKUP(I17,Tables!$B$3:$M$36,12,FALSE())*AE$1)</f>
        <v>0</v>
      </c>
      <c r="EL17" s="91">
        <f>IF(AV17="",0,VLOOKUP(J17,Tables!$B$3:$M$36,12,FALSE())*AF$1)</f>
        <v>0</v>
      </c>
      <c r="EM17" s="92">
        <f>IF(AW17="",0,VLOOKUP(K17,Tables!$B$3:$M$36,12,FALSE())*AG$1)</f>
        <v>0</v>
      </c>
      <c r="EN17" s="92">
        <f>IF(AX17="",0,VLOOKUP(L17,Tables!$B$3:$M$36,12,FALSE())*AH$1)</f>
        <v>8</v>
      </c>
      <c r="EO17" s="91">
        <f>IF(AY17="",0,VLOOKUP(M17,Tables!$B$3:$M$36,12,FALSE())*AI$1)</f>
        <v>11.200000000000001</v>
      </c>
      <c r="EP17" s="92">
        <f>IF(AZ17="",0,VLOOKUP(N17,Tables!$B$3:$M$36,12,FALSE())*AJ$1)</f>
        <v>2.4</v>
      </c>
      <c r="EQ17" s="92">
        <f>IF(BA17="",0,VLOOKUP(O17,Tables!$B$3:$M$36,12,FALSE())*AK$1)</f>
        <v>9.6</v>
      </c>
      <c r="ER17" s="93">
        <f>IF(BB17="",0,VLOOKUP(P17,Tables!$B$3:$M$36,12,FALSE())*AL$1)</f>
        <v>0</v>
      </c>
      <c r="ES17" s="94">
        <f t="shared" si="55"/>
        <v>0</v>
      </c>
      <c r="ET17" s="95">
        <f>IF(AN17="",10,MIN(VLOOKUP(B17,Tables!$B$3:$N$34,13,FALSE()),'Item Builder'!$W17))</f>
        <v>10</v>
      </c>
      <c r="EU17" s="95">
        <f>IF(AO17="",10,MIN(VLOOKUP(C17,Tables!$B$3:$N$34,13,FALSE()),'Item Builder'!$W17))</f>
        <v>10</v>
      </c>
      <c r="EV17" s="95">
        <f>IF(AP17="",10,MIN(VLOOKUP(D17,Tables!$B$3:$N$34,13,FALSE()),'Item Builder'!$W17))</f>
        <v>10</v>
      </c>
      <c r="EW17" s="95">
        <f>IF(AQ17="",10,MIN(VLOOKUP(E17,Tables!$B$3:$N$34,13,FALSE()),'Item Builder'!$W17))</f>
        <v>10</v>
      </c>
      <c r="EX17" s="95">
        <f>IF(AR17="",10,MIN(VLOOKUP(F17,Tables!$B$3:$N$34,13,FALSE()),'Item Builder'!$W17))</f>
        <v>10</v>
      </c>
      <c r="EY17" s="95">
        <f>IF(AS17="",10,MIN(VLOOKUP(G17,Tables!$B$3:$N$34,13,FALSE()),'Item Builder'!$W17))</f>
        <v>10</v>
      </c>
      <c r="EZ17" s="95">
        <f>IF(AT17="",10,MIN(VLOOKUP(H17,Tables!$B$3:$N$34,13,FALSE()),'Item Builder'!$W17))</f>
        <v>10</v>
      </c>
      <c r="FA17" s="95">
        <f>IF(AU17="",10,MIN(VLOOKUP(I17,Tables!$B$3:$N$34,13,FALSE()),'Item Builder'!$W17))</f>
        <v>10</v>
      </c>
      <c r="FB17" s="95">
        <f>IF(AV17="",10,MIN(VLOOKUP(J17,Tables!$B$3:$N$34,13,FALSE()),'Item Builder'!$W17))</f>
        <v>10</v>
      </c>
      <c r="FC17" s="95">
        <f>IF(AW17="",10,MIN(VLOOKUP(K17,Tables!$B$3:$N$34,13,FALSE()),'Item Builder'!$W17))</f>
        <v>10</v>
      </c>
      <c r="FD17" s="95">
        <f>IF(AX17="",10,MIN(VLOOKUP(L17,Tables!$B$3:$N$34,13,FALSE()),'Item Builder'!$W17))</f>
        <v>0</v>
      </c>
      <c r="FE17" s="95">
        <f>IF(AY17="",10,MIN(VLOOKUP(M17,Tables!$B$3:$N$34,13,FALSE()),'Item Builder'!$W17))</f>
        <v>0</v>
      </c>
      <c r="FF17" s="95">
        <f>IF(AZ17="",10,MIN(VLOOKUP(N17,Tables!$B$3:$N$34,13,FALSE()),'Item Builder'!$W17))</f>
        <v>0</v>
      </c>
      <c r="FG17" s="95">
        <f>IF(BA17="",10,MIN(VLOOKUP(O17,Tables!$B$3:$N$34,13,FALSE()),'Item Builder'!$W17))</f>
        <v>0</v>
      </c>
      <c r="FH17" s="98">
        <f>IF(BB17="",10,MIN(VLOOKUP(P17,Tables!$B$3:$N$34,13,FALSE()),'Item Builder'!$W17))</f>
        <v>10</v>
      </c>
      <c r="FJ17" s="2" t="s">
        <v>185</v>
      </c>
      <c r="FK17" s="2"/>
      <c r="FL17" s="31" t="s">
        <v>186</v>
      </c>
      <c r="FM17" s="31"/>
    </row>
    <row r="18" spans="1:172" x14ac:dyDescent="0.25">
      <c r="A18" s="67" t="s">
        <v>86</v>
      </c>
      <c r="B18" s="68"/>
      <c r="C18" s="69"/>
      <c r="D18" s="70"/>
      <c r="E18" s="68"/>
      <c r="F18" s="69"/>
      <c r="G18" s="69"/>
      <c r="H18" s="69"/>
      <c r="I18" s="70"/>
      <c r="J18" s="68"/>
      <c r="K18" s="69"/>
      <c r="L18" s="70"/>
      <c r="M18" s="68" t="s">
        <v>131</v>
      </c>
      <c r="N18" s="69" t="s">
        <v>131</v>
      </c>
      <c r="O18" s="69" t="s">
        <v>131</v>
      </c>
      <c r="P18" s="71" t="s">
        <v>131</v>
      </c>
      <c r="Q18" s="72">
        <f>SUM(BV18:CJ18)*VLOOKUP(W18,Tables!$W$3:$Z$8,4)</f>
        <v>36</v>
      </c>
      <c r="R18" s="73">
        <f t="shared" si="0"/>
        <v>1.8000000000000003</v>
      </c>
      <c r="S18" s="74">
        <f t="shared" si="1"/>
        <v>0</v>
      </c>
      <c r="T18" s="74">
        <f t="shared" si="2"/>
        <v>0</v>
      </c>
      <c r="U18" s="75">
        <f t="shared" si="3"/>
        <v>7.2000000000000011</v>
      </c>
      <c r="V18" s="76">
        <f t="shared" si="4"/>
        <v>28.800000000000004</v>
      </c>
      <c r="W18" s="77">
        <v>0</v>
      </c>
      <c r="X18" s="78">
        <f t="shared" si="5"/>
        <v>0</v>
      </c>
      <c r="Y18" s="79">
        <f t="shared" si="6"/>
        <v>0</v>
      </c>
      <c r="Z18" s="79">
        <f t="shared" si="7"/>
        <v>0</v>
      </c>
      <c r="AA18" s="78">
        <f t="shared" si="8"/>
        <v>0</v>
      </c>
      <c r="AB18" s="79">
        <f t="shared" si="9"/>
        <v>0</v>
      </c>
      <c r="AC18" s="79">
        <f t="shared" si="10"/>
        <v>0</v>
      </c>
      <c r="AD18" s="79">
        <f t="shared" si="11"/>
        <v>0</v>
      </c>
      <c r="AE18" s="79">
        <f t="shared" si="12"/>
        <v>0</v>
      </c>
      <c r="AF18" s="78">
        <f t="shared" si="13"/>
        <v>0</v>
      </c>
      <c r="AG18" s="79">
        <f t="shared" si="14"/>
        <v>0</v>
      </c>
      <c r="AH18" s="79">
        <f t="shared" si="15"/>
        <v>0</v>
      </c>
      <c r="AI18" s="78">
        <f t="shared" si="16"/>
        <v>1</v>
      </c>
      <c r="AJ18" s="79">
        <f t="shared" si="17"/>
        <v>1</v>
      </c>
      <c r="AK18" s="79">
        <f t="shared" si="18"/>
        <v>1</v>
      </c>
      <c r="AL18" s="80">
        <f t="shared" si="19"/>
        <v>1</v>
      </c>
      <c r="AM18" s="81">
        <f t="shared" si="20"/>
        <v>0.36000000000000004</v>
      </c>
      <c r="AN18" s="82" t="str">
        <f t="shared" si="21"/>
        <v/>
      </c>
      <c r="AO18" s="79" t="str">
        <f t="shared" si="22"/>
        <v/>
      </c>
      <c r="AP18" t="str">
        <f t="shared" si="23"/>
        <v/>
      </c>
      <c r="AQ18" s="82" t="str">
        <f t="shared" si="24"/>
        <v/>
      </c>
      <c r="AR18" t="str">
        <f t="shared" si="25"/>
        <v/>
      </c>
      <c r="AS18" t="str">
        <f t="shared" si="26"/>
        <v/>
      </c>
      <c r="AT18" t="str">
        <f t="shared" si="27"/>
        <v/>
      </c>
      <c r="AU18" t="str">
        <f t="shared" si="28"/>
        <v/>
      </c>
      <c r="AV18" s="82" t="str">
        <f t="shared" si="29"/>
        <v/>
      </c>
      <c r="AW18" t="str">
        <f t="shared" si="30"/>
        <v/>
      </c>
      <c r="AX18" t="str">
        <f t="shared" si="31"/>
        <v/>
      </c>
      <c r="AY18" s="82" t="str">
        <f t="shared" si="32"/>
        <v>C</v>
      </c>
      <c r="AZ18" t="str">
        <f t="shared" si="33"/>
        <v>C</v>
      </c>
      <c r="BA18" t="str">
        <f t="shared" si="34"/>
        <v>C</v>
      </c>
      <c r="BB18" s="83" t="str">
        <f t="shared" si="35"/>
        <v>C</v>
      </c>
      <c r="BC18" s="84">
        <f t="shared" si="36"/>
        <v>0</v>
      </c>
      <c r="BD18" s="84">
        <f t="shared" si="37"/>
        <v>0</v>
      </c>
      <c r="BE18" s="84">
        <f t="shared" si="38"/>
        <v>0</v>
      </c>
      <c r="BF18" s="84">
        <f t="shared" si="39"/>
        <v>1</v>
      </c>
      <c r="BG18" s="78">
        <f>IF(AN18="",0,VLOOKUP(AN18,Tables!$AB$3:$AC$12,2))</f>
        <v>0</v>
      </c>
      <c r="BH18" s="79">
        <f>IF(AO18="",0,VLOOKUP(AO18,Tables!$AB$3:$AC$12,2))</f>
        <v>0</v>
      </c>
      <c r="BI18" s="79">
        <f>IF(AP18="",0,VLOOKUP(AP18,Tables!$AB$3:$AC$12,2))</f>
        <v>0</v>
      </c>
      <c r="BJ18" s="78">
        <f>IF(AQ18="",0,VLOOKUP(AQ18,Tables!$AB$3:$AC$12,2))</f>
        <v>0</v>
      </c>
      <c r="BK18" s="79">
        <f>IF(AR18="",0,VLOOKUP(AR18,Tables!$AB$3:$AC$12,2))</f>
        <v>0</v>
      </c>
      <c r="BL18" s="79">
        <f>IF(AS18="",0,VLOOKUP(AS18,Tables!$AB$3:$AC$12,2))</f>
        <v>0</v>
      </c>
      <c r="BM18" s="79">
        <f>IF(AT18="",0,VLOOKUP(AT18,Tables!$AB$3:$AC$12,2))</f>
        <v>0</v>
      </c>
      <c r="BN18" s="79">
        <f>IF(AU18="",0,VLOOKUP(AU18,Tables!$AB$3:$AC$12,2))</f>
        <v>0</v>
      </c>
      <c r="BO18" s="78">
        <f>IF(AV18="",0,VLOOKUP(AV18,Tables!$AB$3:$AC$12,2))</f>
        <v>0</v>
      </c>
      <c r="BP18" s="79">
        <f>IF(AW18="",0,VLOOKUP(AW18,Tables!$AB$3:$AC$12,2))</f>
        <v>0</v>
      </c>
      <c r="BQ18" s="79">
        <f>IF(AX18="",0,VLOOKUP(AX18,Tables!$AB$3:$AC$12,2))</f>
        <v>0</v>
      </c>
      <c r="BR18" s="78">
        <f>IF(AY18="",0,VLOOKUP(AY18,Tables!$AB$3:$AC$12,2))</f>
        <v>1</v>
      </c>
      <c r="BS18" s="79">
        <f>IF(AZ18="",0,VLOOKUP(AZ18,Tables!$AB$3:$AC$12,2))</f>
        <v>1</v>
      </c>
      <c r="BT18" s="79">
        <f>IF(BA18="",0,VLOOKUP(BA18,Tables!$AB$3:$AC$12,2))</f>
        <v>1</v>
      </c>
      <c r="BU18" s="80">
        <f>IF(BB18="",0,VLOOKUP(BB18,Tables!$AB$3:$AC$12,2))</f>
        <v>1</v>
      </c>
      <c r="BV18" s="85">
        <f>IF(AN18="",0,VLOOKUP(B18,Tables!$B$3:$D$36,2,FALSE())*X$1)</f>
        <v>0</v>
      </c>
      <c r="BW18" s="72">
        <f>IF(AO18="",0,VLOOKUP(C18,Tables!$B$3:$D$36,2,FALSE())*Y$1)</f>
        <v>0</v>
      </c>
      <c r="BX18" s="72">
        <f>IF(AP18="",0,VLOOKUP(D18,Tables!$B$3:$D$36,2,FALSE())*Z$1)</f>
        <v>0</v>
      </c>
      <c r="BY18" s="85">
        <f>IF(AQ18="",0,VLOOKUP(E18,Tables!$B$3:$D$36,2,FALSE())*AA$1)</f>
        <v>0</v>
      </c>
      <c r="BZ18" s="72">
        <f>IF(AR18="",0,VLOOKUP(F18,Tables!$B$3:$D$36,2,FALSE())*AB$1)</f>
        <v>0</v>
      </c>
      <c r="CA18" s="72">
        <f>IF(AS18="",0,VLOOKUP(G18,Tables!$B$3:$D$36,2,FALSE())*AC$1)</f>
        <v>0</v>
      </c>
      <c r="CB18" s="72">
        <f>IF(AT18="",0,VLOOKUP(H18,Tables!$B$3:$D$36,2,FALSE())*AD$1)</f>
        <v>0</v>
      </c>
      <c r="CC18" s="72">
        <f>IF(AU18="",0,VLOOKUP(I18,Tables!$B$3:$D$36,2,FALSE())*AE$1)</f>
        <v>0</v>
      </c>
      <c r="CD18" s="85">
        <f>IF(AV18="",0,VLOOKUP(J18,Tables!$B$3:$D$36,2,FALSE())*AF$1)</f>
        <v>0</v>
      </c>
      <c r="CE18" s="72">
        <f>IF(AW18="",0,VLOOKUP(K18,Tables!$B$3:$D$36,2,FALSE())*AG$1)</f>
        <v>0</v>
      </c>
      <c r="CF18" s="72">
        <f>IF(AX18="",0,VLOOKUP(L18,Tables!$B$3:$D$36,2,FALSE())*AH$1)</f>
        <v>0</v>
      </c>
      <c r="CG18" s="85">
        <f>IF(AY18="",0,VLOOKUP(M18,Tables!$B$3:$D$36,2,FALSE())*AI$1)</f>
        <v>14.000000000000002</v>
      </c>
      <c r="CH18" s="72">
        <f>IF(AZ18="",0,VLOOKUP(N18,Tables!$B$3:$D$36,2,FALSE())*AJ$1)</f>
        <v>3</v>
      </c>
      <c r="CI18" s="72">
        <f>IF(BA18="",0,VLOOKUP(O18,Tables!$B$3:$D$36,2,FALSE())*AK$1)</f>
        <v>12</v>
      </c>
      <c r="CJ18" s="86">
        <f>IF(BB18="",0,VLOOKUP(P18,Tables!$B$3:$D$36,2,FALSE())*AL$1)</f>
        <v>7.0000000000000009</v>
      </c>
      <c r="CK18" s="87">
        <f>IF(AN18="",0,VLOOKUP(B18,Tables!$B$3:$D$36,3,FALSE())*X$1)*IF(OR(AN18="K",AN18="P"),2,1)</f>
        <v>0</v>
      </c>
      <c r="CL18" s="73">
        <f>IF(AO18="",0,VLOOKUP(C18,Tables!$B$3:$D$36,3,FALSE())*Y$1)*IF(OR(AO18="K",AO18="P"),2,1)</f>
        <v>0</v>
      </c>
      <c r="CM18" s="73">
        <f>IF(AP18="",0,VLOOKUP(D18,Tables!$B$3:$D$36,3,FALSE())*Z$1)*IF(OR(AP18="K",AP18="P"),2,1)</f>
        <v>0</v>
      </c>
      <c r="CN18" s="87">
        <f>IF(AQ18="",0,VLOOKUP(E18,Tables!$B$3:$D$36,3,FALSE())*AA$1)</f>
        <v>0</v>
      </c>
      <c r="CO18" s="73">
        <f>IF(AR18="",0,VLOOKUP(F18,Tables!$B$3:$D$36,3,FALSE())*AB$1)</f>
        <v>0</v>
      </c>
      <c r="CP18" s="73">
        <f>IF(AS18="",0,VLOOKUP(G18,Tables!$B$3:$D$36,3,FALSE())*AC$1)</f>
        <v>0</v>
      </c>
      <c r="CQ18" s="73">
        <f>IF(AT18="",0,VLOOKUP(H18,Tables!$B$3:$D$36,3,FALSE())*AD$1)</f>
        <v>0</v>
      </c>
      <c r="CR18" s="73">
        <f>IF(AU18="",0,VLOOKUP(I18,Tables!$B$3:$D$36,3,FALSE())*AE$1)</f>
        <v>0</v>
      </c>
      <c r="CS18" s="87">
        <f>IF(AV18="",0,VLOOKUP(J18,Tables!$B$3:$D$36,3,FALSE())*AF$1)</f>
        <v>0</v>
      </c>
      <c r="CT18" s="73">
        <f>IF(AW18="",0,VLOOKUP(K18,Tables!$B$3:$D$36,3,FALSE())*AG$1)</f>
        <v>0</v>
      </c>
      <c r="CU18" s="73">
        <f>IF(AX18="",0,VLOOKUP(L18,Tables!$B$3:$D$36,3,FALSE())*AH$1)</f>
        <v>0</v>
      </c>
      <c r="CV18" s="87">
        <f>IF(AY18="",0,VLOOKUP(M18,Tables!$B$3:$D$36,3,FALSE())*AI$1)</f>
        <v>0.70000000000000007</v>
      </c>
      <c r="CW18" s="73">
        <f>IF(AZ18="",0,VLOOKUP(N18,Tables!$B$3:$D$36,3,FALSE())*AJ$1)</f>
        <v>0.15</v>
      </c>
      <c r="CX18" s="73">
        <f>IF(BA18="",0,VLOOKUP(O18,Tables!$B$3:$D$36,3,FALSE())*AK$1)</f>
        <v>0.6</v>
      </c>
      <c r="CY18" s="88">
        <f>IF(BB18="",0,VLOOKUP(P18,Tables!$B$3:$D$36,3,FALSE())*AL$1)</f>
        <v>0.35000000000000003</v>
      </c>
      <c r="CZ18" s="89">
        <f t="shared" si="40"/>
        <v>0</v>
      </c>
      <c r="DA18" s="75">
        <f t="shared" si="41"/>
        <v>0</v>
      </c>
      <c r="DB18" s="75">
        <f t="shared" si="42"/>
        <v>0</v>
      </c>
      <c r="DC18" s="89">
        <f t="shared" si="43"/>
        <v>0</v>
      </c>
      <c r="DD18" s="75">
        <f t="shared" si="44"/>
        <v>0</v>
      </c>
      <c r="DE18" s="75">
        <f t="shared" si="45"/>
        <v>0</v>
      </c>
      <c r="DF18" s="75">
        <f t="shared" si="46"/>
        <v>0</v>
      </c>
      <c r="DG18" s="75">
        <f t="shared" si="47"/>
        <v>0</v>
      </c>
      <c r="DH18" s="89">
        <f t="shared" si="48"/>
        <v>0</v>
      </c>
      <c r="DI18" s="75">
        <f t="shared" si="49"/>
        <v>0</v>
      </c>
      <c r="DJ18" s="75">
        <f t="shared" si="50"/>
        <v>0</v>
      </c>
      <c r="DK18" s="89">
        <f t="shared" si="51"/>
        <v>1</v>
      </c>
      <c r="DL18" s="75">
        <f t="shared" si="52"/>
        <v>1</v>
      </c>
      <c r="DM18" s="75">
        <f t="shared" si="53"/>
        <v>1</v>
      </c>
      <c r="DN18" s="90">
        <f t="shared" si="54"/>
        <v>1</v>
      </c>
      <c r="DO18" s="91">
        <f>IF(AN18="",0,VLOOKUP(B18,Tables!$B$3:$M$36,11,FALSE())*X$1)</f>
        <v>0</v>
      </c>
      <c r="DP18" s="92">
        <f>IF(AO18="",0,VLOOKUP(C18,Tables!$B$3:$M$36,11,FALSE())*Y$1)</f>
        <v>0</v>
      </c>
      <c r="DQ18" s="92">
        <f>IF(AP18="",0,VLOOKUP(D18,Tables!$B$3:$M$36,11,FALSE())*Z$1)</f>
        <v>0</v>
      </c>
      <c r="DR18" s="91">
        <f>IF(AQ18="",0,VLOOKUP(E18,Tables!$B$3:$M$36,11,FALSE())*AA$1)</f>
        <v>0</v>
      </c>
      <c r="DS18" s="92">
        <f>IF(AR18="",0,VLOOKUP(F18,Tables!$B$3:$M$36,11,FALSE())*AB$1)</f>
        <v>0</v>
      </c>
      <c r="DT18" s="92">
        <f>IF(AS18="",0,VLOOKUP(G18,Tables!$B$3:$M$36,11,FALSE())*AC$1)</f>
        <v>0</v>
      </c>
      <c r="DU18" s="92">
        <f>IF(AT18="",0,VLOOKUP(H18,Tables!$B$3:$M$36,11,FALSE())*AD$1)</f>
        <v>0</v>
      </c>
      <c r="DV18" s="92">
        <f>IF(AU18="",0,VLOOKUP(I18,Tables!$B$3:$M$36,11,FALSE())*AE$1)</f>
        <v>0</v>
      </c>
      <c r="DW18" s="91">
        <f>IF(AV18="",0,VLOOKUP(J18,Tables!$B$3:$M$36,11,FALSE())*AF$1)</f>
        <v>0</v>
      </c>
      <c r="DX18" s="92">
        <f>IF(AW18="",0,VLOOKUP(K18,Tables!$B$3:$M$36,11,FALSE())*AG$1)</f>
        <v>0</v>
      </c>
      <c r="DY18" s="92">
        <f>IF(AX18="",0,VLOOKUP(L18,Tables!$B$3:$M$36,11,FALSE())*AH$1)</f>
        <v>0</v>
      </c>
      <c r="DZ18" s="91">
        <f>IF(AY18="",0,VLOOKUP(M18,Tables!$B$3:$M$36,11,FALSE())*AI$1)</f>
        <v>2.8000000000000003</v>
      </c>
      <c r="EA18" s="92">
        <f>IF(AZ18="",0,VLOOKUP(N18,Tables!$B$3:$M$36,11,FALSE())*AJ$1)</f>
        <v>0.6</v>
      </c>
      <c r="EB18" s="92">
        <f>IF(BA18="",0,VLOOKUP(O18,Tables!$B$3:$M$36,11,FALSE())*AK$1)</f>
        <v>2.4</v>
      </c>
      <c r="EC18" s="93">
        <f>IF(BB18="",0,VLOOKUP(P18,Tables!$B$3:$M$36,11,FALSE())*AL$1)</f>
        <v>1.4000000000000001</v>
      </c>
      <c r="ED18" s="91">
        <f>IF(AN18="",0,VLOOKUP(B18,Tables!$B$3:$M$36,12,FALSE())*X$1)</f>
        <v>0</v>
      </c>
      <c r="EE18" s="92">
        <f>IF(AO18="",0,VLOOKUP(C18,Tables!$B$3:$M$36,12,FALSE())*Y$1)</f>
        <v>0</v>
      </c>
      <c r="EF18" s="92">
        <f>IF(AP18="",0,VLOOKUP(D18,Tables!$B$3:$M$36,12,FALSE())*Z$1)</f>
        <v>0</v>
      </c>
      <c r="EG18" s="91">
        <f>IF(AQ18="",0,VLOOKUP(E18,Tables!$B$3:$M$36,12,FALSE())*AA$1)</f>
        <v>0</v>
      </c>
      <c r="EH18" s="92">
        <f>IF(AR18="",0,VLOOKUP(F18,Tables!$B$3:$M$36,12,FALSE())*AB$1)</f>
        <v>0</v>
      </c>
      <c r="EI18" s="92">
        <f>IF(AS18="",0,VLOOKUP(G18,Tables!$B$3:$M$36,12,FALSE())*AC$1)</f>
        <v>0</v>
      </c>
      <c r="EJ18" s="92">
        <f>IF(AT18="",0,VLOOKUP(H18,Tables!$B$3:$M$36,12,FALSE())*AD$1)</f>
        <v>0</v>
      </c>
      <c r="EK18" s="92">
        <f>IF(AU18="",0,VLOOKUP(I18,Tables!$B$3:$M$36,12,FALSE())*AE$1)</f>
        <v>0</v>
      </c>
      <c r="EL18" s="91">
        <f>IF(AV18="",0,VLOOKUP(J18,Tables!$B$3:$M$36,12,FALSE())*AF$1)</f>
        <v>0</v>
      </c>
      <c r="EM18" s="92">
        <f>IF(AW18="",0,VLOOKUP(K18,Tables!$B$3:$M$36,12,FALSE())*AG$1)</f>
        <v>0</v>
      </c>
      <c r="EN18" s="92">
        <f>IF(AX18="",0,VLOOKUP(L18,Tables!$B$3:$M$36,12,FALSE())*AH$1)</f>
        <v>0</v>
      </c>
      <c r="EO18" s="91">
        <f>IF(AY18="",0,VLOOKUP(M18,Tables!$B$3:$M$36,12,FALSE())*AI$1)</f>
        <v>11.200000000000001</v>
      </c>
      <c r="EP18" s="92">
        <f>IF(AZ18="",0,VLOOKUP(N18,Tables!$B$3:$M$36,12,FALSE())*AJ$1)</f>
        <v>2.4</v>
      </c>
      <c r="EQ18" s="92">
        <f>IF(BA18="",0,VLOOKUP(O18,Tables!$B$3:$M$36,12,FALSE())*AK$1)</f>
        <v>9.6</v>
      </c>
      <c r="ER18" s="93">
        <f>IF(BB18="",0,VLOOKUP(P18,Tables!$B$3:$M$36,12,FALSE())*AL$1)</f>
        <v>5.6000000000000005</v>
      </c>
      <c r="ES18" s="94">
        <f t="shared" si="55"/>
        <v>0</v>
      </c>
      <c r="ET18" s="95">
        <f>IF(AN18="",10,MIN(VLOOKUP(B18,Tables!$B$3:$N$34,13,FALSE()),'Item Builder'!$W18))</f>
        <v>10</v>
      </c>
      <c r="EU18" s="95">
        <f>IF(AO18="",10,MIN(VLOOKUP(C18,Tables!$B$3:$N$34,13,FALSE()),'Item Builder'!$W18))</f>
        <v>10</v>
      </c>
      <c r="EV18" s="95">
        <f>IF(AP18="",10,MIN(VLOOKUP(D18,Tables!$B$3:$N$34,13,FALSE()),'Item Builder'!$W18))</f>
        <v>10</v>
      </c>
      <c r="EW18" s="95">
        <f>IF(AQ18="",10,MIN(VLOOKUP(E18,Tables!$B$3:$N$34,13,FALSE()),'Item Builder'!$W18))</f>
        <v>10</v>
      </c>
      <c r="EX18" s="95">
        <f>IF(AR18="",10,MIN(VLOOKUP(F18,Tables!$B$3:$N$34,13,FALSE()),'Item Builder'!$W18))</f>
        <v>10</v>
      </c>
      <c r="EY18" s="95">
        <f>IF(AS18="",10,MIN(VLOOKUP(G18,Tables!$B$3:$N$34,13,FALSE()),'Item Builder'!$W18))</f>
        <v>10</v>
      </c>
      <c r="EZ18" s="95">
        <f>IF(AT18="",10,MIN(VLOOKUP(H18,Tables!$B$3:$N$34,13,FALSE()),'Item Builder'!$W18))</f>
        <v>10</v>
      </c>
      <c r="FA18" s="95">
        <f>IF(AU18="",10,MIN(VLOOKUP(I18,Tables!$B$3:$N$34,13,FALSE()),'Item Builder'!$W18))</f>
        <v>10</v>
      </c>
      <c r="FB18" s="95">
        <f>IF(AV18="",10,MIN(VLOOKUP(J18,Tables!$B$3:$N$34,13,FALSE()),'Item Builder'!$W18))</f>
        <v>10</v>
      </c>
      <c r="FC18" s="95">
        <f>IF(AW18="",10,MIN(VLOOKUP(K18,Tables!$B$3:$N$34,13,FALSE()),'Item Builder'!$W18))</f>
        <v>10</v>
      </c>
      <c r="FD18" s="95">
        <f>IF(AX18="",10,MIN(VLOOKUP(L18,Tables!$B$3:$N$34,13,FALSE()),'Item Builder'!$W18))</f>
        <v>10</v>
      </c>
      <c r="FE18" s="95">
        <f>IF(AY18="",10,MIN(VLOOKUP(M18,Tables!$B$3:$N$34,13,FALSE()),'Item Builder'!$W18))</f>
        <v>0</v>
      </c>
      <c r="FF18" s="95">
        <f>IF(AZ18="",10,MIN(VLOOKUP(N18,Tables!$B$3:$N$34,13,FALSE()),'Item Builder'!$W18))</f>
        <v>0</v>
      </c>
      <c r="FG18" s="95">
        <f>IF(BA18="",10,MIN(VLOOKUP(O18,Tables!$B$3:$N$34,13,FALSE()),'Item Builder'!$W18))</f>
        <v>0</v>
      </c>
      <c r="FH18" s="98">
        <f>IF(BB18="",10,MIN(VLOOKUP(P18,Tables!$B$3:$N$34,13,FALSE()),'Item Builder'!$W18))</f>
        <v>0</v>
      </c>
      <c r="FJ18" s="2" t="s">
        <v>187</v>
      </c>
      <c r="FK18" s="2"/>
      <c r="FL18" s="31" t="s">
        <v>188</v>
      </c>
      <c r="FM18" s="31"/>
    </row>
    <row r="19" spans="1:172" x14ac:dyDescent="0.25">
      <c r="A19" s="67" t="s">
        <v>26</v>
      </c>
      <c r="B19" s="68"/>
      <c r="C19" s="69"/>
      <c r="D19" s="70"/>
      <c r="E19" s="68"/>
      <c r="F19" s="69"/>
      <c r="G19" s="69"/>
      <c r="H19" s="69"/>
      <c r="I19" s="70"/>
      <c r="J19" s="68"/>
      <c r="K19" s="69"/>
      <c r="L19" s="70"/>
      <c r="M19" s="68"/>
      <c r="N19" s="69"/>
      <c r="O19" s="69" t="s">
        <v>131</v>
      </c>
      <c r="P19" s="71" t="s">
        <v>131</v>
      </c>
      <c r="Q19" s="72">
        <f>SUM(BV19:CJ19)*VLOOKUP(W19,Tables!$W$3:$Z$8,4)</f>
        <v>19</v>
      </c>
      <c r="R19" s="73">
        <f t="shared" si="0"/>
        <v>0.95</v>
      </c>
      <c r="S19" s="74">
        <f t="shared" si="1"/>
        <v>0</v>
      </c>
      <c r="T19" s="74">
        <f t="shared" si="2"/>
        <v>0</v>
      </c>
      <c r="U19" s="75">
        <f t="shared" si="3"/>
        <v>3.8</v>
      </c>
      <c r="V19" s="76">
        <f t="shared" si="4"/>
        <v>15.2</v>
      </c>
      <c r="W19" s="77">
        <v>0</v>
      </c>
      <c r="X19" s="78">
        <f t="shared" si="5"/>
        <v>0</v>
      </c>
      <c r="Y19" s="79">
        <f t="shared" si="6"/>
        <v>0</v>
      </c>
      <c r="Z19" s="79">
        <f t="shared" si="7"/>
        <v>0</v>
      </c>
      <c r="AA19" s="78">
        <f t="shared" si="8"/>
        <v>0</v>
      </c>
      <c r="AB19" s="79">
        <f t="shared" si="9"/>
        <v>0</v>
      </c>
      <c r="AC19" s="79">
        <f t="shared" si="10"/>
        <v>0</v>
      </c>
      <c r="AD19" s="79">
        <f t="shared" si="11"/>
        <v>0</v>
      </c>
      <c r="AE19" s="79">
        <f t="shared" si="12"/>
        <v>0</v>
      </c>
      <c r="AF19" s="78">
        <f t="shared" si="13"/>
        <v>0</v>
      </c>
      <c r="AG19" s="79">
        <f t="shared" si="14"/>
        <v>0</v>
      </c>
      <c r="AH19" s="79">
        <f t="shared" si="15"/>
        <v>0</v>
      </c>
      <c r="AI19" s="78">
        <f t="shared" si="16"/>
        <v>0</v>
      </c>
      <c r="AJ19" s="79">
        <f t="shared" si="17"/>
        <v>0</v>
      </c>
      <c r="AK19" s="79">
        <f t="shared" si="18"/>
        <v>1</v>
      </c>
      <c r="AL19" s="80">
        <f t="shared" si="19"/>
        <v>1</v>
      </c>
      <c r="AM19" s="81">
        <f t="shared" si="20"/>
        <v>0.19</v>
      </c>
      <c r="AN19" s="82" t="str">
        <f t="shared" si="21"/>
        <v/>
      </c>
      <c r="AO19" s="79" t="str">
        <f t="shared" si="22"/>
        <v/>
      </c>
      <c r="AP19" t="str">
        <f t="shared" si="23"/>
        <v/>
      </c>
      <c r="AQ19" s="82" t="str">
        <f t="shared" si="24"/>
        <v/>
      </c>
      <c r="AR19" t="str">
        <f t="shared" si="25"/>
        <v/>
      </c>
      <c r="AS19" t="str">
        <f t="shared" si="26"/>
        <v/>
      </c>
      <c r="AT19" t="str">
        <f t="shared" si="27"/>
        <v/>
      </c>
      <c r="AU19" t="str">
        <f t="shared" si="28"/>
        <v/>
      </c>
      <c r="AV19" s="82" t="str">
        <f t="shared" si="29"/>
        <v/>
      </c>
      <c r="AW19" t="str">
        <f t="shared" si="30"/>
        <v/>
      </c>
      <c r="AX19" t="str">
        <f t="shared" si="31"/>
        <v/>
      </c>
      <c r="AY19" s="82" t="str">
        <f t="shared" si="32"/>
        <v/>
      </c>
      <c r="AZ19" t="str">
        <f t="shared" si="33"/>
        <v/>
      </c>
      <c r="BA19" t="str">
        <f t="shared" si="34"/>
        <v>C</v>
      </c>
      <c r="BB19" s="83" t="str">
        <f t="shared" si="35"/>
        <v>C</v>
      </c>
      <c r="BC19" s="84">
        <f t="shared" si="36"/>
        <v>0</v>
      </c>
      <c r="BD19" s="84">
        <f t="shared" si="37"/>
        <v>0</v>
      </c>
      <c r="BE19" s="84">
        <f t="shared" si="38"/>
        <v>0</v>
      </c>
      <c r="BF19" s="84">
        <f t="shared" si="39"/>
        <v>0.52777777777777768</v>
      </c>
      <c r="BG19" s="78">
        <f>IF(AN19="",0,VLOOKUP(AN19,Tables!$AB$3:$AC$12,2))</f>
        <v>0</v>
      </c>
      <c r="BH19" s="79">
        <f>IF(AO19="",0,VLOOKUP(AO19,Tables!$AB$3:$AC$12,2))</f>
        <v>0</v>
      </c>
      <c r="BI19" s="79">
        <f>IF(AP19="",0,VLOOKUP(AP19,Tables!$AB$3:$AC$12,2))</f>
        <v>0</v>
      </c>
      <c r="BJ19" s="78">
        <f>IF(AQ19="",0,VLOOKUP(AQ19,Tables!$AB$3:$AC$12,2))</f>
        <v>0</v>
      </c>
      <c r="BK19" s="79">
        <f>IF(AR19="",0,VLOOKUP(AR19,Tables!$AB$3:$AC$12,2))</f>
        <v>0</v>
      </c>
      <c r="BL19" s="79">
        <f>IF(AS19="",0,VLOOKUP(AS19,Tables!$AB$3:$AC$12,2))</f>
        <v>0</v>
      </c>
      <c r="BM19" s="79">
        <f>IF(AT19="",0,VLOOKUP(AT19,Tables!$AB$3:$AC$12,2))</f>
        <v>0</v>
      </c>
      <c r="BN19" s="79">
        <f>IF(AU19="",0,VLOOKUP(AU19,Tables!$AB$3:$AC$12,2))</f>
        <v>0</v>
      </c>
      <c r="BO19" s="78">
        <f>IF(AV19="",0,VLOOKUP(AV19,Tables!$AB$3:$AC$12,2))</f>
        <v>0</v>
      </c>
      <c r="BP19" s="79">
        <f>IF(AW19="",0,VLOOKUP(AW19,Tables!$AB$3:$AC$12,2))</f>
        <v>0</v>
      </c>
      <c r="BQ19" s="79">
        <f>IF(AX19="",0,VLOOKUP(AX19,Tables!$AB$3:$AC$12,2))</f>
        <v>0</v>
      </c>
      <c r="BR19" s="78">
        <f>IF(AY19="",0,VLOOKUP(AY19,Tables!$AB$3:$AC$12,2))</f>
        <v>0</v>
      </c>
      <c r="BS19" s="79">
        <f>IF(AZ19="",0,VLOOKUP(AZ19,Tables!$AB$3:$AC$12,2))</f>
        <v>0</v>
      </c>
      <c r="BT19" s="79">
        <f>IF(BA19="",0,VLOOKUP(BA19,Tables!$AB$3:$AC$12,2))</f>
        <v>1</v>
      </c>
      <c r="BU19" s="80">
        <f>IF(BB19="",0,VLOOKUP(BB19,Tables!$AB$3:$AC$12,2))</f>
        <v>1</v>
      </c>
      <c r="BV19" s="85">
        <f>IF(AN19="",0,VLOOKUP(B19,Tables!$B$3:$D$36,2,FALSE())*X$1)</f>
        <v>0</v>
      </c>
      <c r="BW19" s="72">
        <f>IF(AO19="",0,VLOOKUP(C19,Tables!$B$3:$D$36,2,FALSE())*Y$1)</f>
        <v>0</v>
      </c>
      <c r="BX19" s="72">
        <f>IF(AP19="",0,VLOOKUP(D19,Tables!$B$3:$D$36,2,FALSE())*Z$1)</f>
        <v>0</v>
      </c>
      <c r="BY19" s="85">
        <f>IF(AQ19="",0,VLOOKUP(E19,Tables!$B$3:$D$36,2,FALSE())*AA$1)</f>
        <v>0</v>
      </c>
      <c r="BZ19" s="72">
        <f>IF(AR19="",0,VLOOKUP(F19,Tables!$B$3:$D$36,2,FALSE())*AB$1)</f>
        <v>0</v>
      </c>
      <c r="CA19" s="72">
        <f>IF(AS19="",0,VLOOKUP(G19,Tables!$B$3:$D$36,2,FALSE())*AC$1)</f>
        <v>0</v>
      </c>
      <c r="CB19" s="72">
        <f>IF(AT19="",0,VLOOKUP(H19,Tables!$B$3:$D$36,2,FALSE())*AD$1)</f>
        <v>0</v>
      </c>
      <c r="CC19" s="72">
        <f>IF(AU19="",0,VLOOKUP(I19,Tables!$B$3:$D$36,2,FALSE())*AE$1)</f>
        <v>0</v>
      </c>
      <c r="CD19" s="85">
        <f>IF(AV19="",0,VLOOKUP(J19,Tables!$B$3:$D$36,2,FALSE())*AF$1)</f>
        <v>0</v>
      </c>
      <c r="CE19" s="72">
        <f>IF(AW19="",0,VLOOKUP(K19,Tables!$B$3:$D$36,2,FALSE())*AG$1)</f>
        <v>0</v>
      </c>
      <c r="CF19" s="72">
        <f>IF(AX19="",0,VLOOKUP(L19,Tables!$B$3:$D$36,2,FALSE())*AH$1)</f>
        <v>0</v>
      </c>
      <c r="CG19" s="85">
        <f>IF(AY19="",0,VLOOKUP(M19,Tables!$B$3:$D$36,2,FALSE())*AI$1)</f>
        <v>0</v>
      </c>
      <c r="CH19" s="72">
        <f>IF(AZ19="",0,VLOOKUP(N19,Tables!$B$3:$D$36,2,FALSE())*AJ$1)</f>
        <v>0</v>
      </c>
      <c r="CI19" s="72">
        <f>IF(BA19="",0,VLOOKUP(O19,Tables!$B$3:$D$36,2,FALSE())*AK$1)</f>
        <v>12</v>
      </c>
      <c r="CJ19" s="86">
        <f>IF(BB19="",0,VLOOKUP(P19,Tables!$B$3:$D$36,2,FALSE())*AL$1)</f>
        <v>7.0000000000000009</v>
      </c>
      <c r="CK19" s="87">
        <f>IF(AN19="",0,VLOOKUP(B19,Tables!$B$3:$D$36,3,FALSE())*X$1)*IF(OR(AN19="K",AN19="P"),2,1)</f>
        <v>0</v>
      </c>
      <c r="CL19" s="73">
        <f>IF(AO19="",0,VLOOKUP(C19,Tables!$B$3:$D$36,3,FALSE())*Y$1)*IF(OR(AO19="K",AO19="P"),2,1)</f>
        <v>0</v>
      </c>
      <c r="CM19" s="73">
        <f>IF(AP19="",0,VLOOKUP(D19,Tables!$B$3:$D$36,3,FALSE())*Z$1)*IF(OR(AP19="K",AP19="P"),2,1)</f>
        <v>0</v>
      </c>
      <c r="CN19" s="87">
        <f>IF(AQ19="",0,VLOOKUP(E19,Tables!$B$3:$D$36,3,FALSE())*AA$1)</f>
        <v>0</v>
      </c>
      <c r="CO19" s="73">
        <f>IF(AR19="",0,VLOOKUP(F19,Tables!$B$3:$D$36,3,FALSE())*AB$1)</f>
        <v>0</v>
      </c>
      <c r="CP19" s="73">
        <f>IF(AS19="",0,VLOOKUP(G19,Tables!$B$3:$D$36,3,FALSE())*AC$1)</f>
        <v>0</v>
      </c>
      <c r="CQ19" s="73">
        <f>IF(AT19="",0,VLOOKUP(H19,Tables!$B$3:$D$36,3,FALSE())*AD$1)</f>
        <v>0</v>
      </c>
      <c r="CR19" s="73">
        <f>IF(AU19="",0,VLOOKUP(I19,Tables!$B$3:$D$36,3,FALSE())*AE$1)</f>
        <v>0</v>
      </c>
      <c r="CS19" s="87">
        <f>IF(AV19="",0,VLOOKUP(J19,Tables!$B$3:$D$36,3,FALSE())*AF$1)</f>
        <v>0</v>
      </c>
      <c r="CT19" s="73">
        <f>IF(AW19="",0,VLOOKUP(K19,Tables!$B$3:$D$36,3,FALSE())*AG$1)</f>
        <v>0</v>
      </c>
      <c r="CU19" s="73">
        <f>IF(AX19="",0,VLOOKUP(L19,Tables!$B$3:$D$36,3,FALSE())*AH$1)</f>
        <v>0</v>
      </c>
      <c r="CV19" s="87">
        <f>IF(AY19="",0,VLOOKUP(M19,Tables!$B$3:$D$36,3,FALSE())*AI$1)</f>
        <v>0</v>
      </c>
      <c r="CW19" s="73">
        <f>IF(AZ19="",0,VLOOKUP(N19,Tables!$B$3:$D$36,3,FALSE())*AJ$1)</f>
        <v>0</v>
      </c>
      <c r="CX19" s="73">
        <f>IF(BA19="",0,VLOOKUP(O19,Tables!$B$3:$D$36,3,FALSE())*AK$1)</f>
        <v>0.6</v>
      </c>
      <c r="CY19" s="88">
        <f>IF(BB19="",0,VLOOKUP(P19,Tables!$B$3:$D$36,3,FALSE())*AL$1)</f>
        <v>0.35000000000000003</v>
      </c>
      <c r="CZ19" s="89">
        <f t="shared" si="40"/>
        <v>0</v>
      </c>
      <c r="DA19" s="75">
        <f t="shared" si="41"/>
        <v>0</v>
      </c>
      <c r="DB19" s="75">
        <f t="shared" si="42"/>
        <v>0</v>
      </c>
      <c r="DC19" s="89">
        <f t="shared" si="43"/>
        <v>0</v>
      </c>
      <c r="DD19" s="75">
        <f t="shared" si="44"/>
        <v>0</v>
      </c>
      <c r="DE19" s="75">
        <f t="shared" si="45"/>
        <v>0</v>
      </c>
      <c r="DF19" s="75">
        <f t="shared" si="46"/>
        <v>0</v>
      </c>
      <c r="DG19" s="75">
        <f t="shared" si="47"/>
        <v>0</v>
      </c>
      <c r="DH19" s="89">
        <f t="shared" si="48"/>
        <v>0</v>
      </c>
      <c r="DI19" s="75">
        <f t="shared" si="49"/>
        <v>0</v>
      </c>
      <c r="DJ19" s="75">
        <f t="shared" si="50"/>
        <v>0</v>
      </c>
      <c r="DK19" s="89">
        <f t="shared" si="51"/>
        <v>0</v>
      </c>
      <c r="DL19" s="75">
        <f t="shared" si="52"/>
        <v>0</v>
      </c>
      <c r="DM19" s="75">
        <f t="shared" si="53"/>
        <v>1</v>
      </c>
      <c r="DN19" s="90">
        <f t="shared" si="54"/>
        <v>1</v>
      </c>
      <c r="DO19" s="91">
        <f>IF(AN19="",0,VLOOKUP(B19,Tables!$B$3:$M$36,11,FALSE())*X$1)</f>
        <v>0</v>
      </c>
      <c r="DP19" s="92">
        <f>IF(AO19="",0,VLOOKUP(C19,Tables!$B$3:$M$36,11,FALSE())*Y$1)</f>
        <v>0</v>
      </c>
      <c r="DQ19" s="92">
        <f>IF(AP19="",0,VLOOKUP(D19,Tables!$B$3:$M$36,11,FALSE())*Z$1)</f>
        <v>0</v>
      </c>
      <c r="DR19" s="91">
        <f>IF(AQ19="",0,VLOOKUP(E19,Tables!$B$3:$M$36,11,FALSE())*AA$1)</f>
        <v>0</v>
      </c>
      <c r="DS19" s="92">
        <f>IF(AR19="",0,VLOOKUP(F19,Tables!$B$3:$M$36,11,FALSE())*AB$1)</f>
        <v>0</v>
      </c>
      <c r="DT19" s="92">
        <f>IF(AS19="",0,VLOOKUP(G19,Tables!$B$3:$M$36,11,FALSE())*AC$1)</f>
        <v>0</v>
      </c>
      <c r="DU19" s="92">
        <f>IF(AT19="",0,VLOOKUP(H19,Tables!$B$3:$M$36,11,FALSE())*AD$1)</f>
        <v>0</v>
      </c>
      <c r="DV19" s="92">
        <f>IF(AU19="",0,VLOOKUP(I19,Tables!$B$3:$M$36,11,FALSE())*AE$1)</f>
        <v>0</v>
      </c>
      <c r="DW19" s="91">
        <f>IF(AV19="",0,VLOOKUP(J19,Tables!$B$3:$M$36,11,FALSE())*AF$1)</f>
        <v>0</v>
      </c>
      <c r="DX19" s="92">
        <f>IF(AW19="",0,VLOOKUP(K19,Tables!$B$3:$M$36,11,FALSE())*AG$1)</f>
        <v>0</v>
      </c>
      <c r="DY19" s="92">
        <f>IF(AX19="",0,VLOOKUP(L19,Tables!$B$3:$M$36,11,FALSE())*AH$1)</f>
        <v>0</v>
      </c>
      <c r="DZ19" s="91">
        <f>IF(AY19="",0,VLOOKUP(M19,Tables!$B$3:$M$36,11,FALSE())*AI$1)</f>
        <v>0</v>
      </c>
      <c r="EA19" s="92">
        <f>IF(AZ19="",0,VLOOKUP(N19,Tables!$B$3:$M$36,11,FALSE())*AJ$1)</f>
        <v>0</v>
      </c>
      <c r="EB19" s="92">
        <f>IF(BA19="",0,VLOOKUP(O19,Tables!$B$3:$M$36,11,FALSE())*AK$1)</f>
        <v>2.4</v>
      </c>
      <c r="EC19" s="93">
        <f>IF(BB19="",0,VLOOKUP(P19,Tables!$B$3:$M$36,11,FALSE())*AL$1)</f>
        <v>1.4000000000000001</v>
      </c>
      <c r="ED19" s="91">
        <f>IF(AN19="",0,VLOOKUP(B19,Tables!$B$3:$M$36,12,FALSE())*X$1)</f>
        <v>0</v>
      </c>
      <c r="EE19" s="92">
        <f>IF(AO19="",0,VLOOKUP(C19,Tables!$B$3:$M$36,12,FALSE())*Y$1)</f>
        <v>0</v>
      </c>
      <c r="EF19" s="92">
        <f>IF(AP19="",0,VLOOKUP(D19,Tables!$B$3:$M$36,12,FALSE())*Z$1)</f>
        <v>0</v>
      </c>
      <c r="EG19" s="91">
        <f>IF(AQ19="",0,VLOOKUP(E19,Tables!$B$3:$M$36,12,FALSE())*AA$1)</f>
        <v>0</v>
      </c>
      <c r="EH19" s="92">
        <f>IF(AR19="",0,VLOOKUP(F19,Tables!$B$3:$M$36,12,FALSE())*AB$1)</f>
        <v>0</v>
      </c>
      <c r="EI19" s="92">
        <f>IF(AS19="",0,VLOOKUP(G19,Tables!$B$3:$M$36,12,FALSE())*AC$1)</f>
        <v>0</v>
      </c>
      <c r="EJ19" s="92">
        <f>IF(AT19="",0,VLOOKUP(H19,Tables!$B$3:$M$36,12,FALSE())*AD$1)</f>
        <v>0</v>
      </c>
      <c r="EK19" s="92">
        <f>IF(AU19="",0,VLOOKUP(I19,Tables!$B$3:$M$36,12,FALSE())*AE$1)</f>
        <v>0</v>
      </c>
      <c r="EL19" s="91">
        <f>IF(AV19="",0,VLOOKUP(J19,Tables!$B$3:$M$36,12,FALSE())*AF$1)</f>
        <v>0</v>
      </c>
      <c r="EM19" s="92">
        <f>IF(AW19="",0,VLOOKUP(K19,Tables!$B$3:$M$36,12,FALSE())*AG$1)</f>
        <v>0</v>
      </c>
      <c r="EN19" s="92">
        <f>IF(AX19="",0,VLOOKUP(L19,Tables!$B$3:$M$36,12,FALSE())*AH$1)</f>
        <v>0</v>
      </c>
      <c r="EO19" s="91">
        <f>IF(AY19="",0,VLOOKUP(M19,Tables!$B$3:$M$36,12,FALSE())*AI$1)</f>
        <v>0</v>
      </c>
      <c r="EP19" s="92">
        <f>IF(AZ19="",0,VLOOKUP(N19,Tables!$B$3:$M$36,12,FALSE())*AJ$1)</f>
        <v>0</v>
      </c>
      <c r="EQ19" s="92">
        <f>IF(BA19="",0,VLOOKUP(O19,Tables!$B$3:$M$36,12,FALSE())*AK$1)</f>
        <v>9.6</v>
      </c>
      <c r="ER19" s="93">
        <f>IF(BB19="",0,VLOOKUP(P19,Tables!$B$3:$M$36,12,FALSE())*AL$1)</f>
        <v>5.6000000000000005</v>
      </c>
      <c r="ES19" s="94">
        <f t="shared" si="55"/>
        <v>0</v>
      </c>
      <c r="ET19" s="95">
        <f>IF(AN19="",10,MIN(VLOOKUP(B19,Tables!$B$3:$N$34,13,FALSE()),'Item Builder'!$W19))</f>
        <v>10</v>
      </c>
      <c r="EU19" s="95">
        <f>IF(AO19="",10,MIN(VLOOKUP(C19,Tables!$B$3:$N$34,13,FALSE()),'Item Builder'!$W19))</f>
        <v>10</v>
      </c>
      <c r="EV19" s="95">
        <f>IF(AP19="",10,MIN(VLOOKUP(D19,Tables!$B$3:$N$34,13,FALSE()),'Item Builder'!$W19))</f>
        <v>10</v>
      </c>
      <c r="EW19" s="95">
        <f>IF(AQ19="",10,MIN(VLOOKUP(E19,Tables!$B$3:$N$34,13,FALSE()),'Item Builder'!$W19))</f>
        <v>10</v>
      </c>
      <c r="EX19" s="95">
        <f>IF(AR19="",10,MIN(VLOOKUP(F19,Tables!$B$3:$N$34,13,FALSE()),'Item Builder'!$W19))</f>
        <v>10</v>
      </c>
      <c r="EY19" s="95">
        <f>IF(AS19="",10,MIN(VLOOKUP(G19,Tables!$B$3:$N$34,13,FALSE()),'Item Builder'!$W19))</f>
        <v>10</v>
      </c>
      <c r="EZ19" s="95">
        <f>IF(AT19="",10,MIN(VLOOKUP(H19,Tables!$B$3:$N$34,13,FALSE()),'Item Builder'!$W19))</f>
        <v>10</v>
      </c>
      <c r="FA19" s="95">
        <f>IF(AU19="",10,MIN(VLOOKUP(I19,Tables!$B$3:$N$34,13,FALSE()),'Item Builder'!$W19))</f>
        <v>10</v>
      </c>
      <c r="FB19" s="95">
        <f>IF(AV19="",10,MIN(VLOOKUP(J19,Tables!$B$3:$N$34,13,FALSE()),'Item Builder'!$W19))</f>
        <v>10</v>
      </c>
      <c r="FC19" s="95">
        <f>IF(AW19="",10,MIN(VLOOKUP(K19,Tables!$B$3:$N$34,13,FALSE()),'Item Builder'!$W19))</f>
        <v>10</v>
      </c>
      <c r="FD19" s="95">
        <f>IF(AX19="",10,MIN(VLOOKUP(L19,Tables!$B$3:$N$34,13,FALSE()),'Item Builder'!$W19))</f>
        <v>10</v>
      </c>
      <c r="FE19" s="95">
        <f>IF(AY19="",10,MIN(VLOOKUP(M19,Tables!$B$3:$N$34,13,FALSE()),'Item Builder'!$W19))</f>
        <v>10</v>
      </c>
      <c r="FF19" s="95">
        <f>IF(AZ19="",10,MIN(VLOOKUP(N19,Tables!$B$3:$N$34,13,FALSE()),'Item Builder'!$W19))</f>
        <v>10</v>
      </c>
      <c r="FG19" s="95">
        <f>IF(BA19="",10,MIN(VLOOKUP(O19,Tables!$B$3:$N$34,13,FALSE()),'Item Builder'!$W19))</f>
        <v>0</v>
      </c>
      <c r="FH19" s="98">
        <f>IF(BB19="",10,MIN(VLOOKUP(P19,Tables!$B$3:$N$34,13,FALSE()),'Item Builder'!$W19))</f>
        <v>0</v>
      </c>
      <c r="FJ19" s="2" t="s">
        <v>189</v>
      </c>
      <c r="FK19" s="2"/>
      <c r="FL19" s="31" t="s">
        <v>105</v>
      </c>
      <c r="FM19" s="31"/>
    </row>
    <row r="20" spans="1:172" ht="15" customHeight="1" x14ac:dyDescent="0.25">
      <c r="A20" s="67" t="s">
        <v>68</v>
      </c>
      <c r="B20" s="68" t="s">
        <v>105</v>
      </c>
      <c r="C20" s="69"/>
      <c r="D20" s="70"/>
      <c r="E20" s="68"/>
      <c r="F20" s="69"/>
      <c r="G20" s="69"/>
      <c r="H20" s="69"/>
      <c r="I20" s="70"/>
      <c r="J20" s="68"/>
      <c r="K20" s="69"/>
      <c r="L20" s="70"/>
      <c r="M20" s="68"/>
      <c r="N20" s="69"/>
      <c r="O20" s="69"/>
      <c r="P20" s="71"/>
      <c r="Q20" s="72">
        <f>SUM(BV20:CJ20)*VLOOKUP(W20,Tables!$W$3:$Z$8,4)</f>
        <v>16</v>
      </c>
      <c r="R20" s="73">
        <f t="shared" si="0"/>
        <v>0.6</v>
      </c>
      <c r="S20" s="74">
        <f t="shared" si="1"/>
        <v>0</v>
      </c>
      <c r="T20" s="74">
        <f t="shared" si="2"/>
        <v>0</v>
      </c>
      <c r="U20" s="75">
        <f t="shared" si="3"/>
        <v>4.8</v>
      </c>
      <c r="V20" s="76">
        <f t="shared" si="4"/>
        <v>9.6</v>
      </c>
      <c r="W20" s="77">
        <v>0</v>
      </c>
      <c r="X20" s="78">
        <f t="shared" si="5"/>
        <v>1</v>
      </c>
      <c r="Y20" s="79">
        <f t="shared" si="6"/>
        <v>0</v>
      </c>
      <c r="Z20" s="79">
        <f t="shared" si="7"/>
        <v>0</v>
      </c>
      <c r="AA20" s="78">
        <f t="shared" si="8"/>
        <v>0</v>
      </c>
      <c r="AB20" s="79">
        <f t="shared" si="9"/>
        <v>0</v>
      </c>
      <c r="AC20" s="79">
        <f t="shared" si="10"/>
        <v>0</v>
      </c>
      <c r="AD20" s="79">
        <f t="shared" si="11"/>
        <v>0</v>
      </c>
      <c r="AE20" s="79">
        <f t="shared" si="12"/>
        <v>0</v>
      </c>
      <c r="AF20" s="78">
        <f t="shared" si="13"/>
        <v>0</v>
      </c>
      <c r="AG20" s="79">
        <f t="shared" si="14"/>
        <v>0</v>
      </c>
      <c r="AH20" s="79">
        <f t="shared" si="15"/>
        <v>0</v>
      </c>
      <c r="AI20" s="78">
        <f t="shared" si="16"/>
        <v>0</v>
      </c>
      <c r="AJ20" s="79">
        <f t="shared" si="17"/>
        <v>0</v>
      </c>
      <c r="AK20" s="79">
        <f t="shared" si="18"/>
        <v>0</v>
      </c>
      <c r="AL20" s="80">
        <f t="shared" si="19"/>
        <v>0</v>
      </c>
      <c r="AM20" s="81">
        <f t="shared" si="20"/>
        <v>0.04</v>
      </c>
      <c r="AN20" s="82" t="str">
        <f t="shared" si="21"/>
        <v>L</v>
      </c>
      <c r="AO20" s="79" t="str">
        <f t="shared" si="22"/>
        <v/>
      </c>
      <c r="AP20" t="str">
        <f t="shared" si="23"/>
        <v/>
      </c>
      <c r="AQ20" s="82" t="str">
        <f t="shared" si="24"/>
        <v/>
      </c>
      <c r="AR20" t="str">
        <f t="shared" si="25"/>
        <v/>
      </c>
      <c r="AS20" t="str">
        <f t="shared" si="26"/>
        <v/>
      </c>
      <c r="AT20" t="str">
        <f t="shared" si="27"/>
        <v/>
      </c>
      <c r="AU20" t="str">
        <f t="shared" si="28"/>
        <v/>
      </c>
      <c r="AV20" s="82" t="str">
        <f t="shared" si="29"/>
        <v/>
      </c>
      <c r="AW20" t="str">
        <f t="shared" si="30"/>
        <v/>
      </c>
      <c r="AX20" t="str">
        <f t="shared" si="31"/>
        <v/>
      </c>
      <c r="AY20" s="82" t="str">
        <f t="shared" si="32"/>
        <v/>
      </c>
      <c r="AZ20" t="str">
        <f t="shared" si="33"/>
        <v/>
      </c>
      <c r="BA20" t="str">
        <f t="shared" si="34"/>
        <v/>
      </c>
      <c r="BB20" s="83" t="str">
        <f t="shared" si="35"/>
        <v/>
      </c>
      <c r="BC20" s="84">
        <f t="shared" si="36"/>
        <v>0.44444444444444442</v>
      </c>
      <c r="BD20" s="84">
        <f t="shared" si="37"/>
        <v>0</v>
      </c>
      <c r="BE20" s="84">
        <f t="shared" si="38"/>
        <v>0</v>
      </c>
      <c r="BF20" s="84">
        <f t="shared" si="39"/>
        <v>0</v>
      </c>
      <c r="BG20" s="78">
        <f>IF(AN20="",0,VLOOKUP(AN20,Tables!$AB$3:$AC$12,2))</f>
        <v>1</v>
      </c>
      <c r="BH20" s="79">
        <f>IF(AO20="",0,VLOOKUP(AO20,Tables!$AB$3:$AC$12,2))</f>
        <v>0</v>
      </c>
      <c r="BI20" s="79">
        <f>IF(AP20="",0,VLOOKUP(AP20,Tables!$AB$3:$AC$12,2))</f>
        <v>0</v>
      </c>
      <c r="BJ20" s="78">
        <f>IF(AQ20="",0,VLOOKUP(AQ20,Tables!$AB$3:$AC$12,2))</f>
        <v>0</v>
      </c>
      <c r="BK20" s="79">
        <f>IF(AR20="",0,VLOOKUP(AR20,Tables!$AB$3:$AC$12,2))</f>
        <v>0</v>
      </c>
      <c r="BL20" s="79">
        <f>IF(AS20="",0,VLOOKUP(AS20,Tables!$AB$3:$AC$12,2))</f>
        <v>0</v>
      </c>
      <c r="BM20" s="79">
        <f>IF(AT20="",0,VLOOKUP(AT20,Tables!$AB$3:$AC$12,2))</f>
        <v>0</v>
      </c>
      <c r="BN20" s="79">
        <f>IF(AU20="",0,VLOOKUP(AU20,Tables!$AB$3:$AC$12,2))</f>
        <v>0</v>
      </c>
      <c r="BO20" s="78">
        <f>IF(AV20="",0,VLOOKUP(AV20,Tables!$AB$3:$AC$12,2))</f>
        <v>0</v>
      </c>
      <c r="BP20" s="79">
        <f>IF(AW20="",0,VLOOKUP(AW20,Tables!$AB$3:$AC$12,2))</f>
        <v>0</v>
      </c>
      <c r="BQ20" s="79">
        <f>IF(AX20="",0,VLOOKUP(AX20,Tables!$AB$3:$AC$12,2))</f>
        <v>0</v>
      </c>
      <c r="BR20" s="78">
        <f>IF(AY20="",0,VLOOKUP(AY20,Tables!$AB$3:$AC$12,2))</f>
        <v>0</v>
      </c>
      <c r="BS20" s="79">
        <f>IF(AZ20="",0,VLOOKUP(AZ20,Tables!$AB$3:$AC$12,2))</f>
        <v>0</v>
      </c>
      <c r="BT20" s="79">
        <f>IF(BA20="",0,VLOOKUP(BA20,Tables!$AB$3:$AC$12,2))</f>
        <v>0</v>
      </c>
      <c r="BU20" s="80">
        <f>IF(BB20="",0,VLOOKUP(BB20,Tables!$AB$3:$AC$12,2))</f>
        <v>0</v>
      </c>
      <c r="BV20" s="85">
        <f>IF(AN20="",0,VLOOKUP(B20,Tables!$B$3:$D$36,2,FALSE())*X$1)</f>
        <v>16</v>
      </c>
      <c r="BW20" s="72">
        <f>IF(AO20="",0,VLOOKUP(C20,Tables!$B$3:$D$36,2,FALSE())*Y$1)</f>
        <v>0</v>
      </c>
      <c r="BX20" s="72">
        <f>IF(AP20="",0,VLOOKUP(D20,Tables!$B$3:$D$36,2,FALSE())*Z$1)</f>
        <v>0</v>
      </c>
      <c r="BY20" s="85">
        <f>IF(AQ20="",0,VLOOKUP(E20,Tables!$B$3:$D$36,2,FALSE())*AA$1)</f>
        <v>0</v>
      </c>
      <c r="BZ20" s="72">
        <f>IF(AR20="",0,VLOOKUP(F20,Tables!$B$3:$D$36,2,FALSE())*AB$1)</f>
        <v>0</v>
      </c>
      <c r="CA20" s="72">
        <f>IF(AS20="",0,VLOOKUP(G20,Tables!$B$3:$D$36,2,FALSE())*AC$1)</f>
        <v>0</v>
      </c>
      <c r="CB20" s="72">
        <f>IF(AT20="",0,VLOOKUP(H20,Tables!$B$3:$D$36,2,FALSE())*AD$1)</f>
        <v>0</v>
      </c>
      <c r="CC20" s="72">
        <f>IF(AU20="",0,VLOOKUP(I20,Tables!$B$3:$D$36,2,FALSE())*AE$1)</f>
        <v>0</v>
      </c>
      <c r="CD20" s="85">
        <f>IF(AV20="",0,VLOOKUP(J20,Tables!$B$3:$D$36,2,FALSE())*AF$1)</f>
        <v>0</v>
      </c>
      <c r="CE20" s="72">
        <f>IF(AW20="",0,VLOOKUP(K20,Tables!$B$3:$D$36,2,FALSE())*AG$1)</f>
        <v>0</v>
      </c>
      <c r="CF20" s="72">
        <f>IF(AX20="",0,VLOOKUP(L20,Tables!$B$3:$D$36,2,FALSE())*AH$1)</f>
        <v>0</v>
      </c>
      <c r="CG20" s="85">
        <f>IF(AY20="",0,VLOOKUP(M20,Tables!$B$3:$D$36,2,FALSE())*AI$1)</f>
        <v>0</v>
      </c>
      <c r="CH20" s="72">
        <f>IF(AZ20="",0,VLOOKUP(N20,Tables!$B$3:$D$36,2,FALSE())*AJ$1)</f>
        <v>0</v>
      </c>
      <c r="CI20" s="72">
        <f>IF(BA20="",0,VLOOKUP(O20,Tables!$B$3:$D$36,2,FALSE())*AK$1)</f>
        <v>0</v>
      </c>
      <c r="CJ20" s="86">
        <f>IF(BB20="",0,VLOOKUP(P20,Tables!$B$3:$D$36,2,FALSE())*AL$1)</f>
        <v>0</v>
      </c>
      <c r="CK20" s="87">
        <f>IF(AN20="",0,VLOOKUP(B20,Tables!$B$3:$D$36,3,FALSE())*X$1)*IF(OR(AN20="K",AN20="P"),2,1)</f>
        <v>0.6</v>
      </c>
      <c r="CL20" s="73">
        <f>IF(AO20="",0,VLOOKUP(C20,Tables!$B$3:$D$36,3,FALSE())*Y$1)*IF(OR(AO20="K",AO20="P"),2,1)</f>
        <v>0</v>
      </c>
      <c r="CM20" s="73">
        <f>IF(AP20="",0,VLOOKUP(D20,Tables!$B$3:$D$36,3,FALSE())*Z$1)*IF(OR(AP20="K",AP20="P"),2,1)</f>
        <v>0</v>
      </c>
      <c r="CN20" s="87">
        <f>IF(AQ20="",0,VLOOKUP(E20,Tables!$B$3:$D$36,3,FALSE())*AA$1)</f>
        <v>0</v>
      </c>
      <c r="CO20" s="73">
        <f>IF(AR20="",0,VLOOKUP(F20,Tables!$B$3:$D$36,3,FALSE())*AB$1)</f>
        <v>0</v>
      </c>
      <c r="CP20" s="73">
        <f>IF(AS20="",0,VLOOKUP(G20,Tables!$B$3:$D$36,3,FALSE())*AC$1)</f>
        <v>0</v>
      </c>
      <c r="CQ20" s="73">
        <f>IF(AT20="",0,VLOOKUP(H20,Tables!$B$3:$D$36,3,FALSE())*AD$1)</f>
        <v>0</v>
      </c>
      <c r="CR20" s="73">
        <f>IF(AU20="",0,VLOOKUP(I20,Tables!$B$3:$D$36,3,FALSE())*AE$1)</f>
        <v>0</v>
      </c>
      <c r="CS20" s="87">
        <f>IF(AV20="",0,VLOOKUP(J20,Tables!$B$3:$D$36,3,FALSE())*AF$1)</f>
        <v>0</v>
      </c>
      <c r="CT20" s="73">
        <f>IF(AW20="",0,VLOOKUP(K20,Tables!$B$3:$D$36,3,FALSE())*AG$1)</f>
        <v>0</v>
      </c>
      <c r="CU20" s="73">
        <f>IF(AX20="",0,VLOOKUP(L20,Tables!$B$3:$D$36,3,FALSE())*AH$1)</f>
        <v>0</v>
      </c>
      <c r="CV20" s="87">
        <f>IF(AY20="",0,VLOOKUP(M20,Tables!$B$3:$D$36,3,FALSE())*AI$1)</f>
        <v>0</v>
      </c>
      <c r="CW20" s="73">
        <f>IF(AZ20="",0,VLOOKUP(N20,Tables!$B$3:$D$36,3,FALSE())*AJ$1)</f>
        <v>0</v>
      </c>
      <c r="CX20" s="73">
        <f>IF(BA20="",0,VLOOKUP(O20,Tables!$B$3:$D$36,3,FALSE())*AK$1)</f>
        <v>0</v>
      </c>
      <c r="CY20" s="88">
        <f>IF(BB20="",0,VLOOKUP(P20,Tables!$B$3:$D$36,3,FALSE())*AL$1)</f>
        <v>0</v>
      </c>
      <c r="CZ20" s="89">
        <f t="shared" si="40"/>
        <v>1.5</v>
      </c>
      <c r="DA20" s="75">
        <f t="shared" si="41"/>
        <v>0</v>
      </c>
      <c r="DB20" s="75">
        <f t="shared" si="42"/>
        <v>0</v>
      </c>
      <c r="DC20" s="89">
        <f t="shared" si="43"/>
        <v>0</v>
      </c>
      <c r="DD20" s="75">
        <f t="shared" si="44"/>
        <v>0</v>
      </c>
      <c r="DE20" s="75">
        <f t="shared" si="45"/>
        <v>0</v>
      </c>
      <c r="DF20" s="75">
        <f t="shared" si="46"/>
        <v>0</v>
      </c>
      <c r="DG20" s="75">
        <f t="shared" si="47"/>
        <v>0</v>
      </c>
      <c r="DH20" s="89">
        <f t="shared" si="48"/>
        <v>0</v>
      </c>
      <c r="DI20" s="75">
        <f t="shared" si="49"/>
        <v>0</v>
      </c>
      <c r="DJ20" s="75">
        <f t="shared" si="50"/>
        <v>0</v>
      </c>
      <c r="DK20" s="89">
        <f t="shared" si="51"/>
        <v>0</v>
      </c>
      <c r="DL20" s="75">
        <f t="shared" si="52"/>
        <v>0</v>
      </c>
      <c r="DM20" s="75">
        <f t="shared" si="53"/>
        <v>0</v>
      </c>
      <c r="DN20" s="90">
        <f t="shared" si="54"/>
        <v>0</v>
      </c>
      <c r="DO20" s="91">
        <f>IF(AN20="",0,VLOOKUP(B20,Tables!$B$3:$M$36,11,FALSE())*X$1)</f>
        <v>4.8</v>
      </c>
      <c r="DP20" s="92">
        <f>IF(AO20="",0,VLOOKUP(C20,Tables!$B$3:$M$36,11,FALSE())*Y$1)</f>
        <v>0</v>
      </c>
      <c r="DQ20" s="92">
        <f>IF(AP20="",0,VLOOKUP(D20,Tables!$B$3:$M$36,11,FALSE())*Z$1)</f>
        <v>0</v>
      </c>
      <c r="DR20" s="91">
        <f>IF(AQ20="",0,VLOOKUP(E20,Tables!$B$3:$M$36,11,FALSE())*AA$1)</f>
        <v>0</v>
      </c>
      <c r="DS20" s="92">
        <f>IF(AR20="",0,VLOOKUP(F20,Tables!$B$3:$M$36,11,FALSE())*AB$1)</f>
        <v>0</v>
      </c>
      <c r="DT20" s="92">
        <f>IF(AS20="",0,VLOOKUP(G20,Tables!$B$3:$M$36,11,FALSE())*AC$1)</f>
        <v>0</v>
      </c>
      <c r="DU20" s="92">
        <f>IF(AT20="",0,VLOOKUP(H20,Tables!$B$3:$M$36,11,FALSE())*AD$1)</f>
        <v>0</v>
      </c>
      <c r="DV20" s="92">
        <f>IF(AU20="",0,VLOOKUP(I20,Tables!$B$3:$M$36,11,FALSE())*AE$1)</f>
        <v>0</v>
      </c>
      <c r="DW20" s="91">
        <f>IF(AV20="",0,VLOOKUP(J20,Tables!$B$3:$M$36,11,FALSE())*AF$1)</f>
        <v>0</v>
      </c>
      <c r="DX20" s="92">
        <f>IF(AW20="",0,VLOOKUP(K20,Tables!$B$3:$M$36,11,FALSE())*AG$1)</f>
        <v>0</v>
      </c>
      <c r="DY20" s="92">
        <f>IF(AX20="",0,VLOOKUP(L20,Tables!$B$3:$M$36,11,FALSE())*AH$1)</f>
        <v>0</v>
      </c>
      <c r="DZ20" s="91">
        <f>IF(AY20="",0,VLOOKUP(M20,Tables!$B$3:$M$36,11,FALSE())*AI$1)</f>
        <v>0</v>
      </c>
      <c r="EA20" s="92">
        <f>IF(AZ20="",0,VLOOKUP(N20,Tables!$B$3:$M$36,11,FALSE())*AJ$1)</f>
        <v>0</v>
      </c>
      <c r="EB20" s="92">
        <f>IF(BA20="",0,VLOOKUP(O20,Tables!$B$3:$M$36,11,FALSE())*AK$1)</f>
        <v>0</v>
      </c>
      <c r="EC20" s="93">
        <f>IF(BB20="",0,VLOOKUP(P20,Tables!$B$3:$M$36,11,FALSE())*AL$1)</f>
        <v>0</v>
      </c>
      <c r="ED20" s="91">
        <f>IF(AN20="",0,VLOOKUP(B20,Tables!$B$3:$M$36,12,FALSE())*X$1)</f>
        <v>9.6</v>
      </c>
      <c r="EE20" s="92">
        <f>IF(AO20="",0,VLOOKUP(C20,Tables!$B$3:$M$36,12,FALSE())*Y$1)</f>
        <v>0</v>
      </c>
      <c r="EF20" s="92">
        <f>IF(AP20="",0,VLOOKUP(D20,Tables!$B$3:$M$36,12,FALSE())*Z$1)</f>
        <v>0</v>
      </c>
      <c r="EG20" s="91">
        <f>IF(AQ20="",0,VLOOKUP(E20,Tables!$B$3:$M$36,12,FALSE())*AA$1)</f>
        <v>0</v>
      </c>
      <c r="EH20" s="92">
        <f>IF(AR20="",0,VLOOKUP(F20,Tables!$B$3:$M$36,12,FALSE())*AB$1)</f>
        <v>0</v>
      </c>
      <c r="EI20" s="92">
        <f>IF(AS20="",0,VLOOKUP(G20,Tables!$B$3:$M$36,12,FALSE())*AC$1)</f>
        <v>0</v>
      </c>
      <c r="EJ20" s="92">
        <f>IF(AT20="",0,VLOOKUP(H20,Tables!$B$3:$M$36,12,FALSE())*AD$1)</f>
        <v>0</v>
      </c>
      <c r="EK20" s="92">
        <f>IF(AU20="",0,VLOOKUP(I20,Tables!$B$3:$M$36,12,FALSE())*AE$1)</f>
        <v>0</v>
      </c>
      <c r="EL20" s="91">
        <f>IF(AV20="",0,VLOOKUP(J20,Tables!$B$3:$M$36,12,FALSE())*AF$1)</f>
        <v>0</v>
      </c>
      <c r="EM20" s="92">
        <f>IF(AW20="",0,VLOOKUP(K20,Tables!$B$3:$M$36,12,FALSE())*AG$1)</f>
        <v>0</v>
      </c>
      <c r="EN20" s="92">
        <f>IF(AX20="",0,VLOOKUP(L20,Tables!$B$3:$M$36,12,FALSE())*AH$1)</f>
        <v>0</v>
      </c>
      <c r="EO20" s="91">
        <f>IF(AY20="",0,VLOOKUP(M20,Tables!$B$3:$M$36,12,FALSE())*AI$1)</f>
        <v>0</v>
      </c>
      <c r="EP20" s="92">
        <f>IF(AZ20="",0,VLOOKUP(N20,Tables!$B$3:$M$36,12,FALSE())*AJ$1)</f>
        <v>0</v>
      </c>
      <c r="EQ20" s="92">
        <f>IF(BA20="",0,VLOOKUP(O20,Tables!$B$3:$M$36,12,FALSE())*AK$1)</f>
        <v>0</v>
      </c>
      <c r="ER20" s="93">
        <f>IF(BB20="",0,VLOOKUP(P20,Tables!$B$3:$M$36,12,FALSE())*AL$1)</f>
        <v>0</v>
      </c>
      <c r="ES20" s="94">
        <f t="shared" si="55"/>
        <v>0</v>
      </c>
      <c r="ET20" s="95">
        <f>IF(AN20="",10,MIN(VLOOKUP(B20,Tables!$B$3:$N$34,13,FALSE()),'Item Builder'!$W20))</f>
        <v>0</v>
      </c>
      <c r="EU20" s="95">
        <f>IF(AO20="",10,MIN(VLOOKUP(C20,Tables!$B$3:$N$34,13,FALSE()),'Item Builder'!$W20))</f>
        <v>10</v>
      </c>
      <c r="EV20" s="95">
        <f>IF(AP20="",10,MIN(VLOOKUP(D20,Tables!$B$3:$N$34,13,FALSE()),'Item Builder'!$W20))</f>
        <v>10</v>
      </c>
      <c r="EW20" s="95">
        <f>IF(AQ20="",10,MIN(VLOOKUP(E20,Tables!$B$3:$N$34,13,FALSE()),'Item Builder'!$W20))</f>
        <v>10</v>
      </c>
      <c r="EX20" s="95">
        <f>IF(AR20="",10,MIN(VLOOKUP(F20,Tables!$B$3:$N$34,13,FALSE()),'Item Builder'!$W20))</f>
        <v>10</v>
      </c>
      <c r="EY20" s="95">
        <f>IF(AS20="",10,MIN(VLOOKUP(G20,Tables!$B$3:$N$34,13,FALSE()),'Item Builder'!$W20))</f>
        <v>10</v>
      </c>
      <c r="EZ20" s="95">
        <f>IF(AT20="",10,MIN(VLOOKUP(H20,Tables!$B$3:$N$34,13,FALSE()),'Item Builder'!$W20))</f>
        <v>10</v>
      </c>
      <c r="FA20" s="95">
        <f>IF(AU20="",10,MIN(VLOOKUP(I20,Tables!$B$3:$N$34,13,FALSE()),'Item Builder'!$W20))</f>
        <v>10</v>
      </c>
      <c r="FB20" s="95">
        <f>IF(AV20="",10,MIN(VLOOKUP(J20,Tables!$B$3:$N$34,13,FALSE()),'Item Builder'!$W20))</f>
        <v>10</v>
      </c>
      <c r="FC20" s="95">
        <f>IF(AW20="",10,MIN(VLOOKUP(K20,Tables!$B$3:$N$34,13,FALSE()),'Item Builder'!$W20))</f>
        <v>10</v>
      </c>
      <c r="FD20" s="95">
        <f>IF(AX20="",10,MIN(VLOOKUP(L20,Tables!$B$3:$N$34,13,FALSE()),'Item Builder'!$W20))</f>
        <v>10</v>
      </c>
      <c r="FE20" s="95">
        <f>IF(AY20="",10,MIN(VLOOKUP(M20,Tables!$B$3:$N$34,13,FALSE()),'Item Builder'!$W20))</f>
        <v>10</v>
      </c>
      <c r="FF20" s="95">
        <f>IF(AZ20="",10,MIN(VLOOKUP(N20,Tables!$B$3:$N$34,13,FALSE()),'Item Builder'!$W20))</f>
        <v>10</v>
      </c>
      <c r="FG20" s="95">
        <f>IF(BA20="",10,MIN(VLOOKUP(O20,Tables!$B$3:$N$34,13,FALSE()),'Item Builder'!$W20))</f>
        <v>10</v>
      </c>
      <c r="FH20" s="98">
        <f>IF(BB20="",10,MIN(VLOOKUP(P20,Tables!$B$3:$N$34,13,FALSE()),'Item Builder'!$W20))</f>
        <v>10</v>
      </c>
      <c r="FJ20" s="2" t="s">
        <v>190</v>
      </c>
      <c r="FK20" s="2"/>
      <c r="FL20" s="31" t="s">
        <v>106</v>
      </c>
      <c r="FM20" s="97" t="s">
        <v>191</v>
      </c>
      <c r="FN20" s="1" t="s">
        <v>192</v>
      </c>
      <c r="FO20" s="1"/>
      <c r="FP20" s="1"/>
    </row>
    <row r="21" spans="1:172" x14ac:dyDescent="0.25">
      <c r="A21" s="67" t="s">
        <v>193</v>
      </c>
      <c r="B21" s="68"/>
      <c r="C21" s="69"/>
      <c r="D21" s="70"/>
      <c r="E21" s="68"/>
      <c r="F21" s="69"/>
      <c r="G21" s="69"/>
      <c r="H21" s="69" t="s">
        <v>105</v>
      </c>
      <c r="I21" s="70"/>
      <c r="J21" s="68"/>
      <c r="K21" s="69"/>
      <c r="L21" s="70"/>
      <c r="M21" s="68"/>
      <c r="N21" s="69"/>
      <c r="O21" s="69"/>
      <c r="P21" s="71"/>
      <c r="Q21" s="72">
        <f>SUM(BV21:CJ21)*VLOOKUP(W21,Tables!$W$3:$Z$8,4)</f>
        <v>20</v>
      </c>
      <c r="R21" s="73">
        <f t="shared" si="0"/>
        <v>0.75</v>
      </c>
      <c r="S21" s="74">
        <f t="shared" si="1"/>
        <v>0</v>
      </c>
      <c r="T21" s="74">
        <f t="shared" si="2"/>
        <v>0</v>
      </c>
      <c r="U21" s="75">
        <f t="shared" si="3"/>
        <v>6</v>
      </c>
      <c r="V21" s="76">
        <f t="shared" si="4"/>
        <v>12</v>
      </c>
      <c r="W21" s="77">
        <v>0</v>
      </c>
      <c r="X21" s="78">
        <f t="shared" si="5"/>
        <v>0</v>
      </c>
      <c r="Y21" s="79">
        <f t="shared" si="6"/>
        <v>0</v>
      </c>
      <c r="Z21" s="79">
        <f t="shared" si="7"/>
        <v>0</v>
      </c>
      <c r="AA21" s="78">
        <f t="shared" si="8"/>
        <v>0</v>
      </c>
      <c r="AB21" s="79">
        <f t="shared" si="9"/>
        <v>0</v>
      </c>
      <c r="AC21" s="79">
        <f t="shared" si="10"/>
        <v>0</v>
      </c>
      <c r="AD21" s="79">
        <f t="shared" si="11"/>
        <v>1</v>
      </c>
      <c r="AE21" s="79">
        <f t="shared" si="12"/>
        <v>0</v>
      </c>
      <c r="AF21" s="78">
        <f t="shared" si="13"/>
        <v>0</v>
      </c>
      <c r="AG21" s="79">
        <f t="shared" si="14"/>
        <v>0</v>
      </c>
      <c r="AH21" s="79">
        <f t="shared" si="15"/>
        <v>0</v>
      </c>
      <c r="AI21" s="78">
        <f t="shared" si="16"/>
        <v>0</v>
      </c>
      <c r="AJ21" s="79">
        <f t="shared" si="17"/>
        <v>0</v>
      </c>
      <c r="AK21" s="79">
        <f t="shared" si="18"/>
        <v>0</v>
      </c>
      <c r="AL21" s="80">
        <f t="shared" si="19"/>
        <v>0</v>
      </c>
      <c r="AM21" s="81">
        <f t="shared" si="20"/>
        <v>0.05</v>
      </c>
      <c r="AN21" s="82" t="str">
        <f t="shared" si="21"/>
        <v/>
      </c>
      <c r="AO21" s="79" t="str">
        <f t="shared" si="22"/>
        <v/>
      </c>
      <c r="AP21" t="str">
        <f t="shared" si="23"/>
        <v/>
      </c>
      <c r="AQ21" s="82" t="str">
        <f t="shared" si="24"/>
        <v/>
      </c>
      <c r="AR21" t="str">
        <f t="shared" si="25"/>
        <v/>
      </c>
      <c r="AS21" t="str">
        <f t="shared" si="26"/>
        <v/>
      </c>
      <c r="AT21" t="str">
        <f t="shared" si="27"/>
        <v>L</v>
      </c>
      <c r="AU21" t="str">
        <f t="shared" si="28"/>
        <v/>
      </c>
      <c r="AV21" s="82" t="str">
        <f t="shared" si="29"/>
        <v/>
      </c>
      <c r="AW21" t="str">
        <f t="shared" si="30"/>
        <v/>
      </c>
      <c r="AX21" t="str">
        <f t="shared" si="31"/>
        <v/>
      </c>
      <c r="AY21" s="82" t="str">
        <f t="shared" si="32"/>
        <v/>
      </c>
      <c r="AZ21" t="str">
        <f t="shared" si="33"/>
        <v/>
      </c>
      <c r="BA21" t="str">
        <f t="shared" si="34"/>
        <v/>
      </c>
      <c r="BB21" s="83" t="str">
        <f t="shared" si="35"/>
        <v/>
      </c>
      <c r="BC21" s="84">
        <f t="shared" si="36"/>
        <v>0</v>
      </c>
      <c r="BD21" s="84">
        <f t="shared" si="37"/>
        <v>0.23809523809523808</v>
      </c>
      <c r="BE21" s="84">
        <f t="shared" si="38"/>
        <v>0</v>
      </c>
      <c r="BF21" s="84">
        <f t="shared" si="39"/>
        <v>0</v>
      </c>
      <c r="BG21" s="78">
        <f>IF(AN21="",0,VLOOKUP(AN21,Tables!$AB$3:$AC$12,2))</f>
        <v>0</v>
      </c>
      <c r="BH21" s="79">
        <f>IF(AO21="",0,VLOOKUP(AO21,Tables!$AB$3:$AC$12,2))</f>
        <v>0</v>
      </c>
      <c r="BI21" s="79">
        <f>IF(AP21="",0,VLOOKUP(AP21,Tables!$AB$3:$AC$12,2))</f>
        <v>0</v>
      </c>
      <c r="BJ21" s="78">
        <f>IF(AQ21="",0,VLOOKUP(AQ21,Tables!$AB$3:$AC$12,2))</f>
        <v>0</v>
      </c>
      <c r="BK21" s="79">
        <f>IF(AR21="",0,VLOOKUP(AR21,Tables!$AB$3:$AC$12,2))</f>
        <v>0</v>
      </c>
      <c r="BL21" s="79">
        <f>IF(AS21="",0,VLOOKUP(AS21,Tables!$AB$3:$AC$12,2))</f>
        <v>0</v>
      </c>
      <c r="BM21" s="79">
        <f>IF(AT21="",0,VLOOKUP(AT21,Tables!$AB$3:$AC$12,2))</f>
        <v>1</v>
      </c>
      <c r="BN21" s="79">
        <f>IF(AU21="",0,VLOOKUP(AU21,Tables!$AB$3:$AC$12,2))</f>
        <v>0</v>
      </c>
      <c r="BO21" s="78">
        <f>IF(AV21="",0,VLOOKUP(AV21,Tables!$AB$3:$AC$12,2))</f>
        <v>0</v>
      </c>
      <c r="BP21" s="79">
        <f>IF(AW21="",0,VLOOKUP(AW21,Tables!$AB$3:$AC$12,2))</f>
        <v>0</v>
      </c>
      <c r="BQ21" s="79">
        <f>IF(AX21="",0,VLOOKUP(AX21,Tables!$AB$3:$AC$12,2))</f>
        <v>0</v>
      </c>
      <c r="BR21" s="78">
        <f>IF(AY21="",0,VLOOKUP(AY21,Tables!$AB$3:$AC$12,2))</f>
        <v>0</v>
      </c>
      <c r="BS21" s="79">
        <f>IF(AZ21="",0,VLOOKUP(AZ21,Tables!$AB$3:$AC$12,2))</f>
        <v>0</v>
      </c>
      <c r="BT21" s="79">
        <f>IF(BA21="",0,VLOOKUP(BA21,Tables!$AB$3:$AC$12,2))</f>
        <v>0</v>
      </c>
      <c r="BU21" s="80">
        <f>IF(BB21="",0,VLOOKUP(BB21,Tables!$AB$3:$AC$12,2))</f>
        <v>0</v>
      </c>
      <c r="BV21" s="85">
        <f>IF(AN21="",0,VLOOKUP(B21,Tables!$B$3:$D$36,2,FALSE())*X$1)</f>
        <v>0</v>
      </c>
      <c r="BW21" s="72">
        <f>IF(AO21="",0,VLOOKUP(C21,Tables!$B$3:$D$36,2,FALSE())*Y$1)</f>
        <v>0</v>
      </c>
      <c r="BX21" s="72">
        <f>IF(AP21="",0,VLOOKUP(D21,Tables!$B$3:$D$36,2,FALSE())*Z$1)</f>
        <v>0</v>
      </c>
      <c r="BY21" s="85">
        <f>IF(AQ21="",0,VLOOKUP(E21,Tables!$B$3:$D$36,2,FALSE())*AA$1)</f>
        <v>0</v>
      </c>
      <c r="BZ21" s="72">
        <f>IF(AR21="",0,VLOOKUP(F21,Tables!$B$3:$D$36,2,FALSE())*AB$1)</f>
        <v>0</v>
      </c>
      <c r="CA21" s="72">
        <f>IF(AS21="",0,VLOOKUP(G21,Tables!$B$3:$D$36,2,FALSE())*AC$1)</f>
        <v>0</v>
      </c>
      <c r="CB21" s="72">
        <f>IF(AT21="",0,VLOOKUP(H21,Tables!$B$3:$D$36,2,FALSE())*AD$1)</f>
        <v>20</v>
      </c>
      <c r="CC21" s="72">
        <f>IF(AU21="",0,VLOOKUP(I21,Tables!$B$3:$D$36,2,FALSE())*AE$1)</f>
        <v>0</v>
      </c>
      <c r="CD21" s="85">
        <f>IF(AV21="",0,VLOOKUP(J21,Tables!$B$3:$D$36,2,FALSE())*AF$1)</f>
        <v>0</v>
      </c>
      <c r="CE21" s="72">
        <f>IF(AW21="",0,VLOOKUP(K21,Tables!$B$3:$D$36,2,FALSE())*AG$1)</f>
        <v>0</v>
      </c>
      <c r="CF21" s="72">
        <f>IF(AX21="",0,VLOOKUP(L21,Tables!$B$3:$D$36,2,FALSE())*AH$1)</f>
        <v>0</v>
      </c>
      <c r="CG21" s="85">
        <f>IF(AY21="",0,VLOOKUP(M21,Tables!$B$3:$D$36,2,FALSE())*AI$1)</f>
        <v>0</v>
      </c>
      <c r="CH21" s="72">
        <f>IF(AZ21="",0,VLOOKUP(N21,Tables!$B$3:$D$36,2,FALSE())*AJ$1)</f>
        <v>0</v>
      </c>
      <c r="CI21" s="72">
        <f>IF(BA21="",0,VLOOKUP(O21,Tables!$B$3:$D$36,2,FALSE())*AK$1)</f>
        <v>0</v>
      </c>
      <c r="CJ21" s="86">
        <f>IF(BB21="",0,VLOOKUP(P21,Tables!$B$3:$D$36,2,FALSE())*AL$1)</f>
        <v>0</v>
      </c>
      <c r="CK21" s="87">
        <f>IF(AN21="",0,VLOOKUP(B21,Tables!$B$3:$D$36,3,FALSE())*X$1)*IF(OR(AN21="K",AN21="P"),2,1)</f>
        <v>0</v>
      </c>
      <c r="CL21" s="73">
        <f>IF(AO21="",0,VLOOKUP(C21,Tables!$B$3:$D$36,3,FALSE())*Y$1)*IF(OR(AO21="K",AO21="P"),2,1)</f>
        <v>0</v>
      </c>
      <c r="CM21" s="73">
        <f>IF(AP21="",0,VLOOKUP(D21,Tables!$B$3:$D$36,3,FALSE())*Z$1)*IF(OR(AP21="K",AP21="P"),2,1)</f>
        <v>0</v>
      </c>
      <c r="CN21" s="87">
        <f>IF(AQ21="",0,VLOOKUP(E21,Tables!$B$3:$D$36,3,FALSE())*AA$1)</f>
        <v>0</v>
      </c>
      <c r="CO21" s="73">
        <f>IF(AR21="",0,VLOOKUP(F21,Tables!$B$3:$D$36,3,FALSE())*AB$1)</f>
        <v>0</v>
      </c>
      <c r="CP21" s="73">
        <f>IF(AS21="",0,VLOOKUP(G21,Tables!$B$3:$D$36,3,FALSE())*AC$1)</f>
        <v>0</v>
      </c>
      <c r="CQ21" s="73">
        <f>IF(AT21="",0,VLOOKUP(H21,Tables!$B$3:$D$36,3,FALSE())*AD$1)</f>
        <v>0.75</v>
      </c>
      <c r="CR21" s="73">
        <f>IF(AU21="",0,VLOOKUP(I21,Tables!$B$3:$D$36,3,FALSE())*AE$1)</f>
        <v>0</v>
      </c>
      <c r="CS21" s="87">
        <f>IF(AV21="",0,VLOOKUP(J21,Tables!$B$3:$D$36,3,FALSE())*AF$1)</f>
        <v>0</v>
      </c>
      <c r="CT21" s="73">
        <f>IF(AW21="",0,VLOOKUP(K21,Tables!$B$3:$D$36,3,FALSE())*AG$1)</f>
        <v>0</v>
      </c>
      <c r="CU21" s="73">
        <f>IF(AX21="",0,VLOOKUP(L21,Tables!$B$3:$D$36,3,FALSE())*AH$1)</f>
        <v>0</v>
      </c>
      <c r="CV21" s="87">
        <f>IF(AY21="",0,VLOOKUP(M21,Tables!$B$3:$D$36,3,FALSE())*AI$1)</f>
        <v>0</v>
      </c>
      <c r="CW21" s="73">
        <f>IF(AZ21="",0,VLOOKUP(N21,Tables!$B$3:$D$36,3,FALSE())*AJ$1)</f>
        <v>0</v>
      </c>
      <c r="CX21" s="73">
        <f>IF(BA21="",0,VLOOKUP(O21,Tables!$B$3:$D$36,3,FALSE())*AK$1)</f>
        <v>0</v>
      </c>
      <c r="CY21" s="88">
        <f>IF(BB21="",0,VLOOKUP(P21,Tables!$B$3:$D$36,3,FALSE())*AL$1)</f>
        <v>0</v>
      </c>
      <c r="CZ21" s="89">
        <f t="shared" si="40"/>
        <v>0</v>
      </c>
      <c r="DA21" s="75">
        <f t="shared" si="41"/>
        <v>0</v>
      </c>
      <c r="DB21" s="75">
        <f t="shared" si="42"/>
        <v>0</v>
      </c>
      <c r="DC21" s="89">
        <f t="shared" si="43"/>
        <v>0</v>
      </c>
      <c r="DD21" s="75">
        <f t="shared" si="44"/>
        <v>0</v>
      </c>
      <c r="DE21" s="75">
        <f t="shared" si="45"/>
        <v>0</v>
      </c>
      <c r="DF21" s="75">
        <f t="shared" si="46"/>
        <v>1.5</v>
      </c>
      <c r="DG21" s="75">
        <f t="shared" si="47"/>
        <v>0</v>
      </c>
      <c r="DH21" s="89">
        <f t="shared" si="48"/>
        <v>0</v>
      </c>
      <c r="DI21" s="75">
        <f t="shared" si="49"/>
        <v>0</v>
      </c>
      <c r="DJ21" s="75">
        <f t="shared" si="50"/>
        <v>0</v>
      </c>
      <c r="DK21" s="89">
        <f t="shared" si="51"/>
        <v>0</v>
      </c>
      <c r="DL21" s="75">
        <f t="shared" si="52"/>
        <v>0</v>
      </c>
      <c r="DM21" s="75">
        <f t="shared" si="53"/>
        <v>0</v>
      </c>
      <c r="DN21" s="90">
        <f t="shared" si="54"/>
        <v>0</v>
      </c>
      <c r="DO21" s="91">
        <f>IF(AN21="",0,VLOOKUP(B21,Tables!$B$3:$M$36,11,FALSE())*X$1)</f>
        <v>0</v>
      </c>
      <c r="DP21" s="92">
        <f>IF(AO21="",0,VLOOKUP(C21,Tables!$B$3:$M$36,11,FALSE())*Y$1)</f>
        <v>0</v>
      </c>
      <c r="DQ21" s="92">
        <f>IF(AP21="",0,VLOOKUP(D21,Tables!$B$3:$M$36,11,FALSE())*Z$1)</f>
        <v>0</v>
      </c>
      <c r="DR21" s="91">
        <f>IF(AQ21="",0,VLOOKUP(E21,Tables!$B$3:$M$36,11,FALSE())*AA$1)</f>
        <v>0</v>
      </c>
      <c r="DS21" s="92">
        <f>IF(AR21="",0,VLOOKUP(F21,Tables!$B$3:$M$36,11,FALSE())*AB$1)</f>
        <v>0</v>
      </c>
      <c r="DT21" s="92">
        <f>IF(AS21="",0,VLOOKUP(G21,Tables!$B$3:$M$36,11,FALSE())*AC$1)</f>
        <v>0</v>
      </c>
      <c r="DU21" s="92">
        <f>IF(AT21="",0,VLOOKUP(H21,Tables!$B$3:$M$36,11,FALSE())*AD$1)</f>
        <v>6</v>
      </c>
      <c r="DV21" s="92">
        <f>IF(AU21="",0,VLOOKUP(I21,Tables!$B$3:$M$36,11,FALSE())*AE$1)</f>
        <v>0</v>
      </c>
      <c r="DW21" s="91">
        <f>IF(AV21="",0,VLOOKUP(J21,Tables!$B$3:$M$36,11,FALSE())*AF$1)</f>
        <v>0</v>
      </c>
      <c r="DX21" s="92">
        <f>IF(AW21="",0,VLOOKUP(K21,Tables!$B$3:$M$36,11,FALSE())*AG$1)</f>
        <v>0</v>
      </c>
      <c r="DY21" s="92">
        <f>IF(AX21="",0,VLOOKUP(L21,Tables!$B$3:$M$36,11,FALSE())*AH$1)</f>
        <v>0</v>
      </c>
      <c r="DZ21" s="91">
        <f>IF(AY21="",0,VLOOKUP(M21,Tables!$B$3:$M$36,11,FALSE())*AI$1)</f>
        <v>0</v>
      </c>
      <c r="EA21" s="92">
        <f>IF(AZ21="",0,VLOOKUP(N21,Tables!$B$3:$M$36,11,FALSE())*AJ$1)</f>
        <v>0</v>
      </c>
      <c r="EB21" s="92">
        <f>IF(BA21="",0,VLOOKUP(O21,Tables!$B$3:$M$36,11,FALSE())*AK$1)</f>
        <v>0</v>
      </c>
      <c r="EC21" s="93">
        <f>IF(BB21="",0,VLOOKUP(P21,Tables!$B$3:$M$36,11,FALSE())*AL$1)</f>
        <v>0</v>
      </c>
      <c r="ED21" s="91">
        <f>IF(AN21="",0,VLOOKUP(B21,Tables!$B$3:$M$36,12,FALSE())*X$1)</f>
        <v>0</v>
      </c>
      <c r="EE21" s="92">
        <f>IF(AO21="",0,VLOOKUP(C21,Tables!$B$3:$M$36,12,FALSE())*Y$1)</f>
        <v>0</v>
      </c>
      <c r="EF21" s="92">
        <f>IF(AP21="",0,VLOOKUP(D21,Tables!$B$3:$M$36,12,FALSE())*Z$1)</f>
        <v>0</v>
      </c>
      <c r="EG21" s="91">
        <f>IF(AQ21="",0,VLOOKUP(E21,Tables!$B$3:$M$36,12,FALSE())*AA$1)</f>
        <v>0</v>
      </c>
      <c r="EH21" s="92">
        <f>IF(AR21="",0,VLOOKUP(F21,Tables!$B$3:$M$36,12,FALSE())*AB$1)</f>
        <v>0</v>
      </c>
      <c r="EI21" s="92">
        <f>IF(AS21="",0,VLOOKUP(G21,Tables!$B$3:$M$36,12,FALSE())*AC$1)</f>
        <v>0</v>
      </c>
      <c r="EJ21" s="92">
        <f>IF(AT21="",0,VLOOKUP(H21,Tables!$B$3:$M$36,12,FALSE())*AD$1)</f>
        <v>12</v>
      </c>
      <c r="EK21" s="92">
        <f>IF(AU21="",0,VLOOKUP(I21,Tables!$B$3:$M$36,12,FALSE())*AE$1)</f>
        <v>0</v>
      </c>
      <c r="EL21" s="91">
        <f>IF(AV21="",0,VLOOKUP(J21,Tables!$B$3:$M$36,12,FALSE())*AF$1)</f>
        <v>0</v>
      </c>
      <c r="EM21" s="92">
        <f>IF(AW21="",0,VLOOKUP(K21,Tables!$B$3:$M$36,12,FALSE())*AG$1)</f>
        <v>0</v>
      </c>
      <c r="EN21" s="92">
        <f>IF(AX21="",0,VLOOKUP(L21,Tables!$B$3:$M$36,12,FALSE())*AH$1)</f>
        <v>0</v>
      </c>
      <c r="EO21" s="91">
        <f>IF(AY21="",0,VLOOKUP(M21,Tables!$B$3:$M$36,12,FALSE())*AI$1)</f>
        <v>0</v>
      </c>
      <c r="EP21" s="92">
        <f>IF(AZ21="",0,VLOOKUP(N21,Tables!$B$3:$M$36,12,FALSE())*AJ$1)</f>
        <v>0</v>
      </c>
      <c r="EQ21" s="92">
        <f>IF(BA21="",0,VLOOKUP(O21,Tables!$B$3:$M$36,12,FALSE())*AK$1)</f>
        <v>0</v>
      </c>
      <c r="ER21" s="93">
        <f>IF(BB21="",0,VLOOKUP(P21,Tables!$B$3:$M$36,12,FALSE())*AL$1)</f>
        <v>0</v>
      </c>
      <c r="ES21" s="94">
        <f t="shared" si="55"/>
        <v>0</v>
      </c>
      <c r="ET21" s="95">
        <f>IF(AN21="",10,MIN(VLOOKUP(B21,Tables!$B$3:$N$34,13,FALSE()),'Item Builder'!$W21))</f>
        <v>10</v>
      </c>
      <c r="EU21" s="95">
        <f>IF(AO21="",10,MIN(VLOOKUP(C21,Tables!$B$3:$N$34,13,FALSE()),'Item Builder'!$W21))</f>
        <v>10</v>
      </c>
      <c r="EV21" s="95">
        <f>IF(AP21="",10,MIN(VLOOKUP(D21,Tables!$B$3:$N$34,13,FALSE()),'Item Builder'!$W21))</f>
        <v>10</v>
      </c>
      <c r="EW21" s="95">
        <f>IF(AQ21="",10,MIN(VLOOKUP(E21,Tables!$B$3:$N$34,13,FALSE()),'Item Builder'!$W21))</f>
        <v>10</v>
      </c>
      <c r="EX21" s="95">
        <f>IF(AR21="",10,MIN(VLOOKUP(F21,Tables!$B$3:$N$34,13,FALSE()),'Item Builder'!$W21))</f>
        <v>10</v>
      </c>
      <c r="EY21" s="95">
        <f>IF(AS21="",10,MIN(VLOOKUP(G21,Tables!$B$3:$N$34,13,FALSE()),'Item Builder'!$W21))</f>
        <v>10</v>
      </c>
      <c r="EZ21" s="95">
        <f>IF(AT21="",10,MIN(VLOOKUP(H21,Tables!$B$3:$N$34,13,FALSE()),'Item Builder'!$W21))</f>
        <v>0</v>
      </c>
      <c r="FA21" s="95">
        <f>IF(AU21="",10,MIN(VLOOKUP(I21,Tables!$B$3:$N$34,13,FALSE()),'Item Builder'!$W21))</f>
        <v>10</v>
      </c>
      <c r="FB21" s="95">
        <f>IF(AV21="",10,MIN(VLOOKUP(J21,Tables!$B$3:$N$34,13,FALSE()),'Item Builder'!$W21))</f>
        <v>10</v>
      </c>
      <c r="FC21" s="95">
        <f>IF(AW21="",10,MIN(VLOOKUP(K21,Tables!$B$3:$N$34,13,FALSE()),'Item Builder'!$W21))</f>
        <v>10</v>
      </c>
      <c r="FD21" s="95">
        <f>IF(AX21="",10,MIN(VLOOKUP(L21,Tables!$B$3:$N$34,13,FALSE()),'Item Builder'!$W21))</f>
        <v>10</v>
      </c>
      <c r="FE21" s="95">
        <f>IF(AY21="",10,MIN(VLOOKUP(M21,Tables!$B$3:$N$34,13,FALSE()),'Item Builder'!$W21))</f>
        <v>10</v>
      </c>
      <c r="FF21" s="95">
        <f>IF(AZ21="",10,MIN(VLOOKUP(N21,Tables!$B$3:$N$34,13,FALSE()),'Item Builder'!$W21))</f>
        <v>10</v>
      </c>
      <c r="FG21" s="95">
        <f>IF(BA21="",10,MIN(VLOOKUP(O21,Tables!$B$3:$N$34,13,FALSE()),'Item Builder'!$W21))</f>
        <v>10</v>
      </c>
      <c r="FH21" s="98">
        <f>IF(BB21="",10,MIN(VLOOKUP(P21,Tables!$B$3:$N$34,13,FALSE()),'Item Builder'!$W21))</f>
        <v>10</v>
      </c>
      <c r="FJ21" s="2" t="s">
        <v>194</v>
      </c>
      <c r="FK21" s="2"/>
      <c r="FL21" s="31" t="s">
        <v>107</v>
      </c>
      <c r="FM21" s="99"/>
      <c r="FN21" s="1"/>
      <c r="FO21" s="1"/>
      <c r="FP21" s="1"/>
    </row>
    <row r="22" spans="1:172" x14ac:dyDescent="0.25">
      <c r="A22" s="67" t="s">
        <v>74</v>
      </c>
      <c r="B22" s="68"/>
      <c r="C22" s="69"/>
      <c r="D22" s="70"/>
      <c r="E22" s="68"/>
      <c r="F22" s="69"/>
      <c r="G22" s="69"/>
      <c r="H22" s="69"/>
      <c r="I22" s="70" t="s">
        <v>105</v>
      </c>
      <c r="J22" s="68"/>
      <c r="K22" s="69"/>
      <c r="L22" s="70"/>
      <c r="M22" s="68"/>
      <c r="N22" s="69"/>
      <c r="O22" s="69"/>
      <c r="P22" s="71"/>
      <c r="Q22" s="72">
        <f>SUM(BV22:CJ22)*VLOOKUP(W22,Tables!$W$3:$Z$8,4)</f>
        <v>20</v>
      </c>
      <c r="R22" s="73">
        <f t="shared" si="0"/>
        <v>0.75</v>
      </c>
      <c r="S22" s="74">
        <f t="shared" si="1"/>
        <v>0</v>
      </c>
      <c r="T22" s="74">
        <f t="shared" si="2"/>
        <v>0</v>
      </c>
      <c r="U22" s="75">
        <f t="shared" si="3"/>
        <v>6</v>
      </c>
      <c r="V22" s="76">
        <f t="shared" si="4"/>
        <v>12</v>
      </c>
      <c r="W22" s="77">
        <v>0</v>
      </c>
      <c r="X22" s="78">
        <f t="shared" si="5"/>
        <v>0</v>
      </c>
      <c r="Y22" s="79">
        <f t="shared" si="6"/>
        <v>0</v>
      </c>
      <c r="Z22" s="79">
        <f t="shared" si="7"/>
        <v>0</v>
      </c>
      <c r="AA22" s="78">
        <f t="shared" si="8"/>
        <v>0</v>
      </c>
      <c r="AB22" s="79">
        <f t="shared" si="9"/>
        <v>0</v>
      </c>
      <c r="AC22" s="79">
        <f t="shared" si="10"/>
        <v>0</v>
      </c>
      <c r="AD22" s="79">
        <f t="shared" si="11"/>
        <v>0</v>
      </c>
      <c r="AE22" s="79">
        <f t="shared" si="12"/>
        <v>1</v>
      </c>
      <c r="AF22" s="78">
        <f t="shared" si="13"/>
        <v>0</v>
      </c>
      <c r="AG22" s="79">
        <f t="shared" si="14"/>
        <v>0</v>
      </c>
      <c r="AH22" s="79">
        <f t="shared" si="15"/>
        <v>0</v>
      </c>
      <c r="AI22" s="78">
        <f t="shared" si="16"/>
        <v>0</v>
      </c>
      <c r="AJ22" s="79">
        <f t="shared" si="17"/>
        <v>0</v>
      </c>
      <c r="AK22" s="79">
        <f t="shared" si="18"/>
        <v>0</v>
      </c>
      <c r="AL22" s="80">
        <f t="shared" si="19"/>
        <v>0</v>
      </c>
      <c r="AM22" s="81">
        <f t="shared" si="20"/>
        <v>0.05</v>
      </c>
      <c r="AN22" s="82" t="str">
        <f t="shared" si="21"/>
        <v/>
      </c>
      <c r="AO22" s="79" t="str">
        <f t="shared" si="22"/>
        <v/>
      </c>
      <c r="AP22" t="str">
        <f t="shared" si="23"/>
        <v/>
      </c>
      <c r="AQ22" s="82" t="str">
        <f t="shared" si="24"/>
        <v/>
      </c>
      <c r="AR22" t="str">
        <f t="shared" si="25"/>
        <v/>
      </c>
      <c r="AS22" t="str">
        <f t="shared" si="26"/>
        <v/>
      </c>
      <c r="AT22" t="str">
        <f t="shared" si="27"/>
        <v/>
      </c>
      <c r="AU22" t="str">
        <f t="shared" si="28"/>
        <v>L</v>
      </c>
      <c r="AV22" s="82" t="str">
        <f t="shared" si="29"/>
        <v/>
      </c>
      <c r="AW22" t="str">
        <f t="shared" si="30"/>
        <v/>
      </c>
      <c r="AX22" t="str">
        <f t="shared" si="31"/>
        <v/>
      </c>
      <c r="AY22" s="82" t="str">
        <f t="shared" si="32"/>
        <v/>
      </c>
      <c r="AZ22" t="str">
        <f t="shared" si="33"/>
        <v/>
      </c>
      <c r="BA22" t="str">
        <f t="shared" si="34"/>
        <v/>
      </c>
      <c r="BB22" s="83" t="str">
        <f t="shared" si="35"/>
        <v/>
      </c>
      <c r="BC22" s="84">
        <f t="shared" si="36"/>
        <v>0</v>
      </c>
      <c r="BD22" s="84">
        <f t="shared" si="37"/>
        <v>0.23809523809523808</v>
      </c>
      <c r="BE22" s="84">
        <f t="shared" si="38"/>
        <v>0</v>
      </c>
      <c r="BF22" s="84">
        <f t="shared" si="39"/>
        <v>0</v>
      </c>
      <c r="BG22" s="78">
        <f>IF(AN22="",0,VLOOKUP(AN22,Tables!$AB$3:$AC$12,2))</f>
        <v>0</v>
      </c>
      <c r="BH22" s="79">
        <f>IF(AO22="",0,VLOOKUP(AO22,Tables!$AB$3:$AC$12,2))</f>
        <v>0</v>
      </c>
      <c r="BI22" s="79">
        <f>IF(AP22="",0,VLOOKUP(AP22,Tables!$AB$3:$AC$12,2))</f>
        <v>0</v>
      </c>
      <c r="BJ22" s="78">
        <f>IF(AQ22="",0,VLOOKUP(AQ22,Tables!$AB$3:$AC$12,2))</f>
        <v>0</v>
      </c>
      <c r="BK22" s="79">
        <f>IF(AR22="",0,VLOOKUP(AR22,Tables!$AB$3:$AC$12,2))</f>
        <v>0</v>
      </c>
      <c r="BL22" s="79">
        <f>IF(AS22="",0,VLOOKUP(AS22,Tables!$AB$3:$AC$12,2))</f>
        <v>0</v>
      </c>
      <c r="BM22" s="79">
        <f>IF(AT22="",0,VLOOKUP(AT22,Tables!$AB$3:$AC$12,2))</f>
        <v>0</v>
      </c>
      <c r="BN22" s="79">
        <f>IF(AU22="",0,VLOOKUP(AU22,Tables!$AB$3:$AC$12,2))</f>
        <v>1</v>
      </c>
      <c r="BO22" s="78">
        <f>IF(AV22="",0,VLOOKUP(AV22,Tables!$AB$3:$AC$12,2))</f>
        <v>0</v>
      </c>
      <c r="BP22" s="79">
        <f>IF(AW22="",0,VLOOKUP(AW22,Tables!$AB$3:$AC$12,2))</f>
        <v>0</v>
      </c>
      <c r="BQ22" s="79">
        <f>IF(AX22="",0,VLOOKUP(AX22,Tables!$AB$3:$AC$12,2))</f>
        <v>0</v>
      </c>
      <c r="BR22" s="78">
        <f>IF(AY22="",0,VLOOKUP(AY22,Tables!$AB$3:$AC$12,2))</f>
        <v>0</v>
      </c>
      <c r="BS22" s="79">
        <f>IF(AZ22="",0,VLOOKUP(AZ22,Tables!$AB$3:$AC$12,2))</f>
        <v>0</v>
      </c>
      <c r="BT22" s="79">
        <f>IF(BA22="",0,VLOOKUP(BA22,Tables!$AB$3:$AC$12,2))</f>
        <v>0</v>
      </c>
      <c r="BU22" s="80">
        <f>IF(BB22="",0,VLOOKUP(BB22,Tables!$AB$3:$AC$12,2))</f>
        <v>0</v>
      </c>
      <c r="BV22" s="85">
        <f>IF(AN22="",0,VLOOKUP(B22,Tables!$B$3:$D$36,2,FALSE())*X$1)</f>
        <v>0</v>
      </c>
      <c r="BW22" s="72">
        <f>IF(AO22="",0,VLOOKUP(C22,Tables!$B$3:$D$36,2,FALSE())*Y$1)</f>
        <v>0</v>
      </c>
      <c r="BX22" s="72">
        <f>IF(AP22="",0,VLOOKUP(D22,Tables!$B$3:$D$36,2,FALSE())*Z$1)</f>
        <v>0</v>
      </c>
      <c r="BY22" s="85">
        <f>IF(AQ22="",0,VLOOKUP(E22,Tables!$B$3:$D$36,2,FALSE())*AA$1)</f>
        <v>0</v>
      </c>
      <c r="BZ22" s="72">
        <f>IF(AR22="",0,VLOOKUP(F22,Tables!$B$3:$D$36,2,FALSE())*AB$1)</f>
        <v>0</v>
      </c>
      <c r="CA22" s="72">
        <f>IF(AS22="",0,VLOOKUP(G22,Tables!$B$3:$D$36,2,FALSE())*AC$1)</f>
        <v>0</v>
      </c>
      <c r="CB22" s="72">
        <f>IF(AT22="",0,VLOOKUP(H22,Tables!$B$3:$D$36,2,FALSE())*AD$1)</f>
        <v>0</v>
      </c>
      <c r="CC22" s="72">
        <f>IF(AU22="",0,VLOOKUP(I22,Tables!$B$3:$D$36,2,FALSE())*AE$1)</f>
        <v>20</v>
      </c>
      <c r="CD22" s="85">
        <f>IF(AV22="",0,VLOOKUP(J22,Tables!$B$3:$D$36,2,FALSE())*AF$1)</f>
        <v>0</v>
      </c>
      <c r="CE22" s="72">
        <f>IF(AW22="",0,VLOOKUP(K22,Tables!$B$3:$D$36,2,FALSE())*AG$1)</f>
        <v>0</v>
      </c>
      <c r="CF22" s="72">
        <f>IF(AX22="",0,VLOOKUP(L22,Tables!$B$3:$D$36,2,FALSE())*AH$1)</f>
        <v>0</v>
      </c>
      <c r="CG22" s="85">
        <f>IF(AY22="",0,VLOOKUP(M22,Tables!$B$3:$D$36,2,FALSE())*AI$1)</f>
        <v>0</v>
      </c>
      <c r="CH22" s="72">
        <f>IF(AZ22="",0,VLOOKUP(N22,Tables!$B$3:$D$36,2,FALSE())*AJ$1)</f>
        <v>0</v>
      </c>
      <c r="CI22" s="72">
        <f>IF(BA22="",0,VLOOKUP(O22,Tables!$B$3:$D$36,2,FALSE())*AK$1)</f>
        <v>0</v>
      </c>
      <c r="CJ22" s="86">
        <f>IF(BB22="",0,VLOOKUP(P22,Tables!$B$3:$D$36,2,FALSE())*AL$1)</f>
        <v>0</v>
      </c>
      <c r="CK22" s="87">
        <f>IF(AN22="",0,VLOOKUP(B22,Tables!$B$3:$D$36,3,FALSE())*X$1)*IF(OR(AN22="K",AN22="P"),2,1)</f>
        <v>0</v>
      </c>
      <c r="CL22" s="73">
        <f>IF(AO22="",0,VLOOKUP(C22,Tables!$B$3:$D$36,3,FALSE())*Y$1)*IF(OR(AO22="K",AO22="P"),2,1)</f>
        <v>0</v>
      </c>
      <c r="CM22" s="73">
        <f>IF(AP22="",0,VLOOKUP(D22,Tables!$B$3:$D$36,3,FALSE())*Z$1)*IF(OR(AP22="K",AP22="P"),2,1)</f>
        <v>0</v>
      </c>
      <c r="CN22" s="87">
        <f>IF(AQ22="",0,VLOOKUP(E22,Tables!$B$3:$D$36,3,FALSE())*AA$1)</f>
        <v>0</v>
      </c>
      <c r="CO22" s="73">
        <f>IF(AR22="",0,VLOOKUP(F22,Tables!$B$3:$D$36,3,FALSE())*AB$1)</f>
        <v>0</v>
      </c>
      <c r="CP22" s="73">
        <f>IF(AS22="",0,VLOOKUP(G22,Tables!$B$3:$D$36,3,FALSE())*AC$1)</f>
        <v>0</v>
      </c>
      <c r="CQ22" s="73">
        <f>IF(AT22="",0,VLOOKUP(H22,Tables!$B$3:$D$36,3,FALSE())*AD$1)</f>
        <v>0</v>
      </c>
      <c r="CR22" s="73">
        <f>IF(AU22="",0,VLOOKUP(I22,Tables!$B$3:$D$36,3,FALSE())*AE$1)</f>
        <v>0.75</v>
      </c>
      <c r="CS22" s="87">
        <f>IF(AV22="",0,VLOOKUP(J22,Tables!$B$3:$D$36,3,FALSE())*AF$1)</f>
        <v>0</v>
      </c>
      <c r="CT22" s="73">
        <f>IF(AW22="",0,VLOOKUP(K22,Tables!$B$3:$D$36,3,FALSE())*AG$1)</f>
        <v>0</v>
      </c>
      <c r="CU22" s="73">
        <f>IF(AX22="",0,VLOOKUP(L22,Tables!$B$3:$D$36,3,FALSE())*AH$1)</f>
        <v>0</v>
      </c>
      <c r="CV22" s="87">
        <f>IF(AY22="",0,VLOOKUP(M22,Tables!$B$3:$D$36,3,FALSE())*AI$1)</f>
        <v>0</v>
      </c>
      <c r="CW22" s="73">
        <f>IF(AZ22="",0,VLOOKUP(N22,Tables!$B$3:$D$36,3,FALSE())*AJ$1)</f>
        <v>0</v>
      </c>
      <c r="CX22" s="73">
        <f>IF(BA22="",0,VLOOKUP(O22,Tables!$B$3:$D$36,3,FALSE())*AK$1)</f>
        <v>0</v>
      </c>
      <c r="CY22" s="88">
        <f>IF(BB22="",0,VLOOKUP(P22,Tables!$B$3:$D$36,3,FALSE())*AL$1)</f>
        <v>0</v>
      </c>
      <c r="CZ22" s="89">
        <f t="shared" si="40"/>
        <v>0</v>
      </c>
      <c r="DA22" s="75">
        <f t="shared" si="41"/>
        <v>0</v>
      </c>
      <c r="DB22" s="75">
        <f t="shared" si="42"/>
        <v>0</v>
      </c>
      <c r="DC22" s="89">
        <f t="shared" si="43"/>
        <v>0</v>
      </c>
      <c r="DD22" s="75">
        <f t="shared" si="44"/>
        <v>0</v>
      </c>
      <c r="DE22" s="75">
        <f t="shared" si="45"/>
        <v>0</v>
      </c>
      <c r="DF22" s="75">
        <f t="shared" si="46"/>
        <v>0</v>
      </c>
      <c r="DG22" s="75">
        <f t="shared" si="47"/>
        <v>1.5</v>
      </c>
      <c r="DH22" s="89">
        <f t="shared" si="48"/>
        <v>0</v>
      </c>
      <c r="DI22" s="75">
        <f t="shared" si="49"/>
        <v>0</v>
      </c>
      <c r="DJ22" s="75">
        <f t="shared" si="50"/>
        <v>0</v>
      </c>
      <c r="DK22" s="89">
        <f t="shared" si="51"/>
        <v>0</v>
      </c>
      <c r="DL22" s="75">
        <f t="shared" si="52"/>
        <v>0</v>
      </c>
      <c r="DM22" s="75">
        <f t="shared" si="53"/>
        <v>0</v>
      </c>
      <c r="DN22" s="90">
        <f t="shared" si="54"/>
        <v>0</v>
      </c>
      <c r="DO22" s="91">
        <f>IF(AN22="",0,VLOOKUP(B22,Tables!$B$3:$M$36,11,FALSE())*X$1)</f>
        <v>0</v>
      </c>
      <c r="DP22" s="92">
        <f>IF(AO22="",0,VLOOKUP(C22,Tables!$B$3:$M$36,11,FALSE())*Y$1)</f>
        <v>0</v>
      </c>
      <c r="DQ22" s="92">
        <f>IF(AP22="",0,VLOOKUP(D22,Tables!$B$3:$M$36,11,FALSE())*Z$1)</f>
        <v>0</v>
      </c>
      <c r="DR22" s="91">
        <f>IF(AQ22="",0,VLOOKUP(E22,Tables!$B$3:$M$36,11,FALSE())*AA$1)</f>
        <v>0</v>
      </c>
      <c r="DS22" s="92">
        <f>IF(AR22="",0,VLOOKUP(F22,Tables!$B$3:$M$36,11,FALSE())*AB$1)</f>
        <v>0</v>
      </c>
      <c r="DT22" s="92">
        <f>IF(AS22="",0,VLOOKUP(G22,Tables!$B$3:$M$36,11,FALSE())*AC$1)</f>
        <v>0</v>
      </c>
      <c r="DU22" s="92">
        <f>IF(AT22="",0,VLOOKUP(H22,Tables!$B$3:$M$36,11,FALSE())*AD$1)</f>
        <v>0</v>
      </c>
      <c r="DV22" s="92">
        <f>IF(AU22="",0,VLOOKUP(I22,Tables!$B$3:$M$36,11,FALSE())*AE$1)</f>
        <v>6</v>
      </c>
      <c r="DW22" s="91">
        <f>IF(AV22="",0,VLOOKUP(J22,Tables!$B$3:$M$36,11,FALSE())*AF$1)</f>
        <v>0</v>
      </c>
      <c r="DX22" s="92">
        <f>IF(AW22="",0,VLOOKUP(K22,Tables!$B$3:$M$36,11,FALSE())*AG$1)</f>
        <v>0</v>
      </c>
      <c r="DY22" s="92">
        <f>IF(AX22="",0,VLOOKUP(L22,Tables!$B$3:$M$36,11,FALSE())*AH$1)</f>
        <v>0</v>
      </c>
      <c r="DZ22" s="91">
        <f>IF(AY22="",0,VLOOKUP(M22,Tables!$B$3:$M$36,11,FALSE())*AI$1)</f>
        <v>0</v>
      </c>
      <c r="EA22" s="92">
        <f>IF(AZ22="",0,VLOOKUP(N22,Tables!$B$3:$M$36,11,FALSE())*AJ$1)</f>
        <v>0</v>
      </c>
      <c r="EB22" s="92">
        <f>IF(BA22="",0,VLOOKUP(O22,Tables!$B$3:$M$36,11,FALSE())*AK$1)</f>
        <v>0</v>
      </c>
      <c r="EC22" s="93">
        <f>IF(BB22="",0,VLOOKUP(P22,Tables!$B$3:$M$36,11,FALSE())*AL$1)</f>
        <v>0</v>
      </c>
      <c r="ED22" s="91">
        <f>IF(AN22="",0,VLOOKUP(B22,Tables!$B$3:$M$36,12,FALSE())*X$1)</f>
        <v>0</v>
      </c>
      <c r="EE22" s="92">
        <f>IF(AO22="",0,VLOOKUP(C22,Tables!$B$3:$M$36,12,FALSE())*Y$1)</f>
        <v>0</v>
      </c>
      <c r="EF22" s="92">
        <f>IF(AP22="",0,VLOOKUP(D22,Tables!$B$3:$M$36,12,FALSE())*Z$1)</f>
        <v>0</v>
      </c>
      <c r="EG22" s="91">
        <f>IF(AQ22="",0,VLOOKUP(E22,Tables!$B$3:$M$36,12,FALSE())*AA$1)</f>
        <v>0</v>
      </c>
      <c r="EH22" s="92">
        <f>IF(AR22="",0,VLOOKUP(F22,Tables!$B$3:$M$36,12,FALSE())*AB$1)</f>
        <v>0</v>
      </c>
      <c r="EI22" s="92">
        <f>IF(AS22="",0,VLOOKUP(G22,Tables!$B$3:$M$36,12,FALSE())*AC$1)</f>
        <v>0</v>
      </c>
      <c r="EJ22" s="92">
        <f>IF(AT22="",0,VLOOKUP(H22,Tables!$B$3:$M$36,12,FALSE())*AD$1)</f>
        <v>0</v>
      </c>
      <c r="EK22" s="92">
        <f>IF(AU22="",0,VLOOKUP(I22,Tables!$B$3:$M$36,12,FALSE())*AE$1)</f>
        <v>12</v>
      </c>
      <c r="EL22" s="91">
        <f>IF(AV22="",0,VLOOKUP(J22,Tables!$B$3:$M$36,12,FALSE())*AF$1)</f>
        <v>0</v>
      </c>
      <c r="EM22" s="92">
        <f>IF(AW22="",0,VLOOKUP(K22,Tables!$B$3:$M$36,12,FALSE())*AG$1)</f>
        <v>0</v>
      </c>
      <c r="EN22" s="92">
        <f>IF(AX22="",0,VLOOKUP(L22,Tables!$B$3:$M$36,12,FALSE())*AH$1)</f>
        <v>0</v>
      </c>
      <c r="EO22" s="91">
        <f>IF(AY22="",0,VLOOKUP(M22,Tables!$B$3:$M$36,12,FALSE())*AI$1)</f>
        <v>0</v>
      </c>
      <c r="EP22" s="92">
        <f>IF(AZ22="",0,VLOOKUP(N22,Tables!$B$3:$M$36,12,FALSE())*AJ$1)</f>
        <v>0</v>
      </c>
      <c r="EQ22" s="92">
        <f>IF(BA22="",0,VLOOKUP(O22,Tables!$B$3:$M$36,12,FALSE())*AK$1)</f>
        <v>0</v>
      </c>
      <c r="ER22" s="93">
        <f>IF(BB22="",0,VLOOKUP(P22,Tables!$B$3:$M$36,12,FALSE())*AL$1)</f>
        <v>0</v>
      </c>
      <c r="ES22" s="94">
        <f t="shared" si="55"/>
        <v>0</v>
      </c>
      <c r="ET22" s="95">
        <f>IF(AN22="",10,MIN(VLOOKUP(B22,Tables!$B$3:$N$34,13,FALSE()),'Item Builder'!$W22))</f>
        <v>10</v>
      </c>
      <c r="EU22" s="95">
        <f>IF(AO22="",10,MIN(VLOOKUP(C22,Tables!$B$3:$N$34,13,FALSE()),'Item Builder'!$W22))</f>
        <v>10</v>
      </c>
      <c r="EV22" s="95">
        <f>IF(AP22="",10,MIN(VLOOKUP(D22,Tables!$B$3:$N$34,13,FALSE()),'Item Builder'!$W22))</f>
        <v>10</v>
      </c>
      <c r="EW22" s="95">
        <f>IF(AQ22="",10,MIN(VLOOKUP(E22,Tables!$B$3:$N$34,13,FALSE()),'Item Builder'!$W22))</f>
        <v>10</v>
      </c>
      <c r="EX22" s="95">
        <f>IF(AR22="",10,MIN(VLOOKUP(F22,Tables!$B$3:$N$34,13,FALSE()),'Item Builder'!$W22))</f>
        <v>10</v>
      </c>
      <c r="EY22" s="95">
        <f>IF(AS22="",10,MIN(VLOOKUP(G22,Tables!$B$3:$N$34,13,FALSE()),'Item Builder'!$W22))</f>
        <v>10</v>
      </c>
      <c r="EZ22" s="95">
        <f>IF(AT22="",10,MIN(VLOOKUP(H22,Tables!$B$3:$N$34,13,FALSE()),'Item Builder'!$W22))</f>
        <v>10</v>
      </c>
      <c r="FA22" s="95">
        <f>IF(AU22="",10,MIN(VLOOKUP(I22,Tables!$B$3:$N$34,13,FALSE()),'Item Builder'!$W22))</f>
        <v>0</v>
      </c>
      <c r="FB22" s="95">
        <f>IF(AV22="",10,MIN(VLOOKUP(J22,Tables!$B$3:$N$34,13,FALSE()),'Item Builder'!$W22))</f>
        <v>10</v>
      </c>
      <c r="FC22" s="95">
        <f>IF(AW22="",10,MIN(VLOOKUP(K22,Tables!$B$3:$N$34,13,FALSE()),'Item Builder'!$W22))</f>
        <v>10</v>
      </c>
      <c r="FD22" s="95">
        <f>IF(AX22="",10,MIN(VLOOKUP(L22,Tables!$B$3:$N$34,13,FALSE()),'Item Builder'!$W22))</f>
        <v>10</v>
      </c>
      <c r="FE22" s="95">
        <f>IF(AY22="",10,MIN(VLOOKUP(M22,Tables!$B$3:$N$34,13,FALSE()),'Item Builder'!$W22))</f>
        <v>10</v>
      </c>
      <c r="FF22" s="95">
        <f>IF(AZ22="",10,MIN(VLOOKUP(N22,Tables!$B$3:$N$34,13,FALSE()),'Item Builder'!$W22))</f>
        <v>10</v>
      </c>
      <c r="FG22" s="95">
        <f>IF(BA22="",10,MIN(VLOOKUP(O22,Tables!$B$3:$N$34,13,FALSE()),'Item Builder'!$W22))</f>
        <v>10</v>
      </c>
      <c r="FH22" s="98">
        <f>IF(BB22="",10,MIN(VLOOKUP(P22,Tables!$B$3:$N$34,13,FALSE()),'Item Builder'!$W22))</f>
        <v>10</v>
      </c>
      <c r="FJ22" s="2" t="s">
        <v>130</v>
      </c>
      <c r="FK22" s="2"/>
      <c r="FL22" s="31" t="s">
        <v>108</v>
      </c>
      <c r="FM22" s="99"/>
      <c r="FN22" s="1"/>
      <c r="FO22" s="1"/>
      <c r="FP22" s="1"/>
    </row>
    <row r="23" spans="1:172" x14ac:dyDescent="0.25">
      <c r="A23" s="67" t="s">
        <v>195</v>
      </c>
      <c r="B23" s="68"/>
      <c r="C23" s="69"/>
      <c r="D23" s="70"/>
      <c r="E23" s="68"/>
      <c r="F23" s="69"/>
      <c r="G23" s="69"/>
      <c r="H23" s="69"/>
      <c r="I23" s="70"/>
      <c r="J23" s="68" t="s">
        <v>105</v>
      </c>
      <c r="K23" s="69" t="s">
        <v>105</v>
      </c>
      <c r="L23" s="70"/>
      <c r="M23" s="68"/>
      <c r="N23" s="69"/>
      <c r="O23" s="69"/>
      <c r="P23" s="71"/>
      <c r="Q23" s="72">
        <f>SUM(BV23:CJ23)*VLOOKUP(W23,Tables!$W$3:$Z$8,4)</f>
        <v>96</v>
      </c>
      <c r="R23" s="73">
        <f t="shared" si="0"/>
        <v>3.5999999999999996</v>
      </c>
      <c r="S23" s="74">
        <f t="shared" si="1"/>
        <v>0</v>
      </c>
      <c r="T23" s="74">
        <f t="shared" si="2"/>
        <v>0</v>
      </c>
      <c r="U23" s="75">
        <f t="shared" si="3"/>
        <v>28.799999999999997</v>
      </c>
      <c r="V23" s="76">
        <f t="shared" si="4"/>
        <v>57.599999999999994</v>
      </c>
      <c r="W23" s="77">
        <v>0</v>
      </c>
      <c r="X23" s="78">
        <f t="shared" si="5"/>
        <v>0</v>
      </c>
      <c r="Y23" s="79">
        <f t="shared" si="6"/>
        <v>0</v>
      </c>
      <c r="Z23" s="79">
        <f t="shared" si="7"/>
        <v>0</v>
      </c>
      <c r="AA23" s="78">
        <f t="shared" si="8"/>
        <v>0</v>
      </c>
      <c r="AB23" s="79">
        <f t="shared" si="9"/>
        <v>0</v>
      </c>
      <c r="AC23" s="79">
        <f t="shared" si="10"/>
        <v>0</v>
      </c>
      <c r="AD23" s="79">
        <f t="shared" si="11"/>
        <v>0</v>
      </c>
      <c r="AE23" s="79">
        <f t="shared" si="12"/>
        <v>0</v>
      </c>
      <c r="AF23" s="78">
        <f t="shared" si="13"/>
        <v>1</v>
      </c>
      <c r="AG23" s="79">
        <f t="shared" si="14"/>
        <v>1</v>
      </c>
      <c r="AH23" s="79">
        <f t="shared" si="15"/>
        <v>0</v>
      </c>
      <c r="AI23" s="78">
        <f t="shared" si="16"/>
        <v>0</v>
      </c>
      <c r="AJ23" s="79">
        <f t="shared" si="17"/>
        <v>0</v>
      </c>
      <c r="AK23" s="79">
        <f t="shared" si="18"/>
        <v>0</v>
      </c>
      <c r="AL23" s="80">
        <f t="shared" si="19"/>
        <v>0</v>
      </c>
      <c r="AM23" s="81">
        <f t="shared" si="20"/>
        <v>0.24</v>
      </c>
      <c r="AN23" s="82" t="str">
        <f t="shared" si="21"/>
        <v/>
      </c>
      <c r="AO23" s="79" t="str">
        <f t="shared" si="22"/>
        <v/>
      </c>
      <c r="AP23" t="str">
        <f t="shared" si="23"/>
        <v/>
      </c>
      <c r="AQ23" s="82" t="str">
        <f t="shared" si="24"/>
        <v/>
      </c>
      <c r="AR23" t="str">
        <f t="shared" si="25"/>
        <v/>
      </c>
      <c r="AS23" t="str">
        <f t="shared" si="26"/>
        <v/>
      </c>
      <c r="AT23" t="str">
        <f t="shared" si="27"/>
        <v/>
      </c>
      <c r="AU23" t="str">
        <f t="shared" si="28"/>
        <v/>
      </c>
      <c r="AV23" s="82" t="str">
        <f t="shared" si="29"/>
        <v>L</v>
      </c>
      <c r="AW23" t="str">
        <f t="shared" si="30"/>
        <v>L</v>
      </c>
      <c r="AX23" t="str">
        <f t="shared" si="31"/>
        <v/>
      </c>
      <c r="AY23" s="82" t="str">
        <f t="shared" si="32"/>
        <v/>
      </c>
      <c r="AZ23" t="str">
        <f t="shared" si="33"/>
        <v/>
      </c>
      <c r="BA23" t="str">
        <f t="shared" si="34"/>
        <v/>
      </c>
      <c r="BB23" s="83" t="str">
        <f t="shared" si="35"/>
        <v/>
      </c>
      <c r="BC23" s="84">
        <f t="shared" si="36"/>
        <v>0</v>
      </c>
      <c r="BD23" s="84">
        <f t="shared" si="37"/>
        <v>0</v>
      </c>
      <c r="BE23" s="84">
        <f t="shared" si="38"/>
        <v>0.70588235294117652</v>
      </c>
      <c r="BF23" s="84">
        <f t="shared" si="39"/>
        <v>0</v>
      </c>
      <c r="BG23" s="78">
        <f>IF(AN23="",0,VLOOKUP(AN23,Tables!$AB$3:$AC$12,2))</f>
        <v>0</v>
      </c>
      <c r="BH23" s="79">
        <f>IF(AO23="",0,VLOOKUP(AO23,Tables!$AB$3:$AC$12,2))</f>
        <v>0</v>
      </c>
      <c r="BI23" s="79">
        <f>IF(AP23="",0,VLOOKUP(AP23,Tables!$AB$3:$AC$12,2))</f>
        <v>0</v>
      </c>
      <c r="BJ23" s="78">
        <f>IF(AQ23="",0,VLOOKUP(AQ23,Tables!$AB$3:$AC$12,2))</f>
        <v>0</v>
      </c>
      <c r="BK23" s="79">
        <f>IF(AR23="",0,VLOOKUP(AR23,Tables!$AB$3:$AC$12,2))</f>
        <v>0</v>
      </c>
      <c r="BL23" s="79">
        <f>IF(AS23="",0,VLOOKUP(AS23,Tables!$AB$3:$AC$12,2))</f>
        <v>0</v>
      </c>
      <c r="BM23" s="79">
        <f>IF(AT23="",0,VLOOKUP(AT23,Tables!$AB$3:$AC$12,2))</f>
        <v>0</v>
      </c>
      <c r="BN23" s="79">
        <f>IF(AU23="",0,VLOOKUP(AU23,Tables!$AB$3:$AC$12,2))</f>
        <v>0</v>
      </c>
      <c r="BO23" s="78">
        <f>IF(AV23="",0,VLOOKUP(AV23,Tables!$AB$3:$AC$12,2))</f>
        <v>1</v>
      </c>
      <c r="BP23" s="79">
        <f>IF(AW23="",0,VLOOKUP(AW23,Tables!$AB$3:$AC$12,2))</f>
        <v>1</v>
      </c>
      <c r="BQ23" s="79">
        <f>IF(AX23="",0,VLOOKUP(AX23,Tables!$AB$3:$AC$12,2))</f>
        <v>0</v>
      </c>
      <c r="BR23" s="78">
        <f>IF(AY23="",0,VLOOKUP(AY23,Tables!$AB$3:$AC$12,2))</f>
        <v>0</v>
      </c>
      <c r="BS23" s="79">
        <f>IF(AZ23="",0,VLOOKUP(AZ23,Tables!$AB$3:$AC$12,2))</f>
        <v>0</v>
      </c>
      <c r="BT23" s="79">
        <f>IF(BA23="",0,VLOOKUP(BA23,Tables!$AB$3:$AC$12,2))</f>
        <v>0</v>
      </c>
      <c r="BU23" s="80">
        <f>IF(BB23="",0,VLOOKUP(BB23,Tables!$AB$3:$AC$12,2))</f>
        <v>0</v>
      </c>
      <c r="BV23" s="85">
        <f>IF(AN23="",0,VLOOKUP(B23,Tables!$B$3:$D$36,2,FALSE())*X$1)</f>
        <v>0</v>
      </c>
      <c r="BW23" s="72">
        <f>IF(AO23="",0,VLOOKUP(C23,Tables!$B$3:$D$36,2,FALSE())*Y$1)</f>
        <v>0</v>
      </c>
      <c r="BX23" s="72">
        <f>IF(AP23="",0,VLOOKUP(D23,Tables!$B$3:$D$36,2,FALSE())*Z$1)</f>
        <v>0</v>
      </c>
      <c r="BY23" s="85">
        <f>IF(AQ23="",0,VLOOKUP(E23,Tables!$B$3:$D$36,2,FALSE())*AA$1)</f>
        <v>0</v>
      </c>
      <c r="BZ23" s="72">
        <f>IF(AR23="",0,VLOOKUP(F23,Tables!$B$3:$D$36,2,FALSE())*AB$1)</f>
        <v>0</v>
      </c>
      <c r="CA23" s="72">
        <f>IF(AS23="",0,VLOOKUP(G23,Tables!$B$3:$D$36,2,FALSE())*AC$1)</f>
        <v>0</v>
      </c>
      <c r="CB23" s="72">
        <f>IF(AT23="",0,VLOOKUP(H23,Tables!$B$3:$D$36,2,FALSE())*AD$1)</f>
        <v>0</v>
      </c>
      <c r="CC23" s="72">
        <f>IF(AU23="",0,VLOOKUP(I23,Tables!$B$3:$D$36,2,FALSE())*AE$1)</f>
        <v>0</v>
      </c>
      <c r="CD23" s="85">
        <f>IF(AV23="",0,VLOOKUP(J23,Tables!$B$3:$D$36,2,FALSE())*AF$1)</f>
        <v>48</v>
      </c>
      <c r="CE23" s="72">
        <f>IF(AW23="",0,VLOOKUP(K23,Tables!$B$3:$D$36,2,FALSE())*AG$1)</f>
        <v>48</v>
      </c>
      <c r="CF23" s="72">
        <f>IF(AX23="",0,VLOOKUP(L23,Tables!$B$3:$D$36,2,FALSE())*AH$1)</f>
        <v>0</v>
      </c>
      <c r="CG23" s="85">
        <f>IF(AY23="",0,VLOOKUP(M23,Tables!$B$3:$D$36,2,FALSE())*AI$1)</f>
        <v>0</v>
      </c>
      <c r="CH23" s="72">
        <f>IF(AZ23="",0,VLOOKUP(N23,Tables!$B$3:$D$36,2,FALSE())*AJ$1)</f>
        <v>0</v>
      </c>
      <c r="CI23" s="72">
        <f>IF(BA23="",0,VLOOKUP(O23,Tables!$B$3:$D$36,2,FALSE())*AK$1)</f>
        <v>0</v>
      </c>
      <c r="CJ23" s="86">
        <f>IF(BB23="",0,VLOOKUP(P23,Tables!$B$3:$D$36,2,FALSE())*AL$1)</f>
        <v>0</v>
      </c>
      <c r="CK23" s="87">
        <f>IF(AN23="",0,VLOOKUP(B23,Tables!$B$3:$D$36,3,FALSE())*X$1)*IF(OR(AN23="K",AN23="P"),2,1)</f>
        <v>0</v>
      </c>
      <c r="CL23" s="73">
        <f>IF(AO23="",0,VLOOKUP(C23,Tables!$B$3:$D$36,3,FALSE())*Y$1)*IF(OR(AO23="K",AO23="P"),2,1)</f>
        <v>0</v>
      </c>
      <c r="CM23" s="73">
        <f>IF(AP23="",0,VLOOKUP(D23,Tables!$B$3:$D$36,3,FALSE())*Z$1)*IF(OR(AP23="K",AP23="P"),2,1)</f>
        <v>0</v>
      </c>
      <c r="CN23" s="87">
        <f>IF(AQ23="",0,VLOOKUP(E23,Tables!$B$3:$D$36,3,FALSE())*AA$1)</f>
        <v>0</v>
      </c>
      <c r="CO23" s="73">
        <f>IF(AR23="",0,VLOOKUP(F23,Tables!$B$3:$D$36,3,FALSE())*AB$1)</f>
        <v>0</v>
      </c>
      <c r="CP23" s="73">
        <f>IF(AS23="",0,VLOOKUP(G23,Tables!$B$3:$D$36,3,FALSE())*AC$1)</f>
        <v>0</v>
      </c>
      <c r="CQ23" s="73">
        <f>IF(AT23="",0,VLOOKUP(H23,Tables!$B$3:$D$36,3,FALSE())*AD$1)</f>
        <v>0</v>
      </c>
      <c r="CR23" s="73">
        <f>IF(AU23="",0,VLOOKUP(I23,Tables!$B$3:$D$36,3,FALSE())*AE$1)</f>
        <v>0</v>
      </c>
      <c r="CS23" s="87">
        <f>IF(AV23="",0,VLOOKUP(J23,Tables!$B$3:$D$36,3,FALSE())*AF$1)</f>
        <v>1.7999999999999998</v>
      </c>
      <c r="CT23" s="73">
        <f>IF(AW23="",0,VLOOKUP(K23,Tables!$B$3:$D$36,3,FALSE())*AG$1)</f>
        <v>1.7999999999999998</v>
      </c>
      <c r="CU23" s="73">
        <f>IF(AX23="",0,VLOOKUP(L23,Tables!$B$3:$D$36,3,FALSE())*AH$1)</f>
        <v>0</v>
      </c>
      <c r="CV23" s="87">
        <f>IF(AY23="",0,VLOOKUP(M23,Tables!$B$3:$D$36,3,FALSE())*AI$1)</f>
        <v>0</v>
      </c>
      <c r="CW23" s="73">
        <f>IF(AZ23="",0,VLOOKUP(N23,Tables!$B$3:$D$36,3,FALSE())*AJ$1)</f>
        <v>0</v>
      </c>
      <c r="CX23" s="73">
        <f>IF(BA23="",0,VLOOKUP(O23,Tables!$B$3:$D$36,3,FALSE())*AK$1)</f>
        <v>0</v>
      </c>
      <c r="CY23" s="88">
        <f>IF(BB23="",0,VLOOKUP(P23,Tables!$B$3:$D$36,3,FALSE())*AL$1)</f>
        <v>0</v>
      </c>
      <c r="CZ23" s="89">
        <f t="shared" si="40"/>
        <v>0</v>
      </c>
      <c r="DA23" s="75">
        <f t="shared" si="41"/>
        <v>0</v>
      </c>
      <c r="DB23" s="75">
        <f t="shared" si="42"/>
        <v>0</v>
      </c>
      <c r="DC23" s="89">
        <f t="shared" si="43"/>
        <v>0</v>
      </c>
      <c r="DD23" s="75">
        <f t="shared" si="44"/>
        <v>0</v>
      </c>
      <c r="DE23" s="75">
        <f t="shared" si="45"/>
        <v>0</v>
      </c>
      <c r="DF23" s="75">
        <f t="shared" si="46"/>
        <v>0</v>
      </c>
      <c r="DG23" s="75">
        <f t="shared" si="47"/>
        <v>0</v>
      </c>
      <c r="DH23" s="89">
        <f t="shared" si="48"/>
        <v>1.5</v>
      </c>
      <c r="DI23" s="75">
        <f t="shared" si="49"/>
        <v>1.5</v>
      </c>
      <c r="DJ23" s="75">
        <f t="shared" si="50"/>
        <v>0</v>
      </c>
      <c r="DK23" s="89">
        <f t="shared" si="51"/>
        <v>0</v>
      </c>
      <c r="DL23" s="75">
        <f t="shared" si="52"/>
        <v>0</v>
      </c>
      <c r="DM23" s="75">
        <f t="shared" si="53"/>
        <v>0</v>
      </c>
      <c r="DN23" s="90">
        <f t="shared" si="54"/>
        <v>0</v>
      </c>
      <c r="DO23" s="91">
        <f>IF(AN23="",0,VLOOKUP(B23,Tables!$B$3:$M$36,11,FALSE())*X$1)</f>
        <v>0</v>
      </c>
      <c r="DP23" s="92">
        <f>IF(AO23="",0,VLOOKUP(C23,Tables!$B$3:$M$36,11,FALSE())*Y$1)</f>
        <v>0</v>
      </c>
      <c r="DQ23" s="92">
        <f>IF(AP23="",0,VLOOKUP(D23,Tables!$B$3:$M$36,11,FALSE())*Z$1)</f>
        <v>0</v>
      </c>
      <c r="DR23" s="91">
        <f>IF(AQ23="",0,VLOOKUP(E23,Tables!$B$3:$M$36,11,FALSE())*AA$1)</f>
        <v>0</v>
      </c>
      <c r="DS23" s="92">
        <f>IF(AR23="",0,VLOOKUP(F23,Tables!$B$3:$M$36,11,FALSE())*AB$1)</f>
        <v>0</v>
      </c>
      <c r="DT23" s="92">
        <f>IF(AS23="",0,VLOOKUP(G23,Tables!$B$3:$M$36,11,FALSE())*AC$1)</f>
        <v>0</v>
      </c>
      <c r="DU23" s="92">
        <f>IF(AT23="",0,VLOOKUP(H23,Tables!$B$3:$M$36,11,FALSE())*AD$1)</f>
        <v>0</v>
      </c>
      <c r="DV23" s="92">
        <f>IF(AU23="",0,VLOOKUP(I23,Tables!$B$3:$M$36,11,FALSE())*AE$1)</f>
        <v>0</v>
      </c>
      <c r="DW23" s="91">
        <f>IF(AV23="",0,VLOOKUP(J23,Tables!$B$3:$M$36,11,FALSE())*AF$1)</f>
        <v>14.399999999999999</v>
      </c>
      <c r="DX23" s="92">
        <f>IF(AW23="",0,VLOOKUP(K23,Tables!$B$3:$M$36,11,FALSE())*AG$1)</f>
        <v>14.399999999999999</v>
      </c>
      <c r="DY23" s="92">
        <f>IF(AX23="",0,VLOOKUP(L23,Tables!$B$3:$M$36,11,FALSE())*AH$1)</f>
        <v>0</v>
      </c>
      <c r="DZ23" s="91">
        <f>IF(AY23="",0,VLOOKUP(M23,Tables!$B$3:$M$36,11,FALSE())*AI$1)</f>
        <v>0</v>
      </c>
      <c r="EA23" s="92">
        <f>IF(AZ23="",0,VLOOKUP(N23,Tables!$B$3:$M$36,11,FALSE())*AJ$1)</f>
        <v>0</v>
      </c>
      <c r="EB23" s="92">
        <f>IF(BA23="",0,VLOOKUP(O23,Tables!$B$3:$M$36,11,FALSE())*AK$1)</f>
        <v>0</v>
      </c>
      <c r="EC23" s="93">
        <f>IF(BB23="",0,VLOOKUP(P23,Tables!$B$3:$M$36,11,FALSE())*AL$1)</f>
        <v>0</v>
      </c>
      <c r="ED23" s="91">
        <f>IF(AN23="",0,VLOOKUP(B23,Tables!$B$3:$M$36,12,FALSE())*X$1)</f>
        <v>0</v>
      </c>
      <c r="EE23" s="92">
        <f>IF(AO23="",0,VLOOKUP(C23,Tables!$B$3:$M$36,12,FALSE())*Y$1)</f>
        <v>0</v>
      </c>
      <c r="EF23" s="92">
        <f>IF(AP23="",0,VLOOKUP(D23,Tables!$B$3:$M$36,12,FALSE())*Z$1)</f>
        <v>0</v>
      </c>
      <c r="EG23" s="91">
        <f>IF(AQ23="",0,VLOOKUP(E23,Tables!$B$3:$M$36,12,FALSE())*AA$1)</f>
        <v>0</v>
      </c>
      <c r="EH23" s="92">
        <f>IF(AR23="",0,VLOOKUP(F23,Tables!$B$3:$M$36,12,FALSE())*AB$1)</f>
        <v>0</v>
      </c>
      <c r="EI23" s="92">
        <f>IF(AS23="",0,VLOOKUP(G23,Tables!$B$3:$M$36,12,FALSE())*AC$1)</f>
        <v>0</v>
      </c>
      <c r="EJ23" s="92">
        <f>IF(AT23="",0,VLOOKUP(H23,Tables!$B$3:$M$36,12,FALSE())*AD$1)</f>
        <v>0</v>
      </c>
      <c r="EK23" s="92">
        <f>IF(AU23="",0,VLOOKUP(I23,Tables!$B$3:$M$36,12,FALSE())*AE$1)</f>
        <v>0</v>
      </c>
      <c r="EL23" s="91">
        <f>IF(AV23="",0,VLOOKUP(J23,Tables!$B$3:$M$36,12,FALSE())*AF$1)</f>
        <v>28.799999999999997</v>
      </c>
      <c r="EM23" s="92">
        <f>IF(AW23="",0,VLOOKUP(K23,Tables!$B$3:$M$36,12,FALSE())*AG$1)</f>
        <v>28.799999999999997</v>
      </c>
      <c r="EN23" s="92">
        <f>IF(AX23="",0,VLOOKUP(L23,Tables!$B$3:$M$36,12,FALSE())*AH$1)</f>
        <v>0</v>
      </c>
      <c r="EO23" s="91">
        <f>IF(AY23="",0,VLOOKUP(M23,Tables!$B$3:$M$36,12,FALSE())*AI$1)</f>
        <v>0</v>
      </c>
      <c r="EP23" s="92">
        <f>IF(AZ23="",0,VLOOKUP(N23,Tables!$B$3:$M$36,12,FALSE())*AJ$1)</f>
        <v>0</v>
      </c>
      <c r="EQ23" s="92">
        <f>IF(BA23="",0,VLOOKUP(O23,Tables!$B$3:$M$36,12,FALSE())*AK$1)</f>
        <v>0</v>
      </c>
      <c r="ER23" s="93">
        <f>IF(BB23="",0,VLOOKUP(P23,Tables!$B$3:$M$36,12,FALSE())*AL$1)</f>
        <v>0</v>
      </c>
      <c r="ES23" s="94">
        <f t="shared" si="55"/>
        <v>0</v>
      </c>
      <c r="ET23" s="95">
        <f>IF(AN23="",10,MIN(VLOOKUP(B23,Tables!$B$3:$N$34,13,FALSE()),'Item Builder'!$W23))</f>
        <v>10</v>
      </c>
      <c r="EU23" s="95">
        <f>IF(AO23="",10,MIN(VLOOKUP(C23,Tables!$B$3:$N$34,13,FALSE()),'Item Builder'!$W23))</f>
        <v>10</v>
      </c>
      <c r="EV23" s="95">
        <f>IF(AP23="",10,MIN(VLOOKUP(D23,Tables!$B$3:$N$34,13,FALSE()),'Item Builder'!$W23))</f>
        <v>10</v>
      </c>
      <c r="EW23" s="95">
        <f>IF(AQ23="",10,MIN(VLOOKUP(E23,Tables!$B$3:$N$34,13,FALSE()),'Item Builder'!$W23))</f>
        <v>10</v>
      </c>
      <c r="EX23" s="95">
        <f>IF(AR23="",10,MIN(VLOOKUP(F23,Tables!$B$3:$N$34,13,FALSE()),'Item Builder'!$W23))</f>
        <v>10</v>
      </c>
      <c r="EY23" s="95">
        <f>IF(AS23="",10,MIN(VLOOKUP(G23,Tables!$B$3:$N$34,13,FALSE()),'Item Builder'!$W23))</f>
        <v>10</v>
      </c>
      <c r="EZ23" s="95">
        <f>IF(AT23="",10,MIN(VLOOKUP(H23,Tables!$B$3:$N$34,13,FALSE()),'Item Builder'!$W23))</f>
        <v>10</v>
      </c>
      <c r="FA23" s="95">
        <f>IF(AU23="",10,MIN(VLOOKUP(I23,Tables!$B$3:$N$34,13,FALSE()),'Item Builder'!$W23))</f>
        <v>10</v>
      </c>
      <c r="FB23" s="95">
        <f>IF(AV23="",10,MIN(VLOOKUP(J23,Tables!$B$3:$N$34,13,FALSE()),'Item Builder'!$W23))</f>
        <v>0</v>
      </c>
      <c r="FC23" s="95">
        <f>IF(AW23="",10,MIN(VLOOKUP(K23,Tables!$B$3:$N$34,13,FALSE()),'Item Builder'!$W23))</f>
        <v>0</v>
      </c>
      <c r="FD23" s="95">
        <f>IF(AX23="",10,MIN(VLOOKUP(L23,Tables!$B$3:$N$34,13,FALSE()),'Item Builder'!$W23))</f>
        <v>10</v>
      </c>
      <c r="FE23" s="95">
        <f>IF(AY23="",10,MIN(VLOOKUP(M23,Tables!$B$3:$N$34,13,FALSE()),'Item Builder'!$W23))</f>
        <v>10</v>
      </c>
      <c r="FF23" s="95">
        <f>IF(AZ23="",10,MIN(VLOOKUP(N23,Tables!$B$3:$N$34,13,FALSE()),'Item Builder'!$W23))</f>
        <v>10</v>
      </c>
      <c r="FG23" s="95">
        <f>IF(BA23="",10,MIN(VLOOKUP(O23,Tables!$B$3:$N$34,13,FALSE()),'Item Builder'!$W23))</f>
        <v>10</v>
      </c>
      <c r="FH23" s="98">
        <f>IF(BB23="",10,MIN(VLOOKUP(P23,Tables!$B$3:$N$34,13,FALSE()),'Item Builder'!$W23))</f>
        <v>10</v>
      </c>
      <c r="FJ23" s="2" t="s">
        <v>196</v>
      </c>
      <c r="FK23" s="2"/>
      <c r="FL23" s="31" t="s">
        <v>30</v>
      </c>
      <c r="FM23" s="100" t="s">
        <v>197</v>
      </c>
      <c r="FN23" s="1"/>
      <c r="FO23" s="1"/>
      <c r="FP23" s="1"/>
    </row>
    <row r="24" spans="1:172" x14ac:dyDescent="0.25">
      <c r="A24" s="67" t="s">
        <v>198</v>
      </c>
      <c r="B24" s="68"/>
      <c r="C24" s="69"/>
      <c r="D24" s="70"/>
      <c r="E24" s="68" t="s">
        <v>105</v>
      </c>
      <c r="F24" s="69"/>
      <c r="G24" s="69"/>
      <c r="H24" s="69"/>
      <c r="I24" s="70"/>
      <c r="J24" s="68" t="s">
        <v>105</v>
      </c>
      <c r="K24" s="69" t="s">
        <v>105</v>
      </c>
      <c r="L24" s="70" t="s">
        <v>105</v>
      </c>
      <c r="M24" s="68"/>
      <c r="N24" s="69"/>
      <c r="O24" s="69"/>
      <c r="P24" s="71"/>
      <c r="Q24" s="72">
        <f>SUM(BV24:CJ24)*VLOOKUP(W24,Tables!$W$3:$Z$8,4)</f>
        <v>148</v>
      </c>
      <c r="R24" s="73">
        <f t="shared" si="0"/>
        <v>5.55</v>
      </c>
      <c r="S24" s="101">
        <f t="shared" si="1"/>
        <v>5</v>
      </c>
      <c r="T24" s="74">
        <f t="shared" si="2"/>
        <v>0</v>
      </c>
      <c r="U24" s="75">
        <f t="shared" si="3"/>
        <v>44.4</v>
      </c>
      <c r="V24" s="76">
        <f t="shared" si="4"/>
        <v>88.8</v>
      </c>
      <c r="W24" s="77">
        <v>0</v>
      </c>
      <c r="X24" s="78">
        <f t="shared" si="5"/>
        <v>0</v>
      </c>
      <c r="Y24" s="79">
        <f t="shared" si="6"/>
        <v>0</v>
      </c>
      <c r="Z24" s="79">
        <f t="shared" si="7"/>
        <v>0</v>
      </c>
      <c r="AA24" s="78">
        <f t="shared" si="8"/>
        <v>1</v>
      </c>
      <c r="AB24" s="79">
        <f t="shared" si="9"/>
        <v>0</v>
      </c>
      <c r="AC24" s="79">
        <f t="shared" si="10"/>
        <v>0</v>
      </c>
      <c r="AD24" s="79">
        <f t="shared" si="11"/>
        <v>0</v>
      </c>
      <c r="AE24" s="79">
        <f t="shared" si="12"/>
        <v>0</v>
      </c>
      <c r="AF24" s="78">
        <f t="shared" si="13"/>
        <v>1</v>
      </c>
      <c r="AG24" s="79">
        <f t="shared" si="14"/>
        <v>1</v>
      </c>
      <c r="AH24" s="79">
        <f t="shared" si="15"/>
        <v>1</v>
      </c>
      <c r="AI24" s="78">
        <f t="shared" si="16"/>
        <v>0</v>
      </c>
      <c r="AJ24" s="79">
        <f t="shared" si="17"/>
        <v>0</v>
      </c>
      <c r="AK24" s="79">
        <f t="shared" si="18"/>
        <v>0</v>
      </c>
      <c r="AL24" s="80">
        <f t="shared" si="19"/>
        <v>0</v>
      </c>
      <c r="AM24" s="81">
        <f t="shared" si="20"/>
        <v>0.37</v>
      </c>
      <c r="AN24" s="82" t="str">
        <f t="shared" si="21"/>
        <v/>
      </c>
      <c r="AO24" s="79" t="str">
        <f t="shared" si="22"/>
        <v/>
      </c>
      <c r="AP24" t="str">
        <f t="shared" si="23"/>
        <v/>
      </c>
      <c r="AQ24" s="82" t="str">
        <f t="shared" si="24"/>
        <v>L</v>
      </c>
      <c r="AR24" t="str">
        <f t="shared" si="25"/>
        <v/>
      </c>
      <c r="AS24" t="str">
        <f t="shared" si="26"/>
        <v/>
      </c>
      <c r="AT24" t="str">
        <f t="shared" si="27"/>
        <v/>
      </c>
      <c r="AU24" t="str">
        <f t="shared" si="28"/>
        <v/>
      </c>
      <c r="AV24" s="82" t="str">
        <f t="shared" si="29"/>
        <v>L</v>
      </c>
      <c r="AW24" t="str">
        <f t="shared" si="30"/>
        <v>L</v>
      </c>
      <c r="AX24" t="str">
        <f t="shared" si="31"/>
        <v>L</v>
      </c>
      <c r="AY24" s="82" t="str">
        <f t="shared" si="32"/>
        <v/>
      </c>
      <c r="AZ24" t="str">
        <f t="shared" si="33"/>
        <v/>
      </c>
      <c r="BA24" t="str">
        <f t="shared" si="34"/>
        <v/>
      </c>
      <c r="BB24" s="83" t="str">
        <f t="shared" si="35"/>
        <v/>
      </c>
      <c r="BC24" s="84">
        <f t="shared" si="36"/>
        <v>0</v>
      </c>
      <c r="BD24" s="84">
        <f t="shared" si="37"/>
        <v>0.14285714285714285</v>
      </c>
      <c r="BE24" s="84">
        <f t="shared" si="38"/>
        <v>1</v>
      </c>
      <c r="BF24" s="84">
        <f t="shared" si="39"/>
        <v>0</v>
      </c>
      <c r="BG24" s="78">
        <f>IF(AN24="",0,VLOOKUP(AN24,Tables!$AB$3:$AC$12,2))</f>
        <v>0</v>
      </c>
      <c r="BH24" s="79">
        <f>IF(AO24="",0,VLOOKUP(AO24,Tables!$AB$3:$AC$12,2))</f>
        <v>0</v>
      </c>
      <c r="BI24" s="79">
        <f>IF(AP24="",0,VLOOKUP(AP24,Tables!$AB$3:$AC$12,2))</f>
        <v>0</v>
      </c>
      <c r="BJ24" s="78">
        <f>IF(AQ24="",0,VLOOKUP(AQ24,Tables!$AB$3:$AC$12,2))</f>
        <v>1</v>
      </c>
      <c r="BK24" s="79">
        <f>IF(AR24="",0,VLOOKUP(AR24,Tables!$AB$3:$AC$12,2))</f>
        <v>0</v>
      </c>
      <c r="BL24" s="79">
        <f>IF(AS24="",0,VLOOKUP(AS24,Tables!$AB$3:$AC$12,2))</f>
        <v>0</v>
      </c>
      <c r="BM24" s="79">
        <f>IF(AT24="",0,VLOOKUP(AT24,Tables!$AB$3:$AC$12,2))</f>
        <v>0</v>
      </c>
      <c r="BN24" s="79">
        <f>IF(AU24="",0,VLOOKUP(AU24,Tables!$AB$3:$AC$12,2))</f>
        <v>0</v>
      </c>
      <c r="BO24" s="78">
        <f>IF(AV24="",0,VLOOKUP(AV24,Tables!$AB$3:$AC$12,2))</f>
        <v>1</v>
      </c>
      <c r="BP24" s="79">
        <f>IF(AW24="",0,VLOOKUP(AW24,Tables!$AB$3:$AC$12,2))</f>
        <v>1</v>
      </c>
      <c r="BQ24" s="79">
        <f>IF(AX24="",0,VLOOKUP(AX24,Tables!$AB$3:$AC$12,2))</f>
        <v>1</v>
      </c>
      <c r="BR24" s="78">
        <f>IF(AY24="",0,VLOOKUP(AY24,Tables!$AB$3:$AC$12,2))</f>
        <v>0</v>
      </c>
      <c r="BS24" s="79">
        <f>IF(AZ24="",0,VLOOKUP(AZ24,Tables!$AB$3:$AC$12,2))</f>
        <v>0</v>
      </c>
      <c r="BT24" s="79">
        <f>IF(BA24="",0,VLOOKUP(BA24,Tables!$AB$3:$AC$12,2))</f>
        <v>0</v>
      </c>
      <c r="BU24" s="80">
        <f>IF(BB24="",0,VLOOKUP(BB24,Tables!$AB$3:$AC$12,2))</f>
        <v>0</v>
      </c>
      <c r="BV24" s="85">
        <f>IF(AN24="",0,VLOOKUP(B24,Tables!$B$3:$D$36,2,FALSE())*X$1)</f>
        <v>0</v>
      </c>
      <c r="BW24" s="72">
        <f>IF(AO24="",0,VLOOKUP(C24,Tables!$B$3:$D$36,2,FALSE())*Y$1)</f>
        <v>0</v>
      </c>
      <c r="BX24" s="72">
        <f>IF(AP24="",0,VLOOKUP(D24,Tables!$B$3:$D$36,2,FALSE())*Z$1)</f>
        <v>0</v>
      </c>
      <c r="BY24" s="85">
        <f>IF(AQ24="",0,VLOOKUP(E24,Tables!$B$3:$D$36,2,FALSE())*AA$1)</f>
        <v>12</v>
      </c>
      <c r="BZ24" s="72">
        <f>IF(AR24="",0,VLOOKUP(F24,Tables!$B$3:$D$36,2,FALSE())*AB$1)</f>
        <v>0</v>
      </c>
      <c r="CA24" s="72">
        <f>IF(AS24="",0,VLOOKUP(G24,Tables!$B$3:$D$36,2,FALSE())*AC$1)</f>
        <v>0</v>
      </c>
      <c r="CB24" s="72">
        <f>IF(AT24="",0,VLOOKUP(H24,Tables!$B$3:$D$36,2,FALSE())*AD$1)</f>
        <v>0</v>
      </c>
      <c r="CC24" s="72">
        <f>IF(AU24="",0,VLOOKUP(I24,Tables!$B$3:$D$36,2,FALSE())*AE$1)</f>
        <v>0</v>
      </c>
      <c r="CD24" s="85">
        <f>IF(AV24="",0,VLOOKUP(J24,Tables!$B$3:$D$36,2,FALSE())*AF$1)</f>
        <v>48</v>
      </c>
      <c r="CE24" s="72">
        <f>IF(AW24="",0,VLOOKUP(K24,Tables!$B$3:$D$36,2,FALSE())*AG$1)</f>
        <v>48</v>
      </c>
      <c r="CF24" s="72">
        <f>IF(AX24="",0,VLOOKUP(L24,Tables!$B$3:$D$36,2,FALSE())*AH$1)</f>
        <v>40</v>
      </c>
      <c r="CG24" s="85">
        <f>IF(AY24="",0,VLOOKUP(M24,Tables!$B$3:$D$36,2,FALSE())*AI$1)</f>
        <v>0</v>
      </c>
      <c r="CH24" s="72">
        <f>IF(AZ24="",0,VLOOKUP(N24,Tables!$B$3:$D$36,2,FALSE())*AJ$1)</f>
        <v>0</v>
      </c>
      <c r="CI24" s="72">
        <f>IF(BA24="",0,VLOOKUP(O24,Tables!$B$3:$D$36,2,FALSE())*AK$1)</f>
        <v>0</v>
      </c>
      <c r="CJ24" s="86">
        <f>IF(BB24="",0,VLOOKUP(P24,Tables!$B$3:$D$36,2,FALSE())*AL$1)</f>
        <v>0</v>
      </c>
      <c r="CK24" s="87">
        <f>IF(AN24="",0,VLOOKUP(B24,Tables!$B$3:$D$36,3,FALSE())*X$1)*IF(OR(AN24="K",AN24="P"),2,1)</f>
        <v>0</v>
      </c>
      <c r="CL24" s="73">
        <f>IF(AO24="",0,VLOOKUP(C24,Tables!$B$3:$D$36,3,FALSE())*Y$1)*IF(OR(AO24="K",AO24="P"),2,1)</f>
        <v>0</v>
      </c>
      <c r="CM24" s="73">
        <f>IF(AP24="",0,VLOOKUP(D24,Tables!$B$3:$D$36,3,FALSE())*Z$1)*IF(OR(AP24="K",AP24="P"),2,1)</f>
        <v>0</v>
      </c>
      <c r="CN24" s="87">
        <f>IF(AQ24="",0,VLOOKUP(E24,Tables!$B$3:$D$36,3,FALSE())*AA$1)</f>
        <v>0.44999999999999996</v>
      </c>
      <c r="CO24" s="73">
        <f>IF(AR24="",0,VLOOKUP(F24,Tables!$B$3:$D$36,3,FALSE())*AB$1)</f>
        <v>0</v>
      </c>
      <c r="CP24" s="73">
        <f>IF(AS24="",0,VLOOKUP(G24,Tables!$B$3:$D$36,3,FALSE())*AC$1)</f>
        <v>0</v>
      </c>
      <c r="CQ24" s="73">
        <f>IF(AT24="",0,VLOOKUP(H24,Tables!$B$3:$D$36,3,FALSE())*AD$1)</f>
        <v>0</v>
      </c>
      <c r="CR24" s="73">
        <f>IF(AU24="",0,VLOOKUP(I24,Tables!$B$3:$D$36,3,FALSE())*AE$1)</f>
        <v>0</v>
      </c>
      <c r="CS24" s="87">
        <f>IF(AV24="",0,VLOOKUP(J24,Tables!$B$3:$D$36,3,FALSE())*AF$1)</f>
        <v>1.7999999999999998</v>
      </c>
      <c r="CT24" s="73">
        <f>IF(AW24="",0,VLOOKUP(K24,Tables!$B$3:$D$36,3,FALSE())*AG$1)</f>
        <v>1.7999999999999998</v>
      </c>
      <c r="CU24" s="73">
        <f>IF(AX24="",0,VLOOKUP(L24,Tables!$B$3:$D$36,3,FALSE())*AH$1)</f>
        <v>1.5</v>
      </c>
      <c r="CV24" s="87">
        <f>IF(AY24="",0,VLOOKUP(M24,Tables!$B$3:$D$36,3,FALSE())*AI$1)</f>
        <v>0</v>
      </c>
      <c r="CW24" s="73">
        <f>IF(AZ24="",0,VLOOKUP(N24,Tables!$B$3:$D$36,3,FALSE())*AJ$1)</f>
        <v>0</v>
      </c>
      <c r="CX24" s="73">
        <f>IF(BA24="",0,VLOOKUP(O24,Tables!$B$3:$D$36,3,FALSE())*AK$1)</f>
        <v>0</v>
      </c>
      <c r="CY24" s="88">
        <f>IF(BB24="",0,VLOOKUP(P24,Tables!$B$3:$D$36,3,FALSE())*AL$1)</f>
        <v>0</v>
      </c>
      <c r="CZ24" s="89">
        <f t="shared" si="40"/>
        <v>0</v>
      </c>
      <c r="DA24" s="75">
        <f t="shared" si="41"/>
        <v>0</v>
      </c>
      <c r="DB24" s="75">
        <f t="shared" si="42"/>
        <v>0</v>
      </c>
      <c r="DC24" s="89">
        <f t="shared" si="43"/>
        <v>1.5</v>
      </c>
      <c r="DD24" s="75">
        <f t="shared" si="44"/>
        <v>0</v>
      </c>
      <c r="DE24" s="75">
        <f t="shared" si="45"/>
        <v>0</v>
      </c>
      <c r="DF24" s="75">
        <f t="shared" si="46"/>
        <v>0</v>
      </c>
      <c r="DG24" s="75">
        <f t="shared" si="47"/>
        <v>0</v>
      </c>
      <c r="DH24" s="89">
        <f t="shared" si="48"/>
        <v>1.5</v>
      </c>
      <c r="DI24" s="75">
        <f t="shared" si="49"/>
        <v>1.5</v>
      </c>
      <c r="DJ24" s="75">
        <f t="shared" si="50"/>
        <v>1.5</v>
      </c>
      <c r="DK24" s="89">
        <f t="shared" si="51"/>
        <v>0</v>
      </c>
      <c r="DL24" s="75">
        <f t="shared" si="52"/>
        <v>0</v>
      </c>
      <c r="DM24" s="75">
        <f t="shared" si="53"/>
        <v>0</v>
      </c>
      <c r="DN24" s="90">
        <f t="shared" si="54"/>
        <v>0</v>
      </c>
      <c r="DO24" s="91">
        <f>IF(AN24="",0,VLOOKUP(B24,Tables!$B$3:$M$36,11,FALSE())*X$1)</f>
        <v>0</v>
      </c>
      <c r="DP24" s="92">
        <f>IF(AO24="",0,VLOOKUP(C24,Tables!$B$3:$M$36,11,FALSE())*Y$1)</f>
        <v>0</v>
      </c>
      <c r="DQ24" s="92">
        <f>IF(AP24="",0,VLOOKUP(D24,Tables!$B$3:$M$36,11,FALSE())*Z$1)</f>
        <v>0</v>
      </c>
      <c r="DR24" s="91">
        <f>IF(AQ24="",0,VLOOKUP(E24,Tables!$B$3:$M$36,11,FALSE())*AA$1)</f>
        <v>3.5999999999999996</v>
      </c>
      <c r="DS24" s="92">
        <f>IF(AR24="",0,VLOOKUP(F24,Tables!$B$3:$M$36,11,FALSE())*AB$1)</f>
        <v>0</v>
      </c>
      <c r="DT24" s="92">
        <f>IF(AS24="",0,VLOOKUP(G24,Tables!$B$3:$M$36,11,FALSE())*AC$1)</f>
        <v>0</v>
      </c>
      <c r="DU24" s="92">
        <f>IF(AT24="",0,VLOOKUP(H24,Tables!$B$3:$M$36,11,FALSE())*AD$1)</f>
        <v>0</v>
      </c>
      <c r="DV24" s="92">
        <f>IF(AU24="",0,VLOOKUP(I24,Tables!$B$3:$M$36,11,FALSE())*AE$1)</f>
        <v>0</v>
      </c>
      <c r="DW24" s="91">
        <f>IF(AV24="",0,VLOOKUP(J24,Tables!$B$3:$M$36,11,FALSE())*AF$1)</f>
        <v>14.399999999999999</v>
      </c>
      <c r="DX24" s="92">
        <f>IF(AW24="",0,VLOOKUP(K24,Tables!$B$3:$M$36,11,FALSE())*AG$1)</f>
        <v>14.399999999999999</v>
      </c>
      <c r="DY24" s="92">
        <f>IF(AX24="",0,VLOOKUP(L24,Tables!$B$3:$M$36,11,FALSE())*AH$1)</f>
        <v>12</v>
      </c>
      <c r="DZ24" s="91">
        <f>IF(AY24="",0,VLOOKUP(M24,Tables!$B$3:$M$36,11,FALSE())*AI$1)</f>
        <v>0</v>
      </c>
      <c r="EA24" s="92">
        <f>IF(AZ24="",0,VLOOKUP(N24,Tables!$B$3:$M$36,11,FALSE())*AJ$1)</f>
        <v>0</v>
      </c>
      <c r="EB24" s="92">
        <f>IF(BA24="",0,VLOOKUP(O24,Tables!$B$3:$M$36,11,FALSE())*AK$1)</f>
        <v>0</v>
      </c>
      <c r="EC24" s="93">
        <f>IF(BB24="",0,VLOOKUP(P24,Tables!$B$3:$M$36,11,FALSE())*AL$1)</f>
        <v>0</v>
      </c>
      <c r="ED24" s="91">
        <f>IF(AN24="",0,VLOOKUP(B24,Tables!$B$3:$M$36,12,FALSE())*X$1)</f>
        <v>0</v>
      </c>
      <c r="EE24" s="92">
        <f>IF(AO24="",0,VLOOKUP(C24,Tables!$B$3:$M$36,12,FALSE())*Y$1)</f>
        <v>0</v>
      </c>
      <c r="EF24" s="92">
        <f>IF(AP24="",0,VLOOKUP(D24,Tables!$B$3:$M$36,12,FALSE())*Z$1)</f>
        <v>0</v>
      </c>
      <c r="EG24" s="91">
        <f>IF(AQ24="",0,VLOOKUP(E24,Tables!$B$3:$M$36,12,FALSE())*AA$1)</f>
        <v>7.1999999999999993</v>
      </c>
      <c r="EH24" s="92">
        <f>IF(AR24="",0,VLOOKUP(F24,Tables!$B$3:$M$36,12,FALSE())*AB$1)</f>
        <v>0</v>
      </c>
      <c r="EI24" s="92">
        <f>IF(AS24="",0,VLOOKUP(G24,Tables!$B$3:$M$36,12,FALSE())*AC$1)</f>
        <v>0</v>
      </c>
      <c r="EJ24" s="92">
        <f>IF(AT24="",0,VLOOKUP(H24,Tables!$B$3:$M$36,12,FALSE())*AD$1)</f>
        <v>0</v>
      </c>
      <c r="EK24" s="92">
        <f>IF(AU24="",0,VLOOKUP(I24,Tables!$B$3:$M$36,12,FALSE())*AE$1)</f>
        <v>0</v>
      </c>
      <c r="EL24" s="91">
        <f>IF(AV24="",0,VLOOKUP(J24,Tables!$B$3:$M$36,12,FALSE())*AF$1)</f>
        <v>28.799999999999997</v>
      </c>
      <c r="EM24" s="92">
        <f>IF(AW24="",0,VLOOKUP(K24,Tables!$B$3:$M$36,12,FALSE())*AG$1)</f>
        <v>28.799999999999997</v>
      </c>
      <c r="EN24" s="92">
        <f>IF(AX24="",0,VLOOKUP(L24,Tables!$B$3:$M$36,12,FALSE())*AH$1)</f>
        <v>24</v>
      </c>
      <c r="EO24" s="91">
        <f>IF(AY24="",0,VLOOKUP(M24,Tables!$B$3:$M$36,12,FALSE())*AI$1)</f>
        <v>0</v>
      </c>
      <c r="EP24" s="92">
        <f>IF(AZ24="",0,VLOOKUP(N24,Tables!$B$3:$M$36,12,FALSE())*AJ$1)</f>
        <v>0</v>
      </c>
      <c r="EQ24" s="92">
        <f>IF(BA24="",0,VLOOKUP(O24,Tables!$B$3:$M$36,12,FALSE())*AK$1)</f>
        <v>0</v>
      </c>
      <c r="ER24" s="93">
        <f>IF(BB24="",0,VLOOKUP(P24,Tables!$B$3:$M$36,12,FALSE())*AL$1)</f>
        <v>0</v>
      </c>
      <c r="ES24" s="94">
        <f t="shared" si="55"/>
        <v>0</v>
      </c>
      <c r="ET24" s="95">
        <f>IF(AN24="",10,MIN(VLOOKUP(B24,Tables!$B$3:$N$34,13,FALSE()),'Item Builder'!$W24))</f>
        <v>10</v>
      </c>
      <c r="EU24" s="95">
        <f>IF(AO24="",10,MIN(VLOOKUP(C24,Tables!$B$3:$N$34,13,FALSE()),'Item Builder'!$W24))</f>
        <v>10</v>
      </c>
      <c r="EV24" s="95">
        <f>IF(AP24="",10,MIN(VLOOKUP(D24,Tables!$B$3:$N$34,13,FALSE()),'Item Builder'!$W24))</f>
        <v>10</v>
      </c>
      <c r="EW24" s="95">
        <f>IF(AQ24="",10,MIN(VLOOKUP(E24,Tables!$B$3:$N$34,13,FALSE()),'Item Builder'!$W24))</f>
        <v>0</v>
      </c>
      <c r="EX24" s="95">
        <f>IF(AR24="",10,MIN(VLOOKUP(F24,Tables!$B$3:$N$34,13,FALSE()),'Item Builder'!$W24))</f>
        <v>10</v>
      </c>
      <c r="EY24" s="95">
        <f>IF(AS24="",10,MIN(VLOOKUP(G24,Tables!$B$3:$N$34,13,FALSE()),'Item Builder'!$W24))</f>
        <v>10</v>
      </c>
      <c r="EZ24" s="95">
        <f>IF(AT24="",10,MIN(VLOOKUP(H24,Tables!$B$3:$N$34,13,FALSE()),'Item Builder'!$W24))</f>
        <v>10</v>
      </c>
      <c r="FA24" s="95">
        <f>IF(AU24="",10,MIN(VLOOKUP(I24,Tables!$B$3:$N$34,13,FALSE()),'Item Builder'!$W24))</f>
        <v>10</v>
      </c>
      <c r="FB24" s="95">
        <f>IF(AV24="",10,MIN(VLOOKUP(J24,Tables!$B$3:$N$34,13,FALSE()),'Item Builder'!$W24))</f>
        <v>0</v>
      </c>
      <c r="FC24" s="95">
        <f>IF(AW24="",10,MIN(VLOOKUP(K24,Tables!$B$3:$N$34,13,FALSE()),'Item Builder'!$W24))</f>
        <v>0</v>
      </c>
      <c r="FD24" s="95">
        <f>IF(AX24="",10,MIN(VLOOKUP(L24,Tables!$B$3:$N$34,13,FALSE()),'Item Builder'!$W24))</f>
        <v>0</v>
      </c>
      <c r="FE24" s="95">
        <f>IF(AY24="",10,MIN(VLOOKUP(M24,Tables!$B$3:$N$34,13,FALSE()),'Item Builder'!$W24))</f>
        <v>10</v>
      </c>
      <c r="FF24" s="95">
        <f>IF(AZ24="",10,MIN(VLOOKUP(N24,Tables!$B$3:$N$34,13,FALSE()),'Item Builder'!$W24))</f>
        <v>10</v>
      </c>
      <c r="FG24" s="95">
        <f>IF(BA24="",10,MIN(VLOOKUP(O24,Tables!$B$3:$N$34,13,FALSE()),'Item Builder'!$W24))</f>
        <v>10</v>
      </c>
      <c r="FH24" s="98">
        <f>IF(BB24="",10,MIN(VLOOKUP(P24,Tables!$B$3:$N$34,13,FALSE()),'Item Builder'!$W24))</f>
        <v>10</v>
      </c>
    </row>
    <row r="25" spans="1:172" x14ac:dyDescent="0.25">
      <c r="A25" s="67" t="s">
        <v>45</v>
      </c>
      <c r="B25" s="68"/>
      <c r="C25" s="69"/>
      <c r="D25" s="70"/>
      <c r="E25" s="68"/>
      <c r="F25" s="69"/>
      <c r="G25" s="69"/>
      <c r="H25" s="69"/>
      <c r="I25" s="70"/>
      <c r="J25" s="68"/>
      <c r="K25" s="69"/>
      <c r="L25" s="70"/>
      <c r="M25" s="68"/>
      <c r="N25" s="69"/>
      <c r="O25" s="69" t="s">
        <v>105</v>
      </c>
      <c r="P25" s="71" t="s">
        <v>105</v>
      </c>
      <c r="Q25" s="72">
        <f>SUM(BV25:CJ25)*VLOOKUP(W25,Tables!$W$3:$Z$8,4)</f>
        <v>76</v>
      </c>
      <c r="R25" s="73">
        <f t="shared" si="0"/>
        <v>2.8499999999999996</v>
      </c>
      <c r="S25" s="74">
        <f t="shared" si="1"/>
        <v>0</v>
      </c>
      <c r="T25" s="74">
        <f t="shared" si="2"/>
        <v>0</v>
      </c>
      <c r="U25" s="75">
        <f t="shared" si="3"/>
        <v>22.799999999999997</v>
      </c>
      <c r="V25" s="76">
        <f t="shared" si="4"/>
        <v>45.599999999999994</v>
      </c>
      <c r="W25" s="77">
        <v>0</v>
      </c>
      <c r="X25" s="78">
        <f t="shared" si="5"/>
        <v>0</v>
      </c>
      <c r="Y25" s="79">
        <f t="shared" si="6"/>
        <v>0</v>
      </c>
      <c r="Z25" s="79">
        <f t="shared" si="7"/>
        <v>0</v>
      </c>
      <c r="AA25" s="78">
        <f t="shared" si="8"/>
        <v>0</v>
      </c>
      <c r="AB25" s="79">
        <f t="shared" si="9"/>
        <v>0</v>
      </c>
      <c r="AC25" s="79">
        <f t="shared" si="10"/>
        <v>0</v>
      </c>
      <c r="AD25" s="79">
        <f t="shared" si="11"/>
        <v>0</v>
      </c>
      <c r="AE25" s="79">
        <f t="shared" si="12"/>
        <v>0</v>
      </c>
      <c r="AF25" s="78">
        <f t="shared" si="13"/>
        <v>0</v>
      </c>
      <c r="AG25" s="79">
        <f t="shared" si="14"/>
        <v>0</v>
      </c>
      <c r="AH25" s="79">
        <f t="shared" si="15"/>
        <v>0</v>
      </c>
      <c r="AI25" s="78">
        <f t="shared" si="16"/>
        <v>0</v>
      </c>
      <c r="AJ25" s="79">
        <f t="shared" si="17"/>
        <v>0</v>
      </c>
      <c r="AK25" s="79">
        <f t="shared" si="18"/>
        <v>1</v>
      </c>
      <c r="AL25" s="80">
        <f t="shared" si="19"/>
        <v>1</v>
      </c>
      <c r="AM25" s="81">
        <f t="shared" si="20"/>
        <v>0.19</v>
      </c>
      <c r="AN25" s="82" t="str">
        <f t="shared" si="21"/>
        <v/>
      </c>
      <c r="AO25" s="79" t="str">
        <f t="shared" si="22"/>
        <v/>
      </c>
      <c r="AP25" t="str">
        <f t="shared" si="23"/>
        <v/>
      </c>
      <c r="AQ25" s="82" t="str">
        <f t="shared" si="24"/>
        <v/>
      </c>
      <c r="AR25" t="str">
        <f t="shared" si="25"/>
        <v/>
      </c>
      <c r="AS25" t="str">
        <f t="shared" si="26"/>
        <v/>
      </c>
      <c r="AT25" t="str">
        <f t="shared" si="27"/>
        <v/>
      </c>
      <c r="AU25" t="str">
        <f t="shared" si="28"/>
        <v/>
      </c>
      <c r="AV25" s="82" t="str">
        <f t="shared" si="29"/>
        <v/>
      </c>
      <c r="AW25" t="str">
        <f t="shared" si="30"/>
        <v/>
      </c>
      <c r="AX25" t="str">
        <f t="shared" si="31"/>
        <v/>
      </c>
      <c r="AY25" s="82" t="str">
        <f t="shared" si="32"/>
        <v/>
      </c>
      <c r="AZ25" t="str">
        <f t="shared" si="33"/>
        <v/>
      </c>
      <c r="BA25" t="str">
        <f t="shared" si="34"/>
        <v>L</v>
      </c>
      <c r="BB25" s="83" t="str">
        <f t="shared" si="35"/>
        <v>L</v>
      </c>
      <c r="BC25" s="84">
        <f t="shared" si="36"/>
        <v>0</v>
      </c>
      <c r="BD25" s="84">
        <f t="shared" si="37"/>
        <v>0</v>
      </c>
      <c r="BE25" s="84">
        <f t="shared" si="38"/>
        <v>0</v>
      </c>
      <c r="BF25" s="84">
        <f t="shared" si="39"/>
        <v>0.52777777777777768</v>
      </c>
      <c r="BG25" s="78">
        <f>IF(AN25="",0,VLOOKUP(AN25,Tables!$AB$3:$AC$12,2))</f>
        <v>0</v>
      </c>
      <c r="BH25" s="79">
        <f>IF(AO25="",0,VLOOKUP(AO25,Tables!$AB$3:$AC$12,2))</f>
        <v>0</v>
      </c>
      <c r="BI25" s="79">
        <f>IF(AP25="",0,VLOOKUP(AP25,Tables!$AB$3:$AC$12,2))</f>
        <v>0</v>
      </c>
      <c r="BJ25" s="78">
        <f>IF(AQ25="",0,VLOOKUP(AQ25,Tables!$AB$3:$AC$12,2))</f>
        <v>0</v>
      </c>
      <c r="BK25" s="79">
        <f>IF(AR25="",0,VLOOKUP(AR25,Tables!$AB$3:$AC$12,2))</f>
        <v>0</v>
      </c>
      <c r="BL25" s="79">
        <f>IF(AS25="",0,VLOOKUP(AS25,Tables!$AB$3:$AC$12,2))</f>
        <v>0</v>
      </c>
      <c r="BM25" s="79">
        <f>IF(AT25="",0,VLOOKUP(AT25,Tables!$AB$3:$AC$12,2))</f>
        <v>0</v>
      </c>
      <c r="BN25" s="79">
        <f>IF(AU25="",0,VLOOKUP(AU25,Tables!$AB$3:$AC$12,2))</f>
        <v>0</v>
      </c>
      <c r="BO25" s="78">
        <f>IF(AV25="",0,VLOOKUP(AV25,Tables!$AB$3:$AC$12,2))</f>
        <v>0</v>
      </c>
      <c r="BP25" s="79">
        <f>IF(AW25="",0,VLOOKUP(AW25,Tables!$AB$3:$AC$12,2))</f>
        <v>0</v>
      </c>
      <c r="BQ25" s="79">
        <f>IF(AX25="",0,VLOOKUP(AX25,Tables!$AB$3:$AC$12,2))</f>
        <v>0</v>
      </c>
      <c r="BR25" s="78">
        <f>IF(AY25="",0,VLOOKUP(AY25,Tables!$AB$3:$AC$12,2))</f>
        <v>0</v>
      </c>
      <c r="BS25" s="79">
        <f>IF(AZ25="",0,VLOOKUP(AZ25,Tables!$AB$3:$AC$12,2))</f>
        <v>0</v>
      </c>
      <c r="BT25" s="79">
        <f>IF(BA25="",0,VLOOKUP(BA25,Tables!$AB$3:$AC$12,2))</f>
        <v>1</v>
      </c>
      <c r="BU25" s="80">
        <f>IF(BB25="",0,VLOOKUP(BB25,Tables!$AB$3:$AC$12,2))</f>
        <v>1</v>
      </c>
      <c r="BV25" s="85">
        <f>IF(AN25="",0,VLOOKUP(B25,Tables!$B$3:$D$36,2,FALSE())*X$1)</f>
        <v>0</v>
      </c>
      <c r="BW25" s="72">
        <f>IF(AO25="",0,VLOOKUP(C25,Tables!$B$3:$D$36,2,FALSE())*Y$1)</f>
        <v>0</v>
      </c>
      <c r="BX25" s="72">
        <f>IF(AP25="",0,VLOOKUP(D25,Tables!$B$3:$D$36,2,FALSE())*Z$1)</f>
        <v>0</v>
      </c>
      <c r="BY25" s="85">
        <f>IF(AQ25="",0,VLOOKUP(E25,Tables!$B$3:$D$36,2,FALSE())*AA$1)</f>
        <v>0</v>
      </c>
      <c r="BZ25" s="72">
        <f>IF(AR25="",0,VLOOKUP(F25,Tables!$B$3:$D$36,2,FALSE())*AB$1)</f>
        <v>0</v>
      </c>
      <c r="CA25" s="72">
        <f>IF(AS25="",0,VLOOKUP(G25,Tables!$B$3:$D$36,2,FALSE())*AC$1)</f>
        <v>0</v>
      </c>
      <c r="CB25" s="72">
        <f>IF(AT25="",0,VLOOKUP(H25,Tables!$B$3:$D$36,2,FALSE())*AD$1)</f>
        <v>0</v>
      </c>
      <c r="CC25" s="72">
        <f>IF(AU25="",0,VLOOKUP(I25,Tables!$B$3:$D$36,2,FALSE())*AE$1)</f>
        <v>0</v>
      </c>
      <c r="CD25" s="85">
        <f>IF(AV25="",0,VLOOKUP(J25,Tables!$B$3:$D$36,2,FALSE())*AF$1)</f>
        <v>0</v>
      </c>
      <c r="CE25" s="72">
        <f>IF(AW25="",0,VLOOKUP(K25,Tables!$B$3:$D$36,2,FALSE())*AG$1)</f>
        <v>0</v>
      </c>
      <c r="CF25" s="72">
        <f>IF(AX25="",0,VLOOKUP(L25,Tables!$B$3:$D$36,2,FALSE())*AH$1)</f>
        <v>0</v>
      </c>
      <c r="CG25" s="85">
        <f>IF(AY25="",0,VLOOKUP(M25,Tables!$B$3:$D$36,2,FALSE())*AI$1)</f>
        <v>0</v>
      </c>
      <c r="CH25" s="72">
        <f>IF(AZ25="",0,VLOOKUP(N25,Tables!$B$3:$D$36,2,FALSE())*AJ$1)</f>
        <v>0</v>
      </c>
      <c r="CI25" s="72">
        <f>IF(BA25="",0,VLOOKUP(O25,Tables!$B$3:$D$36,2,FALSE())*AK$1)</f>
        <v>48</v>
      </c>
      <c r="CJ25" s="86">
        <f>IF(BB25="",0,VLOOKUP(P25,Tables!$B$3:$D$36,2,FALSE())*AL$1)</f>
        <v>28.000000000000004</v>
      </c>
      <c r="CK25" s="87">
        <f>IF(AN25="",0,VLOOKUP(B25,Tables!$B$3:$D$36,3,FALSE())*X$1)*IF(OR(AN25="K",AN25="P"),2,1)</f>
        <v>0</v>
      </c>
      <c r="CL25" s="73">
        <f>IF(AO25="",0,VLOOKUP(C25,Tables!$B$3:$D$36,3,FALSE())*Y$1)*IF(OR(AO25="K",AO25="P"),2,1)</f>
        <v>0</v>
      </c>
      <c r="CM25" s="73">
        <f>IF(AP25="",0,VLOOKUP(D25,Tables!$B$3:$D$36,3,FALSE())*Z$1)*IF(OR(AP25="K",AP25="P"),2,1)</f>
        <v>0</v>
      </c>
      <c r="CN25" s="87">
        <f>IF(AQ25="",0,VLOOKUP(E25,Tables!$B$3:$D$36,3,FALSE())*AA$1)</f>
        <v>0</v>
      </c>
      <c r="CO25" s="73">
        <f>IF(AR25="",0,VLOOKUP(F25,Tables!$B$3:$D$36,3,FALSE())*AB$1)</f>
        <v>0</v>
      </c>
      <c r="CP25" s="73">
        <f>IF(AS25="",0,VLOOKUP(G25,Tables!$B$3:$D$36,3,FALSE())*AC$1)</f>
        <v>0</v>
      </c>
      <c r="CQ25" s="73">
        <f>IF(AT25="",0,VLOOKUP(H25,Tables!$B$3:$D$36,3,FALSE())*AD$1)</f>
        <v>0</v>
      </c>
      <c r="CR25" s="73">
        <f>IF(AU25="",0,VLOOKUP(I25,Tables!$B$3:$D$36,3,FALSE())*AE$1)</f>
        <v>0</v>
      </c>
      <c r="CS25" s="87">
        <f>IF(AV25="",0,VLOOKUP(J25,Tables!$B$3:$D$36,3,FALSE())*AF$1)</f>
        <v>0</v>
      </c>
      <c r="CT25" s="73">
        <f>IF(AW25="",0,VLOOKUP(K25,Tables!$B$3:$D$36,3,FALSE())*AG$1)</f>
        <v>0</v>
      </c>
      <c r="CU25" s="73">
        <f>IF(AX25="",0,VLOOKUP(L25,Tables!$B$3:$D$36,3,FALSE())*AH$1)</f>
        <v>0</v>
      </c>
      <c r="CV25" s="87">
        <f>IF(AY25="",0,VLOOKUP(M25,Tables!$B$3:$D$36,3,FALSE())*AI$1)</f>
        <v>0</v>
      </c>
      <c r="CW25" s="73">
        <f>IF(AZ25="",0,VLOOKUP(N25,Tables!$B$3:$D$36,3,FALSE())*AJ$1)</f>
        <v>0</v>
      </c>
      <c r="CX25" s="73">
        <f>IF(BA25="",0,VLOOKUP(O25,Tables!$B$3:$D$36,3,FALSE())*AK$1)</f>
        <v>1.7999999999999998</v>
      </c>
      <c r="CY25" s="88">
        <f>IF(BB25="",0,VLOOKUP(P25,Tables!$B$3:$D$36,3,FALSE())*AL$1)</f>
        <v>1.05</v>
      </c>
      <c r="CZ25" s="89">
        <f t="shared" si="40"/>
        <v>0</v>
      </c>
      <c r="DA25" s="75">
        <f t="shared" si="41"/>
        <v>0</v>
      </c>
      <c r="DB25" s="75">
        <f t="shared" si="42"/>
        <v>0</v>
      </c>
      <c r="DC25" s="89">
        <f t="shared" si="43"/>
        <v>0</v>
      </c>
      <c r="DD25" s="75">
        <f t="shared" si="44"/>
        <v>0</v>
      </c>
      <c r="DE25" s="75">
        <f t="shared" si="45"/>
        <v>0</v>
      </c>
      <c r="DF25" s="75">
        <f t="shared" si="46"/>
        <v>0</v>
      </c>
      <c r="DG25" s="75">
        <f t="shared" si="47"/>
        <v>0</v>
      </c>
      <c r="DH25" s="89">
        <f t="shared" si="48"/>
        <v>0</v>
      </c>
      <c r="DI25" s="75">
        <f t="shared" si="49"/>
        <v>0</v>
      </c>
      <c r="DJ25" s="75">
        <f t="shared" si="50"/>
        <v>0</v>
      </c>
      <c r="DK25" s="89">
        <f t="shared" si="51"/>
        <v>0</v>
      </c>
      <c r="DL25" s="75">
        <f t="shared" si="52"/>
        <v>0</v>
      </c>
      <c r="DM25" s="75">
        <f t="shared" si="53"/>
        <v>1.5</v>
      </c>
      <c r="DN25" s="90">
        <f t="shared" si="54"/>
        <v>1.5</v>
      </c>
      <c r="DO25" s="91">
        <f>IF(AN25="",0,VLOOKUP(B25,Tables!$B$3:$M$36,11,FALSE())*X$1)</f>
        <v>0</v>
      </c>
      <c r="DP25" s="92">
        <f>IF(AO25="",0,VLOOKUP(C25,Tables!$B$3:$M$36,11,FALSE())*Y$1)</f>
        <v>0</v>
      </c>
      <c r="DQ25" s="92">
        <f>IF(AP25="",0,VLOOKUP(D25,Tables!$B$3:$M$36,11,FALSE())*Z$1)</f>
        <v>0</v>
      </c>
      <c r="DR25" s="91">
        <f>IF(AQ25="",0,VLOOKUP(E25,Tables!$B$3:$M$36,11,FALSE())*AA$1)</f>
        <v>0</v>
      </c>
      <c r="DS25" s="92">
        <f>IF(AR25="",0,VLOOKUP(F25,Tables!$B$3:$M$36,11,FALSE())*AB$1)</f>
        <v>0</v>
      </c>
      <c r="DT25" s="92">
        <f>IF(AS25="",0,VLOOKUP(G25,Tables!$B$3:$M$36,11,FALSE())*AC$1)</f>
        <v>0</v>
      </c>
      <c r="DU25" s="92">
        <f>IF(AT25="",0,VLOOKUP(H25,Tables!$B$3:$M$36,11,FALSE())*AD$1)</f>
        <v>0</v>
      </c>
      <c r="DV25" s="92">
        <f>IF(AU25="",0,VLOOKUP(I25,Tables!$B$3:$M$36,11,FALSE())*AE$1)</f>
        <v>0</v>
      </c>
      <c r="DW25" s="91">
        <f>IF(AV25="",0,VLOOKUP(J25,Tables!$B$3:$M$36,11,FALSE())*AF$1)</f>
        <v>0</v>
      </c>
      <c r="DX25" s="92">
        <f>IF(AW25="",0,VLOOKUP(K25,Tables!$B$3:$M$36,11,FALSE())*AG$1)</f>
        <v>0</v>
      </c>
      <c r="DY25" s="92">
        <f>IF(AX25="",0,VLOOKUP(L25,Tables!$B$3:$M$36,11,FALSE())*AH$1)</f>
        <v>0</v>
      </c>
      <c r="DZ25" s="91">
        <f>IF(AY25="",0,VLOOKUP(M25,Tables!$B$3:$M$36,11,FALSE())*AI$1)</f>
        <v>0</v>
      </c>
      <c r="EA25" s="92">
        <f>IF(AZ25="",0,VLOOKUP(N25,Tables!$B$3:$M$36,11,FALSE())*AJ$1)</f>
        <v>0</v>
      </c>
      <c r="EB25" s="92">
        <f>IF(BA25="",0,VLOOKUP(O25,Tables!$B$3:$M$36,11,FALSE())*AK$1)</f>
        <v>14.399999999999999</v>
      </c>
      <c r="EC25" s="93">
        <f>IF(BB25="",0,VLOOKUP(P25,Tables!$B$3:$M$36,11,FALSE())*AL$1)</f>
        <v>8.4</v>
      </c>
      <c r="ED25" s="91">
        <f>IF(AN25="",0,VLOOKUP(B25,Tables!$B$3:$M$36,12,FALSE())*X$1)</f>
        <v>0</v>
      </c>
      <c r="EE25" s="92">
        <f>IF(AO25="",0,VLOOKUP(C25,Tables!$B$3:$M$36,12,FALSE())*Y$1)</f>
        <v>0</v>
      </c>
      <c r="EF25" s="92">
        <f>IF(AP25="",0,VLOOKUP(D25,Tables!$B$3:$M$36,12,FALSE())*Z$1)</f>
        <v>0</v>
      </c>
      <c r="EG25" s="91">
        <f>IF(AQ25="",0,VLOOKUP(E25,Tables!$B$3:$M$36,12,FALSE())*AA$1)</f>
        <v>0</v>
      </c>
      <c r="EH25" s="92">
        <f>IF(AR25="",0,VLOOKUP(F25,Tables!$B$3:$M$36,12,FALSE())*AB$1)</f>
        <v>0</v>
      </c>
      <c r="EI25" s="92">
        <f>IF(AS25="",0,VLOOKUP(G25,Tables!$B$3:$M$36,12,FALSE())*AC$1)</f>
        <v>0</v>
      </c>
      <c r="EJ25" s="92">
        <f>IF(AT25="",0,VLOOKUP(H25,Tables!$B$3:$M$36,12,FALSE())*AD$1)</f>
        <v>0</v>
      </c>
      <c r="EK25" s="92">
        <f>IF(AU25="",0,VLOOKUP(I25,Tables!$B$3:$M$36,12,FALSE())*AE$1)</f>
        <v>0</v>
      </c>
      <c r="EL25" s="91">
        <f>IF(AV25="",0,VLOOKUP(J25,Tables!$B$3:$M$36,12,FALSE())*AF$1)</f>
        <v>0</v>
      </c>
      <c r="EM25" s="92">
        <f>IF(AW25="",0,VLOOKUP(K25,Tables!$B$3:$M$36,12,FALSE())*AG$1)</f>
        <v>0</v>
      </c>
      <c r="EN25" s="92">
        <f>IF(AX25="",0,VLOOKUP(L25,Tables!$B$3:$M$36,12,FALSE())*AH$1)</f>
        <v>0</v>
      </c>
      <c r="EO25" s="91">
        <f>IF(AY25="",0,VLOOKUP(M25,Tables!$B$3:$M$36,12,FALSE())*AI$1)</f>
        <v>0</v>
      </c>
      <c r="EP25" s="92">
        <f>IF(AZ25="",0,VLOOKUP(N25,Tables!$B$3:$M$36,12,FALSE())*AJ$1)</f>
        <v>0</v>
      </c>
      <c r="EQ25" s="92">
        <f>IF(BA25="",0,VLOOKUP(O25,Tables!$B$3:$M$36,12,FALSE())*AK$1)</f>
        <v>28.799999999999997</v>
      </c>
      <c r="ER25" s="93">
        <f>IF(BB25="",0,VLOOKUP(P25,Tables!$B$3:$M$36,12,FALSE())*AL$1)</f>
        <v>16.8</v>
      </c>
      <c r="ES25" s="94">
        <f t="shared" si="55"/>
        <v>0</v>
      </c>
      <c r="ET25" s="95">
        <f>IF(AN25="",10,MIN(VLOOKUP(B25,Tables!$B$3:$N$34,13,FALSE()),'Item Builder'!$W25))</f>
        <v>10</v>
      </c>
      <c r="EU25" s="95">
        <f>IF(AO25="",10,MIN(VLOOKUP(C25,Tables!$B$3:$N$34,13,FALSE()),'Item Builder'!$W25))</f>
        <v>10</v>
      </c>
      <c r="EV25" s="95">
        <f>IF(AP25="",10,MIN(VLOOKUP(D25,Tables!$B$3:$N$34,13,FALSE()),'Item Builder'!$W25))</f>
        <v>10</v>
      </c>
      <c r="EW25" s="95">
        <f>IF(AQ25="",10,MIN(VLOOKUP(E25,Tables!$B$3:$N$34,13,FALSE()),'Item Builder'!$W25))</f>
        <v>10</v>
      </c>
      <c r="EX25" s="95">
        <f>IF(AR25="",10,MIN(VLOOKUP(F25,Tables!$B$3:$N$34,13,FALSE()),'Item Builder'!$W25))</f>
        <v>10</v>
      </c>
      <c r="EY25" s="95">
        <f>IF(AS25="",10,MIN(VLOOKUP(G25,Tables!$B$3:$N$34,13,FALSE()),'Item Builder'!$W25))</f>
        <v>10</v>
      </c>
      <c r="EZ25" s="95">
        <f>IF(AT25="",10,MIN(VLOOKUP(H25,Tables!$B$3:$N$34,13,FALSE()),'Item Builder'!$W25))</f>
        <v>10</v>
      </c>
      <c r="FA25" s="95">
        <f>IF(AU25="",10,MIN(VLOOKUP(I25,Tables!$B$3:$N$34,13,FALSE()),'Item Builder'!$W25))</f>
        <v>10</v>
      </c>
      <c r="FB25" s="95">
        <f>IF(AV25="",10,MIN(VLOOKUP(J25,Tables!$B$3:$N$34,13,FALSE()),'Item Builder'!$W25))</f>
        <v>10</v>
      </c>
      <c r="FC25" s="95">
        <f>IF(AW25="",10,MIN(VLOOKUP(K25,Tables!$B$3:$N$34,13,FALSE()),'Item Builder'!$W25))</f>
        <v>10</v>
      </c>
      <c r="FD25" s="95">
        <f>IF(AX25="",10,MIN(VLOOKUP(L25,Tables!$B$3:$N$34,13,FALSE()),'Item Builder'!$W25))</f>
        <v>10</v>
      </c>
      <c r="FE25" s="95">
        <f>IF(AY25="",10,MIN(VLOOKUP(M25,Tables!$B$3:$N$34,13,FALSE()),'Item Builder'!$W25))</f>
        <v>10</v>
      </c>
      <c r="FF25" s="95">
        <f>IF(AZ25="",10,MIN(VLOOKUP(N25,Tables!$B$3:$N$34,13,FALSE()),'Item Builder'!$W25))</f>
        <v>10</v>
      </c>
      <c r="FG25" s="95">
        <f>IF(BA25="",10,MIN(VLOOKUP(O25,Tables!$B$3:$N$34,13,FALSE()),'Item Builder'!$W25))</f>
        <v>0</v>
      </c>
      <c r="FH25" s="98">
        <f>IF(BB25="",10,MIN(VLOOKUP(P25,Tables!$B$3:$N$34,13,FALSE()),'Item Builder'!$W25))</f>
        <v>0</v>
      </c>
      <c r="FJ25" t="s">
        <v>199</v>
      </c>
    </row>
    <row r="26" spans="1:172" x14ac:dyDescent="0.25">
      <c r="A26" s="67" t="s">
        <v>75</v>
      </c>
      <c r="B26" s="68"/>
      <c r="C26" s="69"/>
      <c r="D26" s="70"/>
      <c r="E26" s="68"/>
      <c r="F26" s="69"/>
      <c r="G26" s="69"/>
      <c r="H26" s="69"/>
      <c r="I26" s="70"/>
      <c r="J26" s="68"/>
      <c r="K26" s="69"/>
      <c r="L26" s="70"/>
      <c r="M26" s="68"/>
      <c r="N26" s="69"/>
      <c r="O26" s="69"/>
      <c r="P26" s="71" t="s">
        <v>105</v>
      </c>
      <c r="Q26" s="72">
        <f>SUM(BV26:CJ26)*VLOOKUP(W26,Tables!$W$3:$Z$8,4)</f>
        <v>28.000000000000004</v>
      </c>
      <c r="R26" s="73">
        <f t="shared" si="0"/>
        <v>1.05</v>
      </c>
      <c r="S26" s="74">
        <f t="shared" si="1"/>
        <v>0</v>
      </c>
      <c r="T26" s="74">
        <f t="shared" si="2"/>
        <v>0</v>
      </c>
      <c r="U26" s="75">
        <f t="shared" si="3"/>
        <v>8.4</v>
      </c>
      <c r="V26" s="76">
        <f t="shared" si="4"/>
        <v>16.8</v>
      </c>
      <c r="W26" s="77">
        <v>0</v>
      </c>
      <c r="X26" s="78">
        <f t="shared" si="5"/>
        <v>0</v>
      </c>
      <c r="Y26" s="79">
        <f t="shared" si="6"/>
        <v>0</v>
      </c>
      <c r="Z26" s="79">
        <f t="shared" si="7"/>
        <v>0</v>
      </c>
      <c r="AA26" s="78">
        <f t="shared" si="8"/>
        <v>0</v>
      </c>
      <c r="AB26" s="79">
        <f t="shared" si="9"/>
        <v>0</v>
      </c>
      <c r="AC26" s="79">
        <f t="shared" si="10"/>
        <v>0</v>
      </c>
      <c r="AD26" s="79">
        <f t="shared" si="11"/>
        <v>0</v>
      </c>
      <c r="AE26" s="79">
        <f t="shared" si="12"/>
        <v>0</v>
      </c>
      <c r="AF26" s="78">
        <f t="shared" si="13"/>
        <v>0</v>
      </c>
      <c r="AG26" s="79">
        <f t="shared" si="14"/>
        <v>0</v>
      </c>
      <c r="AH26" s="79">
        <f t="shared" si="15"/>
        <v>0</v>
      </c>
      <c r="AI26" s="78">
        <f t="shared" si="16"/>
        <v>0</v>
      </c>
      <c r="AJ26" s="79">
        <f t="shared" si="17"/>
        <v>0</v>
      </c>
      <c r="AK26" s="79">
        <f t="shared" si="18"/>
        <v>0</v>
      </c>
      <c r="AL26" s="80">
        <f t="shared" si="19"/>
        <v>1</v>
      </c>
      <c r="AM26" s="81">
        <f t="shared" si="20"/>
        <v>7.0000000000000007E-2</v>
      </c>
      <c r="AN26" s="82" t="str">
        <f t="shared" si="21"/>
        <v/>
      </c>
      <c r="AO26" s="79" t="str">
        <f t="shared" si="22"/>
        <v/>
      </c>
      <c r="AP26" t="str">
        <f t="shared" si="23"/>
        <v/>
      </c>
      <c r="AQ26" s="82" t="str">
        <f t="shared" si="24"/>
        <v/>
      </c>
      <c r="AR26" t="str">
        <f t="shared" si="25"/>
        <v/>
      </c>
      <c r="AS26" t="str">
        <f t="shared" si="26"/>
        <v/>
      </c>
      <c r="AT26" t="str">
        <f t="shared" si="27"/>
        <v/>
      </c>
      <c r="AU26" t="str">
        <f t="shared" si="28"/>
        <v/>
      </c>
      <c r="AV26" s="82" t="str">
        <f t="shared" si="29"/>
        <v/>
      </c>
      <c r="AW26" t="str">
        <f t="shared" si="30"/>
        <v/>
      </c>
      <c r="AX26" t="str">
        <f t="shared" si="31"/>
        <v/>
      </c>
      <c r="AY26" s="82" t="str">
        <f t="shared" si="32"/>
        <v/>
      </c>
      <c r="AZ26" t="str">
        <f t="shared" si="33"/>
        <v/>
      </c>
      <c r="BA26" t="str">
        <f t="shared" si="34"/>
        <v/>
      </c>
      <c r="BB26" s="83" t="str">
        <f t="shared" si="35"/>
        <v>L</v>
      </c>
      <c r="BC26" s="84">
        <f t="shared" si="36"/>
        <v>0</v>
      </c>
      <c r="BD26" s="84">
        <f t="shared" si="37"/>
        <v>0</v>
      </c>
      <c r="BE26" s="84">
        <f t="shared" si="38"/>
        <v>0</v>
      </c>
      <c r="BF26" s="84">
        <f t="shared" si="39"/>
        <v>0.19444444444444445</v>
      </c>
      <c r="BG26" s="78">
        <f>IF(AN26="",0,VLOOKUP(AN26,Tables!$AB$3:$AC$12,2))</f>
        <v>0</v>
      </c>
      <c r="BH26" s="79">
        <f>IF(AO26="",0,VLOOKUP(AO26,Tables!$AB$3:$AC$12,2))</f>
        <v>0</v>
      </c>
      <c r="BI26" s="79">
        <f>IF(AP26="",0,VLOOKUP(AP26,Tables!$AB$3:$AC$12,2))</f>
        <v>0</v>
      </c>
      <c r="BJ26" s="78">
        <f>IF(AQ26="",0,VLOOKUP(AQ26,Tables!$AB$3:$AC$12,2))</f>
        <v>0</v>
      </c>
      <c r="BK26" s="79">
        <f>IF(AR26="",0,VLOOKUP(AR26,Tables!$AB$3:$AC$12,2))</f>
        <v>0</v>
      </c>
      <c r="BL26" s="79">
        <f>IF(AS26="",0,VLOOKUP(AS26,Tables!$AB$3:$AC$12,2))</f>
        <v>0</v>
      </c>
      <c r="BM26" s="79">
        <f>IF(AT26="",0,VLOOKUP(AT26,Tables!$AB$3:$AC$12,2))</f>
        <v>0</v>
      </c>
      <c r="BN26" s="79">
        <f>IF(AU26="",0,VLOOKUP(AU26,Tables!$AB$3:$AC$12,2))</f>
        <v>0</v>
      </c>
      <c r="BO26" s="78">
        <f>IF(AV26="",0,VLOOKUP(AV26,Tables!$AB$3:$AC$12,2))</f>
        <v>0</v>
      </c>
      <c r="BP26" s="79">
        <f>IF(AW26="",0,VLOOKUP(AW26,Tables!$AB$3:$AC$12,2))</f>
        <v>0</v>
      </c>
      <c r="BQ26" s="79">
        <f>IF(AX26="",0,VLOOKUP(AX26,Tables!$AB$3:$AC$12,2))</f>
        <v>0</v>
      </c>
      <c r="BR26" s="78">
        <f>IF(AY26="",0,VLOOKUP(AY26,Tables!$AB$3:$AC$12,2))</f>
        <v>0</v>
      </c>
      <c r="BS26" s="79">
        <f>IF(AZ26="",0,VLOOKUP(AZ26,Tables!$AB$3:$AC$12,2))</f>
        <v>0</v>
      </c>
      <c r="BT26" s="79">
        <f>IF(BA26="",0,VLOOKUP(BA26,Tables!$AB$3:$AC$12,2))</f>
        <v>0</v>
      </c>
      <c r="BU26" s="80">
        <f>IF(BB26="",0,VLOOKUP(BB26,Tables!$AB$3:$AC$12,2))</f>
        <v>1</v>
      </c>
      <c r="BV26" s="85">
        <f>IF(AN26="",0,VLOOKUP(B26,Tables!$B$3:$D$36,2,FALSE())*X$1)</f>
        <v>0</v>
      </c>
      <c r="BW26" s="72">
        <f>IF(AO26="",0,VLOOKUP(C26,Tables!$B$3:$D$36,2,FALSE())*Y$1)</f>
        <v>0</v>
      </c>
      <c r="BX26" s="72">
        <f>IF(AP26="",0,VLOOKUP(D26,Tables!$B$3:$D$36,2,FALSE())*Z$1)</f>
        <v>0</v>
      </c>
      <c r="BY26" s="85">
        <f>IF(AQ26="",0,VLOOKUP(E26,Tables!$B$3:$D$36,2,FALSE())*AA$1)</f>
        <v>0</v>
      </c>
      <c r="BZ26" s="72">
        <f>IF(AR26="",0,VLOOKUP(F26,Tables!$B$3:$D$36,2,FALSE())*AB$1)</f>
        <v>0</v>
      </c>
      <c r="CA26" s="72">
        <f>IF(AS26="",0,VLOOKUP(G26,Tables!$B$3:$D$36,2,FALSE())*AC$1)</f>
        <v>0</v>
      </c>
      <c r="CB26" s="72">
        <f>IF(AT26="",0,VLOOKUP(H26,Tables!$B$3:$D$36,2,FALSE())*AD$1)</f>
        <v>0</v>
      </c>
      <c r="CC26" s="72">
        <f>IF(AU26="",0,VLOOKUP(I26,Tables!$B$3:$D$36,2,FALSE())*AE$1)</f>
        <v>0</v>
      </c>
      <c r="CD26" s="85">
        <f>IF(AV26="",0,VLOOKUP(J26,Tables!$B$3:$D$36,2,FALSE())*AF$1)</f>
        <v>0</v>
      </c>
      <c r="CE26" s="72">
        <f>IF(AW26="",0,VLOOKUP(K26,Tables!$B$3:$D$36,2,FALSE())*AG$1)</f>
        <v>0</v>
      </c>
      <c r="CF26" s="72">
        <f>IF(AX26="",0,VLOOKUP(L26,Tables!$B$3:$D$36,2,FALSE())*AH$1)</f>
        <v>0</v>
      </c>
      <c r="CG26" s="85">
        <f>IF(AY26="",0,VLOOKUP(M26,Tables!$B$3:$D$36,2,FALSE())*AI$1)</f>
        <v>0</v>
      </c>
      <c r="CH26" s="72">
        <f>IF(AZ26="",0,VLOOKUP(N26,Tables!$B$3:$D$36,2,FALSE())*AJ$1)</f>
        <v>0</v>
      </c>
      <c r="CI26" s="72">
        <f>IF(BA26="",0,VLOOKUP(O26,Tables!$B$3:$D$36,2,FALSE())*AK$1)</f>
        <v>0</v>
      </c>
      <c r="CJ26" s="86">
        <f>IF(BB26="",0,VLOOKUP(P26,Tables!$B$3:$D$36,2,FALSE())*AL$1)</f>
        <v>28.000000000000004</v>
      </c>
      <c r="CK26" s="87">
        <f>IF(AN26="",0,VLOOKUP(B26,Tables!$B$3:$D$36,3,FALSE())*X$1)*IF(OR(AN26="K",AN26="P"),2,1)</f>
        <v>0</v>
      </c>
      <c r="CL26" s="73">
        <f>IF(AO26="",0,VLOOKUP(C26,Tables!$B$3:$D$36,3,FALSE())*Y$1)*IF(OR(AO26="K",AO26="P"),2,1)</f>
        <v>0</v>
      </c>
      <c r="CM26" s="73">
        <f>IF(AP26="",0,VLOOKUP(D26,Tables!$B$3:$D$36,3,FALSE())*Z$1)*IF(OR(AP26="K",AP26="P"),2,1)</f>
        <v>0</v>
      </c>
      <c r="CN26" s="87">
        <f>IF(AQ26="",0,VLOOKUP(E26,Tables!$B$3:$D$36,3,FALSE())*AA$1)</f>
        <v>0</v>
      </c>
      <c r="CO26" s="73">
        <f>IF(AR26="",0,VLOOKUP(F26,Tables!$B$3:$D$36,3,FALSE())*AB$1)</f>
        <v>0</v>
      </c>
      <c r="CP26" s="73">
        <f>IF(AS26="",0,VLOOKUP(G26,Tables!$B$3:$D$36,3,FALSE())*AC$1)</f>
        <v>0</v>
      </c>
      <c r="CQ26" s="73">
        <f>IF(AT26="",0,VLOOKUP(H26,Tables!$B$3:$D$36,3,FALSE())*AD$1)</f>
        <v>0</v>
      </c>
      <c r="CR26" s="73">
        <f>IF(AU26="",0,VLOOKUP(I26,Tables!$B$3:$D$36,3,FALSE())*AE$1)</f>
        <v>0</v>
      </c>
      <c r="CS26" s="87">
        <f>IF(AV26="",0,VLOOKUP(J26,Tables!$B$3:$D$36,3,FALSE())*AF$1)</f>
        <v>0</v>
      </c>
      <c r="CT26" s="73">
        <f>IF(AW26="",0,VLOOKUP(K26,Tables!$B$3:$D$36,3,FALSE())*AG$1)</f>
        <v>0</v>
      </c>
      <c r="CU26" s="73">
        <f>IF(AX26="",0,VLOOKUP(L26,Tables!$B$3:$D$36,3,FALSE())*AH$1)</f>
        <v>0</v>
      </c>
      <c r="CV26" s="87">
        <f>IF(AY26="",0,VLOOKUP(M26,Tables!$B$3:$D$36,3,FALSE())*AI$1)</f>
        <v>0</v>
      </c>
      <c r="CW26" s="73">
        <f>IF(AZ26="",0,VLOOKUP(N26,Tables!$B$3:$D$36,3,FALSE())*AJ$1)</f>
        <v>0</v>
      </c>
      <c r="CX26" s="73">
        <f>IF(BA26="",0,VLOOKUP(O26,Tables!$B$3:$D$36,3,FALSE())*AK$1)</f>
        <v>0</v>
      </c>
      <c r="CY26" s="88">
        <f>IF(BB26="",0,VLOOKUP(P26,Tables!$B$3:$D$36,3,FALSE())*AL$1)</f>
        <v>1.05</v>
      </c>
      <c r="CZ26" s="89">
        <f t="shared" si="40"/>
        <v>0</v>
      </c>
      <c r="DA26" s="75">
        <f t="shared" si="41"/>
        <v>0</v>
      </c>
      <c r="DB26" s="75">
        <f t="shared" si="42"/>
        <v>0</v>
      </c>
      <c r="DC26" s="89">
        <f t="shared" si="43"/>
        <v>0</v>
      </c>
      <c r="DD26" s="75">
        <f t="shared" si="44"/>
        <v>0</v>
      </c>
      <c r="DE26" s="75">
        <f t="shared" si="45"/>
        <v>0</v>
      </c>
      <c r="DF26" s="75">
        <f t="shared" si="46"/>
        <v>0</v>
      </c>
      <c r="DG26" s="75">
        <f t="shared" si="47"/>
        <v>0</v>
      </c>
      <c r="DH26" s="89">
        <f t="shared" si="48"/>
        <v>0</v>
      </c>
      <c r="DI26" s="75">
        <f t="shared" si="49"/>
        <v>0</v>
      </c>
      <c r="DJ26" s="75">
        <f t="shared" si="50"/>
        <v>0</v>
      </c>
      <c r="DK26" s="89">
        <f t="shared" si="51"/>
        <v>0</v>
      </c>
      <c r="DL26" s="75">
        <f t="shared" si="52"/>
        <v>0</v>
      </c>
      <c r="DM26" s="75">
        <f t="shared" si="53"/>
        <v>0</v>
      </c>
      <c r="DN26" s="90">
        <f t="shared" si="54"/>
        <v>1.5</v>
      </c>
      <c r="DO26" s="91">
        <f>IF(AN26="",0,VLOOKUP(B26,Tables!$B$3:$M$36,11,FALSE())*X$1)</f>
        <v>0</v>
      </c>
      <c r="DP26" s="92">
        <f>IF(AO26="",0,VLOOKUP(C26,Tables!$B$3:$M$36,11,FALSE())*Y$1)</f>
        <v>0</v>
      </c>
      <c r="DQ26" s="92">
        <f>IF(AP26="",0,VLOOKUP(D26,Tables!$B$3:$M$36,11,FALSE())*Z$1)</f>
        <v>0</v>
      </c>
      <c r="DR26" s="91">
        <f>IF(AQ26="",0,VLOOKUP(E26,Tables!$B$3:$M$36,11,FALSE())*AA$1)</f>
        <v>0</v>
      </c>
      <c r="DS26" s="92">
        <f>IF(AR26="",0,VLOOKUP(F26,Tables!$B$3:$M$36,11,FALSE())*AB$1)</f>
        <v>0</v>
      </c>
      <c r="DT26" s="92">
        <f>IF(AS26="",0,VLOOKUP(G26,Tables!$B$3:$M$36,11,FALSE())*AC$1)</f>
        <v>0</v>
      </c>
      <c r="DU26" s="92">
        <f>IF(AT26="",0,VLOOKUP(H26,Tables!$B$3:$M$36,11,FALSE())*AD$1)</f>
        <v>0</v>
      </c>
      <c r="DV26" s="92">
        <f>IF(AU26="",0,VLOOKUP(I26,Tables!$B$3:$M$36,11,FALSE())*AE$1)</f>
        <v>0</v>
      </c>
      <c r="DW26" s="91">
        <f>IF(AV26="",0,VLOOKUP(J26,Tables!$B$3:$M$36,11,FALSE())*AF$1)</f>
        <v>0</v>
      </c>
      <c r="DX26" s="92">
        <f>IF(AW26="",0,VLOOKUP(K26,Tables!$B$3:$M$36,11,FALSE())*AG$1)</f>
        <v>0</v>
      </c>
      <c r="DY26" s="92">
        <f>IF(AX26="",0,VLOOKUP(L26,Tables!$B$3:$M$36,11,FALSE())*AH$1)</f>
        <v>0</v>
      </c>
      <c r="DZ26" s="91">
        <f>IF(AY26="",0,VLOOKUP(M26,Tables!$B$3:$M$36,11,FALSE())*AI$1)</f>
        <v>0</v>
      </c>
      <c r="EA26" s="92">
        <f>IF(AZ26="",0,VLOOKUP(N26,Tables!$B$3:$M$36,11,FALSE())*AJ$1)</f>
        <v>0</v>
      </c>
      <c r="EB26" s="92">
        <f>IF(BA26="",0,VLOOKUP(O26,Tables!$B$3:$M$36,11,FALSE())*AK$1)</f>
        <v>0</v>
      </c>
      <c r="EC26" s="93">
        <f>IF(BB26="",0,VLOOKUP(P26,Tables!$B$3:$M$36,11,FALSE())*AL$1)</f>
        <v>8.4</v>
      </c>
      <c r="ED26" s="91">
        <f>IF(AN26="",0,VLOOKUP(B26,Tables!$B$3:$M$36,12,FALSE())*X$1)</f>
        <v>0</v>
      </c>
      <c r="EE26" s="92">
        <f>IF(AO26="",0,VLOOKUP(C26,Tables!$B$3:$M$36,12,FALSE())*Y$1)</f>
        <v>0</v>
      </c>
      <c r="EF26" s="92">
        <f>IF(AP26="",0,VLOOKUP(D26,Tables!$B$3:$M$36,12,FALSE())*Z$1)</f>
        <v>0</v>
      </c>
      <c r="EG26" s="91">
        <f>IF(AQ26="",0,VLOOKUP(E26,Tables!$B$3:$M$36,12,FALSE())*AA$1)</f>
        <v>0</v>
      </c>
      <c r="EH26" s="92">
        <f>IF(AR26="",0,VLOOKUP(F26,Tables!$B$3:$M$36,12,FALSE())*AB$1)</f>
        <v>0</v>
      </c>
      <c r="EI26" s="92">
        <f>IF(AS26="",0,VLOOKUP(G26,Tables!$B$3:$M$36,12,FALSE())*AC$1)</f>
        <v>0</v>
      </c>
      <c r="EJ26" s="92">
        <f>IF(AT26="",0,VLOOKUP(H26,Tables!$B$3:$M$36,12,FALSE())*AD$1)</f>
        <v>0</v>
      </c>
      <c r="EK26" s="92">
        <f>IF(AU26="",0,VLOOKUP(I26,Tables!$B$3:$M$36,12,FALSE())*AE$1)</f>
        <v>0</v>
      </c>
      <c r="EL26" s="91">
        <f>IF(AV26="",0,VLOOKUP(J26,Tables!$B$3:$M$36,12,FALSE())*AF$1)</f>
        <v>0</v>
      </c>
      <c r="EM26" s="92">
        <f>IF(AW26="",0,VLOOKUP(K26,Tables!$B$3:$M$36,12,FALSE())*AG$1)</f>
        <v>0</v>
      </c>
      <c r="EN26" s="92">
        <f>IF(AX26="",0,VLOOKUP(L26,Tables!$B$3:$M$36,12,FALSE())*AH$1)</f>
        <v>0</v>
      </c>
      <c r="EO26" s="91">
        <f>IF(AY26="",0,VLOOKUP(M26,Tables!$B$3:$M$36,12,FALSE())*AI$1)</f>
        <v>0</v>
      </c>
      <c r="EP26" s="92">
        <f>IF(AZ26="",0,VLOOKUP(N26,Tables!$B$3:$M$36,12,FALSE())*AJ$1)</f>
        <v>0</v>
      </c>
      <c r="EQ26" s="92">
        <f>IF(BA26="",0,VLOOKUP(O26,Tables!$B$3:$M$36,12,FALSE())*AK$1)</f>
        <v>0</v>
      </c>
      <c r="ER26" s="93">
        <f>IF(BB26="",0,VLOOKUP(P26,Tables!$B$3:$M$36,12,FALSE())*AL$1)</f>
        <v>16.8</v>
      </c>
      <c r="ES26" s="94">
        <f t="shared" si="55"/>
        <v>0</v>
      </c>
      <c r="ET26" s="95">
        <f>IF(AN26="",10,MIN(VLOOKUP(B26,Tables!$B$3:$N$34,13,FALSE()),'Item Builder'!$W26))</f>
        <v>10</v>
      </c>
      <c r="EU26" s="95">
        <f>IF(AO26="",10,MIN(VLOOKUP(C26,Tables!$B$3:$N$34,13,FALSE()),'Item Builder'!$W26))</f>
        <v>10</v>
      </c>
      <c r="EV26" s="95">
        <f>IF(AP26="",10,MIN(VLOOKUP(D26,Tables!$B$3:$N$34,13,FALSE()),'Item Builder'!$W26))</f>
        <v>10</v>
      </c>
      <c r="EW26" s="95">
        <f>IF(AQ26="",10,MIN(VLOOKUP(E26,Tables!$B$3:$N$34,13,FALSE()),'Item Builder'!$W26))</f>
        <v>10</v>
      </c>
      <c r="EX26" s="95">
        <f>IF(AR26="",10,MIN(VLOOKUP(F26,Tables!$B$3:$N$34,13,FALSE()),'Item Builder'!$W26))</f>
        <v>10</v>
      </c>
      <c r="EY26" s="95">
        <f>IF(AS26="",10,MIN(VLOOKUP(G26,Tables!$B$3:$N$34,13,FALSE()),'Item Builder'!$W26))</f>
        <v>10</v>
      </c>
      <c r="EZ26" s="95">
        <f>IF(AT26="",10,MIN(VLOOKUP(H26,Tables!$B$3:$N$34,13,FALSE()),'Item Builder'!$W26))</f>
        <v>10</v>
      </c>
      <c r="FA26" s="95">
        <f>IF(AU26="",10,MIN(VLOOKUP(I26,Tables!$B$3:$N$34,13,FALSE()),'Item Builder'!$W26))</f>
        <v>10</v>
      </c>
      <c r="FB26" s="95">
        <f>IF(AV26="",10,MIN(VLOOKUP(J26,Tables!$B$3:$N$34,13,FALSE()),'Item Builder'!$W26))</f>
        <v>10</v>
      </c>
      <c r="FC26" s="95">
        <f>IF(AW26="",10,MIN(VLOOKUP(K26,Tables!$B$3:$N$34,13,FALSE()),'Item Builder'!$W26))</f>
        <v>10</v>
      </c>
      <c r="FD26" s="95">
        <f>IF(AX26="",10,MIN(VLOOKUP(L26,Tables!$B$3:$N$34,13,FALSE()),'Item Builder'!$W26))</f>
        <v>10</v>
      </c>
      <c r="FE26" s="95">
        <f>IF(AY26="",10,MIN(VLOOKUP(M26,Tables!$B$3:$N$34,13,FALSE()),'Item Builder'!$W26))</f>
        <v>10</v>
      </c>
      <c r="FF26" s="95">
        <f>IF(AZ26="",10,MIN(VLOOKUP(N26,Tables!$B$3:$N$34,13,FALSE()),'Item Builder'!$W26))</f>
        <v>10</v>
      </c>
      <c r="FG26" s="95">
        <f>IF(BA26="",10,MIN(VLOOKUP(O26,Tables!$B$3:$N$34,13,FALSE()),'Item Builder'!$W26))</f>
        <v>10</v>
      </c>
      <c r="FH26" s="98">
        <f>IF(BB26="",10,MIN(VLOOKUP(P26,Tables!$B$3:$N$34,13,FALSE()),'Item Builder'!$W26))</f>
        <v>0</v>
      </c>
      <c r="FJ26" t="s">
        <v>200</v>
      </c>
    </row>
    <row r="27" spans="1:172" x14ac:dyDescent="0.25">
      <c r="A27" s="67" t="s">
        <v>20</v>
      </c>
      <c r="B27" s="68" t="s">
        <v>101</v>
      </c>
      <c r="C27" s="69"/>
      <c r="D27" s="70"/>
      <c r="E27" s="68"/>
      <c r="F27" s="69"/>
      <c r="G27" s="69"/>
      <c r="H27" s="69"/>
      <c r="I27" s="70"/>
      <c r="J27" s="68"/>
      <c r="K27" s="69"/>
      <c r="L27" s="70"/>
      <c r="M27" s="68"/>
      <c r="N27" s="69"/>
      <c r="O27" s="69"/>
      <c r="P27" s="71"/>
      <c r="Q27" s="72">
        <f>SUM(BV27:CJ27)*VLOOKUP(W27,Tables!$W$3:$Z$8,4)</f>
        <v>8</v>
      </c>
      <c r="R27" s="73">
        <f t="shared" si="0"/>
        <v>0.32</v>
      </c>
      <c r="S27" s="74">
        <f t="shared" si="1"/>
        <v>0</v>
      </c>
      <c r="T27" s="74">
        <f t="shared" si="2"/>
        <v>0</v>
      </c>
      <c r="U27" s="75">
        <f t="shared" si="3"/>
        <v>1.2</v>
      </c>
      <c r="V27" s="76">
        <f t="shared" si="4"/>
        <v>6</v>
      </c>
      <c r="W27" s="77">
        <v>0</v>
      </c>
      <c r="X27" s="78">
        <f t="shared" si="5"/>
        <v>1</v>
      </c>
      <c r="Y27" s="79">
        <f t="shared" si="6"/>
        <v>0</v>
      </c>
      <c r="Z27" s="79">
        <f t="shared" si="7"/>
        <v>0</v>
      </c>
      <c r="AA27" s="78">
        <f t="shared" si="8"/>
        <v>0</v>
      </c>
      <c r="AB27" s="79">
        <f t="shared" si="9"/>
        <v>0</v>
      </c>
      <c r="AC27" s="79">
        <f t="shared" si="10"/>
        <v>0</v>
      </c>
      <c r="AD27" s="79">
        <f t="shared" si="11"/>
        <v>0</v>
      </c>
      <c r="AE27" s="79">
        <f t="shared" si="12"/>
        <v>0</v>
      </c>
      <c r="AF27" s="78">
        <f t="shared" si="13"/>
        <v>0</v>
      </c>
      <c r="AG27" s="79">
        <f t="shared" si="14"/>
        <v>0</v>
      </c>
      <c r="AH27" s="79">
        <f t="shared" si="15"/>
        <v>0</v>
      </c>
      <c r="AI27" s="78">
        <f t="shared" si="16"/>
        <v>0</v>
      </c>
      <c r="AJ27" s="79">
        <f t="shared" si="17"/>
        <v>0</v>
      </c>
      <c r="AK27" s="79">
        <f t="shared" si="18"/>
        <v>0</v>
      </c>
      <c r="AL27" s="80">
        <f t="shared" si="19"/>
        <v>0</v>
      </c>
      <c r="AM27" s="81">
        <f t="shared" si="20"/>
        <v>0.04</v>
      </c>
      <c r="AN27" s="82" t="str">
        <f t="shared" si="21"/>
        <v>D</v>
      </c>
      <c r="AO27" s="79" t="str">
        <f t="shared" si="22"/>
        <v/>
      </c>
      <c r="AP27" t="str">
        <f t="shared" si="23"/>
        <v/>
      </c>
      <c r="AQ27" s="82" t="str">
        <f t="shared" si="24"/>
        <v/>
      </c>
      <c r="AR27" t="str">
        <f t="shared" si="25"/>
        <v/>
      </c>
      <c r="AS27" t="str">
        <f t="shared" si="26"/>
        <v/>
      </c>
      <c r="AT27" t="str">
        <f t="shared" si="27"/>
        <v/>
      </c>
      <c r="AU27" t="str">
        <f t="shared" si="28"/>
        <v/>
      </c>
      <c r="AV27" s="82" t="str">
        <f t="shared" si="29"/>
        <v/>
      </c>
      <c r="AW27" t="str">
        <f t="shared" si="30"/>
        <v/>
      </c>
      <c r="AX27" t="str">
        <f t="shared" si="31"/>
        <v/>
      </c>
      <c r="AY27" s="82" t="str">
        <f t="shared" si="32"/>
        <v/>
      </c>
      <c r="AZ27" t="str">
        <f t="shared" si="33"/>
        <v/>
      </c>
      <c r="BA27" t="str">
        <f t="shared" si="34"/>
        <v/>
      </c>
      <c r="BB27" s="83" t="str">
        <f t="shared" si="35"/>
        <v/>
      </c>
      <c r="BC27" s="84">
        <f t="shared" si="36"/>
        <v>0.44444444444444442</v>
      </c>
      <c r="BD27" s="84">
        <f t="shared" si="37"/>
        <v>0</v>
      </c>
      <c r="BE27" s="84">
        <f t="shared" si="38"/>
        <v>0</v>
      </c>
      <c r="BF27" s="84">
        <f t="shared" si="39"/>
        <v>0</v>
      </c>
      <c r="BG27" s="78">
        <f>IF(AN27="",0,VLOOKUP(AN27,Tables!$AB$3:$AC$12,2))</f>
        <v>1.5</v>
      </c>
      <c r="BH27" s="79">
        <f>IF(AO27="",0,VLOOKUP(AO27,Tables!$AB$3:$AC$12,2))</f>
        <v>0</v>
      </c>
      <c r="BI27" s="79">
        <f>IF(AP27="",0,VLOOKUP(AP27,Tables!$AB$3:$AC$12,2))</f>
        <v>0</v>
      </c>
      <c r="BJ27" s="78">
        <f>IF(AQ27="",0,VLOOKUP(AQ27,Tables!$AB$3:$AC$12,2))</f>
        <v>0</v>
      </c>
      <c r="BK27" s="79">
        <f>IF(AR27="",0,VLOOKUP(AR27,Tables!$AB$3:$AC$12,2))</f>
        <v>0</v>
      </c>
      <c r="BL27" s="79">
        <f>IF(AS27="",0,VLOOKUP(AS27,Tables!$AB$3:$AC$12,2))</f>
        <v>0</v>
      </c>
      <c r="BM27" s="79">
        <f>IF(AT27="",0,VLOOKUP(AT27,Tables!$AB$3:$AC$12,2))</f>
        <v>0</v>
      </c>
      <c r="BN27" s="79">
        <f>IF(AU27="",0,VLOOKUP(AU27,Tables!$AB$3:$AC$12,2))</f>
        <v>0</v>
      </c>
      <c r="BO27" s="78">
        <f>IF(AV27="",0,VLOOKUP(AV27,Tables!$AB$3:$AC$12,2))</f>
        <v>0</v>
      </c>
      <c r="BP27" s="79">
        <f>IF(AW27="",0,VLOOKUP(AW27,Tables!$AB$3:$AC$12,2))</f>
        <v>0</v>
      </c>
      <c r="BQ27" s="79">
        <f>IF(AX27="",0,VLOOKUP(AX27,Tables!$AB$3:$AC$12,2))</f>
        <v>0</v>
      </c>
      <c r="BR27" s="78">
        <f>IF(AY27="",0,VLOOKUP(AY27,Tables!$AB$3:$AC$12,2))</f>
        <v>0</v>
      </c>
      <c r="BS27" s="79">
        <f>IF(AZ27="",0,VLOOKUP(AZ27,Tables!$AB$3:$AC$12,2))</f>
        <v>0</v>
      </c>
      <c r="BT27" s="79">
        <f>IF(BA27="",0,VLOOKUP(BA27,Tables!$AB$3:$AC$12,2))</f>
        <v>0</v>
      </c>
      <c r="BU27" s="80">
        <f>IF(BB27="",0,VLOOKUP(BB27,Tables!$AB$3:$AC$12,2))</f>
        <v>0</v>
      </c>
      <c r="BV27" s="85">
        <f>IF(AN27="",0,VLOOKUP(B27,Tables!$B$3:$D$36,2,FALSE())*X$1)</f>
        <v>8</v>
      </c>
      <c r="BW27" s="72">
        <f>IF(AO27="",0,VLOOKUP(C27,Tables!$B$3:$D$36,2,FALSE())*Y$1)</f>
        <v>0</v>
      </c>
      <c r="BX27" s="72">
        <f>IF(AP27="",0,VLOOKUP(D27,Tables!$B$3:$D$36,2,FALSE())*Z$1)</f>
        <v>0</v>
      </c>
      <c r="BY27" s="85">
        <f>IF(AQ27="",0,VLOOKUP(E27,Tables!$B$3:$D$36,2,FALSE())*AA$1)</f>
        <v>0</v>
      </c>
      <c r="BZ27" s="72">
        <f>IF(AR27="",0,VLOOKUP(F27,Tables!$B$3:$D$36,2,FALSE())*AB$1)</f>
        <v>0</v>
      </c>
      <c r="CA27" s="72">
        <f>IF(AS27="",0,VLOOKUP(G27,Tables!$B$3:$D$36,2,FALSE())*AC$1)</f>
        <v>0</v>
      </c>
      <c r="CB27" s="72">
        <f>IF(AT27="",0,VLOOKUP(H27,Tables!$B$3:$D$36,2,FALSE())*AD$1)</f>
        <v>0</v>
      </c>
      <c r="CC27" s="72">
        <f>IF(AU27="",0,VLOOKUP(I27,Tables!$B$3:$D$36,2,FALSE())*AE$1)</f>
        <v>0</v>
      </c>
      <c r="CD27" s="85">
        <f>IF(AV27="",0,VLOOKUP(J27,Tables!$B$3:$D$36,2,FALSE())*AF$1)</f>
        <v>0</v>
      </c>
      <c r="CE27" s="72">
        <f>IF(AW27="",0,VLOOKUP(K27,Tables!$B$3:$D$36,2,FALSE())*AG$1)</f>
        <v>0</v>
      </c>
      <c r="CF27" s="72">
        <f>IF(AX27="",0,VLOOKUP(L27,Tables!$B$3:$D$36,2,FALSE())*AH$1)</f>
        <v>0</v>
      </c>
      <c r="CG27" s="85">
        <f>IF(AY27="",0,VLOOKUP(M27,Tables!$B$3:$D$36,2,FALSE())*AI$1)</f>
        <v>0</v>
      </c>
      <c r="CH27" s="72">
        <f>IF(AZ27="",0,VLOOKUP(N27,Tables!$B$3:$D$36,2,FALSE())*AJ$1)</f>
        <v>0</v>
      </c>
      <c r="CI27" s="72">
        <f>IF(BA27="",0,VLOOKUP(O27,Tables!$B$3:$D$36,2,FALSE())*AK$1)</f>
        <v>0</v>
      </c>
      <c r="CJ27" s="86">
        <f>IF(BB27="",0,VLOOKUP(P27,Tables!$B$3:$D$36,2,FALSE())*AL$1)</f>
        <v>0</v>
      </c>
      <c r="CK27" s="87">
        <f>IF(AN27="",0,VLOOKUP(B27,Tables!$B$3:$D$36,3,FALSE())*X$1)*IF(OR(AN27="K",AN27="P"),2,1)</f>
        <v>0.32</v>
      </c>
      <c r="CL27" s="73">
        <f>IF(AO27="",0,VLOOKUP(C27,Tables!$B$3:$D$36,3,FALSE())*Y$1)*IF(OR(AO27="K",AO27="P"),2,1)</f>
        <v>0</v>
      </c>
      <c r="CM27" s="73">
        <f>IF(AP27="",0,VLOOKUP(D27,Tables!$B$3:$D$36,3,FALSE())*Z$1)*IF(OR(AP27="K",AP27="P"),2,1)</f>
        <v>0</v>
      </c>
      <c r="CN27" s="87">
        <f>IF(AQ27="",0,VLOOKUP(E27,Tables!$B$3:$D$36,3,FALSE())*AA$1)</f>
        <v>0</v>
      </c>
      <c r="CO27" s="73">
        <f>IF(AR27="",0,VLOOKUP(F27,Tables!$B$3:$D$36,3,FALSE())*AB$1)</f>
        <v>0</v>
      </c>
      <c r="CP27" s="73">
        <f>IF(AS27="",0,VLOOKUP(G27,Tables!$B$3:$D$36,3,FALSE())*AC$1)</f>
        <v>0</v>
      </c>
      <c r="CQ27" s="73">
        <f>IF(AT27="",0,VLOOKUP(H27,Tables!$B$3:$D$36,3,FALSE())*AD$1)</f>
        <v>0</v>
      </c>
      <c r="CR27" s="73">
        <f>IF(AU27="",0,VLOOKUP(I27,Tables!$B$3:$D$36,3,FALSE())*AE$1)</f>
        <v>0</v>
      </c>
      <c r="CS27" s="87">
        <f>IF(AV27="",0,VLOOKUP(J27,Tables!$B$3:$D$36,3,FALSE())*AF$1)</f>
        <v>0</v>
      </c>
      <c r="CT27" s="73">
        <f>IF(AW27="",0,VLOOKUP(K27,Tables!$B$3:$D$36,3,FALSE())*AG$1)</f>
        <v>0</v>
      </c>
      <c r="CU27" s="73">
        <f>IF(AX27="",0,VLOOKUP(L27,Tables!$B$3:$D$36,3,FALSE())*AH$1)</f>
        <v>0</v>
      </c>
      <c r="CV27" s="87">
        <f>IF(AY27="",0,VLOOKUP(M27,Tables!$B$3:$D$36,3,FALSE())*AI$1)</f>
        <v>0</v>
      </c>
      <c r="CW27" s="73">
        <f>IF(AZ27="",0,VLOOKUP(N27,Tables!$B$3:$D$36,3,FALSE())*AJ$1)</f>
        <v>0</v>
      </c>
      <c r="CX27" s="73">
        <f>IF(BA27="",0,VLOOKUP(O27,Tables!$B$3:$D$36,3,FALSE())*AK$1)</f>
        <v>0</v>
      </c>
      <c r="CY27" s="88">
        <f>IF(BB27="",0,VLOOKUP(P27,Tables!$B$3:$D$36,3,FALSE())*AL$1)</f>
        <v>0</v>
      </c>
      <c r="CZ27" s="89">
        <f t="shared" si="40"/>
        <v>0.8</v>
      </c>
      <c r="DA27" s="75">
        <f t="shared" si="41"/>
        <v>0</v>
      </c>
      <c r="DB27" s="75">
        <f t="shared" si="42"/>
        <v>0</v>
      </c>
      <c r="DC27" s="89">
        <f t="shared" si="43"/>
        <v>0</v>
      </c>
      <c r="DD27" s="75">
        <f t="shared" si="44"/>
        <v>0</v>
      </c>
      <c r="DE27" s="75">
        <f t="shared" si="45"/>
        <v>0</v>
      </c>
      <c r="DF27" s="75">
        <f t="shared" si="46"/>
        <v>0</v>
      </c>
      <c r="DG27" s="75">
        <f t="shared" si="47"/>
        <v>0</v>
      </c>
      <c r="DH27" s="89">
        <f t="shared" si="48"/>
        <v>0</v>
      </c>
      <c r="DI27" s="75">
        <f t="shared" si="49"/>
        <v>0</v>
      </c>
      <c r="DJ27" s="75">
        <f t="shared" si="50"/>
        <v>0</v>
      </c>
      <c r="DK27" s="89">
        <f t="shared" si="51"/>
        <v>0</v>
      </c>
      <c r="DL27" s="75">
        <f t="shared" si="52"/>
        <v>0</v>
      </c>
      <c r="DM27" s="75">
        <f t="shared" si="53"/>
        <v>0</v>
      </c>
      <c r="DN27" s="90">
        <f t="shared" si="54"/>
        <v>0</v>
      </c>
      <c r="DO27" s="91">
        <f>IF(AN27="",0,VLOOKUP(B27,Tables!$B$3:$M$36,11,FALSE())*X$1)</f>
        <v>1.2</v>
      </c>
      <c r="DP27" s="92">
        <f>IF(AO27="",0,VLOOKUP(C27,Tables!$B$3:$M$36,11,FALSE())*Y$1)</f>
        <v>0</v>
      </c>
      <c r="DQ27" s="92">
        <f>IF(AP27="",0,VLOOKUP(D27,Tables!$B$3:$M$36,11,FALSE())*Z$1)</f>
        <v>0</v>
      </c>
      <c r="DR27" s="91">
        <f>IF(AQ27="",0,VLOOKUP(E27,Tables!$B$3:$M$36,11,FALSE())*AA$1)</f>
        <v>0</v>
      </c>
      <c r="DS27" s="92">
        <f>IF(AR27="",0,VLOOKUP(F27,Tables!$B$3:$M$36,11,FALSE())*AB$1)</f>
        <v>0</v>
      </c>
      <c r="DT27" s="92">
        <f>IF(AS27="",0,VLOOKUP(G27,Tables!$B$3:$M$36,11,FALSE())*AC$1)</f>
        <v>0</v>
      </c>
      <c r="DU27" s="92">
        <f>IF(AT27="",0,VLOOKUP(H27,Tables!$B$3:$M$36,11,FALSE())*AD$1)</f>
        <v>0</v>
      </c>
      <c r="DV27" s="92">
        <f>IF(AU27="",0,VLOOKUP(I27,Tables!$B$3:$M$36,11,FALSE())*AE$1)</f>
        <v>0</v>
      </c>
      <c r="DW27" s="91">
        <f>IF(AV27="",0,VLOOKUP(J27,Tables!$B$3:$M$36,11,FALSE())*AF$1)</f>
        <v>0</v>
      </c>
      <c r="DX27" s="92">
        <f>IF(AW27="",0,VLOOKUP(K27,Tables!$B$3:$M$36,11,FALSE())*AG$1)</f>
        <v>0</v>
      </c>
      <c r="DY27" s="92">
        <f>IF(AX27="",0,VLOOKUP(L27,Tables!$B$3:$M$36,11,FALSE())*AH$1)</f>
        <v>0</v>
      </c>
      <c r="DZ27" s="91">
        <f>IF(AY27="",0,VLOOKUP(M27,Tables!$B$3:$M$36,11,FALSE())*AI$1)</f>
        <v>0</v>
      </c>
      <c r="EA27" s="92">
        <f>IF(AZ27="",0,VLOOKUP(N27,Tables!$B$3:$M$36,11,FALSE())*AJ$1)</f>
        <v>0</v>
      </c>
      <c r="EB27" s="92">
        <f>IF(BA27="",0,VLOOKUP(O27,Tables!$B$3:$M$36,11,FALSE())*AK$1)</f>
        <v>0</v>
      </c>
      <c r="EC27" s="93">
        <f>IF(BB27="",0,VLOOKUP(P27,Tables!$B$3:$M$36,11,FALSE())*AL$1)</f>
        <v>0</v>
      </c>
      <c r="ED27" s="91">
        <f>IF(AN27="",0,VLOOKUP(B27,Tables!$B$3:$M$36,12,FALSE())*X$1)</f>
        <v>6</v>
      </c>
      <c r="EE27" s="92">
        <f>IF(AO27="",0,VLOOKUP(C27,Tables!$B$3:$M$36,12,FALSE())*Y$1)</f>
        <v>0</v>
      </c>
      <c r="EF27" s="92">
        <f>IF(AP27="",0,VLOOKUP(D27,Tables!$B$3:$M$36,12,FALSE())*Z$1)</f>
        <v>0</v>
      </c>
      <c r="EG27" s="91">
        <f>IF(AQ27="",0,VLOOKUP(E27,Tables!$B$3:$M$36,12,FALSE())*AA$1)</f>
        <v>0</v>
      </c>
      <c r="EH27" s="92">
        <f>IF(AR27="",0,VLOOKUP(F27,Tables!$B$3:$M$36,12,FALSE())*AB$1)</f>
        <v>0</v>
      </c>
      <c r="EI27" s="92">
        <f>IF(AS27="",0,VLOOKUP(G27,Tables!$B$3:$M$36,12,FALSE())*AC$1)</f>
        <v>0</v>
      </c>
      <c r="EJ27" s="92">
        <f>IF(AT27="",0,VLOOKUP(H27,Tables!$B$3:$M$36,12,FALSE())*AD$1)</f>
        <v>0</v>
      </c>
      <c r="EK27" s="92">
        <f>IF(AU27="",0,VLOOKUP(I27,Tables!$B$3:$M$36,12,FALSE())*AE$1)</f>
        <v>0</v>
      </c>
      <c r="EL27" s="91">
        <f>IF(AV27="",0,VLOOKUP(J27,Tables!$B$3:$M$36,12,FALSE())*AF$1)</f>
        <v>0</v>
      </c>
      <c r="EM27" s="92">
        <f>IF(AW27="",0,VLOOKUP(K27,Tables!$B$3:$M$36,12,FALSE())*AG$1)</f>
        <v>0</v>
      </c>
      <c r="EN27" s="92">
        <f>IF(AX27="",0,VLOOKUP(L27,Tables!$B$3:$M$36,12,FALSE())*AH$1)</f>
        <v>0</v>
      </c>
      <c r="EO27" s="91">
        <f>IF(AY27="",0,VLOOKUP(M27,Tables!$B$3:$M$36,12,FALSE())*AI$1)</f>
        <v>0</v>
      </c>
      <c r="EP27" s="92">
        <f>IF(AZ27="",0,VLOOKUP(N27,Tables!$B$3:$M$36,12,FALSE())*AJ$1)</f>
        <v>0</v>
      </c>
      <c r="EQ27" s="92">
        <f>IF(BA27="",0,VLOOKUP(O27,Tables!$B$3:$M$36,12,FALSE())*AK$1)</f>
        <v>0</v>
      </c>
      <c r="ER27" s="93">
        <f>IF(BB27="",0,VLOOKUP(P27,Tables!$B$3:$M$36,12,FALSE())*AL$1)</f>
        <v>0</v>
      </c>
      <c r="ES27" s="94">
        <f t="shared" si="55"/>
        <v>0</v>
      </c>
      <c r="ET27" s="95">
        <f>IF(AN27="",10,MIN(VLOOKUP(B27,Tables!$B$3:$N$34,13,FALSE()),'Item Builder'!$W27))</f>
        <v>0</v>
      </c>
      <c r="EU27" s="95">
        <f>IF(AO27="",10,MIN(VLOOKUP(C27,Tables!$B$3:$N$34,13,FALSE()),'Item Builder'!$W27))</f>
        <v>10</v>
      </c>
      <c r="EV27" s="95">
        <f>IF(AP27="",10,MIN(VLOOKUP(D27,Tables!$B$3:$N$34,13,FALSE()),'Item Builder'!$W27))</f>
        <v>10</v>
      </c>
      <c r="EW27" s="95">
        <f>IF(AQ27="",10,MIN(VLOOKUP(E27,Tables!$B$3:$N$34,13,FALSE()),'Item Builder'!$W27))</f>
        <v>10</v>
      </c>
      <c r="EX27" s="95">
        <f>IF(AR27="",10,MIN(VLOOKUP(F27,Tables!$B$3:$N$34,13,FALSE()),'Item Builder'!$W27))</f>
        <v>10</v>
      </c>
      <c r="EY27" s="95">
        <f>IF(AS27="",10,MIN(VLOOKUP(G27,Tables!$B$3:$N$34,13,FALSE()),'Item Builder'!$W27))</f>
        <v>10</v>
      </c>
      <c r="EZ27" s="95">
        <f>IF(AT27="",10,MIN(VLOOKUP(H27,Tables!$B$3:$N$34,13,FALSE()),'Item Builder'!$W27))</f>
        <v>10</v>
      </c>
      <c r="FA27" s="95">
        <f>IF(AU27="",10,MIN(VLOOKUP(I27,Tables!$B$3:$N$34,13,FALSE()),'Item Builder'!$W27))</f>
        <v>10</v>
      </c>
      <c r="FB27" s="95">
        <f>IF(AV27="",10,MIN(VLOOKUP(J27,Tables!$B$3:$N$34,13,FALSE()),'Item Builder'!$W27))</f>
        <v>10</v>
      </c>
      <c r="FC27" s="95">
        <f>IF(AW27="",10,MIN(VLOOKUP(K27,Tables!$B$3:$N$34,13,FALSE()),'Item Builder'!$W27))</f>
        <v>10</v>
      </c>
      <c r="FD27" s="95">
        <f>IF(AX27="",10,MIN(VLOOKUP(L27,Tables!$B$3:$N$34,13,FALSE()),'Item Builder'!$W27))</f>
        <v>10</v>
      </c>
      <c r="FE27" s="95">
        <f>IF(AY27="",10,MIN(VLOOKUP(M27,Tables!$B$3:$N$34,13,FALSE()),'Item Builder'!$W27))</f>
        <v>10</v>
      </c>
      <c r="FF27" s="95">
        <f>IF(AZ27="",10,MIN(VLOOKUP(N27,Tables!$B$3:$N$34,13,FALSE()),'Item Builder'!$W27))</f>
        <v>10</v>
      </c>
      <c r="FG27" s="95">
        <f>IF(BA27="",10,MIN(VLOOKUP(O27,Tables!$B$3:$N$34,13,FALSE()),'Item Builder'!$W27))</f>
        <v>10</v>
      </c>
      <c r="FH27" s="98">
        <f>IF(BB27="",10,MIN(VLOOKUP(P27,Tables!$B$3:$N$34,13,FALSE()),'Item Builder'!$W27))</f>
        <v>10</v>
      </c>
      <c r="FJ27" t="s">
        <v>201</v>
      </c>
    </row>
    <row r="28" spans="1:172" x14ac:dyDescent="0.25">
      <c r="A28" s="67" t="s">
        <v>21</v>
      </c>
      <c r="B28" s="68" t="s">
        <v>101</v>
      </c>
      <c r="C28" s="69"/>
      <c r="D28" s="70" t="s">
        <v>101</v>
      </c>
      <c r="E28" s="68"/>
      <c r="F28" s="69"/>
      <c r="G28" s="69"/>
      <c r="H28" s="69"/>
      <c r="I28" s="70"/>
      <c r="J28" s="68"/>
      <c r="K28" s="69"/>
      <c r="L28" s="70"/>
      <c r="M28" s="68"/>
      <c r="N28" s="69"/>
      <c r="O28" s="69"/>
      <c r="P28" s="71"/>
      <c r="Q28" s="72">
        <f>SUM(BV28:CJ28)*VLOOKUP(W28,Tables!$W$3:$Z$8,4)</f>
        <v>12</v>
      </c>
      <c r="R28" s="73">
        <f t="shared" si="0"/>
        <v>0.48</v>
      </c>
      <c r="S28" s="74">
        <f t="shared" si="1"/>
        <v>0</v>
      </c>
      <c r="T28" s="74">
        <f t="shared" si="2"/>
        <v>5</v>
      </c>
      <c r="U28" s="75">
        <f t="shared" si="3"/>
        <v>1.7999999999999998</v>
      </c>
      <c r="V28" s="76">
        <f t="shared" si="4"/>
        <v>9</v>
      </c>
      <c r="W28" s="77">
        <v>0</v>
      </c>
      <c r="X28" s="78">
        <f t="shared" si="5"/>
        <v>1</v>
      </c>
      <c r="Y28" s="79">
        <f t="shared" si="6"/>
        <v>0</v>
      </c>
      <c r="Z28" s="79">
        <f t="shared" si="7"/>
        <v>1</v>
      </c>
      <c r="AA28" s="78">
        <f t="shared" si="8"/>
        <v>0</v>
      </c>
      <c r="AB28" s="79">
        <f t="shared" si="9"/>
        <v>0</v>
      </c>
      <c r="AC28" s="79">
        <f t="shared" si="10"/>
        <v>0</v>
      </c>
      <c r="AD28" s="79">
        <f t="shared" si="11"/>
        <v>0</v>
      </c>
      <c r="AE28" s="79">
        <f t="shared" si="12"/>
        <v>0</v>
      </c>
      <c r="AF28" s="78">
        <f t="shared" si="13"/>
        <v>0</v>
      </c>
      <c r="AG28" s="79">
        <f t="shared" si="14"/>
        <v>0</v>
      </c>
      <c r="AH28" s="79">
        <f t="shared" si="15"/>
        <v>0</v>
      </c>
      <c r="AI28" s="78">
        <f t="shared" si="16"/>
        <v>0</v>
      </c>
      <c r="AJ28" s="79">
        <f t="shared" si="17"/>
        <v>0</v>
      </c>
      <c r="AK28" s="79">
        <f t="shared" si="18"/>
        <v>0</v>
      </c>
      <c r="AL28" s="80">
        <f t="shared" si="19"/>
        <v>0</v>
      </c>
      <c r="AM28" s="81">
        <f t="shared" si="20"/>
        <v>0.06</v>
      </c>
      <c r="AN28" s="82" t="str">
        <f t="shared" si="21"/>
        <v>D</v>
      </c>
      <c r="AO28" s="79" t="str">
        <f t="shared" si="22"/>
        <v/>
      </c>
      <c r="AP28" t="str">
        <f t="shared" si="23"/>
        <v>D</v>
      </c>
      <c r="AQ28" s="82" t="str">
        <f t="shared" si="24"/>
        <v/>
      </c>
      <c r="AR28" t="str">
        <f t="shared" si="25"/>
        <v/>
      </c>
      <c r="AS28" t="str">
        <f t="shared" si="26"/>
        <v/>
      </c>
      <c r="AT28" t="str">
        <f t="shared" si="27"/>
        <v/>
      </c>
      <c r="AU28" t="str">
        <f t="shared" si="28"/>
        <v/>
      </c>
      <c r="AV28" s="82" t="str">
        <f t="shared" si="29"/>
        <v/>
      </c>
      <c r="AW28" t="str">
        <f t="shared" si="30"/>
        <v/>
      </c>
      <c r="AX28" t="str">
        <f t="shared" si="31"/>
        <v/>
      </c>
      <c r="AY28" s="82" t="str">
        <f t="shared" si="32"/>
        <v/>
      </c>
      <c r="AZ28" t="str">
        <f t="shared" si="33"/>
        <v/>
      </c>
      <c r="BA28" t="str">
        <f t="shared" si="34"/>
        <v/>
      </c>
      <c r="BB28" s="83" t="str">
        <f t="shared" si="35"/>
        <v/>
      </c>
      <c r="BC28" s="84">
        <f t="shared" si="36"/>
        <v>0.66666666666666652</v>
      </c>
      <c r="BD28" s="84">
        <f t="shared" si="37"/>
        <v>0</v>
      </c>
      <c r="BE28" s="84">
        <f t="shared" si="38"/>
        <v>0</v>
      </c>
      <c r="BF28" s="84">
        <f t="shared" si="39"/>
        <v>0</v>
      </c>
      <c r="BG28" s="78">
        <f>IF(AN28="",0,VLOOKUP(AN28,Tables!$AB$3:$AC$12,2))</f>
        <v>1.5</v>
      </c>
      <c r="BH28" s="79">
        <f>IF(AO28="",0,VLOOKUP(AO28,Tables!$AB$3:$AC$12,2))</f>
        <v>0</v>
      </c>
      <c r="BI28" s="79">
        <f>IF(AP28="",0,VLOOKUP(AP28,Tables!$AB$3:$AC$12,2))</f>
        <v>1.5</v>
      </c>
      <c r="BJ28" s="78">
        <f>IF(AQ28="",0,VLOOKUP(AQ28,Tables!$AB$3:$AC$12,2))</f>
        <v>0</v>
      </c>
      <c r="BK28" s="79">
        <f>IF(AR28="",0,VLOOKUP(AR28,Tables!$AB$3:$AC$12,2))</f>
        <v>0</v>
      </c>
      <c r="BL28" s="79">
        <f>IF(AS28="",0,VLOOKUP(AS28,Tables!$AB$3:$AC$12,2))</f>
        <v>0</v>
      </c>
      <c r="BM28" s="79">
        <f>IF(AT28="",0,VLOOKUP(AT28,Tables!$AB$3:$AC$12,2))</f>
        <v>0</v>
      </c>
      <c r="BN28" s="79">
        <f>IF(AU28="",0,VLOOKUP(AU28,Tables!$AB$3:$AC$12,2))</f>
        <v>0</v>
      </c>
      <c r="BO28" s="78">
        <f>IF(AV28="",0,VLOOKUP(AV28,Tables!$AB$3:$AC$12,2))</f>
        <v>0</v>
      </c>
      <c r="BP28" s="79">
        <f>IF(AW28="",0,VLOOKUP(AW28,Tables!$AB$3:$AC$12,2))</f>
        <v>0</v>
      </c>
      <c r="BQ28" s="79">
        <f>IF(AX28="",0,VLOOKUP(AX28,Tables!$AB$3:$AC$12,2))</f>
        <v>0</v>
      </c>
      <c r="BR28" s="78">
        <f>IF(AY28="",0,VLOOKUP(AY28,Tables!$AB$3:$AC$12,2))</f>
        <v>0</v>
      </c>
      <c r="BS28" s="79">
        <f>IF(AZ28="",0,VLOOKUP(AZ28,Tables!$AB$3:$AC$12,2))</f>
        <v>0</v>
      </c>
      <c r="BT28" s="79">
        <f>IF(BA28="",0,VLOOKUP(BA28,Tables!$AB$3:$AC$12,2))</f>
        <v>0</v>
      </c>
      <c r="BU28" s="80">
        <f>IF(BB28="",0,VLOOKUP(BB28,Tables!$AB$3:$AC$12,2))</f>
        <v>0</v>
      </c>
      <c r="BV28" s="85">
        <f>IF(AN28="",0,VLOOKUP(B28,Tables!$B$3:$D$36,2,FALSE())*X$1)</f>
        <v>8</v>
      </c>
      <c r="BW28" s="72">
        <f>IF(AO28="",0,VLOOKUP(C28,Tables!$B$3:$D$36,2,FALSE())*Y$1)</f>
        <v>0</v>
      </c>
      <c r="BX28" s="72">
        <f>IF(AP28="",0,VLOOKUP(D28,Tables!$B$3:$D$36,2,FALSE())*Z$1)</f>
        <v>4</v>
      </c>
      <c r="BY28" s="85">
        <f>IF(AQ28="",0,VLOOKUP(E28,Tables!$B$3:$D$36,2,FALSE())*AA$1)</f>
        <v>0</v>
      </c>
      <c r="BZ28" s="72">
        <f>IF(AR28="",0,VLOOKUP(F28,Tables!$B$3:$D$36,2,FALSE())*AB$1)</f>
        <v>0</v>
      </c>
      <c r="CA28" s="72">
        <f>IF(AS28="",0,VLOOKUP(G28,Tables!$B$3:$D$36,2,FALSE())*AC$1)</f>
        <v>0</v>
      </c>
      <c r="CB28" s="72">
        <f>IF(AT28="",0,VLOOKUP(H28,Tables!$B$3:$D$36,2,FALSE())*AD$1)</f>
        <v>0</v>
      </c>
      <c r="CC28" s="72">
        <f>IF(AU28="",0,VLOOKUP(I28,Tables!$B$3:$D$36,2,FALSE())*AE$1)</f>
        <v>0</v>
      </c>
      <c r="CD28" s="85">
        <f>IF(AV28="",0,VLOOKUP(J28,Tables!$B$3:$D$36,2,FALSE())*AF$1)</f>
        <v>0</v>
      </c>
      <c r="CE28" s="72">
        <f>IF(AW28="",0,VLOOKUP(K28,Tables!$B$3:$D$36,2,FALSE())*AG$1)</f>
        <v>0</v>
      </c>
      <c r="CF28" s="72">
        <f>IF(AX28="",0,VLOOKUP(L28,Tables!$B$3:$D$36,2,FALSE())*AH$1)</f>
        <v>0</v>
      </c>
      <c r="CG28" s="85">
        <f>IF(AY28="",0,VLOOKUP(M28,Tables!$B$3:$D$36,2,FALSE())*AI$1)</f>
        <v>0</v>
      </c>
      <c r="CH28" s="72">
        <f>IF(AZ28="",0,VLOOKUP(N28,Tables!$B$3:$D$36,2,FALSE())*AJ$1)</f>
        <v>0</v>
      </c>
      <c r="CI28" s="72">
        <f>IF(BA28="",0,VLOOKUP(O28,Tables!$B$3:$D$36,2,FALSE())*AK$1)</f>
        <v>0</v>
      </c>
      <c r="CJ28" s="86">
        <f>IF(BB28="",0,VLOOKUP(P28,Tables!$B$3:$D$36,2,FALSE())*AL$1)</f>
        <v>0</v>
      </c>
      <c r="CK28" s="87">
        <f>IF(AN28="",0,VLOOKUP(B28,Tables!$B$3:$D$36,3,FALSE())*X$1)*IF(OR(AN28="K",AN28="P"),2,1)</f>
        <v>0.32</v>
      </c>
      <c r="CL28" s="73">
        <f>IF(AO28="",0,VLOOKUP(C28,Tables!$B$3:$D$36,3,FALSE())*Y$1)*IF(OR(AO28="K",AO28="P"),2,1)</f>
        <v>0</v>
      </c>
      <c r="CM28" s="73">
        <f>IF(AP28="",0,VLOOKUP(D28,Tables!$B$3:$D$36,3,FALSE())*Z$1)*IF(OR(AP28="K",AP28="P"),2,1)</f>
        <v>0.16</v>
      </c>
      <c r="CN28" s="87">
        <f>IF(AQ28="",0,VLOOKUP(E28,Tables!$B$3:$D$36,3,FALSE())*AA$1)</f>
        <v>0</v>
      </c>
      <c r="CO28" s="73">
        <f>IF(AR28="",0,VLOOKUP(F28,Tables!$B$3:$D$36,3,FALSE())*AB$1)</f>
        <v>0</v>
      </c>
      <c r="CP28" s="73">
        <f>IF(AS28="",0,VLOOKUP(G28,Tables!$B$3:$D$36,3,FALSE())*AC$1)</f>
        <v>0</v>
      </c>
      <c r="CQ28" s="73">
        <f>IF(AT28="",0,VLOOKUP(H28,Tables!$B$3:$D$36,3,FALSE())*AD$1)</f>
        <v>0</v>
      </c>
      <c r="CR28" s="73">
        <f>IF(AU28="",0,VLOOKUP(I28,Tables!$B$3:$D$36,3,FALSE())*AE$1)</f>
        <v>0</v>
      </c>
      <c r="CS28" s="87">
        <f>IF(AV28="",0,VLOOKUP(J28,Tables!$B$3:$D$36,3,FALSE())*AF$1)</f>
        <v>0</v>
      </c>
      <c r="CT28" s="73">
        <f>IF(AW28="",0,VLOOKUP(K28,Tables!$B$3:$D$36,3,FALSE())*AG$1)</f>
        <v>0</v>
      </c>
      <c r="CU28" s="73">
        <f>IF(AX28="",0,VLOOKUP(L28,Tables!$B$3:$D$36,3,FALSE())*AH$1)</f>
        <v>0</v>
      </c>
      <c r="CV28" s="87">
        <f>IF(AY28="",0,VLOOKUP(M28,Tables!$B$3:$D$36,3,FALSE())*AI$1)</f>
        <v>0</v>
      </c>
      <c r="CW28" s="73">
        <f>IF(AZ28="",0,VLOOKUP(N28,Tables!$B$3:$D$36,3,FALSE())*AJ$1)</f>
        <v>0</v>
      </c>
      <c r="CX28" s="73">
        <f>IF(BA28="",0,VLOOKUP(O28,Tables!$B$3:$D$36,3,FALSE())*AK$1)</f>
        <v>0</v>
      </c>
      <c r="CY28" s="88">
        <f>IF(BB28="",0,VLOOKUP(P28,Tables!$B$3:$D$36,3,FALSE())*AL$1)</f>
        <v>0</v>
      </c>
      <c r="CZ28" s="89">
        <f t="shared" si="40"/>
        <v>0.8</v>
      </c>
      <c r="DA28" s="75">
        <f t="shared" si="41"/>
        <v>0</v>
      </c>
      <c r="DB28" s="75">
        <f t="shared" si="42"/>
        <v>0.8</v>
      </c>
      <c r="DC28" s="89">
        <f t="shared" si="43"/>
        <v>0</v>
      </c>
      <c r="DD28" s="75">
        <f t="shared" si="44"/>
        <v>0</v>
      </c>
      <c r="DE28" s="75">
        <f t="shared" si="45"/>
        <v>0</v>
      </c>
      <c r="DF28" s="75">
        <f t="shared" si="46"/>
        <v>0</v>
      </c>
      <c r="DG28" s="75">
        <f t="shared" si="47"/>
        <v>0</v>
      </c>
      <c r="DH28" s="89">
        <f t="shared" si="48"/>
        <v>0</v>
      </c>
      <c r="DI28" s="75">
        <f t="shared" si="49"/>
        <v>0</v>
      </c>
      <c r="DJ28" s="75">
        <f t="shared" si="50"/>
        <v>0</v>
      </c>
      <c r="DK28" s="89">
        <f t="shared" si="51"/>
        <v>0</v>
      </c>
      <c r="DL28" s="75">
        <f t="shared" si="52"/>
        <v>0</v>
      </c>
      <c r="DM28" s="75">
        <f t="shared" si="53"/>
        <v>0</v>
      </c>
      <c r="DN28" s="90">
        <f t="shared" si="54"/>
        <v>0</v>
      </c>
      <c r="DO28" s="91">
        <f>IF(AN28="",0,VLOOKUP(B28,Tables!$B$3:$M$36,11,FALSE())*X$1)</f>
        <v>1.2</v>
      </c>
      <c r="DP28" s="92">
        <f>IF(AO28="",0,VLOOKUP(C28,Tables!$B$3:$M$36,11,FALSE())*Y$1)</f>
        <v>0</v>
      </c>
      <c r="DQ28" s="92">
        <f>IF(AP28="",0,VLOOKUP(D28,Tables!$B$3:$M$36,11,FALSE())*Z$1)</f>
        <v>0.6</v>
      </c>
      <c r="DR28" s="91">
        <f>IF(AQ28="",0,VLOOKUP(E28,Tables!$B$3:$M$36,11,FALSE())*AA$1)</f>
        <v>0</v>
      </c>
      <c r="DS28" s="92">
        <f>IF(AR28="",0,VLOOKUP(F28,Tables!$B$3:$M$36,11,FALSE())*AB$1)</f>
        <v>0</v>
      </c>
      <c r="DT28" s="92">
        <f>IF(AS28="",0,VLOOKUP(G28,Tables!$B$3:$M$36,11,FALSE())*AC$1)</f>
        <v>0</v>
      </c>
      <c r="DU28" s="92">
        <f>IF(AT28="",0,VLOOKUP(H28,Tables!$B$3:$M$36,11,FALSE())*AD$1)</f>
        <v>0</v>
      </c>
      <c r="DV28" s="92">
        <f>IF(AU28="",0,VLOOKUP(I28,Tables!$B$3:$M$36,11,FALSE())*AE$1)</f>
        <v>0</v>
      </c>
      <c r="DW28" s="91">
        <f>IF(AV28="",0,VLOOKUP(J28,Tables!$B$3:$M$36,11,FALSE())*AF$1)</f>
        <v>0</v>
      </c>
      <c r="DX28" s="92">
        <f>IF(AW28="",0,VLOOKUP(K28,Tables!$B$3:$M$36,11,FALSE())*AG$1)</f>
        <v>0</v>
      </c>
      <c r="DY28" s="92">
        <f>IF(AX28="",0,VLOOKUP(L28,Tables!$B$3:$M$36,11,FALSE())*AH$1)</f>
        <v>0</v>
      </c>
      <c r="DZ28" s="91">
        <f>IF(AY28="",0,VLOOKUP(M28,Tables!$B$3:$M$36,11,FALSE())*AI$1)</f>
        <v>0</v>
      </c>
      <c r="EA28" s="92">
        <f>IF(AZ28="",0,VLOOKUP(N28,Tables!$B$3:$M$36,11,FALSE())*AJ$1)</f>
        <v>0</v>
      </c>
      <c r="EB28" s="92">
        <f>IF(BA28="",0,VLOOKUP(O28,Tables!$B$3:$M$36,11,FALSE())*AK$1)</f>
        <v>0</v>
      </c>
      <c r="EC28" s="93">
        <f>IF(BB28="",0,VLOOKUP(P28,Tables!$B$3:$M$36,11,FALSE())*AL$1)</f>
        <v>0</v>
      </c>
      <c r="ED28" s="91">
        <f>IF(AN28="",0,VLOOKUP(B28,Tables!$B$3:$M$36,12,FALSE())*X$1)</f>
        <v>6</v>
      </c>
      <c r="EE28" s="92">
        <f>IF(AO28="",0,VLOOKUP(C28,Tables!$B$3:$M$36,12,FALSE())*Y$1)</f>
        <v>0</v>
      </c>
      <c r="EF28" s="92">
        <f>IF(AP28="",0,VLOOKUP(D28,Tables!$B$3:$M$36,12,FALSE())*Z$1)</f>
        <v>3</v>
      </c>
      <c r="EG28" s="91">
        <f>IF(AQ28="",0,VLOOKUP(E28,Tables!$B$3:$M$36,12,FALSE())*AA$1)</f>
        <v>0</v>
      </c>
      <c r="EH28" s="92">
        <f>IF(AR28="",0,VLOOKUP(F28,Tables!$B$3:$M$36,12,FALSE())*AB$1)</f>
        <v>0</v>
      </c>
      <c r="EI28" s="92">
        <f>IF(AS28="",0,VLOOKUP(G28,Tables!$B$3:$M$36,12,FALSE())*AC$1)</f>
        <v>0</v>
      </c>
      <c r="EJ28" s="92">
        <f>IF(AT28="",0,VLOOKUP(H28,Tables!$B$3:$M$36,12,FALSE())*AD$1)</f>
        <v>0</v>
      </c>
      <c r="EK28" s="92">
        <f>IF(AU28="",0,VLOOKUP(I28,Tables!$B$3:$M$36,12,FALSE())*AE$1)</f>
        <v>0</v>
      </c>
      <c r="EL28" s="91">
        <f>IF(AV28="",0,VLOOKUP(J28,Tables!$B$3:$M$36,12,FALSE())*AF$1)</f>
        <v>0</v>
      </c>
      <c r="EM28" s="92">
        <f>IF(AW28="",0,VLOOKUP(K28,Tables!$B$3:$M$36,12,FALSE())*AG$1)</f>
        <v>0</v>
      </c>
      <c r="EN28" s="92">
        <f>IF(AX28="",0,VLOOKUP(L28,Tables!$B$3:$M$36,12,FALSE())*AH$1)</f>
        <v>0</v>
      </c>
      <c r="EO28" s="91">
        <f>IF(AY28="",0,VLOOKUP(M28,Tables!$B$3:$M$36,12,FALSE())*AI$1)</f>
        <v>0</v>
      </c>
      <c r="EP28" s="92">
        <f>IF(AZ28="",0,VLOOKUP(N28,Tables!$B$3:$M$36,12,FALSE())*AJ$1)</f>
        <v>0</v>
      </c>
      <c r="EQ28" s="92">
        <f>IF(BA28="",0,VLOOKUP(O28,Tables!$B$3:$M$36,12,FALSE())*AK$1)</f>
        <v>0</v>
      </c>
      <c r="ER28" s="93">
        <f>IF(BB28="",0,VLOOKUP(P28,Tables!$B$3:$M$36,12,FALSE())*AL$1)</f>
        <v>0</v>
      </c>
      <c r="ES28" s="94">
        <f t="shared" si="55"/>
        <v>0</v>
      </c>
      <c r="ET28" s="95">
        <f>IF(AN28="",10,MIN(VLOOKUP(B28,Tables!$B$3:$N$34,13,FALSE()),'Item Builder'!$W28))</f>
        <v>0</v>
      </c>
      <c r="EU28" s="95">
        <f>IF(AO28="",10,MIN(VLOOKUP(C28,Tables!$B$3:$N$34,13,FALSE()),'Item Builder'!$W28))</f>
        <v>10</v>
      </c>
      <c r="EV28" s="95">
        <f>IF(AP28="",10,MIN(VLOOKUP(D28,Tables!$B$3:$N$34,13,FALSE()),'Item Builder'!$W28))</f>
        <v>0</v>
      </c>
      <c r="EW28" s="95">
        <f>IF(AQ28="",10,MIN(VLOOKUP(E28,Tables!$B$3:$N$34,13,FALSE()),'Item Builder'!$W28))</f>
        <v>10</v>
      </c>
      <c r="EX28" s="95">
        <f>IF(AR28="",10,MIN(VLOOKUP(F28,Tables!$B$3:$N$34,13,FALSE()),'Item Builder'!$W28))</f>
        <v>10</v>
      </c>
      <c r="EY28" s="95">
        <f>IF(AS28="",10,MIN(VLOOKUP(G28,Tables!$B$3:$N$34,13,FALSE()),'Item Builder'!$W28))</f>
        <v>10</v>
      </c>
      <c r="EZ28" s="95">
        <f>IF(AT28="",10,MIN(VLOOKUP(H28,Tables!$B$3:$N$34,13,FALSE()),'Item Builder'!$W28))</f>
        <v>10</v>
      </c>
      <c r="FA28" s="95">
        <f>IF(AU28="",10,MIN(VLOOKUP(I28,Tables!$B$3:$N$34,13,FALSE()),'Item Builder'!$W28))</f>
        <v>10</v>
      </c>
      <c r="FB28" s="95">
        <f>IF(AV28="",10,MIN(VLOOKUP(J28,Tables!$B$3:$N$34,13,FALSE()),'Item Builder'!$W28))</f>
        <v>10</v>
      </c>
      <c r="FC28" s="95">
        <f>IF(AW28="",10,MIN(VLOOKUP(K28,Tables!$B$3:$N$34,13,FALSE()),'Item Builder'!$W28))</f>
        <v>10</v>
      </c>
      <c r="FD28" s="95">
        <f>IF(AX28="",10,MIN(VLOOKUP(L28,Tables!$B$3:$N$34,13,FALSE()),'Item Builder'!$W28))</f>
        <v>10</v>
      </c>
      <c r="FE28" s="95">
        <f>IF(AY28="",10,MIN(VLOOKUP(M28,Tables!$B$3:$N$34,13,FALSE()),'Item Builder'!$W28))</f>
        <v>10</v>
      </c>
      <c r="FF28" s="95">
        <f>IF(AZ28="",10,MIN(VLOOKUP(N28,Tables!$B$3:$N$34,13,FALSE()),'Item Builder'!$W28))</f>
        <v>10</v>
      </c>
      <c r="FG28" s="95">
        <f>IF(BA28="",10,MIN(VLOOKUP(O28,Tables!$B$3:$N$34,13,FALSE()),'Item Builder'!$W28))</f>
        <v>10</v>
      </c>
      <c r="FH28" s="98">
        <f>IF(BB28="",10,MIN(VLOOKUP(P28,Tables!$B$3:$N$34,13,FALSE()),'Item Builder'!$W28))</f>
        <v>10</v>
      </c>
    </row>
    <row r="29" spans="1:172" x14ac:dyDescent="0.25">
      <c r="A29" s="67" t="s">
        <v>202</v>
      </c>
      <c r="B29" s="68"/>
      <c r="C29" s="69"/>
      <c r="D29" s="70"/>
      <c r="E29" s="68" t="s">
        <v>101</v>
      </c>
      <c r="F29" s="69" t="s">
        <v>101</v>
      </c>
      <c r="G29" s="69"/>
      <c r="H29" s="69"/>
      <c r="I29" s="70"/>
      <c r="J29" s="68" t="s">
        <v>101</v>
      </c>
      <c r="K29" s="69"/>
      <c r="L29" s="70"/>
      <c r="M29" s="68"/>
      <c r="N29" s="69"/>
      <c r="O29" s="69"/>
      <c r="P29" s="71"/>
      <c r="Q29" s="72">
        <f>SUM(BV29:CJ29)*VLOOKUP(W29,Tables!$W$3:$Z$8,4)</f>
        <v>42</v>
      </c>
      <c r="R29" s="73">
        <f t="shared" si="0"/>
        <v>1.68</v>
      </c>
      <c r="S29" s="74">
        <f t="shared" si="1"/>
        <v>0</v>
      </c>
      <c r="T29" s="74">
        <f t="shared" si="2"/>
        <v>0</v>
      </c>
      <c r="U29" s="75">
        <f t="shared" si="3"/>
        <v>6.2999999999999989</v>
      </c>
      <c r="V29" s="76">
        <f t="shared" si="4"/>
        <v>31.5</v>
      </c>
      <c r="W29" s="77">
        <v>0</v>
      </c>
      <c r="X29" s="78">
        <f t="shared" si="5"/>
        <v>0</v>
      </c>
      <c r="Y29" s="79">
        <f t="shared" si="6"/>
        <v>0</v>
      </c>
      <c r="Z29" s="79">
        <f t="shared" si="7"/>
        <v>0</v>
      </c>
      <c r="AA29" s="78">
        <f t="shared" si="8"/>
        <v>1</v>
      </c>
      <c r="AB29" s="79">
        <f t="shared" si="9"/>
        <v>1</v>
      </c>
      <c r="AC29" s="79">
        <f t="shared" si="10"/>
        <v>0</v>
      </c>
      <c r="AD29" s="79">
        <f t="shared" si="11"/>
        <v>0</v>
      </c>
      <c r="AE29" s="79">
        <f t="shared" si="12"/>
        <v>0</v>
      </c>
      <c r="AF29" s="78">
        <f t="shared" si="13"/>
        <v>1</v>
      </c>
      <c r="AG29" s="79">
        <f t="shared" si="14"/>
        <v>0</v>
      </c>
      <c r="AH29" s="79">
        <f t="shared" si="15"/>
        <v>0</v>
      </c>
      <c r="AI29" s="78">
        <f t="shared" si="16"/>
        <v>0</v>
      </c>
      <c r="AJ29" s="79">
        <f t="shared" si="17"/>
        <v>0</v>
      </c>
      <c r="AK29" s="79">
        <f t="shared" si="18"/>
        <v>0</v>
      </c>
      <c r="AL29" s="80">
        <f t="shared" si="19"/>
        <v>0</v>
      </c>
      <c r="AM29" s="81">
        <f t="shared" si="20"/>
        <v>0.21</v>
      </c>
      <c r="AN29" s="82" t="str">
        <f t="shared" si="21"/>
        <v/>
      </c>
      <c r="AO29" s="79" t="str">
        <f t="shared" si="22"/>
        <v/>
      </c>
      <c r="AP29" t="str">
        <f t="shared" si="23"/>
        <v/>
      </c>
      <c r="AQ29" s="82" t="str">
        <f t="shared" si="24"/>
        <v>D</v>
      </c>
      <c r="AR29" t="str">
        <f t="shared" si="25"/>
        <v>D</v>
      </c>
      <c r="AS29" t="str">
        <f t="shared" si="26"/>
        <v/>
      </c>
      <c r="AT29" t="str">
        <f t="shared" si="27"/>
        <v/>
      </c>
      <c r="AU29" t="str">
        <f t="shared" si="28"/>
        <v/>
      </c>
      <c r="AV29" s="82" t="str">
        <f t="shared" si="29"/>
        <v>D</v>
      </c>
      <c r="AW29" t="str">
        <f t="shared" si="30"/>
        <v/>
      </c>
      <c r="AX29" t="str">
        <f t="shared" si="31"/>
        <v/>
      </c>
      <c r="AY29" s="82" t="str">
        <f t="shared" si="32"/>
        <v/>
      </c>
      <c r="AZ29" t="str">
        <f t="shared" si="33"/>
        <v/>
      </c>
      <c r="BA29" t="str">
        <f t="shared" si="34"/>
        <v/>
      </c>
      <c r="BB29" s="83" t="str">
        <f t="shared" si="35"/>
        <v/>
      </c>
      <c r="BC29" s="84">
        <f t="shared" si="36"/>
        <v>0</v>
      </c>
      <c r="BD29" s="84">
        <f t="shared" si="37"/>
        <v>0.42857142857142849</v>
      </c>
      <c r="BE29" s="84">
        <f t="shared" si="38"/>
        <v>0.35294117647058826</v>
      </c>
      <c r="BF29" s="84">
        <f t="shared" si="39"/>
        <v>0</v>
      </c>
      <c r="BG29" s="78">
        <f>IF(AN29="",0,VLOOKUP(AN29,Tables!$AB$3:$AC$12,2))</f>
        <v>0</v>
      </c>
      <c r="BH29" s="79">
        <f>IF(AO29="",0,VLOOKUP(AO29,Tables!$AB$3:$AC$12,2))</f>
        <v>0</v>
      </c>
      <c r="BI29" s="79">
        <f>IF(AP29="",0,VLOOKUP(AP29,Tables!$AB$3:$AC$12,2))</f>
        <v>0</v>
      </c>
      <c r="BJ29" s="78">
        <f>IF(AQ29="",0,VLOOKUP(AQ29,Tables!$AB$3:$AC$12,2))</f>
        <v>1.5</v>
      </c>
      <c r="BK29" s="79">
        <f>IF(AR29="",0,VLOOKUP(AR29,Tables!$AB$3:$AC$12,2))</f>
        <v>1.5</v>
      </c>
      <c r="BL29" s="79">
        <f>IF(AS29="",0,VLOOKUP(AS29,Tables!$AB$3:$AC$12,2))</f>
        <v>0</v>
      </c>
      <c r="BM29" s="79">
        <f>IF(AT29="",0,VLOOKUP(AT29,Tables!$AB$3:$AC$12,2))</f>
        <v>0</v>
      </c>
      <c r="BN29" s="79">
        <f>IF(AU29="",0,VLOOKUP(AU29,Tables!$AB$3:$AC$12,2))</f>
        <v>0</v>
      </c>
      <c r="BO29" s="78">
        <f>IF(AV29="",0,VLOOKUP(AV29,Tables!$AB$3:$AC$12,2))</f>
        <v>1.5</v>
      </c>
      <c r="BP29" s="79">
        <f>IF(AW29="",0,VLOOKUP(AW29,Tables!$AB$3:$AC$12,2))</f>
        <v>0</v>
      </c>
      <c r="BQ29" s="79">
        <f>IF(AX29="",0,VLOOKUP(AX29,Tables!$AB$3:$AC$12,2))</f>
        <v>0</v>
      </c>
      <c r="BR29" s="78">
        <f>IF(AY29="",0,VLOOKUP(AY29,Tables!$AB$3:$AC$12,2))</f>
        <v>0</v>
      </c>
      <c r="BS29" s="79">
        <f>IF(AZ29="",0,VLOOKUP(AZ29,Tables!$AB$3:$AC$12,2))</f>
        <v>0</v>
      </c>
      <c r="BT29" s="79">
        <f>IF(BA29="",0,VLOOKUP(BA29,Tables!$AB$3:$AC$12,2))</f>
        <v>0</v>
      </c>
      <c r="BU29" s="80">
        <f>IF(BB29="",0,VLOOKUP(BB29,Tables!$AB$3:$AC$12,2))</f>
        <v>0</v>
      </c>
      <c r="BV29" s="85">
        <f>IF(AN29="",0,VLOOKUP(B29,Tables!$B$3:$D$36,2,FALSE())*X$1)</f>
        <v>0</v>
      </c>
      <c r="BW29" s="72">
        <f>IF(AO29="",0,VLOOKUP(C29,Tables!$B$3:$D$36,2,FALSE())*Y$1)</f>
        <v>0</v>
      </c>
      <c r="BX29" s="72">
        <f>IF(AP29="",0,VLOOKUP(D29,Tables!$B$3:$D$36,2,FALSE())*Z$1)</f>
        <v>0</v>
      </c>
      <c r="BY29" s="85">
        <f>IF(AQ29="",0,VLOOKUP(E29,Tables!$B$3:$D$36,2,FALSE())*AA$1)</f>
        <v>6</v>
      </c>
      <c r="BZ29" s="72">
        <f>IF(AR29="",0,VLOOKUP(F29,Tables!$B$3:$D$36,2,FALSE())*AB$1)</f>
        <v>12</v>
      </c>
      <c r="CA29" s="72">
        <f>IF(AS29="",0,VLOOKUP(G29,Tables!$B$3:$D$36,2,FALSE())*AC$1)</f>
        <v>0</v>
      </c>
      <c r="CB29" s="72">
        <f>IF(AT29="",0,VLOOKUP(H29,Tables!$B$3:$D$36,2,FALSE())*AD$1)</f>
        <v>0</v>
      </c>
      <c r="CC29" s="72">
        <f>IF(AU29="",0,VLOOKUP(I29,Tables!$B$3:$D$36,2,FALSE())*AE$1)</f>
        <v>0</v>
      </c>
      <c r="CD29" s="85">
        <f>IF(AV29="",0,VLOOKUP(J29,Tables!$B$3:$D$36,2,FALSE())*AF$1)</f>
        <v>24</v>
      </c>
      <c r="CE29" s="72">
        <f>IF(AW29="",0,VLOOKUP(K29,Tables!$B$3:$D$36,2,FALSE())*AG$1)</f>
        <v>0</v>
      </c>
      <c r="CF29" s="72">
        <f>IF(AX29="",0,VLOOKUP(L29,Tables!$B$3:$D$36,2,FALSE())*AH$1)</f>
        <v>0</v>
      </c>
      <c r="CG29" s="85">
        <f>IF(AY29="",0,VLOOKUP(M29,Tables!$B$3:$D$36,2,FALSE())*AI$1)</f>
        <v>0</v>
      </c>
      <c r="CH29" s="72">
        <f>IF(AZ29="",0,VLOOKUP(N29,Tables!$B$3:$D$36,2,FALSE())*AJ$1)</f>
        <v>0</v>
      </c>
      <c r="CI29" s="72">
        <f>IF(BA29="",0,VLOOKUP(O29,Tables!$B$3:$D$36,2,FALSE())*AK$1)</f>
        <v>0</v>
      </c>
      <c r="CJ29" s="86">
        <f>IF(BB29="",0,VLOOKUP(P29,Tables!$B$3:$D$36,2,FALSE())*AL$1)</f>
        <v>0</v>
      </c>
      <c r="CK29" s="87">
        <f>IF(AN29="",0,VLOOKUP(B29,Tables!$B$3:$D$36,3,FALSE())*X$1)*IF(OR(AN29="K",AN29="P"),2,1)</f>
        <v>0</v>
      </c>
      <c r="CL29" s="73">
        <f>IF(AO29="",0,VLOOKUP(C29,Tables!$B$3:$D$36,3,FALSE())*Y$1)*IF(OR(AO29="K",AO29="P"),2,1)</f>
        <v>0</v>
      </c>
      <c r="CM29" s="73">
        <f>IF(AP29="",0,VLOOKUP(D29,Tables!$B$3:$D$36,3,FALSE())*Z$1)*IF(OR(AP29="K",AP29="P"),2,1)</f>
        <v>0</v>
      </c>
      <c r="CN29" s="87">
        <f>IF(AQ29="",0,VLOOKUP(E29,Tables!$B$3:$D$36,3,FALSE())*AA$1)</f>
        <v>0.24</v>
      </c>
      <c r="CO29" s="73">
        <f>IF(AR29="",0,VLOOKUP(F29,Tables!$B$3:$D$36,3,FALSE())*AB$1)</f>
        <v>0.48</v>
      </c>
      <c r="CP29" s="73">
        <f>IF(AS29="",0,VLOOKUP(G29,Tables!$B$3:$D$36,3,FALSE())*AC$1)</f>
        <v>0</v>
      </c>
      <c r="CQ29" s="73">
        <f>IF(AT29="",0,VLOOKUP(H29,Tables!$B$3:$D$36,3,FALSE())*AD$1)</f>
        <v>0</v>
      </c>
      <c r="CR29" s="73">
        <f>IF(AU29="",0,VLOOKUP(I29,Tables!$B$3:$D$36,3,FALSE())*AE$1)</f>
        <v>0</v>
      </c>
      <c r="CS29" s="87">
        <f>IF(AV29="",0,VLOOKUP(J29,Tables!$B$3:$D$36,3,FALSE())*AF$1)</f>
        <v>0.96</v>
      </c>
      <c r="CT29" s="73">
        <f>IF(AW29="",0,VLOOKUP(K29,Tables!$B$3:$D$36,3,FALSE())*AG$1)</f>
        <v>0</v>
      </c>
      <c r="CU29" s="73">
        <f>IF(AX29="",0,VLOOKUP(L29,Tables!$B$3:$D$36,3,FALSE())*AH$1)</f>
        <v>0</v>
      </c>
      <c r="CV29" s="87">
        <f>IF(AY29="",0,VLOOKUP(M29,Tables!$B$3:$D$36,3,FALSE())*AI$1)</f>
        <v>0</v>
      </c>
      <c r="CW29" s="73">
        <f>IF(AZ29="",0,VLOOKUP(N29,Tables!$B$3:$D$36,3,FALSE())*AJ$1)</f>
        <v>0</v>
      </c>
      <c r="CX29" s="73">
        <f>IF(BA29="",0,VLOOKUP(O29,Tables!$B$3:$D$36,3,FALSE())*AK$1)</f>
        <v>0</v>
      </c>
      <c r="CY29" s="88">
        <f>IF(BB29="",0,VLOOKUP(P29,Tables!$B$3:$D$36,3,FALSE())*AL$1)</f>
        <v>0</v>
      </c>
      <c r="CZ29" s="89">
        <f t="shared" si="40"/>
        <v>0</v>
      </c>
      <c r="DA29" s="75">
        <f t="shared" si="41"/>
        <v>0</v>
      </c>
      <c r="DB29" s="75">
        <f t="shared" si="42"/>
        <v>0</v>
      </c>
      <c r="DC29" s="89">
        <f t="shared" si="43"/>
        <v>0.8</v>
      </c>
      <c r="DD29" s="75">
        <f t="shared" si="44"/>
        <v>0.8</v>
      </c>
      <c r="DE29" s="75">
        <f t="shared" si="45"/>
        <v>0</v>
      </c>
      <c r="DF29" s="75">
        <f t="shared" si="46"/>
        <v>0</v>
      </c>
      <c r="DG29" s="75">
        <f t="shared" si="47"/>
        <v>0</v>
      </c>
      <c r="DH29" s="89">
        <f t="shared" si="48"/>
        <v>0.8</v>
      </c>
      <c r="DI29" s="75">
        <f t="shared" si="49"/>
        <v>0</v>
      </c>
      <c r="DJ29" s="75">
        <f t="shared" si="50"/>
        <v>0</v>
      </c>
      <c r="DK29" s="89">
        <f t="shared" si="51"/>
        <v>0</v>
      </c>
      <c r="DL29" s="75">
        <f t="shared" si="52"/>
        <v>0</v>
      </c>
      <c r="DM29" s="75">
        <f t="shared" si="53"/>
        <v>0</v>
      </c>
      <c r="DN29" s="90">
        <f t="shared" si="54"/>
        <v>0</v>
      </c>
      <c r="DO29" s="91">
        <f>IF(AN29="",0,VLOOKUP(B29,Tables!$B$3:$M$36,11,FALSE())*X$1)</f>
        <v>0</v>
      </c>
      <c r="DP29" s="92">
        <f>IF(AO29="",0,VLOOKUP(C29,Tables!$B$3:$M$36,11,FALSE())*Y$1)</f>
        <v>0</v>
      </c>
      <c r="DQ29" s="92">
        <f>IF(AP29="",0,VLOOKUP(D29,Tables!$B$3:$M$36,11,FALSE())*Z$1)</f>
        <v>0</v>
      </c>
      <c r="DR29" s="91">
        <f>IF(AQ29="",0,VLOOKUP(E29,Tables!$B$3:$M$36,11,FALSE())*AA$1)</f>
        <v>0.89999999999999991</v>
      </c>
      <c r="DS29" s="92">
        <f>IF(AR29="",0,VLOOKUP(F29,Tables!$B$3:$M$36,11,FALSE())*AB$1)</f>
        <v>1.7999999999999998</v>
      </c>
      <c r="DT29" s="92">
        <f>IF(AS29="",0,VLOOKUP(G29,Tables!$B$3:$M$36,11,FALSE())*AC$1)</f>
        <v>0</v>
      </c>
      <c r="DU29" s="92">
        <f>IF(AT29="",0,VLOOKUP(H29,Tables!$B$3:$M$36,11,FALSE())*AD$1)</f>
        <v>0</v>
      </c>
      <c r="DV29" s="92">
        <f>IF(AU29="",0,VLOOKUP(I29,Tables!$B$3:$M$36,11,FALSE())*AE$1)</f>
        <v>0</v>
      </c>
      <c r="DW29" s="91">
        <f>IF(AV29="",0,VLOOKUP(J29,Tables!$B$3:$M$36,11,FALSE())*AF$1)</f>
        <v>3.5999999999999996</v>
      </c>
      <c r="DX29" s="92">
        <f>IF(AW29="",0,VLOOKUP(K29,Tables!$B$3:$M$36,11,FALSE())*AG$1)</f>
        <v>0</v>
      </c>
      <c r="DY29" s="92">
        <f>IF(AX29="",0,VLOOKUP(L29,Tables!$B$3:$M$36,11,FALSE())*AH$1)</f>
        <v>0</v>
      </c>
      <c r="DZ29" s="91">
        <f>IF(AY29="",0,VLOOKUP(M29,Tables!$B$3:$M$36,11,FALSE())*AI$1)</f>
        <v>0</v>
      </c>
      <c r="EA29" s="92">
        <f>IF(AZ29="",0,VLOOKUP(N29,Tables!$B$3:$M$36,11,FALSE())*AJ$1)</f>
        <v>0</v>
      </c>
      <c r="EB29" s="92">
        <f>IF(BA29="",0,VLOOKUP(O29,Tables!$B$3:$M$36,11,FALSE())*AK$1)</f>
        <v>0</v>
      </c>
      <c r="EC29" s="93">
        <f>IF(BB29="",0,VLOOKUP(P29,Tables!$B$3:$M$36,11,FALSE())*AL$1)</f>
        <v>0</v>
      </c>
      <c r="ED29" s="91">
        <f>IF(AN29="",0,VLOOKUP(B29,Tables!$B$3:$M$36,12,FALSE())*X$1)</f>
        <v>0</v>
      </c>
      <c r="EE29" s="92">
        <f>IF(AO29="",0,VLOOKUP(C29,Tables!$B$3:$M$36,12,FALSE())*Y$1)</f>
        <v>0</v>
      </c>
      <c r="EF29" s="92">
        <f>IF(AP29="",0,VLOOKUP(D29,Tables!$B$3:$M$36,12,FALSE())*Z$1)</f>
        <v>0</v>
      </c>
      <c r="EG29" s="91">
        <f>IF(AQ29="",0,VLOOKUP(E29,Tables!$B$3:$M$36,12,FALSE())*AA$1)</f>
        <v>4.5</v>
      </c>
      <c r="EH29" s="92">
        <f>IF(AR29="",0,VLOOKUP(F29,Tables!$B$3:$M$36,12,FALSE())*AB$1)</f>
        <v>9</v>
      </c>
      <c r="EI29" s="92">
        <f>IF(AS29="",0,VLOOKUP(G29,Tables!$B$3:$M$36,12,FALSE())*AC$1)</f>
        <v>0</v>
      </c>
      <c r="EJ29" s="92">
        <f>IF(AT29="",0,VLOOKUP(H29,Tables!$B$3:$M$36,12,FALSE())*AD$1)</f>
        <v>0</v>
      </c>
      <c r="EK29" s="92">
        <f>IF(AU29="",0,VLOOKUP(I29,Tables!$B$3:$M$36,12,FALSE())*AE$1)</f>
        <v>0</v>
      </c>
      <c r="EL29" s="91">
        <f>IF(AV29="",0,VLOOKUP(J29,Tables!$B$3:$M$36,12,FALSE())*AF$1)</f>
        <v>18</v>
      </c>
      <c r="EM29" s="92">
        <f>IF(AW29="",0,VLOOKUP(K29,Tables!$B$3:$M$36,12,FALSE())*AG$1)</f>
        <v>0</v>
      </c>
      <c r="EN29" s="92">
        <f>IF(AX29="",0,VLOOKUP(L29,Tables!$B$3:$M$36,12,FALSE())*AH$1)</f>
        <v>0</v>
      </c>
      <c r="EO29" s="91">
        <f>IF(AY29="",0,VLOOKUP(M29,Tables!$B$3:$M$36,12,FALSE())*AI$1)</f>
        <v>0</v>
      </c>
      <c r="EP29" s="92">
        <f>IF(AZ29="",0,VLOOKUP(N29,Tables!$B$3:$M$36,12,FALSE())*AJ$1)</f>
        <v>0</v>
      </c>
      <c r="EQ29" s="92">
        <f>IF(BA29="",0,VLOOKUP(O29,Tables!$B$3:$M$36,12,FALSE())*AK$1)</f>
        <v>0</v>
      </c>
      <c r="ER29" s="93">
        <f>IF(BB29="",0,VLOOKUP(P29,Tables!$B$3:$M$36,12,FALSE())*AL$1)</f>
        <v>0</v>
      </c>
      <c r="ES29" s="94">
        <f t="shared" si="55"/>
        <v>0</v>
      </c>
      <c r="ET29" s="95">
        <f>IF(AN29="",10,MIN(VLOOKUP(B29,Tables!$B$3:$N$34,13,FALSE()),'Item Builder'!$W29))</f>
        <v>10</v>
      </c>
      <c r="EU29" s="95">
        <f>IF(AO29="",10,MIN(VLOOKUP(C29,Tables!$B$3:$N$34,13,FALSE()),'Item Builder'!$W29))</f>
        <v>10</v>
      </c>
      <c r="EV29" s="95">
        <f>IF(AP29="",10,MIN(VLOOKUP(D29,Tables!$B$3:$N$34,13,FALSE()),'Item Builder'!$W29))</f>
        <v>10</v>
      </c>
      <c r="EW29" s="95">
        <f>IF(AQ29="",10,MIN(VLOOKUP(E29,Tables!$B$3:$N$34,13,FALSE()),'Item Builder'!$W29))</f>
        <v>0</v>
      </c>
      <c r="EX29" s="95">
        <f>IF(AR29="",10,MIN(VLOOKUP(F29,Tables!$B$3:$N$34,13,FALSE()),'Item Builder'!$W29))</f>
        <v>0</v>
      </c>
      <c r="EY29" s="95">
        <f>IF(AS29="",10,MIN(VLOOKUP(G29,Tables!$B$3:$N$34,13,FALSE()),'Item Builder'!$W29))</f>
        <v>10</v>
      </c>
      <c r="EZ29" s="95">
        <f>IF(AT29="",10,MIN(VLOOKUP(H29,Tables!$B$3:$N$34,13,FALSE()),'Item Builder'!$W29))</f>
        <v>10</v>
      </c>
      <c r="FA29" s="95">
        <f>IF(AU29="",10,MIN(VLOOKUP(I29,Tables!$B$3:$N$34,13,FALSE()),'Item Builder'!$W29))</f>
        <v>10</v>
      </c>
      <c r="FB29" s="95">
        <f>IF(AV29="",10,MIN(VLOOKUP(J29,Tables!$B$3:$N$34,13,FALSE()),'Item Builder'!$W29))</f>
        <v>0</v>
      </c>
      <c r="FC29" s="95">
        <f>IF(AW29="",10,MIN(VLOOKUP(K29,Tables!$B$3:$N$34,13,FALSE()),'Item Builder'!$W29))</f>
        <v>10</v>
      </c>
      <c r="FD29" s="95">
        <f>IF(AX29="",10,MIN(VLOOKUP(L29,Tables!$B$3:$N$34,13,FALSE()),'Item Builder'!$W29))</f>
        <v>10</v>
      </c>
      <c r="FE29" s="95">
        <f>IF(AY29="",10,MIN(VLOOKUP(M29,Tables!$B$3:$N$34,13,FALSE()),'Item Builder'!$W29))</f>
        <v>10</v>
      </c>
      <c r="FF29" s="95">
        <f>IF(AZ29="",10,MIN(VLOOKUP(N29,Tables!$B$3:$N$34,13,FALSE()),'Item Builder'!$W29))</f>
        <v>10</v>
      </c>
      <c r="FG29" s="95">
        <f>IF(BA29="",10,MIN(VLOOKUP(O29,Tables!$B$3:$N$34,13,FALSE()),'Item Builder'!$W29))</f>
        <v>10</v>
      </c>
      <c r="FH29" s="98">
        <f>IF(BB29="",10,MIN(VLOOKUP(P29,Tables!$B$3:$N$34,13,FALSE()),'Item Builder'!$W29))</f>
        <v>10</v>
      </c>
    </row>
    <row r="30" spans="1:172" x14ac:dyDescent="0.25">
      <c r="A30" s="67" t="s">
        <v>36</v>
      </c>
      <c r="B30" s="68"/>
      <c r="C30" s="69"/>
      <c r="D30" s="70"/>
      <c r="E30" s="68"/>
      <c r="F30" s="69"/>
      <c r="G30" s="69"/>
      <c r="H30" s="69"/>
      <c r="I30" s="70" t="s">
        <v>101</v>
      </c>
      <c r="J30" s="68"/>
      <c r="K30" s="69"/>
      <c r="L30" s="70"/>
      <c r="M30" s="68"/>
      <c r="N30" s="69"/>
      <c r="O30" s="69"/>
      <c r="P30" s="71"/>
      <c r="Q30" s="72">
        <f>SUM(BV30:CJ30)*VLOOKUP(W30,Tables!$W$3:$Z$8,4)</f>
        <v>10</v>
      </c>
      <c r="R30" s="73">
        <f t="shared" si="0"/>
        <v>0.4</v>
      </c>
      <c r="S30" s="74">
        <f t="shared" si="1"/>
        <v>0</v>
      </c>
      <c r="T30" s="74">
        <f t="shared" si="2"/>
        <v>0</v>
      </c>
      <c r="U30" s="75">
        <f t="shared" si="3"/>
        <v>1.5</v>
      </c>
      <c r="V30" s="76">
        <f t="shared" si="4"/>
        <v>7.5</v>
      </c>
      <c r="W30" s="77">
        <v>0</v>
      </c>
      <c r="X30" s="78">
        <f t="shared" si="5"/>
        <v>0</v>
      </c>
      <c r="Y30" s="79">
        <f t="shared" si="6"/>
        <v>0</v>
      </c>
      <c r="Z30" s="79">
        <f t="shared" si="7"/>
        <v>0</v>
      </c>
      <c r="AA30" s="78">
        <f t="shared" si="8"/>
        <v>0</v>
      </c>
      <c r="AB30" s="79">
        <f t="shared" si="9"/>
        <v>0</v>
      </c>
      <c r="AC30" s="79">
        <f t="shared" si="10"/>
        <v>0</v>
      </c>
      <c r="AD30" s="79">
        <f t="shared" si="11"/>
        <v>0</v>
      </c>
      <c r="AE30" s="79">
        <f t="shared" si="12"/>
        <v>1</v>
      </c>
      <c r="AF30" s="78">
        <f t="shared" si="13"/>
        <v>0</v>
      </c>
      <c r="AG30" s="79">
        <f t="shared" si="14"/>
        <v>0</v>
      </c>
      <c r="AH30" s="79">
        <f t="shared" si="15"/>
        <v>0</v>
      </c>
      <c r="AI30" s="78">
        <f t="shared" si="16"/>
        <v>0</v>
      </c>
      <c r="AJ30" s="79">
        <f t="shared" si="17"/>
        <v>0</v>
      </c>
      <c r="AK30" s="79">
        <f t="shared" si="18"/>
        <v>0</v>
      </c>
      <c r="AL30" s="80">
        <f t="shared" si="19"/>
        <v>0</v>
      </c>
      <c r="AM30" s="81">
        <f t="shared" si="20"/>
        <v>0.05</v>
      </c>
      <c r="AN30" s="82" t="str">
        <f t="shared" si="21"/>
        <v/>
      </c>
      <c r="AO30" s="79" t="str">
        <f t="shared" si="22"/>
        <v/>
      </c>
      <c r="AP30" t="str">
        <f t="shared" si="23"/>
        <v/>
      </c>
      <c r="AQ30" s="82" t="str">
        <f t="shared" si="24"/>
        <v/>
      </c>
      <c r="AR30" t="str">
        <f t="shared" si="25"/>
        <v/>
      </c>
      <c r="AS30" t="str">
        <f t="shared" si="26"/>
        <v/>
      </c>
      <c r="AT30" t="str">
        <f t="shared" si="27"/>
        <v/>
      </c>
      <c r="AU30" t="str">
        <f t="shared" si="28"/>
        <v>D</v>
      </c>
      <c r="AV30" s="82" t="str">
        <f t="shared" si="29"/>
        <v/>
      </c>
      <c r="AW30" t="str">
        <f t="shared" si="30"/>
        <v/>
      </c>
      <c r="AX30" t="str">
        <f t="shared" si="31"/>
        <v/>
      </c>
      <c r="AY30" s="82" t="str">
        <f t="shared" si="32"/>
        <v/>
      </c>
      <c r="AZ30" t="str">
        <f t="shared" si="33"/>
        <v/>
      </c>
      <c r="BA30" t="str">
        <f t="shared" si="34"/>
        <v/>
      </c>
      <c r="BB30" s="83" t="str">
        <f t="shared" si="35"/>
        <v/>
      </c>
      <c r="BC30" s="84">
        <f t="shared" si="36"/>
        <v>0</v>
      </c>
      <c r="BD30" s="84">
        <f t="shared" si="37"/>
        <v>0.23809523809523808</v>
      </c>
      <c r="BE30" s="84">
        <f t="shared" si="38"/>
        <v>0</v>
      </c>
      <c r="BF30" s="84">
        <f t="shared" si="39"/>
        <v>0</v>
      </c>
      <c r="BG30" s="78">
        <f>IF(AN30="",0,VLOOKUP(AN30,Tables!$AB$3:$AC$12,2))</f>
        <v>0</v>
      </c>
      <c r="BH30" s="79">
        <f>IF(AO30="",0,VLOOKUP(AO30,Tables!$AB$3:$AC$12,2))</f>
        <v>0</v>
      </c>
      <c r="BI30" s="79">
        <f>IF(AP30="",0,VLOOKUP(AP30,Tables!$AB$3:$AC$12,2))</f>
        <v>0</v>
      </c>
      <c r="BJ30" s="78">
        <f>IF(AQ30="",0,VLOOKUP(AQ30,Tables!$AB$3:$AC$12,2))</f>
        <v>0</v>
      </c>
      <c r="BK30" s="79">
        <f>IF(AR30="",0,VLOOKUP(AR30,Tables!$AB$3:$AC$12,2))</f>
        <v>0</v>
      </c>
      <c r="BL30" s="79">
        <f>IF(AS30="",0,VLOOKUP(AS30,Tables!$AB$3:$AC$12,2))</f>
        <v>0</v>
      </c>
      <c r="BM30" s="79">
        <f>IF(AT30="",0,VLOOKUP(AT30,Tables!$AB$3:$AC$12,2))</f>
        <v>0</v>
      </c>
      <c r="BN30" s="79">
        <f>IF(AU30="",0,VLOOKUP(AU30,Tables!$AB$3:$AC$12,2))</f>
        <v>1.5</v>
      </c>
      <c r="BO30" s="78">
        <f>IF(AV30="",0,VLOOKUP(AV30,Tables!$AB$3:$AC$12,2))</f>
        <v>0</v>
      </c>
      <c r="BP30" s="79">
        <f>IF(AW30="",0,VLOOKUP(AW30,Tables!$AB$3:$AC$12,2))</f>
        <v>0</v>
      </c>
      <c r="BQ30" s="79">
        <f>IF(AX30="",0,VLOOKUP(AX30,Tables!$AB$3:$AC$12,2))</f>
        <v>0</v>
      </c>
      <c r="BR30" s="78">
        <f>IF(AY30="",0,VLOOKUP(AY30,Tables!$AB$3:$AC$12,2))</f>
        <v>0</v>
      </c>
      <c r="BS30" s="79">
        <f>IF(AZ30="",0,VLOOKUP(AZ30,Tables!$AB$3:$AC$12,2))</f>
        <v>0</v>
      </c>
      <c r="BT30" s="79">
        <f>IF(BA30="",0,VLOOKUP(BA30,Tables!$AB$3:$AC$12,2))</f>
        <v>0</v>
      </c>
      <c r="BU30" s="80">
        <f>IF(BB30="",0,VLOOKUP(BB30,Tables!$AB$3:$AC$12,2))</f>
        <v>0</v>
      </c>
      <c r="BV30" s="85">
        <f>IF(AN30="",0,VLOOKUP(B30,Tables!$B$3:$D$36,2,FALSE())*X$1)</f>
        <v>0</v>
      </c>
      <c r="BW30" s="72">
        <f>IF(AO30="",0,VLOOKUP(C30,Tables!$B$3:$D$36,2,FALSE())*Y$1)</f>
        <v>0</v>
      </c>
      <c r="BX30" s="72">
        <f>IF(AP30="",0,VLOOKUP(D30,Tables!$B$3:$D$36,2,FALSE())*Z$1)</f>
        <v>0</v>
      </c>
      <c r="BY30" s="85">
        <f>IF(AQ30="",0,VLOOKUP(E30,Tables!$B$3:$D$36,2,FALSE())*AA$1)</f>
        <v>0</v>
      </c>
      <c r="BZ30" s="72">
        <f>IF(AR30="",0,VLOOKUP(F30,Tables!$B$3:$D$36,2,FALSE())*AB$1)</f>
        <v>0</v>
      </c>
      <c r="CA30" s="72">
        <f>IF(AS30="",0,VLOOKUP(G30,Tables!$B$3:$D$36,2,FALSE())*AC$1)</f>
        <v>0</v>
      </c>
      <c r="CB30" s="72">
        <f>IF(AT30="",0,VLOOKUP(H30,Tables!$B$3:$D$36,2,FALSE())*AD$1)</f>
        <v>0</v>
      </c>
      <c r="CC30" s="72">
        <f>IF(AU30="",0,VLOOKUP(I30,Tables!$B$3:$D$36,2,FALSE())*AE$1)</f>
        <v>10</v>
      </c>
      <c r="CD30" s="85">
        <f>IF(AV30="",0,VLOOKUP(J30,Tables!$B$3:$D$36,2,FALSE())*AF$1)</f>
        <v>0</v>
      </c>
      <c r="CE30" s="72">
        <f>IF(AW30="",0,VLOOKUP(K30,Tables!$B$3:$D$36,2,FALSE())*AG$1)</f>
        <v>0</v>
      </c>
      <c r="CF30" s="72">
        <f>IF(AX30="",0,VLOOKUP(L30,Tables!$B$3:$D$36,2,FALSE())*AH$1)</f>
        <v>0</v>
      </c>
      <c r="CG30" s="85">
        <f>IF(AY30="",0,VLOOKUP(M30,Tables!$B$3:$D$36,2,FALSE())*AI$1)</f>
        <v>0</v>
      </c>
      <c r="CH30" s="72">
        <f>IF(AZ30="",0,VLOOKUP(N30,Tables!$B$3:$D$36,2,FALSE())*AJ$1)</f>
        <v>0</v>
      </c>
      <c r="CI30" s="72">
        <f>IF(BA30="",0,VLOOKUP(O30,Tables!$B$3:$D$36,2,FALSE())*AK$1)</f>
        <v>0</v>
      </c>
      <c r="CJ30" s="86">
        <f>IF(BB30="",0,VLOOKUP(P30,Tables!$B$3:$D$36,2,FALSE())*AL$1)</f>
        <v>0</v>
      </c>
      <c r="CK30" s="87">
        <f>IF(AN30="",0,VLOOKUP(B30,Tables!$B$3:$D$36,3,FALSE())*X$1)*IF(OR(AN30="K",AN30="P"),2,1)</f>
        <v>0</v>
      </c>
      <c r="CL30" s="73">
        <f>IF(AO30="",0,VLOOKUP(C30,Tables!$B$3:$D$36,3,FALSE())*Y$1)*IF(OR(AO30="K",AO30="P"),2,1)</f>
        <v>0</v>
      </c>
      <c r="CM30" s="73">
        <f>IF(AP30="",0,VLOOKUP(D30,Tables!$B$3:$D$36,3,FALSE())*Z$1)*IF(OR(AP30="K",AP30="P"),2,1)</f>
        <v>0</v>
      </c>
      <c r="CN30" s="87">
        <f>IF(AQ30="",0,VLOOKUP(E30,Tables!$B$3:$D$36,3,FALSE())*AA$1)</f>
        <v>0</v>
      </c>
      <c r="CO30" s="73">
        <f>IF(AR30="",0,VLOOKUP(F30,Tables!$B$3:$D$36,3,FALSE())*AB$1)</f>
        <v>0</v>
      </c>
      <c r="CP30" s="73">
        <f>IF(AS30="",0,VLOOKUP(G30,Tables!$B$3:$D$36,3,FALSE())*AC$1)</f>
        <v>0</v>
      </c>
      <c r="CQ30" s="73">
        <f>IF(AT30="",0,VLOOKUP(H30,Tables!$B$3:$D$36,3,FALSE())*AD$1)</f>
        <v>0</v>
      </c>
      <c r="CR30" s="73">
        <f>IF(AU30="",0,VLOOKUP(I30,Tables!$B$3:$D$36,3,FALSE())*AE$1)</f>
        <v>0.4</v>
      </c>
      <c r="CS30" s="87">
        <f>IF(AV30="",0,VLOOKUP(J30,Tables!$B$3:$D$36,3,FALSE())*AF$1)</f>
        <v>0</v>
      </c>
      <c r="CT30" s="73">
        <f>IF(AW30="",0,VLOOKUP(K30,Tables!$B$3:$D$36,3,FALSE())*AG$1)</f>
        <v>0</v>
      </c>
      <c r="CU30" s="73">
        <f>IF(AX30="",0,VLOOKUP(L30,Tables!$B$3:$D$36,3,FALSE())*AH$1)</f>
        <v>0</v>
      </c>
      <c r="CV30" s="87">
        <f>IF(AY30="",0,VLOOKUP(M30,Tables!$B$3:$D$36,3,FALSE())*AI$1)</f>
        <v>0</v>
      </c>
      <c r="CW30" s="73">
        <f>IF(AZ30="",0,VLOOKUP(N30,Tables!$B$3:$D$36,3,FALSE())*AJ$1)</f>
        <v>0</v>
      </c>
      <c r="CX30" s="73">
        <f>IF(BA30="",0,VLOOKUP(O30,Tables!$B$3:$D$36,3,FALSE())*AK$1)</f>
        <v>0</v>
      </c>
      <c r="CY30" s="88">
        <f>IF(BB30="",0,VLOOKUP(P30,Tables!$B$3:$D$36,3,FALSE())*AL$1)</f>
        <v>0</v>
      </c>
      <c r="CZ30" s="89">
        <f t="shared" si="40"/>
        <v>0</v>
      </c>
      <c r="DA30" s="75">
        <f t="shared" si="41"/>
        <v>0</v>
      </c>
      <c r="DB30" s="75">
        <f t="shared" si="42"/>
        <v>0</v>
      </c>
      <c r="DC30" s="89">
        <f t="shared" si="43"/>
        <v>0</v>
      </c>
      <c r="DD30" s="75">
        <f t="shared" si="44"/>
        <v>0</v>
      </c>
      <c r="DE30" s="75">
        <f t="shared" si="45"/>
        <v>0</v>
      </c>
      <c r="DF30" s="75">
        <f t="shared" si="46"/>
        <v>0</v>
      </c>
      <c r="DG30" s="75">
        <f t="shared" si="47"/>
        <v>0.8</v>
      </c>
      <c r="DH30" s="89">
        <f t="shared" si="48"/>
        <v>0</v>
      </c>
      <c r="DI30" s="75">
        <f t="shared" si="49"/>
        <v>0</v>
      </c>
      <c r="DJ30" s="75">
        <f t="shared" si="50"/>
        <v>0</v>
      </c>
      <c r="DK30" s="89">
        <f t="shared" si="51"/>
        <v>0</v>
      </c>
      <c r="DL30" s="75">
        <f t="shared" si="52"/>
        <v>0</v>
      </c>
      <c r="DM30" s="75">
        <f t="shared" si="53"/>
        <v>0</v>
      </c>
      <c r="DN30" s="90">
        <f t="shared" si="54"/>
        <v>0</v>
      </c>
      <c r="DO30" s="91">
        <f>IF(AN30="",0,VLOOKUP(B30,Tables!$B$3:$M$36,11,FALSE())*X$1)</f>
        <v>0</v>
      </c>
      <c r="DP30" s="92">
        <f>IF(AO30="",0,VLOOKUP(C30,Tables!$B$3:$M$36,11,FALSE())*Y$1)</f>
        <v>0</v>
      </c>
      <c r="DQ30" s="92">
        <f>IF(AP30="",0,VLOOKUP(D30,Tables!$B$3:$M$36,11,FALSE())*Z$1)</f>
        <v>0</v>
      </c>
      <c r="DR30" s="91">
        <f>IF(AQ30="",0,VLOOKUP(E30,Tables!$B$3:$M$36,11,FALSE())*AA$1)</f>
        <v>0</v>
      </c>
      <c r="DS30" s="92">
        <f>IF(AR30="",0,VLOOKUP(F30,Tables!$B$3:$M$36,11,FALSE())*AB$1)</f>
        <v>0</v>
      </c>
      <c r="DT30" s="92">
        <f>IF(AS30="",0,VLOOKUP(G30,Tables!$B$3:$M$36,11,FALSE())*AC$1)</f>
        <v>0</v>
      </c>
      <c r="DU30" s="92">
        <f>IF(AT30="",0,VLOOKUP(H30,Tables!$B$3:$M$36,11,FALSE())*AD$1)</f>
        <v>0</v>
      </c>
      <c r="DV30" s="92">
        <f>IF(AU30="",0,VLOOKUP(I30,Tables!$B$3:$M$36,11,FALSE())*AE$1)</f>
        <v>1.5</v>
      </c>
      <c r="DW30" s="91">
        <f>IF(AV30="",0,VLOOKUP(J30,Tables!$B$3:$M$36,11,FALSE())*AF$1)</f>
        <v>0</v>
      </c>
      <c r="DX30" s="92">
        <f>IF(AW30="",0,VLOOKUP(K30,Tables!$B$3:$M$36,11,FALSE())*AG$1)</f>
        <v>0</v>
      </c>
      <c r="DY30" s="92">
        <f>IF(AX30="",0,VLOOKUP(L30,Tables!$B$3:$M$36,11,FALSE())*AH$1)</f>
        <v>0</v>
      </c>
      <c r="DZ30" s="91">
        <f>IF(AY30="",0,VLOOKUP(M30,Tables!$B$3:$M$36,11,FALSE())*AI$1)</f>
        <v>0</v>
      </c>
      <c r="EA30" s="92">
        <f>IF(AZ30="",0,VLOOKUP(N30,Tables!$B$3:$M$36,11,FALSE())*AJ$1)</f>
        <v>0</v>
      </c>
      <c r="EB30" s="92">
        <f>IF(BA30="",0,VLOOKUP(O30,Tables!$B$3:$M$36,11,FALSE())*AK$1)</f>
        <v>0</v>
      </c>
      <c r="EC30" s="93">
        <f>IF(BB30="",0,VLOOKUP(P30,Tables!$B$3:$M$36,11,FALSE())*AL$1)</f>
        <v>0</v>
      </c>
      <c r="ED30" s="91">
        <f>IF(AN30="",0,VLOOKUP(B30,Tables!$B$3:$M$36,12,FALSE())*X$1)</f>
        <v>0</v>
      </c>
      <c r="EE30" s="92">
        <f>IF(AO30="",0,VLOOKUP(C30,Tables!$B$3:$M$36,12,FALSE())*Y$1)</f>
        <v>0</v>
      </c>
      <c r="EF30" s="92">
        <f>IF(AP30="",0,VLOOKUP(D30,Tables!$B$3:$M$36,12,FALSE())*Z$1)</f>
        <v>0</v>
      </c>
      <c r="EG30" s="91">
        <f>IF(AQ30="",0,VLOOKUP(E30,Tables!$B$3:$M$36,12,FALSE())*AA$1)</f>
        <v>0</v>
      </c>
      <c r="EH30" s="92">
        <f>IF(AR30="",0,VLOOKUP(F30,Tables!$B$3:$M$36,12,FALSE())*AB$1)</f>
        <v>0</v>
      </c>
      <c r="EI30" s="92">
        <f>IF(AS30="",0,VLOOKUP(G30,Tables!$B$3:$M$36,12,FALSE())*AC$1)</f>
        <v>0</v>
      </c>
      <c r="EJ30" s="92">
        <f>IF(AT30="",0,VLOOKUP(H30,Tables!$B$3:$M$36,12,FALSE())*AD$1)</f>
        <v>0</v>
      </c>
      <c r="EK30" s="92">
        <f>IF(AU30="",0,VLOOKUP(I30,Tables!$B$3:$M$36,12,FALSE())*AE$1)</f>
        <v>7.5</v>
      </c>
      <c r="EL30" s="91">
        <f>IF(AV30="",0,VLOOKUP(J30,Tables!$B$3:$M$36,12,FALSE())*AF$1)</f>
        <v>0</v>
      </c>
      <c r="EM30" s="92">
        <f>IF(AW30="",0,VLOOKUP(K30,Tables!$B$3:$M$36,12,FALSE())*AG$1)</f>
        <v>0</v>
      </c>
      <c r="EN30" s="92">
        <f>IF(AX30="",0,VLOOKUP(L30,Tables!$B$3:$M$36,12,FALSE())*AH$1)</f>
        <v>0</v>
      </c>
      <c r="EO30" s="91">
        <f>IF(AY30="",0,VLOOKUP(M30,Tables!$B$3:$M$36,12,FALSE())*AI$1)</f>
        <v>0</v>
      </c>
      <c r="EP30" s="92">
        <f>IF(AZ30="",0,VLOOKUP(N30,Tables!$B$3:$M$36,12,FALSE())*AJ$1)</f>
        <v>0</v>
      </c>
      <c r="EQ30" s="92">
        <f>IF(BA30="",0,VLOOKUP(O30,Tables!$B$3:$M$36,12,FALSE())*AK$1)</f>
        <v>0</v>
      </c>
      <c r="ER30" s="93">
        <f>IF(BB30="",0,VLOOKUP(P30,Tables!$B$3:$M$36,12,FALSE())*AL$1)</f>
        <v>0</v>
      </c>
      <c r="ES30" s="94">
        <f t="shared" si="55"/>
        <v>0</v>
      </c>
      <c r="ET30" s="95">
        <f>IF(AN30="",10,MIN(VLOOKUP(B30,Tables!$B$3:$N$34,13,FALSE()),'Item Builder'!$W30))</f>
        <v>10</v>
      </c>
      <c r="EU30" s="95">
        <f>IF(AO30="",10,MIN(VLOOKUP(C30,Tables!$B$3:$N$34,13,FALSE()),'Item Builder'!$W30))</f>
        <v>10</v>
      </c>
      <c r="EV30" s="95">
        <f>IF(AP30="",10,MIN(VLOOKUP(D30,Tables!$B$3:$N$34,13,FALSE()),'Item Builder'!$W30))</f>
        <v>10</v>
      </c>
      <c r="EW30" s="95">
        <f>IF(AQ30="",10,MIN(VLOOKUP(E30,Tables!$B$3:$N$34,13,FALSE()),'Item Builder'!$W30))</f>
        <v>10</v>
      </c>
      <c r="EX30" s="95">
        <f>IF(AR30="",10,MIN(VLOOKUP(F30,Tables!$B$3:$N$34,13,FALSE()),'Item Builder'!$W30))</f>
        <v>10</v>
      </c>
      <c r="EY30" s="95">
        <f>IF(AS30="",10,MIN(VLOOKUP(G30,Tables!$B$3:$N$34,13,FALSE()),'Item Builder'!$W30))</f>
        <v>10</v>
      </c>
      <c r="EZ30" s="95">
        <f>IF(AT30="",10,MIN(VLOOKUP(H30,Tables!$B$3:$N$34,13,FALSE()),'Item Builder'!$W30))</f>
        <v>10</v>
      </c>
      <c r="FA30" s="95">
        <f>IF(AU30="",10,MIN(VLOOKUP(I30,Tables!$B$3:$N$34,13,FALSE()),'Item Builder'!$W30))</f>
        <v>0</v>
      </c>
      <c r="FB30" s="95">
        <f>IF(AV30="",10,MIN(VLOOKUP(J30,Tables!$B$3:$N$34,13,FALSE()),'Item Builder'!$W30))</f>
        <v>10</v>
      </c>
      <c r="FC30" s="95">
        <f>IF(AW30="",10,MIN(VLOOKUP(K30,Tables!$B$3:$N$34,13,FALSE()),'Item Builder'!$W30))</f>
        <v>10</v>
      </c>
      <c r="FD30" s="95">
        <f>IF(AX30="",10,MIN(VLOOKUP(L30,Tables!$B$3:$N$34,13,FALSE()),'Item Builder'!$W30))</f>
        <v>10</v>
      </c>
      <c r="FE30" s="95">
        <f>IF(AY30="",10,MIN(VLOOKUP(M30,Tables!$B$3:$N$34,13,FALSE()),'Item Builder'!$W30))</f>
        <v>10</v>
      </c>
      <c r="FF30" s="95">
        <f>IF(AZ30="",10,MIN(VLOOKUP(N30,Tables!$B$3:$N$34,13,FALSE()),'Item Builder'!$W30))</f>
        <v>10</v>
      </c>
      <c r="FG30" s="95">
        <f>IF(BA30="",10,MIN(VLOOKUP(O30,Tables!$B$3:$N$34,13,FALSE()),'Item Builder'!$W30))</f>
        <v>10</v>
      </c>
      <c r="FH30" s="98">
        <f>IF(BB30="",10,MIN(VLOOKUP(P30,Tables!$B$3:$N$34,13,FALSE()),'Item Builder'!$W30))</f>
        <v>10</v>
      </c>
    </row>
    <row r="31" spans="1:172" x14ac:dyDescent="0.25">
      <c r="A31" s="67" t="s">
        <v>203</v>
      </c>
      <c r="B31" s="68"/>
      <c r="C31" s="69"/>
      <c r="D31" s="70"/>
      <c r="E31" s="68"/>
      <c r="F31" s="69"/>
      <c r="G31" s="69"/>
      <c r="H31" s="69"/>
      <c r="I31" s="70"/>
      <c r="J31" s="68" t="s">
        <v>101</v>
      </c>
      <c r="K31" s="69" t="s">
        <v>101</v>
      </c>
      <c r="L31" s="70"/>
      <c r="M31" s="68"/>
      <c r="N31" s="69"/>
      <c r="O31" s="69"/>
      <c r="P31" s="71"/>
      <c r="Q31" s="72">
        <f>SUM(BV31:CJ31)*VLOOKUP(W31,Tables!$W$3:$Z$8,4)</f>
        <v>48</v>
      </c>
      <c r="R31" s="73">
        <f t="shared" si="0"/>
        <v>1.92</v>
      </c>
      <c r="S31" s="74">
        <f t="shared" si="1"/>
        <v>0</v>
      </c>
      <c r="T31" s="74">
        <f t="shared" si="2"/>
        <v>0</v>
      </c>
      <c r="U31" s="75">
        <f t="shared" si="3"/>
        <v>7.1999999999999993</v>
      </c>
      <c r="V31" s="76">
        <f t="shared" si="4"/>
        <v>36</v>
      </c>
      <c r="W31" s="77">
        <v>0</v>
      </c>
      <c r="X31" s="78">
        <f t="shared" si="5"/>
        <v>0</v>
      </c>
      <c r="Y31" s="79">
        <f t="shared" si="6"/>
        <v>0</v>
      </c>
      <c r="Z31" s="79">
        <f t="shared" si="7"/>
        <v>0</v>
      </c>
      <c r="AA31" s="78">
        <f t="shared" si="8"/>
        <v>0</v>
      </c>
      <c r="AB31" s="79">
        <f t="shared" si="9"/>
        <v>0</v>
      </c>
      <c r="AC31" s="79">
        <f t="shared" si="10"/>
        <v>0</v>
      </c>
      <c r="AD31" s="79">
        <f t="shared" si="11"/>
        <v>0</v>
      </c>
      <c r="AE31" s="79">
        <f t="shared" si="12"/>
        <v>0</v>
      </c>
      <c r="AF31" s="78">
        <f t="shared" si="13"/>
        <v>1</v>
      </c>
      <c r="AG31" s="79">
        <f t="shared" si="14"/>
        <v>1</v>
      </c>
      <c r="AH31" s="79">
        <f t="shared" si="15"/>
        <v>0</v>
      </c>
      <c r="AI31" s="78">
        <f t="shared" si="16"/>
        <v>0</v>
      </c>
      <c r="AJ31" s="79">
        <f t="shared" si="17"/>
        <v>0</v>
      </c>
      <c r="AK31" s="79">
        <f t="shared" si="18"/>
        <v>0</v>
      </c>
      <c r="AL31" s="80">
        <f t="shared" si="19"/>
        <v>0</v>
      </c>
      <c r="AM31" s="81">
        <f t="shared" si="20"/>
        <v>0.24</v>
      </c>
      <c r="AN31" s="82" t="str">
        <f t="shared" si="21"/>
        <v/>
      </c>
      <c r="AO31" s="79" t="str">
        <f t="shared" si="22"/>
        <v/>
      </c>
      <c r="AP31" t="str">
        <f t="shared" si="23"/>
        <v/>
      </c>
      <c r="AQ31" s="82" t="str">
        <f t="shared" si="24"/>
        <v/>
      </c>
      <c r="AR31" t="str">
        <f t="shared" si="25"/>
        <v/>
      </c>
      <c r="AS31" t="str">
        <f t="shared" si="26"/>
        <v/>
      </c>
      <c r="AT31" t="str">
        <f t="shared" si="27"/>
        <v/>
      </c>
      <c r="AU31" t="str">
        <f t="shared" si="28"/>
        <v/>
      </c>
      <c r="AV31" s="82" t="str">
        <f t="shared" si="29"/>
        <v>D</v>
      </c>
      <c r="AW31" t="str">
        <f t="shared" si="30"/>
        <v>D</v>
      </c>
      <c r="AX31" t="str">
        <f t="shared" si="31"/>
        <v/>
      </c>
      <c r="AY31" s="82" t="str">
        <f t="shared" si="32"/>
        <v/>
      </c>
      <c r="AZ31" t="str">
        <f t="shared" si="33"/>
        <v/>
      </c>
      <c r="BA31" t="str">
        <f t="shared" si="34"/>
        <v/>
      </c>
      <c r="BB31" s="83" t="str">
        <f t="shared" si="35"/>
        <v/>
      </c>
      <c r="BC31" s="84">
        <f t="shared" si="36"/>
        <v>0</v>
      </c>
      <c r="BD31" s="84">
        <f t="shared" si="37"/>
        <v>0</v>
      </c>
      <c r="BE31" s="84">
        <f t="shared" si="38"/>
        <v>0.70588235294117652</v>
      </c>
      <c r="BF31" s="84">
        <f t="shared" si="39"/>
        <v>0</v>
      </c>
      <c r="BG31" s="78">
        <f>IF(AN31="",0,VLOOKUP(AN31,Tables!$AB$3:$AC$12,2))</f>
        <v>0</v>
      </c>
      <c r="BH31" s="79">
        <f>IF(AO31="",0,VLOOKUP(AO31,Tables!$AB$3:$AC$12,2))</f>
        <v>0</v>
      </c>
      <c r="BI31" s="79">
        <f>IF(AP31="",0,VLOOKUP(AP31,Tables!$AB$3:$AC$12,2))</f>
        <v>0</v>
      </c>
      <c r="BJ31" s="78">
        <f>IF(AQ31="",0,VLOOKUP(AQ31,Tables!$AB$3:$AC$12,2))</f>
        <v>0</v>
      </c>
      <c r="BK31" s="79">
        <f>IF(AR31="",0,VLOOKUP(AR31,Tables!$AB$3:$AC$12,2))</f>
        <v>0</v>
      </c>
      <c r="BL31" s="79">
        <f>IF(AS31="",0,VLOOKUP(AS31,Tables!$AB$3:$AC$12,2))</f>
        <v>0</v>
      </c>
      <c r="BM31" s="79">
        <f>IF(AT31="",0,VLOOKUP(AT31,Tables!$AB$3:$AC$12,2))</f>
        <v>0</v>
      </c>
      <c r="BN31" s="79">
        <f>IF(AU31="",0,VLOOKUP(AU31,Tables!$AB$3:$AC$12,2))</f>
        <v>0</v>
      </c>
      <c r="BO31" s="78">
        <f>IF(AV31="",0,VLOOKUP(AV31,Tables!$AB$3:$AC$12,2))</f>
        <v>1.5</v>
      </c>
      <c r="BP31" s="79">
        <f>IF(AW31="",0,VLOOKUP(AW31,Tables!$AB$3:$AC$12,2))</f>
        <v>1.5</v>
      </c>
      <c r="BQ31" s="79">
        <f>IF(AX31="",0,VLOOKUP(AX31,Tables!$AB$3:$AC$12,2))</f>
        <v>0</v>
      </c>
      <c r="BR31" s="78">
        <f>IF(AY31="",0,VLOOKUP(AY31,Tables!$AB$3:$AC$12,2))</f>
        <v>0</v>
      </c>
      <c r="BS31" s="79">
        <f>IF(AZ31="",0,VLOOKUP(AZ31,Tables!$AB$3:$AC$12,2))</f>
        <v>0</v>
      </c>
      <c r="BT31" s="79">
        <f>IF(BA31="",0,VLOOKUP(BA31,Tables!$AB$3:$AC$12,2))</f>
        <v>0</v>
      </c>
      <c r="BU31" s="80">
        <f>IF(BB31="",0,VLOOKUP(BB31,Tables!$AB$3:$AC$12,2))</f>
        <v>0</v>
      </c>
      <c r="BV31" s="85">
        <f>IF(AN31="",0,VLOOKUP(B31,Tables!$B$3:$D$36,2,FALSE())*X$1)</f>
        <v>0</v>
      </c>
      <c r="BW31" s="72">
        <f>IF(AO31="",0,VLOOKUP(C31,Tables!$B$3:$D$36,2,FALSE())*Y$1)</f>
        <v>0</v>
      </c>
      <c r="BX31" s="72">
        <f>IF(AP31="",0,VLOOKUP(D31,Tables!$B$3:$D$36,2,FALSE())*Z$1)</f>
        <v>0</v>
      </c>
      <c r="BY31" s="85">
        <f>IF(AQ31="",0,VLOOKUP(E31,Tables!$B$3:$D$36,2,FALSE())*AA$1)</f>
        <v>0</v>
      </c>
      <c r="BZ31" s="72">
        <f>IF(AR31="",0,VLOOKUP(F31,Tables!$B$3:$D$36,2,FALSE())*AB$1)</f>
        <v>0</v>
      </c>
      <c r="CA31" s="72">
        <f>IF(AS31="",0,VLOOKUP(G31,Tables!$B$3:$D$36,2,FALSE())*AC$1)</f>
        <v>0</v>
      </c>
      <c r="CB31" s="72">
        <f>IF(AT31="",0,VLOOKUP(H31,Tables!$B$3:$D$36,2,FALSE())*AD$1)</f>
        <v>0</v>
      </c>
      <c r="CC31" s="72">
        <f>IF(AU31="",0,VLOOKUP(I31,Tables!$B$3:$D$36,2,FALSE())*AE$1)</f>
        <v>0</v>
      </c>
      <c r="CD31" s="85">
        <f>IF(AV31="",0,VLOOKUP(J31,Tables!$B$3:$D$36,2,FALSE())*AF$1)</f>
        <v>24</v>
      </c>
      <c r="CE31" s="72">
        <f>IF(AW31="",0,VLOOKUP(K31,Tables!$B$3:$D$36,2,FALSE())*AG$1)</f>
        <v>24</v>
      </c>
      <c r="CF31" s="72">
        <f>IF(AX31="",0,VLOOKUP(L31,Tables!$B$3:$D$36,2,FALSE())*AH$1)</f>
        <v>0</v>
      </c>
      <c r="CG31" s="85">
        <f>IF(AY31="",0,VLOOKUP(M31,Tables!$B$3:$D$36,2,FALSE())*AI$1)</f>
        <v>0</v>
      </c>
      <c r="CH31" s="72">
        <f>IF(AZ31="",0,VLOOKUP(N31,Tables!$B$3:$D$36,2,FALSE())*AJ$1)</f>
        <v>0</v>
      </c>
      <c r="CI31" s="72">
        <f>IF(BA31="",0,VLOOKUP(O31,Tables!$B$3:$D$36,2,FALSE())*AK$1)</f>
        <v>0</v>
      </c>
      <c r="CJ31" s="86">
        <f>IF(BB31="",0,VLOOKUP(P31,Tables!$B$3:$D$36,2,FALSE())*AL$1)</f>
        <v>0</v>
      </c>
      <c r="CK31" s="87">
        <f>IF(AN31="",0,VLOOKUP(B31,Tables!$B$3:$D$36,3,FALSE())*X$1)*IF(OR(AN31="K",AN31="P"),2,1)</f>
        <v>0</v>
      </c>
      <c r="CL31" s="73">
        <f>IF(AO31="",0,VLOOKUP(C31,Tables!$B$3:$D$36,3,FALSE())*Y$1)*IF(OR(AO31="K",AO31="P"),2,1)</f>
        <v>0</v>
      </c>
      <c r="CM31" s="73">
        <f>IF(AP31="",0,VLOOKUP(D31,Tables!$B$3:$D$36,3,FALSE())*Z$1)*IF(OR(AP31="K",AP31="P"),2,1)</f>
        <v>0</v>
      </c>
      <c r="CN31" s="87">
        <f>IF(AQ31="",0,VLOOKUP(E31,Tables!$B$3:$D$36,3,FALSE())*AA$1)</f>
        <v>0</v>
      </c>
      <c r="CO31" s="73">
        <f>IF(AR31="",0,VLOOKUP(F31,Tables!$B$3:$D$36,3,FALSE())*AB$1)</f>
        <v>0</v>
      </c>
      <c r="CP31" s="73">
        <f>IF(AS31="",0,VLOOKUP(G31,Tables!$B$3:$D$36,3,FALSE())*AC$1)</f>
        <v>0</v>
      </c>
      <c r="CQ31" s="73">
        <f>IF(AT31="",0,VLOOKUP(H31,Tables!$B$3:$D$36,3,FALSE())*AD$1)</f>
        <v>0</v>
      </c>
      <c r="CR31" s="73">
        <f>IF(AU31="",0,VLOOKUP(I31,Tables!$B$3:$D$36,3,FALSE())*AE$1)</f>
        <v>0</v>
      </c>
      <c r="CS31" s="87">
        <f>IF(AV31="",0,VLOOKUP(J31,Tables!$B$3:$D$36,3,FALSE())*AF$1)</f>
        <v>0.96</v>
      </c>
      <c r="CT31" s="73">
        <f>IF(AW31="",0,VLOOKUP(K31,Tables!$B$3:$D$36,3,FALSE())*AG$1)</f>
        <v>0.96</v>
      </c>
      <c r="CU31" s="73">
        <f>IF(AX31="",0,VLOOKUP(L31,Tables!$B$3:$D$36,3,FALSE())*AH$1)</f>
        <v>0</v>
      </c>
      <c r="CV31" s="87">
        <f>IF(AY31="",0,VLOOKUP(M31,Tables!$B$3:$D$36,3,FALSE())*AI$1)</f>
        <v>0</v>
      </c>
      <c r="CW31" s="73">
        <f>IF(AZ31="",0,VLOOKUP(N31,Tables!$B$3:$D$36,3,FALSE())*AJ$1)</f>
        <v>0</v>
      </c>
      <c r="CX31" s="73">
        <f>IF(BA31="",0,VLOOKUP(O31,Tables!$B$3:$D$36,3,FALSE())*AK$1)</f>
        <v>0</v>
      </c>
      <c r="CY31" s="88">
        <f>IF(BB31="",0,VLOOKUP(P31,Tables!$B$3:$D$36,3,FALSE())*AL$1)</f>
        <v>0</v>
      </c>
      <c r="CZ31" s="89">
        <f t="shared" si="40"/>
        <v>0</v>
      </c>
      <c r="DA31" s="75">
        <f t="shared" si="41"/>
        <v>0</v>
      </c>
      <c r="DB31" s="75">
        <f t="shared" si="42"/>
        <v>0</v>
      </c>
      <c r="DC31" s="89">
        <f t="shared" si="43"/>
        <v>0</v>
      </c>
      <c r="DD31" s="75">
        <f t="shared" si="44"/>
        <v>0</v>
      </c>
      <c r="DE31" s="75">
        <f t="shared" si="45"/>
        <v>0</v>
      </c>
      <c r="DF31" s="75">
        <f t="shared" si="46"/>
        <v>0</v>
      </c>
      <c r="DG31" s="75">
        <f t="shared" si="47"/>
        <v>0</v>
      </c>
      <c r="DH31" s="89">
        <f t="shared" si="48"/>
        <v>0.8</v>
      </c>
      <c r="DI31" s="75">
        <f t="shared" si="49"/>
        <v>0.8</v>
      </c>
      <c r="DJ31" s="75">
        <f t="shared" si="50"/>
        <v>0</v>
      </c>
      <c r="DK31" s="89">
        <f t="shared" si="51"/>
        <v>0</v>
      </c>
      <c r="DL31" s="75">
        <f t="shared" si="52"/>
        <v>0</v>
      </c>
      <c r="DM31" s="75">
        <f t="shared" si="53"/>
        <v>0</v>
      </c>
      <c r="DN31" s="90">
        <f t="shared" si="54"/>
        <v>0</v>
      </c>
      <c r="DO31" s="91">
        <f>IF(AN31="",0,VLOOKUP(B31,Tables!$B$3:$M$36,11,FALSE())*X$1)</f>
        <v>0</v>
      </c>
      <c r="DP31" s="92">
        <f>IF(AO31="",0,VLOOKUP(C31,Tables!$B$3:$M$36,11,FALSE())*Y$1)</f>
        <v>0</v>
      </c>
      <c r="DQ31" s="92">
        <f>IF(AP31="",0,VLOOKUP(D31,Tables!$B$3:$M$36,11,FALSE())*Z$1)</f>
        <v>0</v>
      </c>
      <c r="DR31" s="91">
        <f>IF(AQ31="",0,VLOOKUP(E31,Tables!$B$3:$M$36,11,FALSE())*AA$1)</f>
        <v>0</v>
      </c>
      <c r="DS31" s="92">
        <f>IF(AR31="",0,VLOOKUP(F31,Tables!$B$3:$M$36,11,FALSE())*AB$1)</f>
        <v>0</v>
      </c>
      <c r="DT31" s="92">
        <f>IF(AS31="",0,VLOOKUP(G31,Tables!$B$3:$M$36,11,FALSE())*AC$1)</f>
        <v>0</v>
      </c>
      <c r="DU31" s="92">
        <f>IF(AT31="",0,VLOOKUP(H31,Tables!$B$3:$M$36,11,FALSE())*AD$1)</f>
        <v>0</v>
      </c>
      <c r="DV31" s="92">
        <f>IF(AU31="",0,VLOOKUP(I31,Tables!$B$3:$M$36,11,FALSE())*AE$1)</f>
        <v>0</v>
      </c>
      <c r="DW31" s="91">
        <f>IF(AV31="",0,VLOOKUP(J31,Tables!$B$3:$M$36,11,FALSE())*AF$1)</f>
        <v>3.5999999999999996</v>
      </c>
      <c r="DX31" s="92">
        <f>IF(AW31="",0,VLOOKUP(K31,Tables!$B$3:$M$36,11,FALSE())*AG$1)</f>
        <v>3.5999999999999996</v>
      </c>
      <c r="DY31" s="92">
        <f>IF(AX31="",0,VLOOKUP(L31,Tables!$B$3:$M$36,11,FALSE())*AH$1)</f>
        <v>0</v>
      </c>
      <c r="DZ31" s="91">
        <f>IF(AY31="",0,VLOOKUP(M31,Tables!$B$3:$M$36,11,FALSE())*AI$1)</f>
        <v>0</v>
      </c>
      <c r="EA31" s="92">
        <f>IF(AZ31="",0,VLOOKUP(N31,Tables!$B$3:$M$36,11,FALSE())*AJ$1)</f>
        <v>0</v>
      </c>
      <c r="EB31" s="92">
        <f>IF(BA31="",0,VLOOKUP(O31,Tables!$B$3:$M$36,11,FALSE())*AK$1)</f>
        <v>0</v>
      </c>
      <c r="EC31" s="93">
        <f>IF(BB31="",0,VLOOKUP(P31,Tables!$B$3:$M$36,11,FALSE())*AL$1)</f>
        <v>0</v>
      </c>
      <c r="ED31" s="91">
        <f>IF(AN31="",0,VLOOKUP(B31,Tables!$B$3:$M$36,12,FALSE())*X$1)</f>
        <v>0</v>
      </c>
      <c r="EE31" s="92">
        <f>IF(AO31="",0,VLOOKUP(C31,Tables!$B$3:$M$36,12,FALSE())*Y$1)</f>
        <v>0</v>
      </c>
      <c r="EF31" s="92">
        <f>IF(AP31="",0,VLOOKUP(D31,Tables!$B$3:$M$36,12,FALSE())*Z$1)</f>
        <v>0</v>
      </c>
      <c r="EG31" s="91">
        <f>IF(AQ31="",0,VLOOKUP(E31,Tables!$B$3:$M$36,12,FALSE())*AA$1)</f>
        <v>0</v>
      </c>
      <c r="EH31" s="92">
        <f>IF(AR31="",0,VLOOKUP(F31,Tables!$B$3:$M$36,12,FALSE())*AB$1)</f>
        <v>0</v>
      </c>
      <c r="EI31" s="92">
        <f>IF(AS31="",0,VLOOKUP(G31,Tables!$B$3:$M$36,12,FALSE())*AC$1)</f>
        <v>0</v>
      </c>
      <c r="EJ31" s="92">
        <f>IF(AT31="",0,VLOOKUP(H31,Tables!$B$3:$M$36,12,FALSE())*AD$1)</f>
        <v>0</v>
      </c>
      <c r="EK31" s="92">
        <f>IF(AU31="",0,VLOOKUP(I31,Tables!$B$3:$M$36,12,FALSE())*AE$1)</f>
        <v>0</v>
      </c>
      <c r="EL31" s="91">
        <f>IF(AV31="",0,VLOOKUP(J31,Tables!$B$3:$M$36,12,FALSE())*AF$1)</f>
        <v>18</v>
      </c>
      <c r="EM31" s="92">
        <f>IF(AW31="",0,VLOOKUP(K31,Tables!$B$3:$M$36,12,FALSE())*AG$1)</f>
        <v>18</v>
      </c>
      <c r="EN31" s="92">
        <f>IF(AX31="",0,VLOOKUP(L31,Tables!$B$3:$M$36,12,FALSE())*AH$1)</f>
        <v>0</v>
      </c>
      <c r="EO31" s="91">
        <f>IF(AY31="",0,VLOOKUP(M31,Tables!$B$3:$M$36,12,FALSE())*AI$1)</f>
        <v>0</v>
      </c>
      <c r="EP31" s="92">
        <f>IF(AZ31="",0,VLOOKUP(N31,Tables!$B$3:$M$36,12,FALSE())*AJ$1)</f>
        <v>0</v>
      </c>
      <c r="EQ31" s="92">
        <f>IF(BA31="",0,VLOOKUP(O31,Tables!$B$3:$M$36,12,FALSE())*AK$1)</f>
        <v>0</v>
      </c>
      <c r="ER31" s="93">
        <f>IF(BB31="",0,VLOOKUP(P31,Tables!$B$3:$M$36,12,FALSE())*AL$1)</f>
        <v>0</v>
      </c>
      <c r="ES31" s="94">
        <f t="shared" si="55"/>
        <v>0</v>
      </c>
      <c r="ET31" s="95">
        <f>IF(AN31="",10,MIN(VLOOKUP(B31,Tables!$B$3:$N$34,13,FALSE()),'Item Builder'!$W31))</f>
        <v>10</v>
      </c>
      <c r="EU31" s="95">
        <f>IF(AO31="",10,MIN(VLOOKUP(C31,Tables!$B$3:$N$34,13,FALSE()),'Item Builder'!$W31))</f>
        <v>10</v>
      </c>
      <c r="EV31" s="95">
        <f>IF(AP31="",10,MIN(VLOOKUP(D31,Tables!$B$3:$N$34,13,FALSE()),'Item Builder'!$W31))</f>
        <v>10</v>
      </c>
      <c r="EW31" s="95">
        <f>IF(AQ31="",10,MIN(VLOOKUP(E31,Tables!$B$3:$N$34,13,FALSE()),'Item Builder'!$W31))</f>
        <v>10</v>
      </c>
      <c r="EX31" s="95">
        <f>IF(AR31="",10,MIN(VLOOKUP(F31,Tables!$B$3:$N$34,13,FALSE()),'Item Builder'!$W31))</f>
        <v>10</v>
      </c>
      <c r="EY31" s="95">
        <f>IF(AS31="",10,MIN(VLOOKUP(G31,Tables!$B$3:$N$34,13,FALSE()),'Item Builder'!$W31))</f>
        <v>10</v>
      </c>
      <c r="EZ31" s="95">
        <f>IF(AT31="",10,MIN(VLOOKUP(H31,Tables!$B$3:$N$34,13,FALSE()),'Item Builder'!$W31))</f>
        <v>10</v>
      </c>
      <c r="FA31" s="95">
        <f>IF(AU31="",10,MIN(VLOOKUP(I31,Tables!$B$3:$N$34,13,FALSE()),'Item Builder'!$W31))</f>
        <v>10</v>
      </c>
      <c r="FB31" s="95">
        <f>IF(AV31="",10,MIN(VLOOKUP(J31,Tables!$B$3:$N$34,13,FALSE()),'Item Builder'!$W31))</f>
        <v>0</v>
      </c>
      <c r="FC31" s="95">
        <f>IF(AW31="",10,MIN(VLOOKUP(K31,Tables!$B$3:$N$34,13,FALSE()),'Item Builder'!$W31))</f>
        <v>0</v>
      </c>
      <c r="FD31" s="95">
        <f>IF(AX31="",10,MIN(VLOOKUP(L31,Tables!$B$3:$N$34,13,FALSE()),'Item Builder'!$W31))</f>
        <v>10</v>
      </c>
      <c r="FE31" s="95">
        <f>IF(AY31="",10,MIN(VLOOKUP(M31,Tables!$B$3:$N$34,13,FALSE()),'Item Builder'!$W31))</f>
        <v>10</v>
      </c>
      <c r="FF31" s="95">
        <f>IF(AZ31="",10,MIN(VLOOKUP(N31,Tables!$B$3:$N$34,13,FALSE()),'Item Builder'!$W31))</f>
        <v>10</v>
      </c>
      <c r="FG31" s="95">
        <f>IF(BA31="",10,MIN(VLOOKUP(O31,Tables!$B$3:$N$34,13,FALSE()),'Item Builder'!$W31))</f>
        <v>10</v>
      </c>
      <c r="FH31" s="98">
        <f>IF(BB31="",10,MIN(VLOOKUP(P31,Tables!$B$3:$N$34,13,FALSE()),'Item Builder'!$W31))</f>
        <v>10</v>
      </c>
    </row>
    <row r="32" spans="1:172" x14ac:dyDescent="0.25">
      <c r="A32" s="67" t="s">
        <v>70</v>
      </c>
      <c r="B32" s="68"/>
      <c r="C32" s="69"/>
      <c r="D32" s="70"/>
      <c r="E32" s="68" t="s">
        <v>101</v>
      </c>
      <c r="F32" s="69" t="s">
        <v>101</v>
      </c>
      <c r="G32" s="69"/>
      <c r="H32" s="69"/>
      <c r="I32" s="70"/>
      <c r="J32" s="68" t="s">
        <v>101</v>
      </c>
      <c r="K32" s="69" t="s">
        <v>101</v>
      </c>
      <c r="L32" s="70"/>
      <c r="M32" s="68"/>
      <c r="N32" s="69"/>
      <c r="O32" s="69"/>
      <c r="P32" s="71"/>
      <c r="Q32" s="72">
        <f>SUM(BV32:CJ32)*VLOOKUP(W32,Tables!$W$3:$Z$8,4)</f>
        <v>66</v>
      </c>
      <c r="R32" s="73">
        <f t="shared" si="0"/>
        <v>2.6399999999999997</v>
      </c>
      <c r="S32" s="74">
        <f t="shared" si="1"/>
        <v>0</v>
      </c>
      <c r="T32" s="74">
        <f t="shared" si="2"/>
        <v>0</v>
      </c>
      <c r="U32" s="75">
        <f t="shared" si="3"/>
        <v>9.8999999999999986</v>
      </c>
      <c r="V32" s="76">
        <f t="shared" si="4"/>
        <v>49.5</v>
      </c>
      <c r="W32" s="77">
        <v>0</v>
      </c>
      <c r="X32" s="78">
        <f t="shared" si="5"/>
        <v>0</v>
      </c>
      <c r="Y32" s="79">
        <f t="shared" si="6"/>
        <v>0</v>
      </c>
      <c r="Z32" s="79">
        <f t="shared" si="7"/>
        <v>0</v>
      </c>
      <c r="AA32" s="78">
        <f t="shared" si="8"/>
        <v>1</v>
      </c>
      <c r="AB32" s="79">
        <f t="shared" si="9"/>
        <v>1</v>
      </c>
      <c r="AC32" s="79">
        <f t="shared" si="10"/>
        <v>0</v>
      </c>
      <c r="AD32" s="79">
        <f t="shared" si="11"/>
        <v>0</v>
      </c>
      <c r="AE32" s="79">
        <f t="shared" si="12"/>
        <v>0</v>
      </c>
      <c r="AF32" s="78">
        <f t="shared" si="13"/>
        <v>1</v>
      </c>
      <c r="AG32" s="79">
        <f t="shared" si="14"/>
        <v>1</v>
      </c>
      <c r="AH32" s="79">
        <f t="shared" si="15"/>
        <v>0</v>
      </c>
      <c r="AI32" s="78">
        <f t="shared" si="16"/>
        <v>0</v>
      </c>
      <c r="AJ32" s="79">
        <f t="shared" si="17"/>
        <v>0</v>
      </c>
      <c r="AK32" s="79">
        <f t="shared" si="18"/>
        <v>0</v>
      </c>
      <c r="AL32" s="80">
        <f t="shared" si="19"/>
        <v>0</v>
      </c>
      <c r="AM32" s="81">
        <f t="shared" si="20"/>
        <v>0.32999999999999996</v>
      </c>
      <c r="AN32" s="82" t="str">
        <f t="shared" si="21"/>
        <v/>
      </c>
      <c r="AO32" s="79" t="str">
        <f t="shared" si="22"/>
        <v/>
      </c>
      <c r="AP32" t="str">
        <f t="shared" si="23"/>
        <v/>
      </c>
      <c r="AQ32" s="82" t="str">
        <f t="shared" si="24"/>
        <v>D</v>
      </c>
      <c r="AR32" t="str">
        <f t="shared" si="25"/>
        <v>D</v>
      </c>
      <c r="AS32" t="str">
        <f t="shared" si="26"/>
        <v/>
      </c>
      <c r="AT32" t="str">
        <f t="shared" si="27"/>
        <v/>
      </c>
      <c r="AU32" t="str">
        <f t="shared" si="28"/>
        <v/>
      </c>
      <c r="AV32" s="82" t="str">
        <f t="shared" si="29"/>
        <v>D</v>
      </c>
      <c r="AW32" t="str">
        <f t="shared" si="30"/>
        <v>D</v>
      </c>
      <c r="AX32" t="str">
        <f t="shared" si="31"/>
        <v/>
      </c>
      <c r="AY32" s="82" t="str">
        <f t="shared" si="32"/>
        <v/>
      </c>
      <c r="AZ32" t="str">
        <f t="shared" si="33"/>
        <v/>
      </c>
      <c r="BA32" t="str">
        <f t="shared" si="34"/>
        <v/>
      </c>
      <c r="BB32" s="83" t="str">
        <f t="shared" si="35"/>
        <v/>
      </c>
      <c r="BC32" s="84">
        <f t="shared" si="36"/>
        <v>0</v>
      </c>
      <c r="BD32" s="84">
        <f t="shared" si="37"/>
        <v>0.42857142857142849</v>
      </c>
      <c r="BE32" s="84">
        <f t="shared" si="38"/>
        <v>0.70588235294117652</v>
      </c>
      <c r="BF32" s="84">
        <f t="shared" si="39"/>
        <v>0</v>
      </c>
      <c r="BG32" s="78">
        <f>IF(AN32="",0,VLOOKUP(AN32,Tables!$AB$3:$AC$12,2))</f>
        <v>0</v>
      </c>
      <c r="BH32" s="79">
        <f>IF(AO32="",0,VLOOKUP(AO32,Tables!$AB$3:$AC$12,2))</f>
        <v>0</v>
      </c>
      <c r="BI32" s="79">
        <f>IF(AP32="",0,VLOOKUP(AP32,Tables!$AB$3:$AC$12,2))</f>
        <v>0</v>
      </c>
      <c r="BJ32" s="78">
        <f>IF(AQ32="",0,VLOOKUP(AQ32,Tables!$AB$3:$AC$12,2))</f>
        <v>1.5</v>
      </c>
      <c r="BK32" s="79">
        <f>IF(AR32="",0,VLOOKUP(AR32,Tables!$AB$3:$AC$12,2))</f>
        <v>1.5</v>
      </c>
      <c r="BL32" s="79">
        <f>IF(AS32="",0,VLOOKUP(AS32,Tables!$AB$3:$AC$12,2))</f>
        <v>0</v>
      </c>
      <c r="BM32" s="79">
        <f>IF(AT32="",0,VLOOKUP(AT32,Tables!$AB$3:$AC$12,2))</f>
        <v>0</v>
      </c>
      <c r="BN32" s="79">
        <f>IF(AU32="",0,VLOOKUP(AU32,Tables!$AB$3:$AC$12,2))</f>
        <v>0</v>
      </c>
      <c r="BO32" s="78">
        <f>IF(AV32="",0,VLOOKUP(AV32,Tables!$AB$3:$AC$12,2))</f>
        <v>1.5</v>
      </c>
      <c r="BP32" s="79">
        <f>IF(AW32="",0,VLOOKUP(AW32,Tables!$AB$3:$AC$12,2))</f>
        <v>1.5</v>
      </c>
      <c r="BQ32" s="79">
        <f>IF(AX32="",0,VLOOKUP(AX32,Tables!$AB$3:$AC$12,2))</f>
        <v>0</v>
      </c>
      <c r="BR32" s="78">
        <f>IF(AY32="",0,VLOOKUP(AY32,Tables!$AB$3:$AC$12,2))</f>
        <v>0</v>
      </c>
      <c r="BS32" s="79">
        <f>IF(AZ32="",0,VLOOKUP(AZ32,Tables!$AB$3:$AC$12,2))</f>
        <v>0</v>
      </c>
      <c r="BT32" s="79">
        <f>IF(BA32="",0,VLOOKUP(BA32,Tables!$AB$3:$AC$12,2))</f>
        <v>0</v>
      </c>
      <c r="BU32" s="80">
        <f>IF(BB32="",0,VLOOKUP(BB32,Tables!$AB$3:$AC$12,2))</f>
        <v>0</v>
      </c>
      <c r="BV32" s="85">
        <f>IF(AN32="",0,VLOOKUP(B32,Tables!$B$3:$D$36,2,FALSE())*X$1)</f>
        <v>0</v>
      </c>
      <c r="BW32" s="72">
        <f>IF(AO32="",0,VLOOKUP(C32,Tables!$B$3:$D$36,2,FALSE())*Y$1)</f>
        <v>0</v>
      </c>
      <c r="BX32" s="72">
        <f>IF(AP32="",0,VLOOKUP(D32,Tables!$B$3:$D$36,2,FALSE())*Z$1)</f>
        <v>0</v>
      </c>
      <c r="BY32" s="85">
        <f>IF(AQ32="",0,VLOOKUP(E32,Tables!$B$3:$D$36,2,FALSE())*AA$1)</f>
        <v>6</v>
      </c>
      <c r="BZ32" s="72">
        <f>IF(AR32="",0,VLOOKUP(F32,Tables!$B$3:$D$36,2,FALSE())*AB$1)</f>
        <v>12</v>
      </c>
      <c r="CA32" s="72">
        <f>IF(AS32="",0,VLOOKUP(G32,Tables!$B$3:$D$36,2,FALSE())*AC$1)</f>
        <v>0</v>
      </c>
      <c r="CB32" s="72">
        <f>IF(AT32="",0,VLOOKUP(H32,Tables!$B$3:$D$36,2,FALSE())*AD$1)</f>
        <v>0</v>
      </c>
      <c r="CC32" s="72">
        <f>IF(AU32="",0,VLOOKUP(I32,Tables!$B$3:$D$36,2,FALSE())*AE$1)</f>
        <v>0</v>
      </c>
      <c r="CD32" s="85">
        <f>IF(AV32="",0,VLOOKUP(J32,Tables!$B$3:$D$36,2,FALSE())*AF$1)</f>
        <v>24</v>
      </c>
      <c r="CE32" s="72">
        <f>IF(AW32="",0,VLOOKUP(K32,Tables!$B$3:$D$36,2,FALSE())*AG$1)</f>
        <v>24</v>
      </c>
      <c r="CF32" s="72">
        <f>IF(AX32="",0,VLOOKUP(L32,Tables!$B$3:$D$36,2,FALSE())*AH$1)</f>
        <v>0</v>
      </c>
      <c r="CG32" s="85">
        <f>IF(AY32="",0,VLOOKUP(M32,Tables!$B$3:$D$36,2,FALSE())*AI$1)</f>
        <v>0</v>
      </c>
      <c r="CH32" s="72">
        <f>IF(AZ32="",0,VLOOKUP(N32,Tables!$B$3:$D$36,2,FALSE())*AJ$1)</f>
        <v>0</v>
      </c>
      <c r="CI32" s="72">
        <f>IF(BA32="",0,VLOOKUP(O32,Tables!$B$3:$D$36,2,FALSE())*AK$1)</f>
        <v>0</v>
      </c>
      <c r="CJ32" s="86">
        <f>IF(BB32="",0,VLOOKUP(P32,Tables!$B$3:$D$36,2,FALSE())*AL$1)</f>
        <v>0</v>
      </c>
      <c r="CK32" s="87">
        <f>IF(AN32="",0,VLOOKUP(B32,Tables!$B$3:$D$36,3,FALSE())*X$1)*IF(OR(AN32="K",AN32="P"),2,1)</f>
        <v>0</v>
      </c>
      <c r="CL32" s="73">
        <f>IF(AO32="",0,VLOOKUP(C32,Tables!$B$3:$D$36,3,FALSE())*Y$1)*IF(OR(AO32="K",AO32="P"),2,1)</f>
        <v>0</v>
      </c>
      <c r="CM32" s="73">
        <f>IF(AP32="",0,VLOOKUP(D32,Tables!$B$3:$D$36,3,FALSE())*Z$1)*IF(OR(AP32="K",AP32="P"),2,1)</f>
        <v>0</v>
      </c>
      <c r="CN32" s="87">
        <f>IF(AQ32="",0,VLOOKUP(E32,Tables!$B$3:$D$36,3,FALSE())*AA$1)</f>
        <v>0.24</v>
      </c>
      <c r="CO32" s="73">
        <f>IF(AR32="",0,VLOOKUP(F32,Tables!$B$3:$D$36,3,FALSE())*AB$1)</f>
        <v>0.48</v>
      </c>
      <c r="CP32" s="73">
        <f>IF(AS32="",0,VLOOKUP(G32,Tables!$B$3:$D$36,3,FALSE())*AC$1)</f>
        <v>0</v>
      </c>
      <c r="CQ32" s="73">
        <f>IF(AT32="",0,VLOOKUP(H32,Tables!$B$3:$D$36,3,FALSE())*AD$1)</f>
        <v>0</v>
      </c>
      <c r="CR32" s="73">
        <f>IF(AU32="",0,VLOOKUP(I32,Tables!$B$3:$D$36,3,FALSE())*AE$1)</f>
        <v>0</v>
      </c>
      <c r="CS32" s="87">
        <f>IF(AV32="",0,VLOOKUP(J32,Tables!$B$3:$D$36,3,FALSE())*AF$1)</f>
        <v>0.96</v>
      </c>
      <c r="CT32" s="73">
        <f>IF(AW32="",0,VLOOKUP(K32,Tables!$B$3:$D$36,3,FALSE())*AG$1)</f>
        <v>0.96</v>
      </c>
      <c r="CU32" s="73">
        <f>IF(AX32="",0,VLOOKUP(L32,Tables!$B$3:$D$36,3,FALSE())*AH$1)</f>
        <v>0</v>
      </c>
      <c r="CV32" s="87">
        <f>IF(AY32="",0,VLOOKUP(M32,Tables!$B$3:$D$36,3,FALSE())*AI$1)</f>
        <v>0</v>
      </c>
      <c r="CW32" s="73">
        <f>IF(AZ32="",0,VLOOKUP(N32,Tables!$B$3:$D$36,3,FALSE())*AJ$1)</f>
        <v>0</v>
      </c>
      <c r="CX32" s="73">
        <f>IF(BA32="",0,VLOOKUP(O32,Tables!$B$3:$D$36,3,FALSE())*AK$1)</f>
        <v>0</v>
      </c>
      <c r="CY32" s="88">
        <f>IF(BB32="",0,VLOOKUP(P32,Tables!$B$3:$D$36,3,FALSE())*AL$1)</f>
        <v>0</v>
      </c>
      <c r="CZ32" s="89">
        <f t="shared" si="40"/>
        <v>0</v>
      </c>
      <c r="DA32" s="75">
        <f t="shared" si="41"/>
        <v>0</v>
      </c>
      <c r="DB32" s="75">
        <f t="shared" si="42"/>
        <v>0</v>
      </c>
      <c r="DC32" s="89">
        <f t="shared" si="43"/>
        <v>0.8</v>
      </c>
      <c r="DD32" s="75">
        <f t="shared" si="44"/>
        <v>0.8</v>
      </c>
      <c r="DE32" s="75">
        <f t="shared" si="45"/>
        <v>0</v>
      </c>
      <c r="DF32" s="75">
        <f t="shared" si="46"/>
        <v>0</v>
      </c>
      <c r="DG32" s="75">
        <f t="shared" si="47"/>
        <v>0</v>
      </c>
      <c r="DH32" s="89">
        <f t="shared" si="48"/>
        <v>0.8</v>
      </c>
      <c r="DI32" s="75">
        <f t="shared" si="49"/>
        <v>0.8</v>
      </c>
      <c r="DJ32" s="75">
        <f t="shared" si="50"/>
        <v>0</v>
      </c>
      <c r="DK32" s="89">
        <f t="shared" si="51"/>
        <v>0</v>
      </c>
      <c r="DL32" s="75">
        <f t="shared" si="52"/>
        <v>0</v>
      </c>
      <c r="DM32" s="75">
        <f t="shared" si="53"/>
        <v>0</v>
      </c>
      <c r="DN32" s="90">
        <f t="shared" si="54"/>
        <v>0</v>
      </c>
      <c r="DO32" s="91">
        <f>IF(AN32="",0,VLOOKUP(B32,Tables!$B$3:$M$36,11,FALSE())*X$1)</f>
        <v>0</v>
      </c>
      <c r="DP32" s="92">
        <f>IF(AO32="",0,VLOOKUP(C32,Tables!$B$3:$M$36,11,FALSE())*Y$1)</f>
        <v>0</v>
      </c>
      <c r="DQ32" s="92">
        <f>IF(AP32="",0,VLOOKUP(D32,Tables!$B$3:$M$36,11,FALSE())*Z$1)</f>
        <v>0</v>
      </c>
      <c r="DR32" s="91">
        <f>IF(AQ32="",0,VLOOKUP(E32,Tables!$B$3:$M$36,11,FALSE())*AA$1)</f>
        <v>0.89999999999999991</v>
      </c>
      <c r="DS32" s="92">
        <f>IF(AR32="",0,VLOOKUP(F32,Tables!$B$3:$M$36,11,FALSE())*AB$1)</f>
        <v>1.7999999999999998</v>
      </c>
      <c r="DT32" s="92">
        <f>IF(AS32="",0,VLOOKUP(G32,Tables!$B$3:$M$36,11,FALSE())*AC$1)</f>
        <v>0</v>
      </c>
      <c r="DU32" s="92">
        <f>IF(AT32="",0,VLOOKUP(H32,Tables!$B$3:$M$36,11,FALSE())*AD$1)</f>
        <v>0</v>
      </c>
      <c r="DV32" s="92">
        <f>IF(AU32="",0,VLOOKUP(I32,Tables!$B$3:$M$36,11,FALSE())*AE$1)</f>
        <v>0</v>
      </c>
      <c r="DW32" s="91">
        <f>IF(AV32="",0,VLOOKUP(J32,Tables!$B$3:$M$36,11,FALSE())*AF$1)</f>
        <v>3.5999999999999996</v>
      </c>
      <c r="DX32" s="92">
        <f>IF(AW32="",0,VLOOKUP(K32,Tables!$B$3:$M$36,11,FALSE())*AG$1)</f>
        <v>3.5999999999999996</v>
      </c>
      <c r="DY32" s="92">
        <f>IF(AX32="",0,VLOOKUP(L32,Tables!$B$3:$M$36,11,FALSE())*AH$1)</f>
        <v>0</v>
      </c>
      <c r="DZ32" s="91">
        <f>IF(AY32="",0,VLOOKUP(M32,Tables!$B$3:$M$36,11,FALSE())*AI$1)</f>
        <v>0</v>
      </c>
      <c r="EA32" s="92">
        <f>IF(AZ32="",0,VLOOKUP(N32,Tables!$B$3:$M$36,11,FALSE())*AJ$1)</f>
        <v>0</v>
      </c>
      <c r="EB32" s="92">
        <f>IF(BA32="",0,VLOOKUP(O32,Tables!$B$3:$M$36,11,FALSE())*AK$1)</f>
        <v>0</v>
      </c>
      <c r="EC32" s="93">
        <f>IF(BB32="",0,VLOOKUP(P32,Tables!$B$3:$M$36,11,FALSE())*AL$1)</f>
        <v>0</v>
      </c>
      <c r="ED32" s="91">
        <f>IF(AN32="",0,VLOOKUP(B32,Tables!$B$3:$M$36,12,FALSE())*X$1)</f>
        <v>0</v>
      </c>
      <c r="EE32" s="92">
        <f>IF(AO32="",0,VLOOKUP(C32,Tables!$B$3:$M$36,12,FALSE())*Y$1)</f>
        <v>0</v>
      </c>
      <c r="EF32" s="92">
        <f>IF(AP32="",0,VLOOKUP(D32,Tables!$B$3:$M$36,12,FALSE())*Z$1)</f>
        <v>0</v>
      </c>
      <c r="EG32" s="91">
        <f>IF(AQ32="",0,VLOOKUP(E32,Tables!$B$3:$M$36,12,FALSE())*AA$1)</f>
        <v>4.5</v>
      </c>
      <c r="EH32" s="92">
        <f>IF(AR32="",0,VLOOKUP(F32,Tables!$B$3:$M$36,12,FALSE())*AB$1)</f>
        <v>9</v>
      </c>
      <c r="EI32" s="92">
        <f>IF(AS32="",0,VLOOKUP(G32,Tables!$B$3:$M$36,12,FALSE())*AC$1)</f>
        <v>0</v>
      </c>
      <c r="EJ32" s="92">
        <f>IF(AT32="",0,VLOOKUP(H32,Tables!$B$3:$M$36,12,FALSE())*AD$1)</f>
        <v>0</v>
      </c>
      <c r="EK32" s="92">
        <f>IF(AU32="",0,VLOOKUP(I32,Tables!$B$3:$M$36,12,FALSE())*AE$1)</f>
        <v>0</v>
      </c>
      <c r="EL32" s="91">
        <f>IF(AV32="",0,VLOOKUP(J32,Tables!$B$3:$M$36,12,FALSE())*AF$1)</f>
        <v>18</v>
      </c>
      <c r="EM32" s="92">
        <f>IF(AW32="",0,VLOOKUP(K32,Tables!$B$3:$M$36,12,FALSE())*AG$1)</f>
        <v>18</v>
      </c>
      <c r="EN32" s="92">
        <f>IF(AX32="",0,VLOOKUP(L32,Tables!$B$3:$M$36,12,FALSE())*AH$1)</f>
        <v>0</v>
      </c>
      <c r="EO32" s="91">
        <f>IF(AY32="",0,VLOOKUP(M32,Tables!$B$3:$M$36,12,FALSE())*AI$1)</f>
        <v>0</v>
      </c>
      <c r="EP32" s="92">
        <f>IF(AZ32="",0,VLOOKUP(N32,Tables!$B$3:$M$36,12,FALSE())*AJ$1)</f>
        <v>0</v>
      </c>
      <c r="EQ32" s="92">
        <f>IF(BA32="",0,VLOOKUP(O32,Tables!$B$3:$M$36,12,FALSE())*AK$1)</f>
        <v>0</v>
      </c>
      <c r="ER32" s="93">
        <f>IF(BB32="",0,VLOOKUP(P32,Tables!$B$3:$M$36,12,FALSE())*AL$1)</f>
        <v>0</v>
      </c>
      <c r="ES32" s="94">
        <f t="shared" si="55"/>
        <v>0</v>
      </c>
      <c r="ET32" s="95">
        <f>IF(AN32="",10,MIN(VLOOKUP(B32,Tables!$B$3:$N$34,13,FALSE()),'Item Builder'!$W32))</f>
        <v>10</v>
      </c>
      <c r="EU32" s="95">
        <f>IF(AO32="",10,MIN(VLOOKUP(C32,Tables!$B$3:$N$34,13,FALSE()),'Item Builder'!$W32))</f>
        <v>10</v>
      </c>
      <c r="EV32" s="95">
        <f>IF(AP32="",10,MIN(VLOOKUP(D32,Tables!$B$3:$N$34,13,FALSE()),'Item Builder'!$W32))</f>
        <v>10</v>
      </c>
      <c r="EW32" s="95">
        <f>IF(AQ32="",10,MIN(VLOOKUP(E32,Tables!$B$3:$N$34,13,FALSE()),'Item Builder'!$W32))</f>
        <v>0</v>
      </c>
      <c r="EX32" s="95">
        <f>IF(AR32="",10,MIN(VLOOKUP(F32,Tables!$B$3:$N$34,13,FALSE()),'Item Builder'!$W32))</f>
        <v>0</v>
      </c>
      <c r="EY32" s="95">
        <f>IF(AS32="",10,MIN(VLOOKUP(G32,Tables!$B$3:$N$34,13,FALSE()),'Item Builder'!$W32))</f>
        <v>10</v>
      </c>
      <c r="EZ32" s="95">
        <f>IF(AT32="",10,MIN(VLOOKUP(H32,Tables!$B$3:$N$34,13,FALSE()),'Item Builder'!$W32))</f>
        <v>10</v>
      </c>
      <c r="FA32" s="95">
        <f>IF(AU32="",10,MIN(VLOOKUP(I32,Tables!$B$3:$N$34,13,FALSE()),'Item Builder'!$W32))</f>
        <v>10</v>
      </c>
      <c r="FB32" s="95">
        <f>IF(AV32="",10,MIN(VLOOKUP(J32,Tables!$B$3:$N$34,13,FALSE()),'Item Builder'!$W32))</f>
        <v>0</v>
      </c>
      <c r="FC32" s="95">
        <f>IF(AW32="",10,MIN(VLOOKUP(K32,Tables!$B$3:$N$34,13,FALSE()),'Item Builder'!$W32))</f>
        <v>0</v>
      </c>
      <c r="FD32" s="95">
        <f>IF(AX32="",10,MIN(VLOOKUP(L32,Tables!$B$3:$N$34,13,FALSE()),'Item Builder'!$W32))</f>
        <v>10</v>
      </c>
      <c r="FE32" s="95">
        <f>IF(AY32="",10,MIN(VLOOKUP(M32,Tables!$B$3:$N$34,13,FALSE()),'Item Builder'!$W32))</f>
        <v>10</v>
      </c>
      <c r="FF32" s="95">
        <f>IF(AZ32="",10,MIN(VLOOKUP(N32,Tables!$B$3:$N$34,13,FALSE()),'Item Builder'!$W32))</f>
        <v>10</v>
      </c>
      <c r="FG32" s="95">
        <f>IF(BA32="",10,MIN(VLOOKUP(O32,Tables!$B$3:$N$34,13,FALSE()),'Item Builder'!$W32))</f>
        <v>10</v>
      </c>
      <c r="FH32" s="98">
        <f>IF(BB32="",10,MIN(VLOOKUP(P32,Tables!$B$3:$N$34,13,FALSE()),'Item Builder'!$W32))</f>
        <v>10</v>
      </c>
    </row>
    <row r="33" spans="1:164" x14ac:dyDescent="0.25">
      <c r="A33" s="67" t="s">
        <v>83</v>
      </c>
      <c r="B33" s="68"/>
      <c r="C33" s="69"/>
      <c r="D33" s="70"/>
      <c r="E33" s="68" t="s">
        <v>101</v>
      </c>
      <c r="F33" s="69" t="s">
        <v>101</v>
      </c>
      <c r="G33" s="69" t="s">
        <v>101</v>
      </c>
      <c r="H33" s="69"/>
      <c r="I33" s="70"/>
      <c r="J33" s="68" t="s">
        <v>101</v>
      </c>
      <c r="K33" s="69" t="s">
        <v>101</v>
      </c>
      <c r="L33" s="70" t="s">
        <v>101</v>
      </c>
      <c r="M33" s="68"/>
      <c r="N33" s="69"/>
      <c r="O33" s="69"/>
      <c r="P33" s="71"/>
      <c r="Q33" s="72">
        <f>SUM(BV33:CJ33)*VLOOKUP(W33,Tables!$W$3:$Z$8,4)</f>
        <v>90</v>
      </c>
      <c r="R33" s="73">
        <f t="shared" si="0"/>
        <v>3.5999999999999996</v>
      </c>
      <c r="S33" s="74">
        <f t="shared" si="1"/>
        <v>0</v>
      </c>
      <c r="T33" s="74">
        <f t="shared" si="2"/>
        <v>0</v>
      </c>
      <c r="U33" s="75">
        <f t="shared" si="3"/>
        <v>13.5</v>
      </c>
      <c r="V33" s="76">
        <f t="shared" si="4"/>
        <v>67.5</v>
      </c>
      <c r="W33" s="77">
        <v>0</v>
      </c>
      <c r="X33" s="78">
        <f t="shared" si="5"/>
        <v>0</v>
      </c>
      <c r="Y33" s="79">
        <f t="shared" si="6"/>
        <v>0</v>
      </c>
      <c r="Z33" s="79">
        <f t="shared" si="7"/>
        <v>0</v>
      </c>
      <c r="AA33" s="78">
        <f t="shared" si="8"/>
        <v>1</v>
      </c>
      <c r="AB33" s="79">
        <f t="shared" si="9"/>
        <v>1</v>
      </c>
      <c r="AC33" s="79">
        <f t="shared" si="10"/>
        <v>1</v>
      </c>
      <c r="AD33" s="79">
        <f t="shared" si="11"/>
        <v>0</v>
      </c>
      <c r="AE33" s="79">
        <f t="shared" si="12"/>
        <v>0</v>
      </c>
      <c r="AF33" s="78">
        <f t="shared" si="13"/>
        <v>1</v>
      </c>
      <c r="AG33" s="79">
        <f t="shared" si="14"/>
        <v>1</v>
      </c>
      <c r="AH33" s="79">
        <f t="shared" si="15"/>
        <v>1</v>
      </c>
      <c r="AI33" s="78">
        <f t="shared" si="16"/>
        <v>0</v>
      </c>
      <c r="AJ33" s="79">
        <f t="shared" si="17"/>
        <v>0</v>
      </c>
      <c r="AK33" s="79">
        <f t="shared" si="18"/>
        <v>0</v>
      </c>
      <c r="AL33" s="80">
        <f t="shared" si="19"/>
        <v>0</v>
      </c>
      <c r="AM33" s="81">
        <f t="shared" si="20"/>
        <v>0.44999999999999996</v>
      </c>
      <c r="AN33" s="82" t="str">
        <f t="shared" si="21"/>
        <v/>
      </c>
      <c r="AO33" s="79" t="str">
        <f t="shared" si="22"/>
        <v/>
      </c>
      <c r="AP33" t="str">
        <f t="shared" si="23"/>
        <v/>
      </c>
      <c r="AQ33" s="82" t="str">
        <f t="shared" si="24"/>
        <v>D</v>
      </c>
      <c r="AR33" t="str">
        <f t="shared" si="25"/>
        <v>D</v>
      </c>
      <c r="AS33" t="str">
        <f t="shared" si="26"/>
        <v>D</v>
      </c>
      <c r="AT33" t="str">
        <f t="shared" si="27"/>
        <v/>
      </c>
      <c r="AU33" t="str">
        <f t="shared" si="28"/>
        <v/>
      </c>
      <c r="AV33" s="82" t="str">
        <f t="shared" si="29"/>
        <v>D</v>
      </c>
      <c r="AW33" t="str">
        <f t="shared" si="30"/>
        <v>D</v>
      </c>
      <c r="AX33" t="str">
        <f t="shared" si="31"/>
        <v>D</v>
      </c>
      <c r="AY33" s="82" t="str">
        <f t="shared" si="32"/>
        <v/>
      </c>
      <c r="AZ33" t="str">
        <f t="shared" si="33"/>
        <v/>
      </c>
      <c r="BA33" t="str">
        <f t="shared" si="34"/>
        <v/>
      </c>
      <c r="BB33" s="83" t="str">
        <f t="shared" si="35"/>
        <v/>
      </c>
      <c r="BC33" s="84">
        <f t="shared" si="36"/>
        <v>0</v>
      </c>
      <c r="BD33" s="84">
        <f t="shared" si="37"/>
        <v>0.52380952380952372</v>
      </c>
      <c r="BE33" s="84">
        <f t="shared" si="38"/>
        <v>1</v>
      </c>
      <c r="BF33" s="84">
        <f t="shared" si="39"/>
        <v>0</v>
      </c>
      <c r="BG33" s="78">
        <f>IF(AN33="",0,VLOOKUP(AN33,Tables!$AB$3:$AC$12,2))</f>
        <v>0</v>
      </c>
      <c r="BH33" s="79">
        <f>IF(AO33="",0,VLOOKUP(AO33,Tables!$AB$3:$AC$12,2))</f>
        <v>0</v>
      </c>
      <c r="BI33" s="79">
        <f>IF(AP33="",0,VLOOKUP(AP33,Tables!$AB$3:$AC$12,2))</f>
        <v>0</v>
      </c>
      <c r="BJ33" s="78">
        <f>IF(AQ33="",0,VLOOKUP(AQ33,Tables!$AB$3:$AC$12,2))</f>
        <v>1.5</v>
      </c>
      <c r="BK33" s="79">
        <f>IF(AR33="",0,VLOOKUP(AR33,Tables!$AB$3:$AC$12,2))</f>
        <v>1.5</v>
      </c>
      <c r="BL33" s="79">
        <f>IF(AS33="",0,VLOOKUP(AS33,Tables!$AB$3:$AC$12,2))</f>
        <v>1.5</v>
      </c>
      <c r="BM33" s="79">
        <f>IF(AT33="",0,VLOOKUP(AT33,Tables!$AB$3:$AC$12,2))</f>
        <v>0</v>
      </c>
      <c r="BN33" s="79">
        <f>IF(AU33="",0,VLOOKUP(AU33,Tables!$AB$3:$AC$12,2))</f>
        <v>0</v>
      </c>
      <c r="BO33" s="78">
        <f>IF(AV33="",0,VLOOKUP(AV33,Tables!$AB$3:$AC$12,2))</f>
        <v>1.5</v>
      </c>
      <c r="BP33" s="79">
        <f>IF(AW33="",0,VLOOKUP(AW33,Tables!$AB$3:$AC$12,2))</f>
        <v>1.5</v>
      </c>
      <c r="BQ33" s="79">
        <f>IF(AX33="",0,VLOOKUP(AX33,Tables!$AB$3:$AC$12,2))</f>
        <v>1.5</v>
      </c>
      <c r="BR33" s="78">
        <f>IF(AY33="",0,VLOOKUP(AY33,Tables!$AB$3:$AC$12,2))</f>
        <v>0</v>
      </c>
      <c r="BS33" s="79">
        <f>IF(AZ33="",0,VLOOKUP(AZ33,Tables!$AB$3:$AC$12,2))</f>
        <v>0</v>
      </c>
      <c r="BT33" s="79">
        <f>IF(BA33="",0,VLOOKUP(BA33,Tables!$AB$3:$AC$12,2))</f>
        <v>0</v>
      </c>
      <c r="BU33" s="80">
        <f>IF(BB33="",0,VLOOKUP(BB33,Tables!$AB$3:$AC$12,2))</f>
        <v>0</v>
      </c>
      <c r="BV33" s="85">
        <f>IF(AN33="",0,VLOOKUP(B33,Tables!$B$3:$D$36,2,FALSE())*X$1)</f>
        <v>0</v>
      </c>
      <c r="BW33" s="72">
        <f>IF(AO33="",0,VLOOKUP(C33,Tables!$B$3:$D$36,2,FALSE())*Y$1)</f>
        <v>0</v>
      </c>
      <c r="BX33" s="72">
        <f>IF(AP33="",0,VLOOKUP(D33,Tables!$B$3:$D$36,2,FALSE())*Z$1)</f>
        <v>0</v>
      </c>
      <c r="BY33" s="85">
        <f>IF(AQ33="",0,VLOOKUP(E33,Tables!$B$3:$D$36,2,FALSE())*AA$1)</f>
        <v>6</v>
      </c>
      <c r="BZ33" s="72">
        <f>IF(AR33="",0,VLOOKUP(F33,Tables!$B$3:$D$36,2,FALSE())*AB$1)</f>
        <v>12</v>
      </c>
      <c r="CA33" s="72">
        <f>IF(AS33="",0,VLOOKUP(G33,Tables!$B$3:$D$36,2,FALSE())*AC$1)</f>
        <v>4</v>
      </c>
      <c r="CB33" s="72">
        <f>IF(AT33="",0,VLOOKUP(H33,Tables!$B$3:$D$36,2,FALSE())*AD$1)</f>
        <v>0</v>
      </c>
      <c r="CC33" s="72">
        <f>IF(AU33="",0,VLOOKUP(I33,Tables!$B$3:$D$36,2,FALSE())*AE$1)</f>
        <v>0</v>
      </c>
      <c r="CD33" s="85">
        <f>IF(AV33="",0,VLOOKUP(J33,Tables!$B$3:$D$36,2,FALSE())*AF$1)</f>
        <v>24</v>
      </c>
      <c r="CE33" s="72">
        <f>IF(AW33="",0,VLOOKUP(K33,Tables!$B$3:$D$36,2,FALSE())*AG$1)</f>
        <v>24</v>
      </c>
      <c r="CF33" s="72">
        <f>IF(AX33="",0,VLOOKUP(L33,Tables!$B$3:$D$36,2,FALSE())*AH$1)</f>
        <v>20</v>
      </c>
      <c r="CG33" s="85">
        <f>IF(AY33="",0,VLOOKUP(M33,Tables!$B$3:$D$36,2,FALSE())*AI$1)</f>
        <v>0</v>
      </c>
      <c r="CH33" s="72">
        <f>IF(AZ33="",0,VLOOKUP(N33,Tables!$B$3:$D$36,2,FALSE())*AJ$1)</f>
        <v>0</v>
      </c>
      <c r="CI33" s="72">
        <f>IF(BA33="",0,VLOOKUP(O33,Tables!$B$3:$D$36,2,FALSE())*AK$1)</f>
        <v>0</v>
      </c>
      <c r="CJ33" s="86">
        <f>IF(BB33="",0,VLOOKUP(P33,Tables!$B$3:$D$36,2,FALSE())*AL$1)</f>
        <v>0</v>
      </c>
      <c r="CK33" s="87">
        <f>IF(AN33="",0,VLOOKUP(B33,Tables!$B$3:$D$36,3,FALSE())*X$1)*IF(OR(AN33="K",AN33="P"),2,1)</f>
        <v>0</v>
      </c>
      <c r="CL33" s="73">
        <f>IF(AO33="",0,VLOOKUP(C33,Tables!$B$3:$D$36,3,FALSE())*Y$1)*IF(OR(AO33="K",AO33="P"),2,1)</f>
        <v>0</v>
      </c>
      <c r="CM33" s="73">
        <f>IF(AP33="",0,VLOOKUP(D33,Tables!$B$3:$D$36,3,FALSE())*Z$1)*IF(OR(AP33="K",AP33="P"),2,1)</f>
        <v>0</v>
      </c>
      <c r="CN33" s="87">
        <f>IF(AQ33="",0,VLOOKUP(E33,Tables!$B$3:$D$36,3,FALSE())*AA$1)</f>
        <v>0.24</v>
      </c>
      <c r="CO33" s="73">
        <f>IF(AR33="",0,VLOOKUP(F33,Tables!$B$3:$D$36,3,FALSE())*AB$1)</f>
        <v>0.48</v>
      </c>
      <c r="CP33" s="73">
        <f>IF(AS33="",0,VLOOKUP(G33,Tables!$B$3:$D$36,3,FALSE())*AC$1)</f>
        <v>0.16</v>
      </c>
      <c r="CQ33" s="73">
        <f>IF(AT33="",0,VLOOKUP(H33,Tables!$B$3:$D$36,3,FALSE())*AD$1)</f>
        <v>0</v>
      </c>
      <c r="CR33" s="73">
        <f>IF(AU33="",0,VLOOKUP(I33,Tables!$B$3:$D$36,3,FALSE())*AE$1)</f>
        <v>0</v>
      </c>
      <c r="CS33" s="87">
        <f>IF(AV33="",0,VLOOKUP(J33,Tables!$B$3:$D$36,3,FALSE())*AF$1)</f>
        <v>0.96</v>
      </c>
      <c r="CT33" s="73">
        <f>IF(AW33="",0,VLOOKUP(K33,Tables!$B$3:$D$36,3,FALSE())*AG$1)</f>
        <v>0.96</v>
      </c>
      <c r="CU33" s="73">
        <f>IF(AX33="",0,VLOOKUP(L33,Tables!$B$3:$D$36,3,FALSE())*AH$1)</f>
        <v>0.8</v>
      </c>
      <c r="CV33" s="87">
        <f>IF(AY33="",0,VLOOKUP(M33,Tables!$B$3:$D$36,3,FALSE())*AI$1)</f>
        <v>0</v>
      </c>
      <c r="CW33" s="73">
        <f>IF(AZ33="",0,VLOOKUP(N33,Tables!$B$3:$D$36,3,FALSE())*AJ$1)</f>
        <v>0</v>
      </c>
      <c r="CX33" s="73">
        <f>IF(BA33="",0,VLOOKUP(O33,Tables!$B$3:$D$36,3,FALSE())*AK$1)</f>
        <v>0</v>
      </c>
      <c r="CY33" s="88">
        <f>IF(BB33="",0,VLOOKUP(P33,Tables!$B$3:$D$36,3,FALSE())*AL$1)</f>
        <v>0</v>
      </c>
      <c r="CZ33" s="89">
        <f t="shared" si="40"/>
        <v>0</v>
      </c>
      <c r="DA33" s="75">
        <f t="shared" si="41"/>
        <v>0</v>
      </c>
      <c r="DB33" s="75">
        <f t="shared" si="42"/>
        <v>0</v>
      </c>
      <c r="DC33" s="89">
        <f t="shared" si="43"/>
        <v>0.8</v>
      </c>
      <c r="DD33" s="75">
        <f t="shared" si="44"/>
        <v>0.8</v>
      </c>
      <c r="DE33" s="75">
        <f t="shared" si="45"/>
        <v>0.8</v>
      </c>
      <c r="DF33" s="75">
        <f t="shared" si="46"/>
        <v>0</v>
      </c>
      <c r="DG33" s="75">
        <f t="shared" si="47"/>
        <v>0</v>
      </c>
      <c r="DH33" s="89">
        <f t="shared" si="48"/>
        <v>0.8</v>
      </c>
      <c r="DI33" s="75">
        <f t="shared" si="49"/>
        <v>0.8</v>
      </c>
      <c r="DJ33" s="75">
        <f t="shared" si="50"/>
        <v>0.8</v>
      </c>
      <c r="DK33" s="89">
        <f t="shared" si="51"/>
        <v>0</v>
      </c>
      <c r="DL33" s="75">
        <f t="shared" si="52"/>
        <v>0</v>
      </c>
      <c r="DM33" s="75">
        <f t="shared" si="53"/>
        <v>0</v>
      </c>
      <c r="DN33" s="90">
        <f t="shared" si="54"/>
        <v>0</v>
      </c>
      <c r="DO33" s="91">
        <f>IF(AN33="",0,VLOOKUP(B33,Tables!$B$3:$M$36,11,FALSE())*X$1)</f>
        <v>0</v>
      </c>
      <c r="DP33" s="92">
        <f>IF(AO33="",0,VLOOKUP(C33,Tables!$B$3:$M$36,11,FALSE())*Y$1)</f>
        <v>0</v>
      </c>
      <c r="DQ33" s="92">
        <f>IF(AP33="",0,VLOOKUP(D33,Tables!$B$3:$M$36,11,FALSE())*Z$1)</f>
        <v>0</v>
      </c>
      <c r="DR33" s="91">
        <f>IF(AQ33="",0,VLOOKUP(E33,Tables!$B$3:$M$36,11,FALSE())*AA$1)</f>
        <v>0.89999999999999991</v>
      </c>
      <c r="DS33" s="92">
        <f>IF(AR33="",0,VLOOKUP(F33,Tables!$B$3:$M$36,11,FALSE())*AB$1)</f>
        <v>1.7999999999999998</v>
      </c>
      <c r="DT33" s="92">
        <f>IF(AS33="",0,VLOOKUP(G33,Tables!$B$3:$M$36,11,FALSE())*AC$1)</f>
        <v>0.6</v>
      </c>
      <c r="DU33" s="92">
        <f>IF(AT33="",0,VLOOKUP(H33,Tables!$B$3:$M$36,11,FALSE())*AD$1)</f>
        <v>0</v>
      </c>
      <c r="DV33" s="92">
        <f>IF(AU33="",0,VLOOKUP(I33,Tables!$B$3:$M$36,11,FALSE())*AE$1)</f>
        <v>0</v>
      </c>
      <c r="DW33" s="91">
        <f>IF(AV33="",0,VLOOKUP(J33,Tables!$B$3:$M$36,11,FALSE())*AF$1)</f>
        <v>3.5999999999999996</v>
      </c>
      <c r="DX33" s="92">
        <f>IF(AW33="",0,VLOOKUP(K33,Tables!$B$3:$M$36,11,FALSE())*AG$1)</f>
        <v>3.5999999999999996</v>
      </c>
      <c r="DY33" s="92">
        <f>IF(AX33="",0,VLOOKUP(L33,Tables!$B$3:$M$36,11,FALSE())*AH$1)</f>
        <v>3</v>
      </c>
      <c r="DZ33" s="91">
        <f>IF(AY33="",0,VLOOKUP(M33,Tables!$B$3:$M$36,11,FALSE())*AI$1)</f>
        <v>0</v>
      </c>
      <c r="EA33" s="92">
        <f>IF(AZ33="",0,VLOOKUP(N33,Tables!$B$3:$M$36,11,FALSE())*AJ$1)</f>
        <v>0</v>
      </c>
      <c r="EB33" s="92">
        <f>IF(BA33="",0,VLOOKUP(O33,Tables!$B$3:$M$36,11,FALSE())*AK$1)</f>
        <v>0</v>
      </c>
      <c r="EC33" s="93">
        <f>IF(BB33="",0,VLOOKUP(P33,Tables!$B$3:$M$36,11,FALSE())*AL$1)</f>
        <v>0</v>
      </c>
      <c r="ED33" s="91">
        <f>IF(AN33="",0,VLOOKUP(B33,Tables!$B$3:$M$36,12,FALSE())*X$1)</f>
        <v>0</v>
      </c>
      <c r="EE33" s="92">
        <f>IF(AO33="",0,VLOOKUP(C33,Tables!$B$3:$M$36,12,FALSE())*Y$1)</f>
        <v>0</v>
      </c>
      <c r="EF33" s="92">
        <f>IF(AP33="",0,VLOOKUP(D33,Tables!$B$3:$M$36,12,FALSE())*Z$1)</f>
        <v>0</v>
      </c>
      <c r="EG33" s="91">
        <f>IF(AQ33="",0,VLOOKUP(E33,Tables!$B$3:$M$36,12,FALSE())*AA$1)</f>
        <v>4.5</v>
      </c>
      <c r="EH33" s="92">
        <f>IF(AR33="",0,VLOOKUP(F33,Tables!$B$3:$M$36,12,FALSE())*AB$1)</f>
        <v>9</v>
      </c>
      <c r="EI33" s="92">
        <f>IF(AS33="",0,VLOOKUP(G33,Tables!$B$3:$M$36,12,FALSE())*AC$1)</f>
        <v>3</v>
      </c>
      <c r="EJ33" s="92">
        <f>IF(AT33="",0,VLOOKUP(H33,Tables!$B$3:$M$36,12,FALSE())*AD$1)</f>
        <v>0</v>
      </c>
      <c r="EK33" s="92">
        <f>IF(AU33="",0,VLOOKUP(I33,Tables!$B$3:$M$36,12,FALSE())*AE$1)</f>
        <v>0</v>
      </c>
      <c r="EL33" s="91">
        <f>IF(AV33="",0,VLOOKUP(J33,Tables!$B$3:$M$36,12,FALSE())*AF$1)</f>
        <v>18</v>
      </c>
      <c r="EM33" s="92">
        <f>IF(AW33="",0,VLOOKUP(K33,Tables!$B$3:$M$36,12,FALSE())*AG$1)</f>
        <v>18</v>
      </c>
      <c r="EN33" s="92">
        <f>IF(AX33="",0,VLOOKUP(L33,Tables!$B$3:$M$36,12,FALSE())*AH$1)</f>
        <v>15</v>
      </c>
      <c r="EO33" s="91">
        <f>IF(AY33="",0,VLOOKUP(M33,Tables!$B$3:$M$36,12,FALSE())*AI$1)</f>
        <v>0</v>
      </c>
      <c r="EP33" s="92">
        <f>IF(AZ33="",0,VLOOKUP(N33,Tables!$B$3:$M$36,12,FALSE())*AJ$1)</f>
        <v>0</v>
      </c>
      <c r="EQ33" s="92">
        <f>IF(BA33="",0,VLOOKUP(O33,Tables!$B$3:$M$36,12,FALSE())*AK$1)</f>
        <v>0</v>
      </c>
      <c r="ER33" s="93">
        <f>IF(BB33="",0,VLOOKUP(P33,Tables!$B$3:$M$36,12,FALSE())*AL$1)</f>
        <v>0</v>
      </c>
      <c r="ES33" s="94">
        <f t="shared" si="55"/>
        <v>0</v>
      </c>
      <c r="ET33" s="95">
        <f>IF(AN33="",10,MIN(VLOOKUP(B33,Tables!$B$3:$N$34,13,FALSE()),'Item Builder'!$W33))</f>
        <v>10</v>
      </c>
      <c r="EU33" s="95">
        <f>IF(AO33="",10,MIN(VLOOKUP(C33,Tables!$B$3:$N$34,13,FALSE()),'Item Builder'!$W33))</f>
        <v>10</v>
      </c>
      <c r="EV33" s="95">
        <f>IF(AP33="",10,MIN(VLOOKUP(D33,Tables!$B$3:$N$34,13,FALSE()),'Item Builder'!$W33))</f>
        <v>10</v>
      </c>
      <c r="EW33" s="95">
        <f>IF(AQ33="",10,MIN(VLOOKUP(E33,Tables!$B$3:$N$34,13,FALSE()),'Item Builder'!$W33))</f>
        <v>0</v>
      </c>
      <c r="EX33" s="95">
        <f>IF(AR33="",10,MIN(VLOOKUP(F33,Tables!$B$3:$N$34,13,FALSE()),'Item Builder'!$W33))</f>
        <v>0</v>
      </c>
      <c r="EY33" s="95">
        <f>IF(AS33="",10,MIN(VLOOKUP(G33,Tables!$B$3:$N$34,13,FALSE()),'Item Builder'!$W33))</f>
        <v>0</v>
      </c>
      <c r="EZ33" s="95">
        <f>IF(AT33="",10,MIN(VLOOKUP(H33,Tables!$B$3:$N$34,13,FALSE()),'Item Builder'!$W33))</f>
        <v>10</v>
      </c>
      <c r="FA33" s="95">
        <f>IF(AU33="",10,MIN(VLOOKUP(I33,Tables!$B$3:$N$34,13,FALSE()),'Item Builder'!$W33))</f>
        <v>10</v>
      </c>
      <c r="FB33" s="95">
        <f>IF(AV33="",10,MIN(VLOOKUP(J33,Tables!$B$3:$N$34,13,FALSE()),'Item Builder'!$W33))</f>
        <v>0</v>
      </c>
      <c r="FC33" s="95">
        <f>IF(AW33="",10,MIN(VLOOKUP(K33,Tables!$B$3:$N$34,13,FALSE()),'Item Builder'!$W33))</f>
        <v>0</v>
      </c>
      <c r="FD33" s="95">
        <f>IF(AX33="",10,MIN(VLOOKUP(L33,Tables!$B$3:$N$34,13,FALSE()),'Item Builder'!$W33))</f>
        <v>0</v>
      </c>
      <c r="FE33" s="95">
        <f>IF(AY33="",10,MIN(VLOOKUP(M33,Tables!$B$3:$N$34,13,FALSE()),'Item Builder'!$W33))</f>
        <v>10</v>
      </c>
      <c r="FF33" s="95">
        <f>IF(AZ33="",10,MIN(VLOOKUP(N33,Tables!$B$3:$N$34,13,FALSE()),'Item Builder'!$W33))</f>
        <v>10</v>
      </c>
      <c r="FG33" s="95">
        <f>IF(BA33="",10,MIN(VLOOKUP(O33,Tables!$B$3:$N$34,13,FALSE()),'Item Builder'!$W33))</f>
        <v>10</v>
      </c>
      <c r="FH33" s="98">
        <f>IF(BB33="",10,MIN(VLOOKUP(P33,Tables!$B$3:$N$34,13,FALSE()),'Item Builder'!$W33))</f>
        <v>10</v>
      </c>
    </row>
    <row r="34" spans="1:164" x14ac:dyDescent="0.25">
      <c r="A34" s="67" t="s">
        <v>38</v>
      </c>
      <c r="B34" s="68"/>
      <c r="C34" s="69"/>
      <c r="D34" s="70"/>
      <c r="E34" s="68" t="s">
        <v>101</v>
      </c>
      <c r="F34" s="69" t="s">
        <v>101</v>
      </c>
      <c r="G34" s="69" t="s">
        <v>101</v>
      </c>
      <c r="H34" s="69" t="s">
        <v>101</v>
      </c>
      <c r="I34" s="70"/>
      <c r="J34" s="68" t="s">
        <v>101</v>
      </c>
      <c r="K34" s="69" t="s">
        <v>101</v>
      </c>
      <c r="L34" s="70" t="s">
        <v>101</v>
      </c>
      <c r="M34" s="68"/>
      <c r="N34" s="69"/>
      <c r="O34" s="69"/>
      <c r="P34" s="71"/>
      <c r="Q34" s="72">
        <f>SUM(BV34:CJ34)*VLOOKUP(W34,Tables!$W$3:$Z$8,4)</f>
        <v>100</v>
      </c>
      <c r="R34" s="73">
        <f t="shared" si="0"/>
        <v>4</v>
      </c>
      <c r="S34" s="74">
        <f t="shared" si="1"/>
        <v>0</v>
      </c>
      <c r="T34" s="74">
        <f t="shared" si="2"/>
        <v>0</v>
      </c>
      <c r="U34" s="75">
        <f t="shared" si="3"/>
        <v>14.999999999999998</v>
      </c>
      <c r="V34" s="76">
        <f t="shared" si="4"/>
        <v>75</v>
      </c>
      <c r="W34" s="77">
        <v>0</v>
      </c>
      <c r="X34" s="78">
        <f t="shared" si="5"/>
        <v>0</v>
      </c>
      <c r="Y34" s="79">
        <f t="shared" si="6"/>
        <v>0</v>
      </c>
      <c r="Z34" s="79">
        <f t="shared" si="7"/>
        <v>0</v>
      </c>
      <c r="AA34" s="78">
        <f t="shared" si="8"/>
        <v>1</v>
      </c>
      <c r="AB34" s="79">
        <f t="shared" si="9"/>
        <v>1</v>
      </c>
      <c r="AC34" s="79">
        <f t="shared" si="10"/>
        <v>1</v>
      </c>
      <c r="AD34" s="79">
        <f t="shared" si="11"/>
        <v>1</v>
      </c>
      <c r="AE34" s="79">
        <f t="shared" si="12"/>
        <v>0</v>
      </c>
      <c r="AF34" s="78">
        <f t="shared" si="13"/>
        <v>1</v>
      </c>
      <c r="AG34" s="79">
        <f t="shared" si="14"/>
        <v>1</v>
      </c>
      <c r="AH34" s="79">
        <f t="shared" si="15"/>
        <v>1</v>
      </c>
      <c r="AI34" s="78">
        <f t="shared" si="16"/>
        <v>0</v>
      </c>
      <c r="AJ34" s="79">
        <f t="shared" si="17"/>
        <v>0</v>
      </c>
      <c r="AK34" s="79">
        <f t="shared" si="18"/>
        <v>0</v>
      </c>
      <c r="AL34" s="80">
        <f t="shared" si="19"/>
        <v>0</v>
      </c>
      <c r="AM34" s="81">
        <f t="shared" si="20"/>
        <v>0.5</v>
      </c>
      <c r="AN34" s="82" t="str">
        <f t="shared" si="21"/>
        <v/>
      </c>
      <c r="AO34" s="79" t="str">
        <f t="shared" si="22"/>
        <v/>
      </c>
      <c r="AP34" t="str">
        <f t="shared" si="23"/>
        <v/>
      </c>
      <c r="AQ34" s="82" t="str">
        <f t="shared" si="24"/>
        <v>D</v>
      </c>
      <c r="AR34" t="str">
        <f t="shared" si="25"/>
        <v>D</v>
      </c>
      <c r="AS34" t="str">
        <f t="shared" si="26"/>
        <v>D</v>
      </c>
      <c r="AT34" t="str">
        <f t="shared" si="27"/>
        <v>D</v>
      </c>
      <c r="AU34" t="str">
        <f t="shared" si="28"/>
        <v/>
      </c>
      <c r="AV34" s="82" t="str">
        <f t="shared" si="29"/>
        <v>D</v>
      </c>
      <c r="AW34" t="str">
        <f t="shared" si="30"/>
        <v>D</v>
      </c>
      <c r="AX34" t="str">
        <f t="shared" si="31"/>
        <v>D</v>
      </c>
      <c r="AY34" s="82" t="str">
        <f t="shared" si="32"/>
        <v/>
      </c>
      <c r="AZ34" t="str">
        <f t="shared" si="33"/>
        <v/>
      </c>
      <c r="BA34" t="str">
        <f t="shared" si="34"/>
        <v/>
      </c>
      <c r="BB34" s="83" t="str">
        <f t="shared" si="35"/>
        <v/>
      </c>
      <c r="BC34" s="84">
        <f t="shared" si="36"/>
        <v>0</v>
      </c>
      <c r="BD34" s="84">
        <f t="shared" si="37"/>
        <v>0.76190476190476186</v>
      </c>
      <c r="BE34" s="84">
        <f t="shared" si="38"/>
        <v>1</v>
      </c>
      <c r="BF34" s="84">
        <f t="shared" si="39"/>
        <v>0</v>
      </c>
      <c r="BG34" s="78">
        <f>IF(AN34="",0,VLOOKUP(AN34,Tables!$AB$3:$AC$12,2))</f>
        <v>0</v>
      </c>
      <c r="BH34" s="79">
        <f>IF(AO34="",0,VLOOKUP(AO34,Tables!$AB$3:$AC$12,2))</f>
        <v>0</v>
      </c>
      <c r="BI34" s="79">
        <f>IF(AP34="",0,VLOOKUP(AP34,Tables!$AB$3:$AC$12,2))</f>
        <v>0</v>
      </c>
      <c r="BJ34" s="78">
        <f>IF(AQ34="",0,VLOOKUP(AQ34,Tables!$AB$3:$AC$12,2))</f>
        <v>1.5</v>
      </c>
      <c r="BK34" s="79">
        <f>IF(AR34="",0,VLOOKUP(AR34,Tables!$AB$3:$AC$12,2))</f>
        <v>1.5</v>
      </c>
      <c r="BL34" s="79">
        <f>IF(AS34="",0,VLOOKUP(AS34,Tables!$AB$3:$AC$12,2))</f>
        <v>1.5</v>
      </c>
      <c r="BM34" s="79">
        <f>IF(AT34="",0,VLOOKUP(AT34,Tables!$AB$3:$AC$12,2))</f>
        <v>1.5</v>
      </c>
      <c r="BN34" s="79">
        <f>IF(AU34="",0,VLOOKUP(AU34,Tables!$AB$3:$AC$12,2))</f>
        <v>0</v>
      </c>
      <c r="BO34" s="78">
        <f>IF(AV34="",0,VLOOKUP(AV34,Tables!$AB$3:$AC$12,2))</f>
        <v>1.5</v>
      </c>
      <c r="BP34" s="79">
        <f>IF(AW34="",0,VLOOKUP(AW34,Tables!$AB$3:$AC$12,2))</f>
        <v>1.5</v>
      </c>
      <c r="BQ34" s="79">
        <f>IF(AX34="",0,VLOOKUP(AX34,Tables!$AB$3:$AC$12,2))</f>
        <v>1.5</v>
      </c>
      <c r="BR34" s="78">
        <f>IF(AY34="",0,VLOOKUP(AY34,Tables!$AB$3:$AC$12,2))</f>
        <v>0</v>
      </c>
      <c r="BS34" s="79">
        <f>IF(AZ34="",0,VLOOKUP(AZ34,Tables!$AB$3:$AC$12,2))</f>
        <v>0</v>
      </c>
      <c r="BT34" s="79">
        <f>IF(BA34="",0,VLOOKUP(BA34,Tables!$AB$3:$AC$12,2))</f>
        <v>0</v>
      </c>
      <c r="BU34" s="80">
        <f>IF(BB34="",0,VLOOKUP(BB34,Tables!$AB$3:$AC$12,2))</f>
        <v>0</v>
      </c>
      <c r="BV34" s="85">
        <f>IF(AN34="",0,VLOOKUP(B34,Tables!$B$3:$D$36,2,FALSE())*X$1)</f>
        <v>0</v>
      </c>
      <c r="BW34" s="72">
        <f>IF(AO34="",0,VLOOKUP(C34,Tables!$B$3:$D$36,2,FALSE())*Y$1)</f>
        <v>0</v>
      </c>
      <c r="BX34" s="72">
        <f>IF(AP34="",0,VLOOKUP(D34,Tables!$B$3:$D$36,2,FALSE())*Z$1)</f>
        <v>0</v>
      </c>
      <c r="BY34" s="85">
        <f>IF(AQ34="",0,VLOOKUP(E34,Tables!$B$3:$D$36,2,FALSE())*AA$1)</f>
        <v>6</v>
      </c>
      <c r="BZ34" s="72">
        <f>IF(AR34="",0,VLOOKUP(F34,Tables!$B$3:$D$36,2,FALSE())*AB$1)</f>
        <v>12</v>
      </c>
      <c r="CA34" s="72">
        <f>IF(AS34="",0,VLOOKUP(G34,Tables!$B$3:$D$36,2,FALSE())*AC$1)</f>
        <v>4</v>
      </c>
      <c r="CB34" s="72">
        <f>IF(AT34="",0,VLOOKUP(H34,Tables!$B$3:$D$36,2,FALSE())*AD$1)</f>
        <v>10</v>
      </c>
      <c r="CC34" s="72">
        <f>IF(AU34="",0,VLOOKUP(I34,Tables!$B$3:$D$36,2,FALSE())*AE$1)</f>
        <v>0</v>
      </c>
      <c r="CD34" s="85">
        <f>IF(AV34="",0,VLOOKUP(J34,Tables!$B$3:$D$36,2,FALSE())*AF$1)</f>
        <v>24</v>
      </c>
      <c r="CE34" s="72">
        <f>IF(AW34="",0,VLOOKUP(K34,Tables!$B$3:$D$36,2,FALSE())*AG$1)</f>
        <v>24</v>
      </c>
      <c r="CF34" s="72">
        <f>IF(AX34="",0,VLOOKUP(L34,Tables!$B$3:$D$36,2,FALSE())*AH$1)</f>
        <v>20</v>
      </c>
      <c r="CG34" s="85">
        <f>IF(AY34="",0,VLOOKUP(M34,Tables!$B$3:$D$36,2,FALSE())*AI$1)</f>
        <v>0</v>
      </c>
      <c r="CH34" s="72">
        <f>IF(AZ34="",0,VLOOKUP(N34,Tables!$B$3:$D$36,2,FALSE())*AJ$1)</f>
        <v>0</v>
      </c>
      <c r="CI34" s="72">
        <f>IF(BA34="",0,VLOOKUP(O34,Tables!$B$3:$D$36,2,FALSE())*AK$1)</f>
        <v>0</v>
      </c>
      <c r="CJ34" s="86">
        <f>IF(BB34="",0,VLOOKUP(P34,Tables!$B$3:$D$36,2,FALSE())*AL$1)</f>
        <v>0</v>
      </c>
      <c r="CK34" s="87">
        <f>IF(AN34="",0,VLOOKUP(B34,Tables!$B$3:$D$36,3,FALSE())*X$1)*IF(OR(AN34="K",AN34="P"),2,1)</f>
        <v>0</v>
      </c>
      <c r="CL34" s="73">
        <f>IF(AO34="",0,VLOOKUP(C34,Tables!$B$3:$D$36,3,FALSE())*Y$1)*IF(OR(AO34="K",AO34="P"),2,1)</f>
        <v>0</v>
      </c>
      <c r="CM34" s="73">
        <f>IF(AP34="",0,VLOOKUP(D34,Tables!$B$3:$D$36,3,FALSE())*Z$1)*IF(OR(AP34="K",AP34="P"),2,1)</f>
        <v>0</v>
      </c>
      <c r="CN34" s="87">
        <f>IF(AQ34="",0,VLOOKUP(E34,Tables!$B$3:$D$36,3,FALSE())*AA$1)</f>
        <v>0.24</v>
      </c>
      <c r="CO34" s="73">
        <f>IF(AR34="",0,VLOOKUP(F34,Tables!$B$3:$D$36,3,FALSE())*AB$1)</f>
        <v>0.48</v>
      </c>
      <c r="CP34" s="73">
        <f>IF(AS34="",0,VLOOKUP(G34,Tables!$B$3:$D$36,3,FALSE())*AC$1)</f>
        <v>0.16</v>
      </c>
      <c r="CQ34" s="73">
        <f>IF(AT34="",0,VLOOKUP(H34,Tables!$B$3:$D$36,3,FALSE())*AD$1)</f>
        <v>0.4</v>
      </c>
      <c r="CR34" s="73">
        <f>IF(AU34="",0,VLOOKUP(I34,Tables!$B$3:$D$36,3,FALSE())*AE$1)</f>
        <v>0</v>
      </c>
      <c r="CS34" s="87">
        <f>IF(AV34="",0,VLOOKUP(J34,Tables!$B$3:$D$36,3,FALSE())*AF$1)</f>
        <v>0.96</v>
      </c>
      <c r="CT34" s="73">
        <f>IF(AW34="",0,VLOOKUP(K34,Tables!$B$3:$D$36,3,FALSE())*AG$1)</f>
        <v>0.96</v>
      </c>
      <c r="CU34" s="73">
        <f>IF(AX34="",0,VLOOKUP(L34,Tables!$B$3:$D$36,3,FALSE())*AH$1)</f>
        <v>0.8</v>
      </c>
      <c r="CV34" s="87">
        <f>IF(AY34="",0,VLOOKUP(M34,Tables!$B$3:$D$36,3,FALSE())*AI$1)</f>
        <v>0</v>
      </c>
      <c r="CW34" s="73">
        <f>IF(AZ34="",0,VLOOKUP(N34,Tables!$B$3:$D$36,3,FALSE())*AJ$1)</f>
        <v>0</v>
      </c>
      <c r="CX34" s="73">
        <f>IF(BA34="",0,VLOOKUP(O34,Tables!$B$3:$D$36,3,FALSE())*AK$1)</f>
        <v>0</v>
      </c>
      <c r="CY34" s="88">
        <f>IF(BB34="",0,VLOOKUP(P34,Tables!$B$3:$D$36,3,FALSE())*AL$1)</f>
        <v>0</v>
      </c>
      <c r="CZ34" s="89">
        <f t="shared" si="40"/>
        <v>0</v>
      </c>
      <c r="DA34" s="75">
        <f t="shared" si="41"/>
        <v>0</v>
      </c>
      <c r="DB34" s="75">
        <f t="shared" si="42"/>
        <v>0</v>
      </c>
      <c r="DC34" s="89">
        <f t="shared" si="43"/>
        <v>0.8</v>
      </c>
      <c r="DD34" s="75">
        <f t="shared" si="44"/>
        <v>0.8</v>
      </c>
      <c r="DE34" s="75">
        <f t="shared" si="45"/>
        <v>0.8</v>
      </c>
      <c r="DF34" s="75">
        <f t="shared" si="46"/>
        <v>0.8</v>
      </c>
      <c r="DG34" s="75">
        <f t="shared" si="47"/>
        <v>0</v>
      </c>
      <c r="DH34" s="89">
        <f t="shared" si="48"/>
        <v>0.8</v>
      </c>
      <c r="DI34" s="75">
        <f t="shared" si="49"/>
        <v>0.8</v>
      </c>
      <c r="DJ34" s="75">
        <f t="shared" si="50"/>
        <v>0.8</v>
      </c>
      <c r="DK34" s="89">
        <f t="shared" si="51"/>
        <v>0</v>
      </c>
      <c r="DL34" s="75">
        <f t="shared" si="52"/>
        <v>0</v>
      </c>
      <c r="DM34" s="75">
        <f t="shared" si="53"/>
        <v>0</v>
      </c>
      <c r="DN34" s="90">
        <f t="shared" si="54"/>
        <v>0</v>
      </c>
      <c r="DO34" s="91">
        <f>IF(AN34="",0,VLOOKUP(B34,Tables!$B$3:$M$36,11,FALSE())*X$1)</f>
        <v>0</v>
      </c>
      <c r="DP34" s="92">
        <f>IF(AO34="",0,VLOOKUP(C34,Tables!$B$3:$M$36,11,FALSE())*Y$1)</f>
        <v>0</v>
      </c>
      <c r="DQ34" s="92">
        <f>IF(AP34="",0,VLOOKUP(D34,Tables!$B$3:$M$36,11,FALSE())*Z$1)</f>
        <v>0</v>
      </c>
      <c r="DR34" s="91">
        <f>IF(AQ34="",0,VLOOKUP(E34,Tables!$B$3:$M$36,11,FALSE())*AA$1)</f>
        <v>0.89999999999999991</v>
      </c>
      <c r="DS34" s="92">
        <f>IF(AR34="",0,VLOOKUP(F34,Tables!$B$3:$M$36,11,FALSE())*AB$1)</f>
        <v>1.7999999999999998</v>
      </c>
      <c r="DT34" s="92">
        <f>IF(AS34="",0,VLOOKUP(G34,Tables!$B$3:$M$36,11,FALSE())*AC$1)</f>
        <v>0.6</v>
      </c>
      <c r="DU34" s="92">
        <f>IF(AT34="",0,VLOOKUP(H34,Tables!$B$3:$M$36,11,FALSE())*AD$1)</f>
        <v>1.5</v>
      </c>
      <c r="DV34" s="92">
        <f>IF(AU34="",0,VLOOKUP(I34,Tables!$B$3:$M$36,11,FALSE())*AE$1)</f>
        <v>0</v>
      </c>
      <c r="DW34" s="91">
        <f>IF(AV34="",0,VLOOKUP(J34,Tables!$B$3:$M$36,11,FALSE())*AF$1)</f>
        <v>3.5999999999999996</v>
      </c>
      <c r="DX34" s="92">
        <f>IF(AW34="",0,VLOOKUP(K34,Tables!$B$3:$M$36,11,FALSE())*AG$1)</f>
        <v>3.5999999999999996</v>
      </c>
      <c r="DY34" s="92">
        <f>IF(AX34="",0,VLOOKUP(L34,Tables!$B$3:$M$36,11,FALSE())*AH$1)</f>
        <v>3</v>
      </c>
      <c r="DZ34" s="91">
        <f>IF(AY34="",0,VLOOKUP(M34,Tables!$B$3:$M$36,11,FALSE())*AI$1)</f>
        <v>0</v>
      </c>
      <c r="EA34" s="92">
        <f>IF(AZ34="",0,VLOOKUP(N34,Tables!$B$3:$M$36,11,FALSE())*AJ$1)</f>
        <v>0</v>
      </c>
      <c r="EB34" s="92">
        <f>IF(BA34="",0,VLOOKUP(O34,Tables!$B$3:$M$36,11,FALSE())*AK$1)</f>
        <v>0</v>
      </c>
      <c r="EC34" s="93">
        <f>IF(BB34="",0,VLOOKUP(P34,Tables!$B$3:$M$36,11,FALSE())*AL$1)</f>
        <v>0</v>
      </c>
      <c r="ED34" s="91">
        <f>IF(AN34="",0,VLOOKUP(B34,Tables!$B$3:$M$36,12,FALSE())*X$1)</f>
        <v>0</v>
      </c>
      <c r="EE34" s="92">
        <f>IF(AO34="",0,VLOOKUP(C34,Tables!$B$3:$M$36,12,FALSE())*Y$1)</f>
        <v>0</v>
      </c>
      <c r="EF34" s="92">
        <f>IF(AP34="",0,VLOOKUP(D34,Tables!$B$3:$M$36,12,FALSE())*Z$1)</f>
        <v>0</v>
      </c>
      <c r="EG34" s="91">
        <f>IF(AQ34="",0,VLOOKUP(E34,Tables!$B$3:$M$36,12,FALSE())*AA$1)</f>
        <v>4.5</v>
      </c>
      <c r="EH34" s="92">
        <f>IF(AR34="",0,VLOOKUP(F34,Tables!$B$3:$M$36,12,FALSE())*AB$1)</f>
        <v>9</v>
      </c>
      <c r="EI34" s="92">
        <f>IF(AS34="",0,VLOOKUP(G34,Tables!$B$3:$M$36,12,FALSE())*AC$1)</f>
        <v>3</v>
      </c>
      <c r="EJ34" s="92">
        <f>IF(AT34="",0,VLOOKUP(H34,Tables!$B$3:$M$36,12,FALSE())*AD$1)</f>
        <v>7.5</v>
      </c>
      <c r="EK34" s="92">
        <f>IF(AU34="",0,VLOOKUP(I34,Tables!$B$3:$M$36,12,FALSE())*AE$1)</f>
        <v>0</v>
      </c>
      <c r="EL34" s="91">
        <f>IF(AV34="",0,VLOOKUP(J34,Tables!$B$3:$M$36,12,FALSE())*AF$1)</f>
        <v>18</v>
      </c>
      <c r="EM34" s="92">
        <f>IF(AW34="",0,VLOOKUP(K34,Tables!$B$3:$M$36,12,FALSE())*AG$1)</f>
        <v>18</v>
      </c>
      <c r="EN34" s="92">
        <f>IF(AX34="",0,VLOOKUP(L34,Tables!$B$3:$M$36,12,FALSE())*AH$1)</f>
        <v>15</v>
      </c>
      <c r="EO34" s="91">
        <f>IF(AY34="",0,VLOOKUP(M34,Tables!$B$3:$M$36,12,FALSE())*AI$1)</f>
        <v>0</v>
      </c>
      <c r="EP34" s="92">
        <f>IF(AZ34="",0,VLOOKUP(N34,Tables!$B$3:$M$36,12,FALSE())*AJ$1)</f>
        <v>0</v>
      </c>
      <c r="EQ34" s="92">
        <f>IF(BA34="",0,VLOOKUP(O34,Tables!$B$3:$M$36,12,FALSE())*AK$1)</f>
        <v>0</v>
      </c>
      <c r="ER34" s="93">
        <f>IF(BB34="",0,VLOOKUP(P34,Tables!$B$3:$M$36,12,FALSE())*AL$1)</f>
        <v>0</v>
      </c>
      <c r="ES34" s="94">
        <f t="shared" si="55"/>
        <v>0</v>
      </c>
      <c r="ET34" s="95">
        <f>IF(AN34="",10,MIN(VLOOKUP(B34,Tables!$B$3:$N$34,13,FALSE()),'Item Builder'!$W34))</f>
        <v>10</v>
      </c>
      <c r="EU34" s="95">
        <f>IF(AO34="",10,MIN(VLOOKUP(C34,Tables!$B$3:$N$34,13,FALSE()),'Item Builder'!$W34))</f>
        <v>10</v>
      </c>
      <c r="EV34" s="95">
        <f>IF(AP34="",10,MIN(VLOOKUP(D34,Tables!$B$3:$N$34,13,FALSE()),'Item Builder'!$W34))</f>
        <v>10</v>
      </c>
      <c r="EW34" s="95">
        <f>IF(AQ34="",10,MIN(VLOOKUP(E34,Tables!$B$3:$N$34,13,FALSE()),'Item Builder'!$W34))</f>
        <v>0</v>
      </c>
      <c r="EX34" s="95">
        <f>IF(AR34="",10,MIN(VLOOKUP(F34,Tables!$B$3:$N$34,13,FALSE()),'Item Builder'!$W34))</f>
        <v>0</v>
      </c>
      <c r="EY34" s="95">
        <f>IF(AS34="",10,MIN(VLOOKUP(G34,Tables!$B$3:$N$34,13,FALSE()),'Item Builder'!$W34))</f>
        <v>0</v>
      </c>
      <c r="EZ34" s="95">
        <f>IF(AT34="",10,MIN(VLOOKUP(H34,Tables!$B$3:$N$34,13,FALSE()),'Item Builder'!$W34))</f>
        <v>0</v>
      </c>
      <c r="FA34" s="95">
        <f>IF(AU34="",10,MIN(VLOOKUP(I34,Tables!$B$3:$N$34,13,FALSE()),'Item Builder'!$W34))</f>
        <v>10</v>
      </c>
      <c r="FB34" s="95">
        <f>IF(AV34="",10,MIN(VLOOKUP(J34,Tables!$B$3:$N$34,13,FALSE()),'Item Builder'!$W34))</f>
        <v>0</v>
      </c>
      <c r="FC34" s="95">
        <f>IF(AW34="",10,MIN(VLOOKUP(K34,Tables!$B$3:$N$34,13,FALSE()),'Item Builder'!$W34))</f>
        <v>0</v>
      </c>
      <c r="FD34" s="95">
        <f>IF(AX34="",10,MIN(VLOOKUP(L34,Tables!$B$3:$N$34,13,FALSE()),'Item Builder'!$W34))</f>
        <v>0</v>
      </c>
      <c r="FE34" s="95">
        <f>IF(AY34="",10,MIN(VLOOKUP(M34,Tables!$B$3:$N$34,13,FALSE()),'Item Builder'!$W34))</f>
        <v>10</v>
      </c>
      <c r="FF34" s="95">
        <f>IF(AZ34="",10,MIN(VLOOKUP(N34,Tables!$B$3:$N$34,13,FALSE()),'Item Builder'!$W34))</f>
        <v>10</v>
      </c>
      <c r="FG34" s="95">
        <f>IF(BA34="",10,MIN(VLOOKUP(O34,Tables!$B$3:$N$34,13,FALSE()),'Item Builder'!$W34))</f>
        <v>10</v>
      </c>
      <c r="FH34" s="98">
        <f>IF(BB34="",10,MIN(VLOOKUP(P34,Tables!$B$3:$N$34,13,FALSE()),'Item Builder'!$W34))</f>
        <v>10</v>
      </c>
    </row>
    <row r="35" spans="1:164" x14ac:dyDescent="0.25">
      <c r="A35" s="67" t="s">
        <v>42</v>
      </c>
      <c r="B35" s="68"/>
      <c r="C35" s="69"/>
      <c r="D35" s="70"/>
      <c r="E35" s="68" t="s">
        <v>101</v>
      </c>
      <c r="F35" s="69" t="s">
        <v>101</v>
      </c>
      <c r="G35" s="69" t="s">
        <v>101</v>
      </c>
      <c r="H35" s="69" t="s">
        <v>101</v>
      </c>
      <c r="I35" s="70"/>
      <c r="J35" s="68" t="s">
        <v>101</v>
      </c>
      <c r="K35" s="69" t="s">
        <v>101</v>
      </c>
      <c r="L35" s="70" t="s">
        <v>101</v>
      </c>
      <c r="M35" s="68" t="s">
        <v>101</v>
      </c>
      <c r="N35" s="69"/>
      <c r="O35" s="69"/>
      <c r="P35" s="71"/>
      <c r="Q35" s="72">
        <f>SUM(BV35:CJ35)*VLOOKUP(W35,Tables!$W$3:$Z$8,4)</f>
        <v>128</v>
      </c>
      <c r="R35" s="73">
        <f t="shared" si="0"/>
        <v>5.12</v>
      </c>
      <c r="S35" s="74">
        <f t="shared" si="1"/>
        <v>0</v>
      </c>
      <c r="T35" s="74">
        <f t="shared" si="2"/>
        <v>0</v>
      </c>
      <c r="U35" s="75">
        <f t="shared" si="3"/>
        <v>19.2</v>
      </c>
      <c r="V35" s="76">
        <f t="shared" si="4"/>
        <v>96</v>
      </c>
      <c r="W35" s="77">
        <v>0</v>
      </c>
      <c r="X35" s="78">
        <f t="shared" si="5"/>
        <v>0</v>
      </c>
      <c r="Y35" s="79">
        <f t="shared" si="6"/>
        <v>0</v>
      </c>
      <c r="Z35" s="79">
        <f t="shared" si="7"/>
        <v>0</v>
      </c>
      <c r="AA35" s="78">
        <f t="shared" si="8"/>
        <v>1</v>
      </c>
      <c r="AB35" s="79">
        <f t="shared" si="9"/>
        <v>1</v>
      </c>
      <c r="AC35" s="79">
        <f t="shared" si="10"/>
        <v>1</v>
      </c>
      <c r="AD35" s="79">
        <f t="shared" si="11"/>
        <v>1</v>
      </c>
      <c r="AE35" s="79">
        <f t="shared" si="12"/>
        <v>0</v>
      </c>
      <c r="AF35" s="78">
        <f t="shared" si="13"/>
        <v>1</v>
      </c>
      <c r="AG35" s="79">
        <f t="shared" si="14"/>
        <v>1</v>
      </c>
      <c r="AH35" s="79">
        <f t="shared" si="15"/>
        <v>1</v>
      </c>
      <c r="AI35" s="78">
        <f t="shared" si="16"/>
        <v>1</v>
      </c>
      <c r="AJ35" s="79">
        <f t="shared" si="17"/>
        <v>0</v>
      </c>
      <c r="AK35" s="79">
        <f t="shared" si="18"/>
        <v>0</v>
      </c>
      <c r="AL35" s="80">
        <f t="shared" si="19"/>
        <v>0</v>
      </c>
      <c r="AM35" s="81">
        <f t="shared" si="20"/>
        <v>0.64</v>
      </c>
      <c r="AN35" s="82" t="str">
        <f t="shared" si="21"/>
        <v/>
      </c>
      <c r="AO35" s="79" t="str">
        <f t="shared" si="22"/>
        <v/>
      </c>
      <c r="AP35" t="str">
        <f t="shared" si="23"/>
        <v/>
      </c>
      <c r="AQ35" s="82" t="str">
        <f t="shared" si="24"/>
        <v>D</v>
      </c>
      <c r="AR35" t="str">
        <f t="shared" si="25"/>
        <v>D</v>
      </c>
      <c r="AS35" t="str">
        <f t="shared" si="26"/>
        <v>D</v>
      </c>
      <c r="AT35" t="str">
        <f t="shared" si="27"/>
        <v>D</v>
      </c>
      <c r="AU35" t="str">
        <f t="shared" si="28"/>
        <v/>
      </c>
      <c r="AV35" s="82" t="str">
        <f t="shared" si="29"/>
        <v>D</v>
      </c>
      <c r="AW35" t="str">
        <f t="shared" si="30"/>
        <v>D</v>
      </c>
      <c r="AX35" t="str">
        <f t="shared" si="31"/>
        <v>D</v>
      </c>
      <c r="AY35" s="82" t="str">
        <f t="shared" si="32"/>
        <v>D</v>
      </c>
      <c r="AZ35" t="str">
        <f t="shared" si="33"/>
        <v/>
      </c>
      <c r="BA35" t="str">
        <f t="shared" si="34"/>
        <v/>
      </c>
      <c r="BB35" s="83" t="str">
        <f t="shared" si="35"/>
        <v/>
      </c>
      <c r="BC35" s="84">
        <f t="shared" si="36"/>
        <v>0</v>
      </c>
      <c r="BD35" s="84">
        <f t="shared" si="37"/>
        <v>0.76190476190476186</v>
      </c>
      <c r="BE35" s="84">
        <f t="shared" si="38"/>
        <v>1</v>
      </c>
      <c r="BF35" s="84">
        <f t="shared" si="39"/>
        <v>0.3888888888888889</v>
      </c>
      <c r="BG35" s="78">
        <f>IF(AN35="",0,VLOOKUP(AN35,Tables!$AB$3:$AC$12,2))</f>
        <v>0</v>
      </c>
      <c r="BH35" s="79">
        <f>IF(AO35="",0,VLOOKUP(AO35,Tables!$AB$3:$AC$12,2))</f>
        <v>0</v>
      </c>
      <c r="BI35" s="79">
        <f>IF(AP35="",0,VLOOKUP(AP35,Tables!$AB$3:$AC$12,2))</f>
        <v>0</v>
      </c>
      <c r="BJ35" s="78">
        <f>IF(AQ35="",0,VLOOKUP(AQ35,Tables!$AB$3:$AC$12,2))</f>
        <v>1.5</v>
      </c>
      <c r="BK35" s="79">
        <f>IF(AR35="",0,VLOOKUP(AR35,Tables!$AB$3:$AC$12,2))</f>
        <v>1.5</v>
      </c>
      <c r="BL35" s="79">
        <f>IF(AS35="",0,VLOOKUP(AS35,Tables!$AB$3:$AC$12,2))</f>
        <v>1.5</v>
      </c>
      <c r="BM35" s="79">
        <f>IF(AT35="",0,VLOOKUP(AT35,Tables!$AB$3:$AC$12,2))</f>
        <v>1.5</v>
      </c>
      <c r="BN35" s="79">
        <f>IF(AU35="",0,VLOOKUP(AU35,Tables!$AB$3:$AC$12,2))</f>
        <v>0</v>
      </c>
      <c r="BO35" s="78">
        <f>IF(AV35="",0,VLOOKUP(AV35,Tables!$AB$3:$AC$12,2))</f>
        <v>1.5</v>
      </c>
      <c r="BP35" s="79">
        <f>IF(AW35="",0,VLOOKUP(AW35,Tables!$AB$3:$AC$12,2))</f>
        <v>1.5</v>
      </c>
      <c r="BQ35" s="79">
        <f>IF(AX35="",0,VLOOKUP(AX35,Tables!$AB$3:$AC$12,2))</f>
        <v>1.5</v>
      </c>
      <c r="BR35" s="78">
        <f>IF(AY35="",0,VLOOKUP(AY35,Tables!$AB$3:$AC$12,2))</f>
        <v>1.5</v>
      </c>
      <c r="BS35" s="79">
        <f>IF(AZ35="",0,VLOOKUP(AZ35,Tables!$AB$3:$AC$12,2))</f>
        <v>0</v>
      </c>
      <c r="BT35" s="79">
        <f>IF(BA35="",0,VLOOKUP(BA35,Tables!$AB$3:$AC$12,2))</f>
        <v>0</v>
      </c>
      <c r="BU35" s="80">
        <f>IF(BB35="",0,VLOOKUP(BB35,Tables!$AB$3:$AC$12,2))</f>
        <v>0</v>
      </c>
      <c r="BV35" s="85">
        <f>IF(AN35="",0,VLOOKUP(B35,Tables!$B$3:$D$36,2,FALSE())*X$1)</f>
        <v>0</v>
      </c>
      <c r="BW35" s="72">
        <f>IF(AO35="",0,VLOOKUP(C35,Tables!$B$3:$D$36,2,FALSE())*Y$1)</f>
        <v>0</v>
      </c>
      <c r="BX35" s="72">
        <f>IF(AP35="",0,VLOOKUP(D35,Tables!$B$3:$D$36,2,FALSE())*Z$1)</f>
        <v>0</v>
      </c>
      <c r="BY35" s="85">
        <f>IF(AQ35="",0,VLOOKUP(E35,Tables!$B$3:$D$36,2,FALSE())*AA$1)</f>
        <v>6</v>
      </c>
      <c r="BZ35" s="72">
        <f>IF(AR35="",0,VLOOKUP(F35,Tables!$B$3:$D$36,2,FALSE())*AB$1)</f>
        <v>12</v>
      </c>
      <c r="CA35" s="72">
        <f>IF(AS35="",0,VLOOKUP(G35,Tables!$B$3:$D$36,2,FALSE())*AC$1)</f>
        <v>4</v>
      </c>
      <c r="CB35" s="72">
        <f>IF(AT35="",0,VLOOKUP(H35,Tables!$B$3:$D$36,2,FALSE())*AD$1)</f>
        <v>10</v>
      </c>
      <c r="CC35" s="72">
        <f>IF(AU35="",0,VLOOKUP(I35,Tables!$B$3:$D$36,2,FALSE())*AE$1)</f>
        <v>0</v>
      </c>
      <c r="CD35" s="85">
        <f>IF(AV35="",0,VLOOKUP(J35,Tables!$B$3:$D$36,2,FALSE())*AF$1)</f>
        <v>24</v>
      </c>
      <c r="CE35" s="72">
        <f>IF(AW35="",0,VLOOKUP(K35,Tables!$B$3:$D$36,2,FALSE())*AG$1)</f>
        <v>24</v>
      </c>
      <c r="CF35" s="72">
        <f>IF(AX35="",0,VLOOKUP(L35,Tables!$B$3:$D$36,2,FALSE())*AH$1)</f>
        <v>20</v>
      </c>
      <c r="CG35" s="85">
        <f>IF(AY35="",0,VLOOKUP(M35,Tables!$B$3:$D$36,2,FALSE())*AI$1)</f>
        <v>28.000000000000004</v>
      </c>
      <c r="CH35" s="72">
        <f>IF(AZ35="",0,VLOOKUP(N35,Tables!$B$3:$D$36,2,FALSE())*AJ$1)</f>
        <v>0</v>
      </c>
      <c r="CI35" s="72">
        <f>IF(BA35="",0,VLOOKUP(O35,Tables!$B$3:$D$36,2,FALSE())*AK$1)</f>
        <v>0</v>
      </c>
      <c r="CJ35" s="86">
        <f>IF(BB35="",0,VLOOKUP(P35,Tables!$B$3:$D$36,2,FALSE())*AL$1)</f>
        <v>0</v>
      </c>
      <c r="CK35" s="87">
        <f>IF(AN35="",0,VLOOKUP(B35,Tables!$B$3:$D$36,3,FALSE())*X$1)*IF(OR(AN35="K",AN35="P"),2,1)</f>
        <v>0</v>
      </c>
      <c r="CL35" s="73">
        <f>IF(AO35="",0,VLOOKUP(C35,Tables!$B$3:$D$36,3,FALSE())*Y$1)*IF(OR(AO35="K",AO35="P"),2,1)</f>
        <v>0</v>
      </c>
      <c r="CM35" s="73">
        <f>IF(AP35="",0,VLOOKUP(D35,Tables!$B$3:$D$36,3,FALSE())*Z$1)*IF(OR(AP35="K",AP35="P"),2,1)</f>
        <v>0</v>
      </c>
      <c r="CN35" s="87">
        <f>IF(AQ35="",0,VLOOKUP(E35,Tables!$B$3:$D$36,3,FALSE())*AA$1)</f>
        <v>0.24</v>
      </c>
      <c r="CO35" s="73">
        <f>IF(AR35="",0,VLOOKUP(F35,Tables!$B$3:$D$36,3,FALSE())*AB$1)</f>
        <v>0.48</v>
      </c>
      <c r="CP35" s="73">
        <f>IF(AS35="",0,VLOOKUP(G35,Tables!$B$3:$D$36,3,FALSE())*AC$1)</f>
        <v>0.16</v>
      </c>
      <c r="CQ35" s="73">
        <f>IF(AT35="",0,VLOOKUP(H35,Tables!$B$3:$D$36,3,FALSE())*AD$1)</f>
        <v>0.4</v>
      </c>
      <c r="CR35" s="73">
        <f>IF(AU35="",0,VLOOKUP(I35,Tables!$B$3:$D$36,3,FALSE())*AE$1)</f>
        <v>0</v>
      </c>
      <c r="CS35" s="87">
        <f>IF(AV35="",0,VLOOKUP(J35,Tables!$B$3:$D$36,3,FALSE())*AF$1)</f>
        <v>0.96</v>
      </c>
      <c r="CT35" s="73">
        <f>IF(AW35="",0,VLOOKUP(K35,Tables!$B$3:$D$36,3,FALSE())*AG$1)</f>
        <v>0.96</v>
      </c>
      <c r="CU35" s="73">
        <f>IF(AX35="",0,VLOOKUP(L35,Tables!$B$3:$D$36,3,FALSE())*AH$1)</f>
        <v>0.8</v>
      </c>
      <c r="CV35" s="87">
        <f>IF(AY35="",0,VLOOKUP(M35,Tables!$B$3:$D$36,3,FALSE())*AI$1)</f>
        <v>1.1200000000000001</v>
      </c>
      <c r="CW35" s="73">
        <f>IF(AZ35="",0,VLOOKUP(N35,Tables!$B$3:$D$36,3,FALSE())*AJ$1)</f>
        <v>0</v>
      </c>
      <c r="CX35" s="73">
        <f>IF(BA35="",0,VLOOKUP(O35,Tables!$B$3:$D$36,3,FALSE())*AK$1)</f>
        <v>0</v>
      </c>
      <c r="CY35" s="88">
        <f>IF(BB35="",0,VLOOKUP(P35,Tables!$B$3:$D$36,3,FALSE())*AL$1)</f>
        <v>0</v>
      </c>
      <c r="CZ35" s="89">
        <f t="shared" si="40"/>
        <v>0</v>
      </c>
      <c r="DA35" s="75">
        <f t="shared" si="41"/>
        <v>0</v>
      </c>
      <c r="DB35" s="75">
        <f t="shared" si="42"/>
        <v>0</v>
      </c>
      <c r="DC35" s="89">
        <f t="shared" si="43"/>
        <v>0.8</v>
      </c>
      <c r="DD35" s="75">
        <f t="shared" si="44"/>
        <v>0.8</v>
      </c>
      <c r="DE35" s="75">
        <f t="shared" si="45"/>
        <v>0.8</v>
      </c>
      <c r="DF35" s="75">
        <f t="shared" si="46"/>
        <v>0.8</v>
      </c>
      <c r="DG35" s="75">
        <f t="shared" si="47"/>
        <v>0</v>
      </c>
      <c r="DH35" s="89">
        <f t="shared" si="48"/>
        <v>0.8</v>
      </c>
      <c r="DI35" s="75">
        <f t="shared" si="49"/>
        <v>0.8</v>
      </c>
      <c r="DJ35" s="75">
        <f t="shared" si="50"/>
        <v>0.8</v>
      </c>
      <c r="DK35" s="89">
        <f t="shared" si="51"/>
        <v>0.8</v>
      </c>
      <c r="DL35" s="75">
        <f t="shared" si="52"/>
        <v>0</v>
      </c>
      <c r="DM35" s="75">
        <f t="shared" si="53"/>
        <v>0</v>
      </c>
      <c r="DN35" s="90">
        <f t="shared" si="54"/>
        <v>0</v>
      </c>
      <c r="DO35" s="91">
        <f>IF(AN35="",0,VLOOKUP(B35,Tables!$B$3:$M$36,11,FALSE())*X$1)</f>
        <v>0</v>
      </c>
      <c r="DP35" s="92">
        <f>IF(AO35="",0,VLOOKUP(C35,Tables!$B$3:$M$36,11,FALSE())*Y$1)</f>
        <v>0</v>
      </c>
      <c r="DQ35" s="92">
        <f>IF(AP35="",0,VLOOKUP(D35,Tables!$B$3:$M$36,11,FALSE())*Z$1)</f>
        <v>0</v>
      </c>
      <c r="DR35" s="91">
        <f>IF(AQ35="",0,VLOOKUP(E35,Tables!$B$3:$M$36,11,FALSE())*AA$1)</f>
        <v>0.89999999999999991</v>
      </c>
      <c r="DS35" s="92">
        <f>IF(AR35="",0,VLOOKUP(F35,Tables!$B$3:$M$36,11,FALSE())*AB$1)</f>
        <v>1.7999999999999998</v>
      </c>
      <c r="DT35" s="92">
        <f>IF(AS35="",0,VLOOKUP(G35,Tables!$B$3:$M$36,11,FALSE())*AC$1)</f>
        <v>0.6</v>
      </c>
      <c r="DU35" s="92">
        <f>IF(AT35="",0,VLOOKUP(H35,Tables!$B$3:$M$36,11,FALSE())*AD$1)</f>
        <v>1.5</v>
      </c>
      <c r="DV35" s="92">
        <f>IF(AU35="",0,VLOOKUP(I35,Tables!$B$3:$M$36,11,FALSE())*AE$1)</f>
        <v>0</v>
      </c>
      <c r="DW35" s="91">
        <f>IF(AV35="",0,VLOOKUP(J35,Tables!$B$3:$M$36,11,FALSE())*AF$1)</f>
        <v>3.5999999999999996</v>
      </c>
      <c r="DX35" s="92">
        <f>IF(AW35="",0,VLOOKUP(K35,Tables!$B$3:$M$36,11,FALSE())*AG$1)</f>
        <v>3.5999999999999996</v>
      </c>
      <c r="DY35" s="92">
        <f>IF(AX35="",0,VLOOKUP(L35,Tables!$B$3:$M$36,11,FALSE())*AH$1)</f>
        <v>3</v>
      </c>
      <c r="DZ35" s="91">
        <f>IF(AY35="",0,VLOOKUP(M35,Tables!$B$3:$M$36,11,FALSE())*AI$1)</f>
        <v>4.2</v>
      </c>
      <c r="EA35" s="92">
        <f>IF(AZ35="",0,VLOOKUP(N35,Tables!$B$3:$M$36,11,FALSE())*AJ$1)</f>
        <v>0</v>
      </c>
      <c r="EB35" s="92">
        <f>IF(BA35="",0,VLOOKUP(O35,Tables!$B$3:$M$36,11,FALSE())*AK$1)</f>
        <v>0</v>
      </c>
      <c r="EC35" s="93">
        <f>IF(BB35="",0,VLOOKUP(P35,Tables!$B$3:$M$36,11,FALSE())*AL$1)</f>
        <v>0</v>
      </c>
      <c r="ED35" s="91">
        <f>IF(AN35="",0,VLOOKUP(B35,Tables!$B$3:$M$36,12,FALSE())*X$1)</f>
        <v>0</v>
      </c>
      <c r="EE35" s="92">
        <f>IF(AO35="",0,VLOOKUP(C35,Tables!$B$3:$M$36,12,FALSE())*Y$1)</f>
        <v>0</v>
      </c>
      <c r="EF35" s="92">
        <f>IF(AP35="",0,VLOOKUP(D35,Tables!$B$3:$M$36,12,FALSE())*Z$1)</f>
        <v>0</v>
      </c>
      <c r="EG35" s="91">
        <f>IF(AQ35="",0,VLOOKUP(E35,Tables!$B$3:$M$36,12,FALSE())*AA$1)</f>
        <v>4.5</v>
      </c>
      <c r="EH35" s="92">
        <f>IF(AR35="",0,VLOOKUP(F35,Tables!$B$3:$M$36,12,FALSE())*AB$1)</f>
        <v>9</v>
      </c>
      <c r="EI35" s="92">
        <f>IF(AS35="",0,VLOOKUP(G35,Tables!$B$3:$M$36,12,FALSE())*AC$1)</f>
        <v>3</v>
      </c>
      <c r="EJ35" s="92">
        <f>IF(AT35="",0,VLOOKUP(H35,Tables!$B$3:$M$36,12,FALSE())*AD$1)</f>
        <v>7.5</v>
      </c>
      <c r="EK35" s="92">
        <f>IF(AU35="",0,VLOOKUP(I35,Tables!$B$3:$M$36,12,FALSE())*AE$1)</f>
        <v>0</v>
      </c>
      <c r="EL35" s="91">
        <f>IF(AV35="",0,VLOOKUP(J35,Tables!$B$3:$M$36,12,FALSE())*AF$1)</f>
        <v>18</v>
      </c>
      <c r="EM35" s="92">
        <f>IF(AW35="",0,VLOOKUP(K35,Tables!$B$3:$M$36,12,FALSE())*AG$1)</f>
        <v>18</v>
      </c>
      <c r="EN35" s="92">
        <f>IF(AX35="",0,VLOOKUP(L35,Tables!$B$3:$M$36,12,FALSE())*AH$1)</f>
        <v>15</v>
      </c>
      <c r="EO35" s="91">
        <f>IF(AY35="",0,VLOOKUP(M35,Tables!$B$3:$M$36,12,FALSE())*AI$1)</f>
        <v>21.000000000000004</v>
      </c>
      <c r="EP35" s="92">
        <f>IF(AZ35="",0,VLOOKUP(N35,Tables!$B$3:$M$36,12,FALSE())*AJ$1)</f>
        <v>0</v>
      </c>
      <c r="EQ35" s="92">
        <f>IF(BA35="",0,VLOOKUP(O35,Tables!$B$3:$M$36,12,FALSE())*AK$1)</f>
        <v>0</v>
      </c>
      <c r="ER35" s="93">
        <f>IF(BB35="",0,VLOOKUP(P35,Tables!$B$3:$M$36,12,FALSE())*AL$1)</f>
        <v>0</v>
      </c>
      <c r="ES35" s="94">
        <f t="shared" si="55"/>
        <v>0</v>
      </c>
      <c r="ET35" s="95">
        <f>IF(AN35="",10,MIN(VLOOKUP(B35,Tables!$B$3:$N$34,13,FALSE()),'Item Builder'!$W35))</f>
        <v>10</v>
      </c>
      <c r="EU35" s="95">
        <f>IF(AO35="",10,MIN(VLOOKUP(C35,Tables!$B$3:$N$34,13,FALSE()),'Item Builder'!$W35))</f>
        <v>10</v>
      </c>
      <c r="EV35" s="95">
        <f>IF(AP35="",10,MIN(VLOOKUP(D35,Tables!$B$3:$N$34,13,FALSE()),'Item Builder'!$W35))</f>
        <v>10</v>
      </c>
      <c r="EW35" s="95">
        <f>IF(AQ35="",10,MIN(VLOOKUP(E35,Tables!$B$3:$N$34,13,FALSE()),'Item Builder'!$W35))</f>
        <v>0</v>
      </c>
      <c r="EX35" s="95">
        <f>IF(AR35="",10,MIN(VLOOKUP(F35,Tables!$B$3:$N$34,13,FALSE()),'Item Builder'!$W35))</f>
        <v>0</v>
      </c>
      <c r="EY35" s="95">
        <f>IF(AS35="",10,MIN(VLOOKUP(G35,Tables!$B$3:$N$34,13,FALSE()),'Item Builder'!$W35))</f>
        <v>0</v>
      </c>
      <c r="EZ35" s="95">
        <f>IF(AT35="",10,MIN(VLOOKUP(H35,Tables!$B$3:$N$34,13,FALSE()),'Item Builder'!$W35))</f>
        <v>0</v>
      </c>
      <c r="FA35" s="95">
        <f>IF(AU35="",10,MIN(VLOOKUP(I35,Tables!$B$3:$N$34,13,FALSE()),'Item Builder'!$W35))</f>
        <v>10</v>
      </c>
      <c r="FB35" s="95">
        <f>IF(AV35="",10,MIN(VLOOKUP(J35,Tables!$B$3:$N$34,13,FALSE()),'Item Builder'!$W35))</f>
        <v>0</v>
      </c>
      <c r="FC35" s="95">
        <f>IF(AW35="",10,MIN(VLOOKUP(K35,Tables!$B$3:$N$34,13,FALSE()),'Item Builder'!$W35))</f>
        <v>0</v>
      </c>
      <c r="FD35" s="95">
        <f>IF(AX35="",10,MIN(VLOOKUP(L35,Tables!$B$3:$N$34,13,FALSE()),'Item Builder'!$W35))</f>
        <v>0</v>
      </c>
      <c r="FE35" s="95">
        <f>IF(AY35="",10,MIN(VLOOKUP(M35,Tables!$B$3:$N$34,13,FALSE()),'Item Builder'!$W35))</f>
        <v>0</v>
      </c>
      <c r="FF35" s="95">
        <f>IF(AZ35="",10,MIN(VLOOKUP(N35,Tables!$B$3:$N$34,13,FALSE()),'Item Builder'!$W35))</f>
        <v>10</v>
      </c>
      <c r="FG35" s="95">
        <f>IF(BA35="",10,MIN(VLOOKUP(O35,Tables!$B$3:$N$34,13,FALSE()),'Item Builder'!$W35))</f>
        <v>10</v>
      </c>
      <c r="FH35" s="98">
        <f>IF(BB35="",10,MIN(VLOOKUP(P35,Tables!$B$3:$N$34,13,FALSE()),'Item Builder'!$W35))</f>
        <v>10</v>
      </c>
    </row>
    <row r="36" spans="1:164" x14ac:dyDescent="0.25">
      <c r="A36" s="67" t="s">
        <v>204</v>
      </c>
      <c r="B36" s="68"/>
      <c r="C36" s="69"/>
      <c r="D36" s="70"/>
      <c r="E36" s="68" t="s">
        <v>101</v>
      </c>
      <c r="F36" s="69"/>
      <c r="G36" s="69"/>
      <c r="H36" s="69"/>
      <c r="I36" s="70"/>
      <c r="J36" s="68" t="s">
        <v>101</v>
      </c>
      <c r="K36" s="69" t="s">
        <v>101</v>
      </c>
      <c r="L36" s="70" t="s">
        <v>101</v>
      </c>
      <c r="M36" s="68" t="s">
        <v>101</v>
      </c>
      <c r="N36" s="69" t="s">
        <v>101</v>
      </c>
      <c r="O36" s="69"/>
      <c r="P36" s="71"/>
      <c r="Q36" s="72">
        <f>SUM(BV36:CJ36)*VLOOKUP(W36,Tables!$W$3:$Z$8,4)</f>
        <v>108</v>
      </c>
      <c r="R36" s="73">
        <f t="shared" si="0"/>
        <v>4.32</v>
      </c>
      <c r="S36" s="74">
        <f t="shared" si="1"/>
        <v>0</v>
      </c>
      <c r="T36" s="74">
        <f t="shared" si="2"/>
        <v>0</v>
      </c>
      <c r="U36" s="75">
        <f t="shared" si="3"/>
        <v>16.2</v>
      </c>
      <c r="V36" s="76">
        <f t="shared" si="4"/>
        <v>81</v>
      </c>
      <c r="W36" s="77">
        <v>0</v>
      </c>
      <c r="X36" s="78">
        <f t="shared" si="5"/>
        <v>0</v>
      </c>
      <c r="Y36" s="79">
        <f t="shared" si="6"/>
        <v>0</v>
      </c>
      <c r="Z36" s="79">
        <f t="shared" si="7"/>
        <v>0</v>
      </c>
      <c r="AA36" s="78">
        <f t="shared" si="8"/>
        <v>1</v>
      </c>
      <c r="AB36" s="79">
        <f t="shared" si="9"/>
        <v>0</v>
      </c>
      <c r="AC36" s="79">
        <f t="shared" si="10"/>
        <v>0</v>
      </c>
      <c r="AD36" s="79">
        <f t="shared" si="11"/>
        <v>0</v>
      </c>
      <c r="AE36" s="79">
        <f t="shared" si="12"/>
        <v>0</v>
      </c>
      <c r="AF36" s="78">
        <f t="shared" si="13"/>
        <v>1</v>
      </c>
      <c r="AG36" s="79">
        <f t="shared" si="14"/>
        <v>1</v>
      </c>
      <c r="AH36" s="79">
        <f t="shared" si="15"/>
        <v>1</v>
      </c>
      <c r="AI36" s="78">
        <f t="shared" si="16"/>
        <v>1</v>
      </c>
      <c r="AJ36" s="79">
        <f t="shared" si="17"/>
        <v>1</v>
      </c>
      <c r="AK36" s="79">
        <f t="shared" si="18"/>
        <v>0</v>
      </c>
      <c r="AL36" s="80">
        <f t="shared" si="19"/>
        <v>0</v>
      </c>
      <c r="AM36" s="81">
        <f t="shared" si="20"/>
        <v>0.54</v>
      </c>
      <c r="AN36" s="82" t="str">
        <f t="shared" si="21"/>
        <v/>
      </c>
      <c r="AO36" s="79" t="str">
        <f t="shared" si="22"/>
        <v/>
      </c>
      <c r="AP36" t="str">
        <f t="shared" si="23"/>
        <v/>
      </c>
      <c r="AQ36" s="82" t="str">
        <f t="shared" si="24"/>
        <v>D</v>
      </c>
      <c r="AR36" t="str">
        <f t="shared" si="25"/>
        <v/>
      </c>
      <c r="AS36" t="str">
        <f t="shared" si="26"/>
        <v/>
      </c>
      <c r="AT36" t="str">
        <f t="shared" si="27"/>
        <v/>
      </c>
      <c r="AU36" t="str">
        <f t="shared" si="28"/>
        <v/>
      </c>
      <c r="AV36" s="82" t="str">
        <f t="shared" si="29"/>
        <v>D</v>
      </c>
      <c r="AW36" t="str">
        <f t="shared" si="30"/>
        <v>D</v>
      </c>
      <c r="AX36" t="str">
        <f t="shared" si="31"/>
        <v>D</v>
      </c>
      <c r="AY36" s="82" t="str">
        <f t="shared" si="32"/>
        <v>D</v>
      </c>
      <c r="AZ36" t="str">
        <f t="shared" si="33"/>
        <v>D</v>
      </c>
      <c r="BA36" t="str">
        <f t="shared" si="34"/>
        <v/>
      </c>
      <c r="BB36" s="83" t="str">
        <f t="shared" si="35"/>
        <v/>
      </c>
      <c r="BC36" s="84">
        <f t="shared" si="36"/>
        <v>0</v>
      </c>
      <c r="BD36" s="84">
        <f t="shared" si="37"/>
        <v>0.14285714285714285</v>
      </c>
      <c r="BE36" s="84">
        <f t="shared" si="38"/>
        <v>1</v>
      </c>
      <c r="BF36" s="84">
        <f t="shared" si="39"/>
        <v>0.47222222222222221</v>
      </c>
      <c r="BG36" s="78">
        <f>IF(AN36="",0,VLOOKUP(AN36,Tables!$AB$3:$AC$12,2))</f>
        <v>0</v>
      </c>
      <c r="BH36" s="79">
        <f>IF(AO36="",0,VLOOKUP(AO36,Tables!$AB$3:$AC$12,2))</f>
        <v>0</v>
      </c>
      <c r="BI36" s="79">
        <f>IF(AP36="",0,VLOOKUP(AP36,Tables!$AB$3:$AC$12,2))</f>
        <v>0</v>
      </c>
      <c r="BJ36" s="78">
        <f>IF(AQ36="",0,VLOOKUP(AQ36,Tables!$AB$3:$AC$12,2))</f>
        <v>1.5</v>
      </c>
      <c r="BK36" s="79">
        <f>IF(AR36="",0,VLOOKUP(AR36,Tables!$AB$3:$AC$12,2))</f>
        <v>0</v>
      </c>
      <c r="BL36" s="79">
        <f>IF(AS36="",0,VLOOKUP(AS36,Tables!$AB$3:$AC$12,2))</f>
        <v>0</v>
      </c>
      <c r="BM36" s="79">
        <f>IF(AT36="",0,VLOOKUP(AT36,Tables!$AB$3:$AC$12,2))</f>
        <v>0</v>
      </c>
      <c r="BN36" s="79">
        <f>IF(AU36="",0,VLOOKUP(AU36,Tables!$AB$3:$AC$12,2))</f>
        <v>0</v>
      </c>
      <c r="BO36" s="78">
        <f>IF(AV36="",0,VLOOKUP(AV36,Tables!$AB$3:$AC$12,2))</f>
        <v>1.5</v>
      </c>
      <c r="BP36" s="79">
        <f>IF(AW36="",0,VLOOKUP(AW36,Tables!$AB$3:$AC$12,2))</f>
        <v>1.5</v>
      </c>
      <c r="BQ36" s="79">
        <f>IF(AX36="",0,VLOOKUP(AX36,Tables!$AB$3:$AC$12,2))</f>
        <v>1.5</v>
      </c>
      <c r="BR36" s="78">
        <f>IF(AY36="",0,VLOOKUP(AY36,Tables!$AB$3:$AC$12,2))</f>
        <v>1.5</v>
      </c>
      <c r="BS36" s="79">
        <f>IF(AZ36="",0,VLOOKUP(AZ36,Tables!$AB$3:$AC$12,2))</f>
        <v>1.5</v>
      </c>
      <c r="BT36" s="79">
        <f>IF(BA36="",0,VLOOKUP(BA36,Tables!$AB$3:$AC$12,2))</f>
        <v>0</v>
      </c>
      <c r="BU36" s="80">
        <f>IF(BB36="",0,VLOOKUP(BB36,Tables!$AB$3:$AC$12,2))</f>
        <v>0</v>
      </c>
      <c r="BV36" s="85">
        <f>IF(AN36="",0,VLOOKUP(B36,Tables!$B$3:$D$36,2,FALSE())*X$1)</f>
        <v>0</v>
      </c>
      <c r="BW36" s="72">
        <f>IF(AO36="",0,VLOOKUP(C36,Tables!$B$3:$D$36,2,FALSE())*Y$1)</f>
        <v>0</v>
      </c>
      <c r="BX36" s="72">
        <f>IF(AP36="",0,VLOOKUP(D36,Tables!$B$3:$D$36,2,FALSE())*Z$1)</f>
        <v>0</v>
      </c>
      <c r="BY36" s="85">
        <f>IF(AQ36="",0,VLOOKUP(E36,Tables!$B$3:$D$36,2,FALSE())*AA$1)</f>
        <v>6</v>
      </c>
      <c r="BZ36" s="72">
        <f>IF(AR36="",0,VLOOKUP(F36,Tables!$B$3:$D$36,2,FALSE())*AB$1)</f>
        <v>0</v>
      </c>
      <c r="CA36" s="72">
        <f>IF(AS36="",0,VLOOKUP(G36,Tables!$B$3:$D$36,2,FALSE())*AC$1)</f>
        <v>0</v>
      </c>
      <c r="CB36" s="72">
        <f>IF(AT36="",0,VLOOKUP(H36,Tables!$B$3:$D$36,2,FALSE())*AD$1)</f>
        <v>0</v>
      </c>
      <c r="CC36" s="72">
        <f>IF(AU36="",0,VLOOKUP(I36,Tables!$B$3:$D$36,2,FALSE())*AE$1)</f>
        <v>0</v>
      </c>
      <c r="CD36" s="85">
        <f>IF(AV36="",0,VLOOKUP(J36,Tables!$B$3:$D$36,2,FALSE())*AF$1)</f>
        <v>24</v>
      </c>
      <c r="CE36" s="72">
        <f>IF(AW36="",0,VLOOKUP(K36,Tables!$B$3:$D$36,2,FALSE())*AG$1)</f>
        <v>24</v>
      </c>
      <c r="CF36" s="72">
        <f>IF(AX36="",0,VLOOKUP(L36,Tables!$B$3:$D$36,2,FALSE())*AH$1)</f>
        <v>20</v>
      </c>
      <c r="CG36" s="85">
        <f>IF(AY36="",0,VLOOKUP(M36,Tables!$B$3:$D$36,2,FALSE())*AI$1)</f>
        <v>28.000000000000004</v>
      </c>
      <c r="CH36" s="72">
        <f>IF(AZ36="",0,VLOOKUP(N36,Tables!$B$3:$D$36,2,FALSE())*AJ$1)</f>
        <v>6</v>
      </c>
      <c r="CI36" s="72">
        <f>IF(BA36="",0,VLOOKUP(O36,Tables!$B$3:$D$36,2,FALSE())*AK$1)</f>
        <v>0</v>
      </c>
      <c r="CJ36" s="86">
        <f>IF(BB36="",0,VLOOKUP(P36,Tables!$B$3:$D$36,2,FALSE())*AL$1)</f>
        <v>0</v>
      </c>
      <c r="CK36" s="87">
        <f>IF(AN36="",0,VLOOKUP(B36,Tables!$B$3:$D$36,3,FALSE())*X$1)*IF(OR(AN36="K",AN36="P"),2,1)</f>
        <v>0</v>
      </c>
      <c r="CL36" s="73">
        <f>IF(AO36="",0,VLOOKUP(C36,Tables!$B$3:$D$36,3,FALSE())*Y$1)*IF(OR(AO36="K",AO36="P"),2,1)</f>
        <v>0</v>
      </c>
      <c r="CM36" s="73">
        <f>IF(AP36="",0,VLOOKUP(D36,Tables!$B$3:$D$36,3,FALSE())*Z$1)*IF(OR(AP36="K",AP36="P"),2,1)</f>
        <v>0</v>
      </c>
      <c r="CN36" s="87">
        <f>IF(AQ36="",0,VLOOKUP(E36,Tables!$B$3:$D$36,3,FALSE())*AA$1)</f>
        <v>0.24</v>
      </c>
      <c r="CO36" s="73">
        <f>IF(AR36="",0,VLOOKUP(F36,Tables!$B$3:$D$36,3,FALSE())*AB$1)</f>
        <v>0</v>
      </c>
      <c r="CP36" s="73">
        <f>IF(AS36="",0,VLOOKUP(G36,Tables!$B$3:$D$36,3,FALSE())*AC$1)</f>
        <v>0</v>
      </c>
      <c r="CQ36" s="73">
        <f>IF(AT36="",0,VLOOKUP(H36,Tables!$B$3:$D$36,3,FALSE())*AD$1)</f>
        <v>0</v>
      </c>
      <c r="CR36" s="73">
        <f>IF(AU36="",0,VLOOKUP(I36,Tables!$B$3:$D$36,3,FALSE())*AE$1)</f>
        <v>0</v>
      </c>
      <c r="CS36" s="87">
        <f>IF(AV36="",0,VLOOKUP(J36,Tables!$B$3:$D$36,3,FALSE())*AF$1)</f>
        <v>0.96</v>
      </c>
      <c r="CT36" s="73">
        <f>IF(AW36="",0,VLOOKUP(K36,Tables!$B$3:$D$36,3,FALSE())*AG$1)</f>
        <v>0.96</v>
      </c>
      <c r="CU36" s="73">
        <f>IF(AX36="",0,VLOOKUP(L36,Tables!$B$3:$D$36,3,FALSE())*AH$1)</f>
        <v>0.8</v>
      </c>
      <c r="CV36" s="87">
        <f>IF(AY36="",0,VLOOKUP(M36,Tables!$B$3:$D$36,3,FALSE())*AI$1)</f>
        <v>1.1200000000000001</v>
      </c>
      <c r="CW36" s="73">
        <f>IF(AZ36="",0,VLOOKUP(N36,Tables!$B$3:$D$36,3,FALSE())*AJ$1)</f>
        <v>0.24</v>
      </c>
      <c r="CX36" s="73">
        <f>IF(BA36="",0,VLOOKUP(O36,Tables!$B$3:$D$36,3,FALSE())*AK$1)</f>
        <v>0</v>
      </c>
      <c r="CY36" s="88">
        <f>IF(BB36="",0,VLOOKUP(P36,Tables!$B$3:$D$36,3,FALSE())*AL$1)</f>
        <v>0</v>
      </c>
      <c r="CZ36" s="89">
        <f t="shared" si="40"/>
        <v>0</v>
      </c>
      <c r="DA36" s="75">
        <f t="shared" si="41"/>
        <v>0</v>
      </c>
      <c r="DB36" s="75">
        <f t="shared" si="42"/>
        <v>0</v>
      </c>
      <c r="DC36" s="89">
        <f t="shared" si="43"/>
        <v>0.8</v>
      </c>
      <c r="DD36" s="75">
        <f t="shared" si="44"/>
        <v>0</v>
      </c>
      <c r="DE36" s="75">
        <f t="shared" si="45"/>
        <v>0</v>
      </c>
      <c r="DF36" s="75">
        <f t="shared" si="46"/>
        <v>0</v>
      </c>
      <c r="DG36" s="75">
        <f t="shared" si="47"/>
        <v>0</v>
      </c>
      <c r="DH36" s="89">
        <f t="shared" si="48"/>
        <v>0.8</v>
      </c>
      <c r="DI36" s="75">
        <f t="shared" si="49"/>
        <v>0.8</v>
      </c>
      <c r="DJ36" s="75">
        <f t="shared" si="50"/>
        <v>0.8</v>
      </c>
      <c r="DK36" s="89">
        <f t="shared" si="51"/>
        <v>0.8</v>
      </c>
      <c r="DL36" s="75">
        <f t="shared" si="52"/>
        <v>0.8</v>
      </c>
      <c r="DM36" s="75">
        <f t="shared" si="53"/>
        <v>0</v>
      </c>
      <c r="DN36" s="90">
        <f t="shared" si="54"/>
        <v>0</v>
      </c>
      <c r="DO36" s="91">
        <f>IF(AN36="",0,VLOOKUP(B36,Tables!$B$3:$M$36,11,FALSE())*X$1)</f>
        <v>0</v>
      </c>
      <c r="DP36" s="92">
        <f>IF(AO36="",0,VLOOKUP(C36,Tables!$B$3:$M$36,11,FALSE())*Y$1)</f>
        <v>0</v>
      </c>
      <c r="DQ36" s="92">
        <f>IF(AP36="",0,VLOOKUP(D36,Tables!$B$3:$M$36,11,FALSE())*Z$1)</f>
        <v>0</v>
      </c>
      <c r="DR36" s="91">
        <f>IF(AQ36="",0,VLOOKUP(E36,Tables!$B$3:$M$36,11,FALSE())*AA$1)</f>
        <v>0.89999999999999991</v>
      </c>
      <c r="DS36" s="92">
        <f>IF(AR36="",0,VLOOKUP(F36,Tables!$B$3:$M$36,11,FALSE())*AB$1)</f>
        <v>0</v>
      </c>
      <c r="DT36" s="92">
        <f>IF(AS36="",0,VLOOKUP(G36,Tables!$B$3:$M$36,11,FALSE())*AC$1)</f>
        <v>0</v>
      </c>
      <c r="DU36" s="92">
        <f>IF(AT36="",0,VLOOKUP(H36,Tables!$B$3:$M$36,11,FALSE())*AD$1)</f>
        <v>0</v>
      </c>
      <c r="DV36" s="92">
        <f>IF(AU36="",0,VLOOKUP(I36,Tables!$B$3:$M$36,11,FALSE())*AE$1)</f>
        <v>0</v>
      </c>
      <c r="DW36" s="91">
        <f>IF(AV36="",0,VLOOKUP(J36,Tables!$B$3:$M$36,11,FALSE())*AF$1)</f>
        <v>3.5999999999999996</v>
      </c>
      <c r="DX36" s="92">
        <f>IF(AW36="",0,VLOOKUP(K36,Tables!$B$3:$M$36,11,FALSE())*AG$1)</f>
        <v>3.5999999999999996</v>
      </c>
      <c r="DY36" s="92">
        <f>IF(AX36="",0,VLOOKUP(L36,Tables!$B$3:$M$36,11,FALSE())*AH$1)</f>
        <v>3</v>
      </c>
      <c r="DZ36" s="91">
        <f>IF(AY36="",0,VLOOKUP(M36,Tables!$B$3:$M$36,11,FALSE())*AI$1)</f>
        <v>4.2</v>
      </c>
      <c r="EA36" s="92">
        <f>IF(AZ36="",0,VLOOKUP(N36,Tables!$B$3:$M$36,11,FALSE())*AJ$1)</f>
        <v>0.89999999999999991</v>
      </c>
      <c r="EB36" s="92">
        <f>IF(BA36="",0,VLOOKUP(O36,Tables!$B$3:$M$36,11,FALSE())*AK$1)</f>
        <v>0</v>
      </c>
      <c r="EC36" s="93">
        <f>IF(BB36="",0,VLOOKUP(P36,Tables!$B$3:$M$36,11,FALSE())*AL$1)</f>
        <v>0</v>
      </c>
      <c r="ED36" s="91">
        <f>IF(AN36="",0,VLOOKUP(B36,Tables!$B$3:$M$36,12,FALSE())*X$1)</f>
        <v>0</v>
      </c>
      <c r="EE36" s="92">
        <f>IF(AO36="",0,VLOOKUP(C36,Tables!$B$3:$M$36,12,FALSE())*Y$1)</f>
        <v>0</v>
      </c>
      <c r="EF36" s="92">
        <f>IF(AP36="",0,VLOOKUP(D36,Tables!$B$3:$M$36,12,FALSE())*Z$1)</f>
        <v>0</v>
      </c>
      <c r="EG36" s="91">
        <f>IF(AQ36="",0,VLOOKUP(E36,Tables!$B$3:$M$36,12,FALSE())*AA$1)</f>
        <v>4.5</v>
      </c>
      <c r="EH36" s="92">
        <f>IF(AR36="",0,VLOOKUP(F36,Tables!$B$3:$M$36,12,FALSE())*AB$1)</f>
        <v>0</v>
      </c>
      <c r="EI36" s="92">
        <f>IF(AS36="",0,VLOOKUP(G36,Tables!$B$3:$M$36,12,FALSE())*AC$1)</f>
        <v>0</v>
      </c>
      <c r="EJ36" s="92">
        <f>IF(AT36="",0,VLOOKUP(H36,Tables!$B$3:$M$36,12,FALSE())*AD$1)</f>
        <v>0</v>
      </c>
      <c r="EK36" s="92">
        <f>IF(AU36="",0,VLOOKUP(I36,Tables!$B$3:$M$36,12,FALSE())*AE$1)</f>
        <v>0</v>
      </c>
      <c r="EL36" s="91">
        <f>IF(AV36="",0,VLOOKUP(J36,Tables!$B$3:$M$36,12,FALSE())*AF$1)</f>
        <v>18</v>
      </c>
      <c r="EM36" s="92">
        <f>IF(AW36="",0,VLOOKUP(K36,Tables!$B$3:$M$36,12,FALSE())*AG$1)</f>
        <v>18</v>
      </c>
      <c r="EN36" s="92">
        <f>IF(AX36="",0,VLOOKUP(L36,Tables!$B$3:$M$36,12,FALSE())*AH$1)</f>
        <v>15</v>
      </c>
      <c r="EO36" s="91">
        <f>IF(AY36="",0,VLOOKUP(M36,Tables!$B$3:$M$36,12,FALSE())*AI$1)</f>
        <v>21.000000000000004</v>
      </c>
      <c r="EP36" s="92">
        <f>IF(AZ36="",0,VLOOKUP(N36,Tables!$B$3:$M$36,12,FALSE())*AJ$1)</f>
        <v>4.5</v>
      </c>
      <c r="EQ36" s="92">
        <f>IF(BA36="",0,VLOOKUP(O36,Tables!$B$3:$M$36,12,FALSE())*AK$1)</f>
        <v>0</v>
      </c>
      <c r="ER36" s="93">
        <f>IF(BB36="",0,VLOOKUP(P36,Tables!$B$3:$M$36,12,FALSE())*AL$1)</f>
        <v>0</v>
      </c>
      <c r="ES36" s="94">
        <f t="shared" si="55"/>
        <v>0</v>
      </c>
      <c r="ET36" s="95">
        <f>IF(AN36="",10,MIN(VLOOKUP(B36,Tables!$B$3:$N$34,13,FALSE()),'Item Builder'!$W36))</f>
        <v>10</v>
      </c>
      <c r="EU36" s="95">
        <f>IF(AO36="",10,MIN(VLOOKUP(C36,Tables!$B$3:$N$34,13,FALSE()),'Item Builder'!$W36))</f>
        <v>10</v>
      </c>
      <c r="EV36" s="95">
        <f>IF(AP36="",10,MIN(VLOOKUP(D36,Tables!$B$3:$N$34,13,FALSE()),'Item Builder'!$W36))</f>
        <v>10</v>
      </c>
      <c r="EW36" s="95">
        <f>IF(AQ36="",10,MIN(VLOOKUP(E36,Tables!$B$3:$N$34,13,FALSE()),'Item Builder'!$W36))</f>
        <v>0</v>
      </c>
      <c r="EX36" s="95">
        <f>IF(AR36="",10,MIN(VLOOKUP(F36,Tables!$B$3:$N$34,13,FALSE()),'Item Builder'!$W36))</f>
        <v>10</v>
      </c>
      <c r="EY36" s="95">
        <f>IF(AS36="",10,MIN(VLOOKUP(G36,Tables!$B$3:$N$34,13,FALSE()),'Item Builder'!$W36))</f>
        <v>10</v>
      </c>
      <c r="EZ36" s="95">
        <f>IF(AT36="",10,MIN(VLOOKUP(H36,Tables!$B$3:$N$34,13,FALSE()),'Item Builder'!$W36))</f>
        <v>10</v>
      </c>
      <c r="FA36" s="95">
        <f>IF(AU36="",10,MIN(VLOOKUP(I36,Tables!$B$3:$N$34,13,FALSE()),'Item Builder'!$W36))</f>
        <v>10</v>
      </c>
      <c r="FB36" s="95">
        <f>IF(AV36="",10,MIN(VLOOKUP(J36,Tables!$B$3:$N$34,13,FALSE()),'Item Builder'!$W36))</f>
        <v>0</v>
      </c>
      <c r="FC36" s="95">
        <f>IF(AW36="",10,MIN(VLOOKUP(K36,Tables!$B$3:$N$34,13,FALSE()),'Item Builder'!$W36))</f>
        <v>0</v>
      </c>
      <c r="FD36" s="95">
        <f>IF(AX36="",10,MIN(VLOOKUP(L36,Tables!$B$3:$N$34,13,FALSE()),'Item Builder'!$W36))</f>
        <v>0</v>
      </c>
      <c r="FE36" s="95">
        <f>IF(AY36="",10,MIN(VLOOKUP(M36,Tables!$B$3:$N$34,13,FALSE()),'Item Builder'!$W36))</f>
        <v>0</v>
      </c>
      <c r="FF36" s="95">
        <f>IF(AZ36="",10,MIN(VLOOKUP(N36,Tables!$B$3:$N$34,13,FALSE()),'Item Builder'!$W36))</f>
        <v>0</v>
      </c>
      <c r="FG36" s="95">
        <f>IF(BA36="",10,MIN(VLOOKUP(O36,Tables!$B$3:$N$34,13,FALSE()),'Item Builder'!$W36))</f>
        <v>10</v>
      </c>
      <c r="FH36" s="98">
        <f>IF(BB36="",10,MIN(VLOOKUP(P36,Tables!$B$3:$N$34,13,FALSE()),'Item Builder'!$W36))</f>
        <v>10</v>
      </c>
    </row>
    <row r="37" spans="1:164" x14ac:dyDescent="0.25">
      <c r="A37" s="67" t="s">
        <v>205</v>
      </c>
      <c r="B37" s="68"/>
      <c r="C37" s="69"/>
      <c r="D37" s="70"/>
      <c r="E37" s="68" t="s">
        <v>178</v>
      </c>
      <c r="F37" s="69" t="s">
        <v>178</v>
      </c>
      <c r="G37" s="69"/>
      <c r="H37" s="69"/>
      <c r="I37" s="70"/>
      <c r="J37" s="68" t="s">
        <v>178</v>
      </c>
      <c r="K37" s="69" t="s">
        <v>178</v>
      </c>
      <c r="L37" s="70" t="s">
        <v>178</v>
      </c>
      <c r="M37" s="68" t="s">
        <v>178</v>
      </c>
      <c r="N37" s="69" t="s">
        <v>178</v>
      </c>
      <c r="O37" s="69"/>
      <c r="P37" s="71"/>
      <c r="Q37" s="72">
        <f>SUM(BV37:CJ37)*VLOOKUP(W37,Tables!$W$3:$Z$8,4)</f>
        <v>120</v>
      </c>
      <c r="R37" s="73">
        <f t="shared" si="0"/>
        <v>4.8</v>
      </c>
      <c r="S37" s="74">
        <f t="shared" si="1"/>
        <v>0</v>
      </c>
      <c r="T37" s="74">
        <f t="shared" si="2"/>
        <v>0</v>
      </c>
      <c r="U37" s="75">
        <f t="shared" si="3"/>
        <v>17.999999999999996</v>
      </c>
      <c r="V37" s="76">
        <f t="shared" si="4"/>
        <v>90</v>
      </c>
      <c r="W37" s="77">
        <v>0</v>
      </c>
      <c r="X37" s="78">
        <f t="shared" si="5"/>
        <v>0</v>
      </c>
      <c r="Y37" s="79">
        <f t="shared" si="6"/>
        <v>0</v>
      </c>
      <c r="Z37" s="79">
        <f t="shared" si="7"/>
        <v>0</v>
      </c>
      <c r="AA37" s="78">
        <f t="shared" si="8"/>
        <v>1</v>
      </c>
      <c r="AB37" s="79">
        <f t="shared" si="9"/>
        <v>1</v>
      </c>
      <c r="AC37" s="79">
        <f t="shared" si="10"/>
        <v>0</v>
      </c>
      <c r="AD37" s="79">
        <f t="shared" si="11"/>
        <v>0</v>
      </c>
      <c r="AE37" s="79">
        <f t="shared" si="12"/>
        <v>0</v>
      </c>
      <c r="AF37" s="78">
        <f t="shared" si="13"/>
        <v>1</v>
      </c>
      <c r="AG37" s="79">
        <f t="shared" si="14"/>
        <v>1</v>
      </c>
      <c r="AH37" s="79">
        <f t="shared" si="15"/>
        <v>1</v>
      </c>
      <c r="AI37" s="78">
        <f t="shared" si="16"/>
        <v>1</v>
      </c>
      <c r="AJ37" s="79">
        <f t="shared" si="17"/>
        <v>1</v>
      </c>
      <c r="AK37" s="79">
        <f t="shared" si="18"/>
        <v>0</v>
      </c>
      <c r="AL37" s="80">
        <f t="shared" si="19"/>
        <v>0</v>
      </c>
      <c r="AM37" s="81">
        <f t="shared" si="20"/>
        <v>0.6</v>
      </c>
      <c r="AN37" s="82" t="str">
        <f t="shared" si="21"/>
        <v/>
      </c>
      <c r="AO37" s="79" t="str">
        <f t="shared" si="22"/>
        <v/>
      </c>
      <c r="AP37" t="str">
        <f t="shared" si="23"/>
        <v/>
      </c>
      <c r="AQ37" s="82" t="str">
        <f t="shared" si="24"/>
        <v>D</v>
      </c>
      <c r="AR37" t="str">
        <f t="shared" si="25"/>
        <v>D</v>
      </c>
      <c r="AS37" t="str">
        <f t="shared" si="26"/>
        <v/>
      </c>
      <c r="AT37" t="str">
        <f t="shared" si="27"/>
        <v/>
      </c>
      <c r="AU37" t="str">
        <f t="shared" si="28"/>
        <v/>
      </c>
      <c r="AV37" s="82" t="str">
        <f t="shared" si="29"/>
        <v>D</v>
      </c>
      <c r="AW37" t="str">
        <f t="shared" si="30"/>
        <v>D</v>
      </c>
      <c r="AX37" t="str">
        <f t="shared" si="31"/>
        <v>D</v>
      </c>
      <c r="AY37" s="82" t="str">
        <f t="shared" si="32"/>
        <v>D</v>
      </c>
      <c r="AZ37" t="str">
        <f t="shared" si="33"/>
        <v>D</v>
      </c>
      <c r="BA37" t="str">
        <f t="shared" si="34"/>
        <v/>
      </c>
      <c r="BB37" s="83" t="str">
        <f t="shared" si="35"/>
        <v/>
      </c>
      <c r="BC37" s="84">
        <f t="shared" si="36"/>
        <v>0</v>
      </c>
      <c r="BD37" s="84">
        <f t="shared" si="37"/>
        <v>0.42857142857142849</v>
      </c>
      <c r="BE37" s="84">
        <f t="shared" si="38"/>
        <v>1</v>
      </c>
      <c r="BF37" s="84">
        <f t="shared" si="39"/>
        <v>0.47222222222222221</v>
      </c>
      <c r="BG37" s="78">
        <f>IF(AN37="",0,VLOOKUP(AN37,Tables!$AB$3:$AC$12,2))</f>
        <v>0</v>
      </c>
      <c r="BH37" s="79">
        <f>IF(AO37="",0,VLOOKUP(AO37,Tables!$AB$3:$AC$12,2))</f>
        <v>0</v>
      </c>
      <c r="BI37" s="79">
        <f>IF(AP37="",0,VLOOKUP(AP37,Tables!$AB$3:$AC$12,2))</f>
        <v>0</v>
      </c>
      <c r="BJ37" s="78">
        <f>IF(AQ37="",0,VLOOKUP(AQ37,Tables!$AB$3:$AC$12,2))</f>
        <v>1.5</v>
      </c>
      <c r="BK37" s="79">
        <f>IF(AR37="",0,VLOOKUP(AR37,Tables!$AB$3:$AC$12,2))</f>
        <v>1.5</v>
      </c>
      <c r="BL37" s="79">
        <f>IF(AS37="",0,VLOOKUP(AS37,Tables!$AB$3:$AC$12,2))</f>
        <v>0</v>
      </c>
      <c r="BM37" s="79">
        <f>IF(AT37="",0,VLOOKUP(AT37,Tables!$AB$3:$AC$12,2))</f>
        <v>0</v>
      </c>
      <c r="BN37" s="79">
        <f>IF(AU37="",0,VLOOKUP(AU37,Tables!$AB$3:$AC$12,2))</f>
        <v>0</v>
      </c>
      <c r="BO37" s="78">
        <f>IF(AV37="",0,VLOOKUP(AV37,Tables!$AB$3:$AC$12,2))</f>
        <v>1.5</v>
      </c>
      <c r="BP37" s="79">
        <f>IF(AW37="",0,VLOOKUP(AW37,Tables!$AB$3:$AC$12,2))</f>
        <v>1.5</v>
      </c>
      <c r="BQ37" s="79">
        <f>IF(AX37="",0,VLOOKUP(AX37,Tables!$AB$3:$AC$12,2))</f>
        <v>1.5</v>
      </c>
      <c r="BR37" s="78">
        <f>IF(AY37="",0,VLOOKUP(AY37,Tables!$AB$3:$AC$12,2))</f>
        <v>1.5</v>
      </c>
      <c r="BS37" s="79">
        <f>IF(AZ37="",0,VLOOKUP(AZ37,Tables!$AB$3:$AC$12,2))</f>
        <v>1.5</v>
      </c>
      <c r="BT37" s="79">
        <f>IF(BA37="",0,VLOOKUP(BA37,Tables!$AB$3:$AC$12,2))</f>
        <v>0</v>
      </c>
      <c r="BU37" s="80">
        <f>IF(BB37="",0,VLOOKUP(BB37,Tables!$AB$3:$AC$12,2))</f>
        <v>0</v>
      </c>
      <c r="BV37" s="85">
        <f>IF(AN37="",0,VLOOKUP(B37,Tables!$B$3:$D$36,2,FALSE())*X$1)</f>
        <v>0</v>
      </c>
      <c r="BW37" s="72">
        <f>IF(AO37="",0,VLOOKUP(C37,Tables!$B$3:$D$36,2,FALSE())*Y$1)</f>
        <v>0</v>
      </c>
      <c r="BX37" s="72">
        <f>IF(AP37="",0,VLOOKUP(D37,Tables!$B$3:$D$36,2,FALSE())*Z$1)</f>
        <v>0</v>
      </c>
      <c r="BY37" s="85">
        <f>IF(AQ37="",0,VLOOKUP(E37,Tables!$B$3:$D$36,2,FALSE())*AA$1)</f>
        <v>6</v>
      </c>
      <c r="BZ37" s="72">
        <f>IF(AR37="",0,VLOOKUP(F37,Tables!$B$3:$D$36,2,FALSE())*AB$1)</f>
        <v>12</v>
      </c>
      <c r="CA37" s="72">
        <f>IF(AS37="",0,VLOOKUP(G37,Tables!$B$3:$D$36,2,FALSE())*AC$1)</f>
        <v>0</v>
      </c>
      <c r="CB37" s="72">
        <f>IF(AT37="",0,VLOOKUP(H37,Tables!$B$3:$D$36,2,FALSE())*AD$1)</f>
        <v>0</v>
      </c>
      <c r="CC37" s="72">
        <f>IF(AU37="",0,VLOOKUP(I37,Tables!$B$3:$D$36,2,FALSE())*AE$1)</f>
        <v>0</v>
      </c>
      <c r="CD37" s="85">
        <f>IF(AV37="",0,VLOOKUP(J37,Tables!$B$3:$D$36,2,FALSE())*AF$1)</f>
        <v>24</v>
      </c>
      <c r="CE37" s="72">
        <f>IF(AW37="",0,VLOOKUP(K37,Tables!$B$3:$D$36,2,FALSE())*AG$1)</f>
        <v>24</v>
      </c>
      <c r="CF37" s="72">
        <f>IF(AX37="",0,VLOOKUP(L37,Tables!$B$3:$D$36,2,FALSE())*AH$1)</f>
        <v>20</v>
      </c>
      <c r="CG37" s="85">
        <f>IF(AY37="",0,VLOOKUP(M37,Tables!$B$3:$D$36,2,FALSE())*AI$1)</f>
        <v>28.000000000000004</v>
      </c>
      <c r="CH37" s="72">
        <f>IF(AZ37="",0,VLOOKUP(N37,Tables!$B$3:$D$36,2,FALSE())*AJ$1)</f>
        <v>6</v>
      </c>
      <c r="CI37" s="72">
        <f>IF(BA37="",0,VLOOKUP(O37,Tables!$B$3:$D$36,2,FALSE())*AK$1)</f>
        <v>0</v>
      </c>
      <c r="CJ37" s="86">
        <f>IF(BB37="",0,VLOOKUP(P37,Tables!$B$3:$D$36,2,FALSE())*AL$1)</f>
        <v>0</v>
      </c>
      <c r="CK37" s="87">
        <f>IF(AN37="",0,VLOOKUP(B37,Tables!$B$3:$D$36,3,FALSE())*X$1)*IF(OR(AN37="K",AN37="P"),2,1)</f>
        <v>0</v>
      </c>
      <c r="CL37" s="73">
        <f>IF(AO37="",0,VLOOKUP(C37,Tables!$B$3:$D$36,3,FALSE())*Y$1)*IF(OR(AO37="K",AO37="P"),2,1)</f>
        <v>0</v>
      </c>
      <c r="CM37" s="73">
        <f>IF(AP37="",0,VLOOKUP(D37,Tables!$B$3:$D$36,3,FALSE())*Z$1)*IF(OR(AP37="K",AP37="P"),2,1)</f>
        <v>0</v>
      </c>
      <c r="CN37" s="87">
        <f>IF(AQ37="",0,VLOOKUP(E37,Tables!$B$3:$D$36,3,FALSE())*AA$1)</f>
        <v>0.24</v>
      </c>
      <c r="CO37" s="73">
        <f>IF(AR37="",0,VLOOKUP(F37,Tables!$B$3:$D$36,3,FALSE())*AB$1)</f>
        <v>0.48</v>
      </c>
      <c r="CP37" s="73">
        <f>IF(AS37="",0,VLOOKUP(G37,Tables!$B$3:$D$36,3,FALSE())*AC$1)</f>
        <v>0</v>
      </c>
      <c r="CQ37" s="73">
        <f>IF(AT37="",0,VLOOKUP(H37,Tables!$B$3:$D$36,3,FALSE())*AD$1)</f>
        <v>0</v>
      </c>
      <c r="CR37" s="73">
        <f>IF(AU37="",0,VLOOKUP(I37,Tables!$B$3:$D$36,3,FALSE())*AE$1)</f>
        <v>0</v>
      </c>
      <c r="CS37" s="87">
        <f>IF(AV37="",0,VLOOKUP(J37,Tables!$B$3:$D$36,3,FALSE())*AF$1)</f>
        <v>0.96</v>
      </c>
      <c r="CT37" s="73">
        <f>IF(AW37="",0,VLOOKUP(K37,Tables!$B$3:$D$36,3,FALSE())*AG$1)</f>
        <v>0.96</v>
      </c>
      <c r="CU37" s="73">
        <f>IF(AX37="",0,VLOOKUP(L37,Tables!$B$3:$D$36,3,FALSE())*AH$1)</f>
        <v>0.8</v>
      </c>
      <c r="CV37" s="87">
        <f>IF(AY37="",0,VLOOKUP(M37,Tables!$B$3:$D$36,3,FALSE())*AI$1)</f>
        <v>1.1200000000000001</v>
      </c>
      <c r="CW37" s="73">
        <f>IF(AZ37="",0,VLOOKUP(N37,Tables!$B$3:$D$36,3,FALSE())*AJ$1)</f>
        <v>0.24</v>
      </c>
      <c r="CX37" s="73">
        <f>IF(BA37="",0,VLOOKUP(O37,Tables!$B$3:$D$36,3,FALSE())*AK$1)</f>
        <v>0</v>
      </c>
      <c r="CY37" s="88">
        <f>IF(BB37="",0,VLOOKUP(P37,Tables!$B$3:$D$36,3,FALSE())*AL$1)</f>
        <v>0</v>
      </c>
      <c r="CZ37" s="89">
        <f t="shared" si="40"/>
        <v>0</v>
      </c>
      <c r="DA37" s="75">
        <f t="shared" si="41"/>
        <v>0</v>
      </c>
      <c r="DB37" s="75">
        <f t="shared" si="42"/>
        <v>0</v>
      </c>
      <c r="DC37" s="89">
        <f t="shared" si="43"/>
        <v>0.8</v>
      </c>
      <c r="DD37" s="75">
        <f t="shared" si="44"/>
        <v>0.8</v>
      </c>
      <c r="DE37" s="75">
        <f t="shared" si="45"/>
        <v>0</v>
      </c>
      <c r="DF37" s="75">
        <f t="shared" si="46"/>
        <v>0</v>
      </c>
      <c r="DG37" s="75">
        <f t="shared" si="47"/>
        <v>0</v>
      </c>
      <c r="DH37" s="89">
        <f t="shared" si="48"/>
        <v>0.8</v>
      </c>
      <c r="DI37" s="75">
        <f t="shared" si="49"/>
        <v>0.8</v>
      </c>
      <c r="DJ37" s="75">
        <f t="shared" si="50"/>
        <v>0.8</v>
      </c>
      <c r="DK37" s="89">
        <f t="shared" si="51"/>
        <v>0.8</v>
      </c>
      <c r="DL37" s="75">
        <f t="shared" si="52"/>
        <v>0.8</v>
      </c>
      <c r="DM37" s="75">
        <f t="shared" si="53"/>
        <v>0</v>
      </c>
      <c r="DN37" s="90">
        <f t="shared" si="54"/>
        <v>0</v>
      </c>
      <c r="DO37" s="91">
        <f>IF(AN37="",0,VLOOKUP(B37,Tables!$B$3:$M$36,11,FALSE())*X$1)</f>
        <v>0</v>
      </c>
      <c r="DP37" s="92">
        <f>IF(AO37="",0,VLOOKUP(C37,Tables!$B$3:$M$36,11,FALSE())*Y$1)</f>
        <v>0</v>
      </c>
      <c r="DQ37" s="92">
        <f>IF(AP37="",0,VLOOKUP(D37,Tables!$B$3:$M$36,11,FALSE())*Z$1)</f>
        <v>0</v>
      </c>
      <c r="DR37" s="91">
        <f>IF(AQ37="",0,VLOOKUP(E37,Tables!$B$3:$M$36,11,FALSE())*AA$1)</f>
        <v>0.89999999999999991</v>
      </c>
      <c r="DS37" s="92">
        <f>IF(AR37="",0,VLOOKUP(F37,Tables!$B$3:$M$36,11,FALSE())*AB$1)</f>
        <v>1.7999999999999998</v>
      </c>
      <c r="DT37" s="92">
        <f>IF(AS37="",0,VLOOKUP(G37,Tables!$B$3:$M$36,11,FALSE())*AC$1)</f>
        <v>0</v>
      </c>
      <c r="DU37" s="92">
        <f>IF(AT37="",0,VLOOKUP(H37,Tables!$B$3:$M$36,11,FALSE())*AD$1)</f>
        <v>0</v>
      </c>
      <c r="DV37" s="92">
        <f>IF(AU37="",0,VLOOKUP(I37,Tables!$B$3:$M$36,11,FALSE())*AE$1)</f>
        <v>0</v>
      </c>
      <c r="DW37" s="91">
        <f>IF(AV37="",0,VLOOKUP(J37,Tables!$B$3:$M$36,11,FALSE())*AF$1)</f>
        <v>3.5999999999999996</v>
      </c>
      <c r="DX37" s="92">
        <f>IF(AW37="",0,VLOOKUP(K37,Tables!$B$3:$M$36,11,FALSE())*AG$1)</f>
        <v>3.5999999999999996</v>
      </c>
      <c r="DY37" s="92">
        <f>IF(AX37="",0,VLOOKUP(L37,Tables!$B$3:$M$36,11,FALSE())*AH$1)</f>
        <v>3</v>
      </c>
      <c r="DZ37" s="91">
        <f>IF(AY37="",0,VLOOKUP(M37,Tables!$B$3:$M$36,11,FALSE())*AI$1)</f>
        <v>4.2</v>
      </c>
      <c r="EA37" s="92">
        <f>IF(AZ37="",0,VLOOKUP(N37,Tables!$B$3:$M$36,11,FALSE())*AJ$1)</f>
        <v>0.89999999999999991</v>
      </c>
      <c r="EB37" s="92">
        <f>IF(BA37="",0,VLOOKUP(O37,Tables!$B$3:$M$36,11,FALSE())*AK$1)</f>
        <v>0</v>
      </c>
      <c r="EC37" s="93">
        <f>IF(BB37="",0,VLOOKUP(P37,Tables!$B$3:$M$36,11,FALSE())*AL$1)</f>
        <v>0</v>
      </c>
      <c r="ED37" s="91">
        <f>IF(AN37="",0,VLOOKUP(B37,Tables!$B$3:$M$36,12,FALSE())*X$1)</f>
        <v>0</v>
      </c>
      <c r="EE37" s="92">
        <f>IF(AO37="",0,VLOOKUP(C37,Tables!$B$3:$M$36,12,FALSE())*Y$1)</f>
        <v>0</v>
      </c>
      <c r="EF37" s="92">
        <f>IF(AP37="",0,VLOOKUP(D37,Tables!$B$3:$M$36,12,FALSE())*Z$1)</f>
        <v>0</v>
      </c>
      <c r="EG37" s="91">
        <f>IF(AQ37="",0,VLOOKUP(E37,Tables!$B$3:$M$36,12,FALSE())*AA$1)</f>
        <v>4.5</v>
      </c>
      <c r="EH37" s="92">
        <f>IF(AR37="",0,VLOOKUP(F37,Tables!$B$3:$M$36,12,FALSE())*AB$1)</f>
        <v>9</v>
      </c>
      <c r="EI37" s="92">
        <f>IF(AS37="",0,VLOOKUP(G37,Tables!$B$3:$M$36,12,FALSE())*AC$1)</f>
        <v>0</v>
      </c>
      <c r="EJ37" s="92">
        <f>IF(AT37="",0,VLOOKUP(H37,Tables!$B$3:$M$36,12,FALSE())*AD$1)</f>
        <v>0</v>
      </c>
      <c r="EK37" s="92">
        <f>IF(AU37="",0,VLOOKUP(I37,Tables!$B$3:$M$36,12,FALSE())*AE$1)</f>
        <v>0</v>
      </c>
      <c r="EL37" s="91">
        <f>IF(AV37="",0,VLOOKUP(J37,Tables!$B$3:$M$36,12,FALSE())*AF$1)</f>
        <v>18</v>
      </c>
      <c r="EM37" s="92">
        <f>IF(AW37="",0,VLOOKUP(K37,Tables!$B$3:$M$36,12,FALSE())*AG$1)</f>
        <v>18</v>
      </c>
      <c r="EN37" s="92">
        <f>IF(AX37="",0,VLOOKUP(L37,Tables!$B$3:$M$36,12,FALSE())*AH$1)</f>
        <v>15</v>
      </c>
      <c r="EO37" s="91">
        <f>IF(AY37="",0,VLOOKUP(M37,Tables!$B$3:$M$36,12,FALSE())*AI$1)</f>
        <v>21.000000000000004</v>
      </c>
      <c r="EP37" s="92">
        <f>IF(AZ37="",0,VLOOKUP(N37,Tables!$B$3:$M$36,12,FALSE())*AJ$1)</f>
        <v>4.5</v>
      </c>
      <c r="EQ37" s="92">
        <f>IF(BA37="",0,VLOOKUP(O37,Tables!$B$3:$M$36,12,FALSE())*AK$1)</f>
        <v>0</v>
      </c>
      <c r="ER37" s="93">
        <f>IF(BB37="",0,VLOOKUP(P37,Tables!$B$3:$M$36,12,FALSE())*AL$1)</f>
        <v>0</v>
      </c>
      <c r="ES37" s="94">
        <f t="shared" si="55"/>
        <v>0</v>
      </c>
      <c r="ET37" s="95">
        <f>IF(AN37="",10,MIN(VLOOKUP(B37,Tables!$B$3:$N$34,13,FALSE()),'Item Builder'!$W37))</f>
        <v>10</v>
      </c>
      <c r="EU37" s="95">
        <f>IF(AO37="",10,MIN(VLOOKUP(C37,Tables!$B$3:$N$34,13,FALSE()),'Item Builder'!$W37))</f>
        <v>10</v>
      </c>
      <c r="EV37" s="95">
        <f>IF(AP37="",10,MIN(VLOOKUP(D37,Tables!$B$3:$N$34,13,FALSE()),'Item Builder'!$W37))</f>
        <v>10</v>
      </c>
      <c r="EW37" s="95">
        <f>IF(AQ37="",10,MIN(VLOOKUP(E37,Tables!$B$3:$N$34,13,FALSE()),'Item Builder'!$W37))</f>
        <v>0</v>
      </c>
      <c r="EX37" s="95">
        <f>IF(AR37="",10,MIN(VLOOKUP(F37,Tables!$B$3:$N$34,13,FALSE()),'Item Builder'!$W37))</f>
        <v>0</v>
      </c>
      <c r="EY37" s="95">
        <f>IF(AS37="",10,MIN(VLOOKUP(G37,Tables!$B$3:$N$34,13,FALSE()),'Item Builder'!$W37))</f>
        <v>10</v>
      </c>
      <c r="EZ37" s="95">
        <f>IF(AT37="",10,MIN(VLOOKUP(H37,Tables!$B$3:$N$34,13,FALSE()),'Item Builder'!$W37))</f>
        <v>10</v>
      </c>
      <c r="FA37" s="95">
        <f>IF(AU37="",10,MIN(VLOOKUP(I37,Tables!$B$3:$N$34,13,FALSE()),'Item Builder'!$W37))</f>
        <v>10</v>
      </c>
      <c r="FB37" s="95">
        <f>IF(AV37="",10,MIN(VLOOKUP(J37,Tables!$B$3:$N$34,13,FALSE()),'Item Builder'!$W37))</f>
        <v>0</v>
      </c>
      <c r="FC37" s="95">
        <f>IF(AW37="",10,MIN(VLOOKUP(K37,Tables!$B$3:$N$34,13,FALSE()),'Item Builder'!$W37))</f>
        <v>0</v>
      </c>
      <c r="FD37" s="95">
        <f>IF(AX37="",10,MIN(VLOOKUP(L37,Tables!$B$3:$N$34,13,FALSE()),'Item Builder'!$W37))</f>
        <v>0</v>
      </c>
      <c r="FE37" s="95">
        <f>IF(AY37="",10,MIN(VLOOKUP(M37,Tables!$B$3:$N$34,13,FALSE()),'Item Builder'!$W37))</f>
        <v>0</v>
      </c>
      <c r="FF37" s="95">
        <f>IF(AZ37="",10,MIN(VLOOKUP(N37,Tables!$B$3:$N$34,13,FALSE()),'Item Builder'!$W37))</f>
        <v>0</v>
      </c>
      <c r="FG37" s="95">
        <f>IF(BA37="",10,MIN(VLOOKUP(O37,Tables!$B$3:$N$34,13,FALSE()),'Item Builder'!$W37))</f>
        <v>10</v>
      </c>
      <c r="FH37" s="98">
        <f>IF(BB37="",10,MIN(VLOOKUP(P37,Tables!$B$3:$N$34,13,FALSE()),'Item Builder'!$W37))</f>
        <v>10</v>
      </c>
    </row>
    <row r="38" spans="1:164" x14ac:dyDescent="0.25">
      <c r="A38" s="67" t="s">
        <v>206</v>
      </c>
      <c r="B38" s="68"/>
      <c r="C38" s="69"/>
      <c r="D38" s="70"/>
      <c r="E38" s="68" t="s">
        <v>178</v>
      </c>
      <c r="F38" s="69"/>
      <c r="G38" s="69"/>
      <c r="H38" s="69"/>
      <c r="I38" s="70"/>
      <c r="J38" s="68" t="s">
        <v>178</v>
      </c>
      <c r="K38" s="69" t="s">
        <v>178</v>
      </c>
      <c r="L38" s="70" t="s">
        <v>178</v>
      </c>
      <c r="M38" s="68" t="s">
        <v>178</v>
      </c>
      <c r="N38" s="69" t="s">
        <v>178</v>
      </c>
      <c r="O38" s="69" t="s">
        <v>178</v>
      </c>
      <c r="P38" s="71"/>
      <c r="Q38" s="72">
        <f>SUM(BV38:CJ38)*VLOOKUP(W38,Tables!$W$3:$Z$8,4)</f>
        <v>132</v>
      </c>
      <c r="R38" s="73">
        <f t="shared" si="0"/>
        <v>5.28</v>
      </c>
      <c r="S38" s="74">
        <f t="shared" si="1"/>
        <v>0</v>
      </c>
      <c r="T38" s="74">
        <f t="shared" si="2"/>
        <v>0</v>
      </c>
      <c r="U38" s="75">
        <f t="shared" si="3"/>
        <v>19.799999999999997</v>
      </c>
      <c r="V38" s="76">
        <f t="shared" si="4"/>
        <v>99</v>
      </c>
      <c r="W38" s="77">
        <v>0</v>
      </c>
      <c r="X38" s="78">
        <f t="shared" si="5"/>
        <v>0</v>
      </c>
      <c r="Y38" s="79">
        <f t="shared" si="6"/>
        <v>0</v>
      </c>
      <c r="Z38" s="79">
        <f t="shared" si="7"/>
        <v>0</v>
      </c>
      <c r="AA38" s="78">
        <f t="shared" si="8"/>
        <v>1</v>
      </c>
      <c r="AB38" s="79">
        <f t="shared" si="9"/>
        <v>0</v>
      </c>
      <c r="AC38" s="79">
        <f t="shared" si="10"/>
        <v>0</v>
      </c>
      <c r="AD38" s="79">
        <f t="shared" si="11"/>
        <v>0</v>
      </c>
      <c r="AE38" s="79">
        <f t="shared" si="12"/>
        <v>0</v>
      </c>
      <c r="AF38" s="78">
        <f t="shared" si="13"/>
        <v>1</v>
      </c>
      <c r="AG38" s="79">
        <f t="shared" si="14"/>
        <v>1</v>
      </c>
      <c r="AH38" s="79">
        <f t="shared" si="15"/>
        <v>1</v>
      </c>
      <c r="AI38" s="78">
        <f t="shared" si="16"/>
        <v>1</v>
      </c>
      <c r="AJ38" s="79">
        <f t="shared" si="17"/>
        <v>1</v>
      </c>
      <c r="AK38" s="79">
        <f t="shared" si="18"/>
        <v>1</v>
      </c>
      <c r="AL38" s="80">
        <f t="shared" si="19"/>
        <v>0</v>
      </c>
      <c r="AM38" s="81">
        <f t="shared" si="20"/>
        <v>0.66</v>
      </c>
      <c r="AN38" s="82" t="str">
        <f t="shared" si="21"/>
        <v/>
      </c>
      <c r="AO38" s="79" t="str">
        <f t="shared" si="22"/>
        <v/>
      </c>
      <c r="AP38" t="str">
        <f t="shared" si="23"/>
        <v/>
      </c>
      <c r="AQ38" s="82" t="str">
        <f t="shared" si="24"/>
        <v>D</v>
      </c>
      <c r="AR38" t="str">
        <f t="shared" si="25"/>
        <v/>
      </c>
      <c r="AS38" t="str">
        <f t="shared" si="26"/>
        <v/>
      </c>
      <c r="AT38" t="str">
        <f t="shared" si="27"/>
        <v/>
      </c>
      <c r="AU38" t="str">
        <f t="shared" si="28"/>
        <v/>
      </c>
      <c r="AV38" s="82" t="str">
        <f t="shared" si="29"/>
        <v>D</v>
      </c>
      <c r="AW38" t="str">
        <f t="shared" si="30"/>
        <v>D</v>
      </c>
      <c r="AX38" t="str">
        <f t="shared" si="31"/>
        <v>D</v>
      </c>
      <c r="AY38" s="82" t="str">
        <f t="shared" si="32"/>
        <v>D</v>
      </c>
      <c r="AZ38" t="str">
        <f t="shared" si="33"/>
        <v>D</v>
      </c>
      <c r="BA38" t="str">
        <f t="shared" si="34"/>
        <v>D</v>
      </c>
      <c r="BB38" s="83" t="str">
        <f t="shared" si="35"/>
        <v/>
      </c>
      <c r="BC38" s="84">
        <f t="shared" si="36"/>
        <v>0</v>
      </c>
      <c r="BD38" s="84">
        <f t="shared" si="37"/>
        <v>0.14285714285714285</v>
      </c>
      <c r="BE38" s="84">
        <f t="shared" si="38"/>
        <v>1</v>
      </c>
      <c r="BF38" s="84">
        <f t="shared" si="39"/>
        <v>0.80555555555555558</v>
      </c>
      <c r="BG38" s="78">
        <f>IF(AN38="",0,VLOOKUP(AN38,Tables!$AB$3:$AC$12,2))</f>
        <v>0</v>
      </c>
      <c r="BH38" s="79">
        <f>IF(AO38="",0,VLOOKUP(AO38,Tables!$AB$3:$AC$12,2))</f>
        <v>0</v>
      </c>
      <c r="BI38" s="79">
        <f>IF(AP38="",0,VLOOKUP(AP38,Tables!$AB$3:$AC$12,2))</f>
        <v>0</v>
      </c>
      <c r="BJ38" s="78">
        <f>IF(AQ38="",0,VLOOKUP(AQ38,Tables!$AB$3:$AC$12,2))</f>
        <v>1.5</v>
      </c>
      <c r="BK38" s="79">
        <f>IF(AR38="",0,VLOOKUP(AR38,Tables!$AB$3:$AC$12,2))</f>
        <v>0</v>
      </c>
      <c r="BL38" s="79">
        <f>IF(AS38="",0,VLOOKUP(AS38,Tables!$AB$3:$AC$12,2))</f>
        <v>0</v>
      </c>
      <c r="BM38" s="79">
        <f>IF(AT38="",0,VLOOKUP(AT38,Tables!$AB$3:$AC$12,2))</f>
        <v>0</v>
      </c>
      <c r="BN38" s="79">
        <f>IF(AU38="",0,VLOOKUP(AU38,Tables!$AB$3:$AC$12,2))</f>
        <v>0</v>
      </c>
      <c r="BO38" s="78">
        <f>IF(AV38="",0,VLOOKUP(AV38,Tables!$AB$3:$AC$12,2))</f>
        <v>1.5</v>
      </c>
      <c r="BP38" s="79">
        <f>IF(AW38="",0,VLOOKUP(AW38,Tables!$AB$3:$AC$12,2))</f>
        <v>1.5</v>
      </c>
      <c r="BQ38" s="79">
        <f>IF(AX38="",0,VLOOKUP(AX38,Tables!$AB$3:$AC$12,2))</f>
        <v>1.5</v>
      </c>
      <c r="BR38" s="78">
        <f>IF(AY38="",0,VLOOKUP(AY38,Tables!$AB$3:$AC$12,2))</f>
        <v>1.5</v>
      </c>
      <c r="BS38" s="79">
        <f>IF(AZ38="",0,VLOOKUP(AZ38,Tables!$AB$3:$AC$12,2))</f>
        <v>1.5</v>
      </c>
      <c r="BT38" s="79">
        <f>IF(BA38="",0,VLOOKUP(BA38,Tables!$AB$3:$AC$12,2))</f>
        <v>1.5</v>
      </c>
      <c r="BU38" s="80">
        <f>IF(BB38="",0,VLOOKUP(BB38,Tables!$AB$3:$AC$12,2))</f>
        <v>0</v>
      </c>
      <c r="BV38" s="85">
        <f>IF(AN38="",0,VLOOKUP(B38,Tables!$B$3:$D$36,2,FALSE())*X$1)</f>
        <v>0</v>
      </c>
      <c r="BW38" s="72">
        <f>IF(AO38="",0,VLOOKUP(C38,Tables!$B$3:$D$36,2,FALSE())*Y$1)</f>
        <v>0</v>
      </c>
      <c r="BX38" s="72">
        <f>IF(AP38="",0,VLOOKUP(D38,Tables!$B$3:$D$36,2,FALSE())*Z$1)</f>
        <v>0</v>
      </c>
      <c r="BY38" s="85">
        <f>IF(AQ38="",0,VLOOKUP(E38,Tables!$B$3:$D$36,2,FALSE())*AA$1)</f>
        <v>6</v>
      </c>
      <c r="BZ38" s="72">
        <f>IF(AR38="",0,VLOOKUP(F38,Tables!$B$3:$D$36,2,FALSE())*AB$1)</f>
        <v>0</v>
      </c>
      <c r="CA38" s="72">
        <f>IF(AS38="",0,VLOOKUP(G38,Tables!$B$3:$D$36,2,FALSE())*AC$1)</f>
        <v>0</v>
      </c>
      <c r="CB38" s="72">
        <f>IF(AT38="",0,VLOOKUP(H38,Tables!$B$3:$D$36,2,FALSE())*AD$1)</f>
        <v>0</v>
      </c>
      <c r="CC38" s="72">
        <f>IF(AU38="",0,VLOOKUP(I38,Tables!$B$3:$D$36,2,FALSE())*AE$1)</f>
        <v>0</v>
      </c>
      <c r="CD38" s="85">
        <f>IF(AV38="",0,VLOOKUP(J38,Tables!$B$3:$D$36,2,FALSE())*AF$1)</f>
        <v>24</v>
      </c>
      <c r="CE38" s="72">
        <f>IF(AW38="",0,VLOOKUP(K38,Tables!$B$3:$D$36,2,FALSE())*AG$1)</f>
        <v>24</v>
      </c>
      <c r="CF38" s="72">
        <f>IF(AX38="",0,VLOOKUP(L38,Tables!$B$3:$D$36,2,FALSE())*AH$1)</f>
        <v>20</v>
      </c>
      <c r="CG38" s="85">
        <f>IF(AY38="",0,VLOOKUP(M38,Tables!$B$3:$D$36,2,FALSE())*AI$1)</f>
        <v>28.000000000000004</v>
      </c>
      <c r="CH38" s="72">
        <f>IF(AZ38="",0,VLOOKUP(N38,Tables!$B$3:$D$36,2,FALSE())*AJ$1)</f>
        <v>6</v>
      </c>
      <c r="CI38" s="72">
        <f>IF(BA38="",0,VLOOKUP(O38,Tables!$B$3:$D$36,2,FALSE())*AK$1)</f>
        <v>24</v>
      </c>
      <c r="CJ38" s="86">
        <f>IF(BB38="",0,VLOOKUP(P38,Tables!$B$3:$D$36,2,FALSE())*AL$1)</f>
        <v>0</v>
      </c>
      <c r="CK38" s="87">
        <f>IF(AN38="",0,VLOOKUP(B38,Tables!$B$3:$D$36,3,FALSE())*X$1)*IF(OR(AN38="K",AN38="P"),2,1)</f>
        <v>0</v>
      </c>
      <c r="CL38" s="73">
        <f>IF(AO38="",0,VLOOKUP(C38,Tables!$B$3:$D$36,3,FALSE())*Y$1)*IF(OR(AO38="K",AO38="P"),2,1)</f>
        <v>0</v>
      </c>
      <c r="CM38" s="73">
        <f>IF(AP38="",0,VLOOKUP(D38,Tables!$B$3:$D$36,3,FALSE())*Z$1)*IF(OR(AP38="K",AP38="P"),2,1)</f>
        <v>0</v>
      </c>
      <c r="CN38" s="87">
        <f>IF(AQ38="",0,VLOOKUP(E38,Tables!$B$3:$D$36,3,FALSE())*AA$1)</f>
        <v>0.24</v>
      </c>
      <c r="CO38" s="73">
        <f>IF(AR38="",0,VLOOKUP(F38,Tables!$B$3:$D$36,3,FALSE())*AB$1)</f>
        <v>0</v>
      </c>
      <c r="CP38" s="73">
        <f>IF(AS38="",0,VLOOKUP(G38,Tables!$B$3:$D$36,3,FALSE())*AC$1)</f>
        <v>0</v>
      </c>
      <c r="CQ38" s="73">
        <f>IF(AT38="",0,VLOOKUP(H38,Tables!$B$3:$D$36,3,FALSE())*AD$1)</f>
        <v>0</v>
      </c>
      <c r="CR38" s="73">
        <f>IF(AU38="",0,VLOOKUP(I38,Tables!$B$3:$D$36,3,FALSE())*AE$1)</f>
        <v>0</v>
      </c>
      <c r="CS38" s="87">
        <f>IF(AV38="",0,VLOOKUP(J38,Tables!$B$3:$D$36,3,FALSE())*AF$1)</f>
        <v>0.96</v>
      </c>
      <c r="CT38" s="73">
        <f>IF(AW38="",0,VLOOKUP(K38,Tables!$B$3:$D$36,3,FALSE())*AG$1)</f>
        <v>0.96</v>
      </c>
      <c r="CU38" s="73">
        <f>IF(AX38="",0,VLOOKUP(L38,Tables!$B$3:$D$36,3,FALSE())*AH$1)</f>
        <v>0.8</v>
      </c>
      <c r="CV38" s="87">
        <f>IF(AY38="",0,VLOOKUP(M38,Tables!$B$3:$D$36,3,FALSE())*AI$1)</f>
        <v>1.1200000000000001</v>
      </c>
      <c r="CW38" s="73">
        <f>IF(AZ38="",0,VLOOKUP(N38,Tables!$B$3:$D$36,3,FALSE())*AJ$1)</f>
        <v>0.24</v>
      </c>
      <c r="CX38" s="73">
        <f>IF(BA38="",0,VLOOKUP(O38,Tables!$B$3:$D$36,3,FALSE())*AK$1)</f>
        <v>0.96</v>
      </c>
      <c r="CY38" s="88">
        <f>IF(BB38="",0,VLOOKUP(P38,Tables!$B$3:$D$36,3,FALSE())*AL$1)</f>
        <v>0</v>
      </c>
      <c r="CZ38" s="89">
        <f t="shared" si="40"/>
        <v>0</v>
      </c>
      <c r="DA38" s="75">
        <f t="shared" si="41"/>
        <v>0</v>
      </c>
      <c r="DB38" s="75">
        <f t="shared" si="42"/>
        <v>0</v>
      </c>
      <c r="DC38" s="89">
        <f t="shared" si="43"/>
        <v>0.8</v>
      </c>
      <c r="DD38" s="75">
        <f t="shared" si="44"/>
        <v>0</v>
      </c>
      <c r="DE38" s="75">
        <f t="shared" si="45"/>
        <v>0</v>
      </c>
      <c r="DF38" s="75">
        <f t="shared" si="46"/>
        <v>0</v>
      </c>
      <c r="DG38" s="75">
        <f t="shared" si="47"/>
        <v>0</v>
      </c>
      <c r="DH38" s="89">
        <f t="shared" si="48"/>
        <v>0.8</v>
      </c>
      <c r="DI38" s="75">
        <f t="shared" si="49"/>
        <v>0.8</v>
      </c>
      <c r="DJ38" s="75">
        <f t="shared" si="50"/>
        <v>0.8</v>
      </c>
      <c r="DK38" s="89">
        <f t="shared" si="51"/>
        <v>0.8</v>
      </c>
      <c r="DL38" s="75">
        <f t="shared" si="52"/>
        <v>0.8</v>
      </c>
      <c r="DM38" s="75">
        <f t="shared" si="53"/>
        <v>0.8</v>
      </c>
      <c r="DN38" s="90">
        <f t="shared" si="54"/>
        <v>0</v>
      </c>
      <c r="DO38" s="91">
        <f>IF(AN38="",0,VLOOKUP(B38,Tables!$B$3:$M$36,11,FALSE())*X$1)</f>
        <v>0</v>
      </c>
      <c r="DP38" s="92">
        <f>IF(AO38="",0,VLOOKUP(C38,Tables!$B$3:$M$36,11,FALSE())*Y$1)</f>
        <v>0</v>
      </c>
      <c r="DQ38" s="92">
        <f>IF(AP38="",0,VLOOKUP(D38,Tables!$B$3:$M$36,11,FALSE())*Z$1)</f>
        <v>0</v>
      </c>
      <c r="DR38" s="91">
        <f>IF(AQ38="",0,VLOOKUP(E38,Tables!$B$3:$M$36,11,FALSE())*AA$1)</f>
        <v>0.89999999999999991</v>
      </c>
      <c r="DS38" s="92">
        <f>IF(AR38="",0,VLOOKUP(F38,Tables!$B$3:$M$36,11,FALSE())*AB$1)</f>
        <v>0</v>
      </c>
      <c r="DT38" s="92">
        <f>IF(AS38="",0,VLOOKUP(G38,Tables!$B$3:$M$36,11,FALSE())*AC$1)</f>
        <v>0</v>
      </c>
      <c r="DU38" s="92">
        <f>IF(AT38="",0,VLOOKUP(H38,Tables!$B$3:$M$36,11,FALSE())*AD$1)</f>
        <v>0</v>
      </c>
      <c r="DV38" s="92">
        <f>IF(AU38="",0,VLOOKUP(I38,Tables!$B$3:$M$36,11,FALSE())*AE$1)</f>
        <v>0</v>
      </c>
      <c r="DW38" s="91">
        <f>IF(AV38="",0,VLOOKUP(J38,Tables!$B$3:$M$36,11,FALSE())*AF$1)</f>
        <v>3.5999999999999996</v>
      </c>
      <c r="DX38" s="92">
        <f>IF(AW38="",0,VLOOKUP(K38,Tables!$B$3:$M$36,11,FALSE())*AG$1)</f>
        <v>3.5999999999999996</v>
      </c>
      <c r="DY38" s="92">
        <f>IF(AX38="",0,VLOOKUP(L38,Tables!$B$3:$M$36,11,FALSE())*AH$1)</f>
        <v>3</v>
      </c>
      <c r="DZ38" s="91">
        <f>IF(AY38="",0,VLOOKUP(M38,Tables!$B$3:$M$36,11,FALSE())*AI$1)</f>
        <v>4.2</v>
      </c>
      <c r="EA38" s="92">
        <f>IF(AZ38="",0,VLOOKUP(N38,Tables!$B$3:$M$36,11,FALSE())*AJ$1)</f>
        <v>0.89999999999999991</v>
      </c>
      <c r="EB38" s="92">
        <f>IF(BA38="",0,VLOOKUP(O38,Tables!$B$3:$M$36,11,FALSE())*AK$1)</f>
        <v>3.5999999999999996</v>
      </c>
      <c r="EC38" s="93">
        <f>IF(BB38="",0,VLOOKUP(P38,Tables!$B$3:$M$36,11,FALSE())*AL$1)</f>
        <v>0</v>
      </c>
      <c r="ED38" s="91">
        <f>IF(AN38="",0,VLOOKUP(B38,Tables!$B$3:$M$36,12,FALSE())*X$1)</f>
        <v>0</v>
      </c>
      <c r="EE38" s="92">
        <f>IF(AO38="",0,VLOOKUP(C38,Tables!$B$3:$M$36,12,FALSE())*Y$1)</f>
        <v>0</v>
      </c>
      <c r="EF38" s="92">
        <f>IF(AP38="",0,VLOOKUP(D38,Tables!$B$3:$M$36,12,FALSE())*Z$1)</f>
        <v>0</v>
      </c>
      <c r="EG38" s="91">
        <f>IF(AQ38="",0,VLOOKUP(E38,Tables!$B$3:$M$36,12,FALSE())*AA$1)</f>
        <v>4.5</v>
      </c>
      <c r="EH38" s="92">
        <f>IF(AR38="",0,VLOOKUP(F38,Tables!$B$3:$M$36,12,FALSE())*AB$1)</f>
        <v>0</v>
      </c>
      <c r="EI38" s="92">
        <f>IF(AS38="",0,VLOOKUP(G38,Tables!$B$3:$M$36,12,FALSE())*AC$1)</f>
        <v>0</v>
      </c>
      <c r="EJ38" s="92">
        <f>IF(AT38="",0,VLOOKUP(H38,Tables!$B$3:$M$36,12,FALSE())*AD$1)</f>
        <v>0</v>
      </c>
      <c r="EK38" s="92">
        <f>IF(AU38="",0,VLOOKUP(I38,Tables!$B$3:$M$36,12,FALSE())*AE$1)</f>
        <v>0</v>
      </c>
      <c r="EL38" s="91">
        <f>IF(AV38="",0,VLOOKUP(J38,Tables!$B$3:$M$36,12,FALSE())*AF$1)</f>
        <v>18</v>
      </c>
      <c r="EM38" s="92">
        <f>IF(AW38="",0,VLOOKUP(K38,Tables!$B$3:$M$36,12,FALSE())*AG$1)</f>
        <v>18</v>
      </c>
      <c r="EN38" s="92">
        <f>IF(AX38="",0,VLOOKUP(L38,Tables!$B$3:$M$36,12,FALSE())*AH$1)</f>
        <v>15</v>
      </c>
      <c r="EO38" s="91">
        <f>IF(AY38="",0,VLOOKUP(M38,Tables!$B$3:$M$36,12,FALSE())*AI$1)</f>
        <v>21.000000000000004</v>
      </c>
      <c r="EP38" s="92">
        <f>IF(AZ38="",0,VLOOKUP(N38,Tables!$B$3:$M$36,12,FALSE())*AJ$1)</f>
        <v>4.5</v>
      </c>
      <c r="EQ38" s="92">
        <f>IF(BA38="",0,VLOOKUP(O38,Tables!$B$3:$M$36,12,FALSE())*AK$1)</f>
        <v>18</v>
      </c>
      <c r="ER38" s="93">
        <f>IF(BB38="",0,VLOOKUP(P38,Tables!$B$3:$M$36,12,FALSE())*AL$1)</f>
        <v>0</v>
      </c>
      <c r="ES38" s="94">
        <f t="shared" si="55"/>
        <v>0</v>
      </c>
      <c r="ET38" s="95">
        <f>IF(AN38="",10,MIN(VLOOKUP(B38,Tables!$B$3:$N$34,13,FALSE()),'Item Builder'!$W38))</f>
        <v>10</v>
      </c>
      <c r="EU38" s="95">
        <f>IF(AO38="",10,MIN(VLOOKUP(C38,Tables!$B$3:$N$34,13,FALSE()),'Item Builder'!$W38))</f>
        <v>10</v>
      </c>
      <c r="EV38" s="95">
        <f>IF(AP38="",10,MIN(VLOOKUP(D38,Tables!$B$3:$N$34,13,FALSE()),'Item Builder'!$W38))</f>
        <v>10</v>
      </c>
      <c r="EW38" s="95">
        <f>IF(AQ38="",10,MIN(VLOOKUP(E38,Tables!$B$3:$N$34,13,FALSE()),'Item Builder'!$W38))</f>
        <v>0</v>
      </c>
      <c r="EX38" s="95">
        <f>IF(AR38="",10,MIN(VLOOKUP(F38,Tables!$B$3:$N$34,13,FALSE()),'Item Builder'!$W38))</f>
        <v>10</v>
      </c>
      <c r="EY38" s="95">
        <f>IF(AS38="",10,MIN(VLOOKUP(G38,Tables!$B$3:$N$34,13,FALSE()),'Item Builder'!$W38))</f>
        <v>10</v>
      </c>
      <c r="EZ38" s="95">
        <f>IF(AT38="",10,MIN(VLOOKUP(H38,Tables!$B$3:$N$34,13,FALSE()),'Item Builder'!$W38))</f>
        <v>10</v>
      </c>
      <c r="FA38" s="95">
        <f>IF(AU38="",10,MIN(VLOOKUP(I38,Tables!$B$3:$N$34,13,FALSE()),'Item Builder'!$W38))</f>
        <v>10</v>
      </c>
      <c r="FB38" s="95">
        <f>IF(AV38="",10,MIN(VLOOKUP(J38,Tables!$B$3:$N$34,13,FALSE()),'Item Builder'!$W38))</f>
        <v>0</v>
      </c>
      <c r="FC38" s="95">
        <f>IF(AW38="",10,MIN(VLOOKUP(K38,Tables!$B$3:$N$34,13,FALSE()),'Item Builder'!$W38))</f>
        <v>0</v>
      </c>
      <c r="FD38" s="95">
        <f>IF(AX38="",10,MIN(VLOOKUP(L38,Tables!$B$3:$N$34,13,FALSE()),'Item Builder'!$W38))</f>
        <v>0</v>
      </c>
      <c r="FE38" s="95">
        <f>IF(AY38="",10,MIN(VLOOKUP(M38,Tables!$B$3:$N$34,13,FALSE()),'Item Builder'!$W38))</f>
        <v>0</v>
      </c>
      <c r="FF38" s="95">
        <f>IF(AZ38="",10,MIN(VLOOKUP(N38,Tables!$B$3:$N$34,13,FALSE()),'Item Builder'!$W38))</f>
        <v>0</v>
      </c>
      <c r="FG38" s="95">
        <f>IF(BA38="",10,MIN(VLOOKUP(O38,Tables!$B$3:$N$34,13,FALSE()),'Item Builder'!$W38))</f>
        <v>0</v>
      </c>
      <c r="FH38" s="98">
        <f>IF(BB38="",10,MIN(VLOOKUP(P38,Tables!$B$3:$N$34,13,FALSE()),'Item Builder'!$W38))</f>
        <v>10</v>
      </c>
    </row>
    <row r="39" spans="1:164" x14ac:dyDescent="0.25">
      <c r="A39" s="67" t="s">
        <v>39</v>
      </c>
      <c r="B39" s="68"/>
      <c r="C39" s="69"/>
      <c r="D39" s="70"/>
      <c r="E39" s="68"/>
      <c r="F39" s="69"/>
      <c r="G39" s="69"/>
      <c r="H39" s="69"/>
      <c r="I39" s="70"/>
      <c r="J39" s="68"/>
      <c r="K39" s="69"/>
      <c r="L39" s="70"/>
      <c r="M39" s="68" t="s">
        <v>101</v>
      </c>
      <c r="N39" s="69" t="s">
        <v>101</v>
      </c>
      <c r="O39" s="69"/>
      <c r="P39" s="71"/>
      <c r="Q39" s="72">
        <f>SUM(BV39:CJ39)*VLOOKUP(W39,Tables!$W$3:$Z$8,4)</f>
        <v>34</v>
      </c>
      <c r="R39" s="73">
        <f t="shared" si="0"/>
        <v>1.36</v>
      </c>
      <c r="S39" s="74">
        <f t="shared" si="1"/>
        <v>0</v>
      </c>
      <c r="T39" s="74">
        <f t="shared" si="2"/>
        <v>0</v>
      </c>
      <c r="U39" s="75">
        <f t="shared" si="3"/>
        <v>5.0999999999999996</v>
      </c>
      <c r="V39" s="76">
        <f t="shared" si="4"/>
        <v>25.500000000000004</v>
      </c>
      <c r="W39" s="77">
        <v>0</v>
      </c>
      <c r="X39" s="78">
        <f t="shared" si="5"/>
        <v>0</v>
      </c>
      <c r="Y39" s="79">
        <f t="shared" si="6"/>
        <v>0</v>
      </c>
      <c r="Z39" s="79">
        <f t="shared" si="7"/>
        <v>0</v>
      </c>
      <c r="AA39" s="78">
        <f t="shared" si="8"/>
        <v>0</v>
      </c>
      <c r="AB39" s="79">
        <f t="shared" si="9"/>
        <v>0</v>
      </c>
      <c r="AC39" s="79">
        <f t="shared" si="10"/>
        <v>0</v>
      </c>
      <c r="AD39" s="79">
        <f t="shared" si="11"/>
        <v>0</v>
      </c>
      <c r="AE39" s="79">
        <f t="shared" si="12"/>
        <v>0</v>
      </c>
      <c r="AF39" s="78">
        <f t="shared" si="13"/>
        <v>0</v>
      </c>
      <c r="AG39" s="79">
        <f t="shared" si="14"/>
        <v>0</v>
      </c>
      <c r="AH39" s="79">
        <f t="shared" si="15"/>
        <v>0</v>
      </c>
      <c r="AI39" s="78">
        <f t="shared" si="16"/>
        <v>1</v>
      </c>
      <c r="AJ39" s="79">
        <f t="shared" si="17"/>
        <v>1</v>
      </c>
      <c r="AK39" s="79">
        <f t="shared" si="18"/>
        <v>0</v>
      </c>
      <c r="AL39" s="80">
        <f t="shared" si="19"/>
        <v>0</v>
      </c>
      <c r="AM39" s="81">
        <f t="shared" si="20"/>
        <v>0.17</v>
      </c>
      <c r="AN39" s="82" t="str">
        <f t="shared" si="21"/>
        <v/>
      </c>
      <c r="AO39" s="79" t="str">
        <f t="shared" si="22"/>
        <v/>
      </c>
      <c r="AP39" t="str">
        <f t="shared" si="23"/>
        <v/>
      </c>
      <c r="AQ39" s="82" t="str">
        <f t="shared" si="24"/>
        <v/>
      </c>
      <c r="AR39" t="str">
        <f t="shared" si="25"/>
        <v/>
      </c>
      <c r="AS39" t="str">
        <f t="shared" si="26"/>
        <v/>
      </c>
      <c r="AT39" t="str">
        <f t="shared" si="27"/>
        <v/>
      </c>
      <c r="AU39" t="str">
        <f t="shared" si="28"/>
        <v/>
      </c>
      <c r="AV39" s="82" t="str">
        <f t="shared" si="29"/>
        <v/>
      </c>
      <c r="AW39" t="str">
        <f t="shared" si="30"/>
        <v/>
      </c>
      <c r="AX39" t="str">
        <f t="shared" si="31"/>
        <v/>
      </c>
      <c r="AY39" s="82" t="str">
        <f t="shared" si="32"/>
        <v>D</v>
      </c>
      <c r="AZ39" t="str">
        <f t="shared" si="33"/>
        <v>D</v>
      </c>
      <c r="BA39" t="str">
        <f t="shared" si="34"/>
        <v/>
      </c>
      <c r="BB39" s="83" t="str">
        <f t="shared" si="35"/>
        <v/>
      </c>
      <c r="BC39" s="84">
        <f t="shared" si="36"/>
        <v>0</v>
      </c>
      <c r="BD39" s="84">
        <f t="shared" si="37"/>
        <v>0</v>
      </c>
      <c r="BE39" s="84">
        <f t="shared" si="38"/>
        <v>0</v>
      </c>
      <c r="BF39" s="84">
        <f t="shared" si="39"/>
        <v>0.47222222222222221</v>
      </c>
      <c r="BG39" s="78">
        <f>IF(AN39="",0,VLOOKUP(AN39,Tables!$AB$3:$AC$12,2))</f>
        <v>0</v>
      </c>
      <c r="BH39" s="79">
        <f>IF(AO39="",0,VLOOKUP(AO39,Tables!$AB$3:$AC$12,2))</f>
        <v>0</v>
      </c>
      <c r="BI39" s="79">
        <f>IF(AP39="",0,VLOOKUP(AP39,Tables!$AB$3:$AC$12,2))</f>
        <v>0</v>
      </c>
      <c r="BJ39" s="78">
        <f>IF(AQ39="",0,VLOOKUP(AQ39,Tables!$AB$3:$AC$12,2))</f>
        <v>0</v>
      </c>
      <c r="BK39" s="79">
        <f>IF(AR39="",0,VLOOKUP(AR39,Tables!$AB$3:$AC$12,2))</f>
        <v>0</v>
      </c>
      <c r="BL39" s="79">
        <f>IF(AS39="",0,VLOOKUP(AS39,Tables!$AB$3:$AC$12,2))</f>
        <v>0</v>
      </c>
      <c r="BM39" s="79">
        <f>IF(AT39="",0,VLOOKUP(AT39,Tables!$AB$3:$AC$12,2))</f>
        <v>0</v>
      </c>
      <c r="BN39" s="79">
        <f>IF(AU39="",0,VLOOKUP(AU39,Tables!$AB$3:$AC$12,2))</f>
        <v>0</v>
      </c>
      <c r="BO39" s="78">
        <f>IF(AV39="",0,VLOOKUP(AV39,Tables!$AB$3:$AC$12,2))</f>
        <v>0</v>
      </c>
      <c r="BP39" s="79">
        <f>IF(AW39="",0,VLOOKUP(AW39,Tables!$AB$3:$AC$12,2))</f>
        <v>0</v>
      </c>
      <c r="BQ39" s="79">
        <f>IF(AX39="",0,VLOOKUP(AX39,Tables!$AB$3:$AC$12,2))</f>
        <v>0</v>
      </c>
      <c r="BR39" s="78">
        <f>IF(AY39="",0,VLOOKUP(AY39,Tables!$AB$3:$AC$12,2))</f>
        <v>1.5</v>
      </c>
      <c r="BS39" s="79">
        <f>IF(AZ39="",0,VLOOKUP(AZ39,Tables!$AB$3:$AC$12,2))</f>
        <v>1.5</v>
      </c>
      <c r="BT39" s="79">
        <f>IF(BA39="",0,VLOOKUP(BA39,Tables!$AB$3:$AC$12,2))</f>
        <v>0</v>
      </c>
      <c r="BU39" s="80">
        <f>IF(BB39="",0,VLOOKUP(BB39,Tables!$AB$3:$AC$12,2))</f>
        <v>0</v>
      </c>
      <c r="BV39" s="85">
        <f>IF(AN39="",0,VLOOKUP(B39,Tables!$B$3:$D$36,2,FALSE())*X$1)</f>
        <v>0</v>
      </c>
      <c r="BW39" s="72">
        <f>IF(AO39="",0,VLOOKUP(C39,Tables!$B$3:$D$36,2,FALSE())*Y$1)</f>
        <v>0</v>
      </c>
      <c r="BX39" s="72">
        <f>IF(AP39="",0,VLOOKUP(D39,Tables!$B$3:$D$36,2,FALSE())*Z$1)</f>
        <v>0</v>
      </c>
      <c r="BY39" s="85">
        <f>IF(AQ39="",0,VLOOKUP(E39,Tables!$B$3:$D$36,2,FALSE())*AA$1)</f>
        <v>0</v>
      </c>
      <c r="BZ39" s="72">
        <f>IF(AR39="",0,VLOOKUP(F39,Tables!$B$3:$D$36,2,FALSE())*AB$1)</f>
        <v>0</v>
      </c>
      <c r="CA39" s="72">
        <f>IF(AS39="",0,VLOOKUP(G39,Tables!$B$3:$D$36,2,FALSE())*AC$1)</f>
        <v>0</v>
      </c>
      <c r="CB39" s="72">
        <f>IF(AT39="",0,VLOOKUP(H39,Tables!$B$3:$D$36,2,FALSE())*AD$1)</f>
        <v>0</v>
      </c>
      <c r="CC39" s="72">
        <f>IF(AU39="",0,VLOOKUP(I39,Tables!$B$3:$D$36,2,FALSE())*AE$1)</f>
        <v>0</v>
      </c>
      <c r="CD39" s="85">
        <f>IF(AV39="",0,VLOOKUP(J39,Tables!$B$3:$D$36,2,FALSE())*AF$1)</f>
        <v>0</v>
      </c>
      <c r="CE39" s="72">
        <f>IF(AW39="",0,VLOOKUP(K39,Tables!$B$3:$D$36,2,FALSE())*AG$1)</f>
        <v>0</v>
      </c>
      <c r="CF39" s="72">
        <f>IF(AX39="",0,VLOOKUP(L39,Tables!$B$3:$D$36,2,FALSE())*AH$1)</f>
        <v>0</v>
      </c>
      <c r="CG39" s="85">
        <f>IF(AY39="",0,VLOOKUP(M39,Tables!$B$3:$D$36,2,FALSE())*AI$1)</f>
        <v>28.000000000000004</v>
      </c>
      <c r="CH39" s="72">
        <f>IF(AZ39="",0,VLOOKUP(N39,Tables!$B$3:$D$36,2,FALSE())*AJ$1)</f>
        <v>6</v>
      </c>
      <c r="CI39" s="72">
        <f>IF(BA39="",0,VLOOKUP(O39,Tables!$B$3:$D$36,2,FALSE())*AK$1)</f>
        <v>0</v>
      </c>
      <c r="CJ39" s="86">
        <f>IF(BB39="",0,VLOOKUP(P39,Tables!$B$3:$D$36,2,FALSE())*AL$1)</f>
        <v>0</v>
      </c>
      <c r="CK39" s="87">
        <f>IF(AN39="",0,VLOOKUP(B39,Tables!$B$3:$D$36,3,FALSE())*X$1)*IF(OR(AN39="K",AN39="P"),2,1)</f>
        <v>0</v>
      </c>
      <c r="CL39" s="73">
        <f>IF(AO39="",0,VLOOKUP(C39,Tables!$B$3:$D$36,3,FALSE())*Y$1)*IF(OR(AO39="K",AO39="P"),2,1)</f>
        <v>0</v>
      </c>
      <c r="CM39" s="73">
        <f>IF(AP39="",0,VLOOKUP(D39,Tables!$B$3:$D$36,3,FALSE())*Z$1)*IF(OR(AP39="K",AP39="P"),2,1)</f>
        <v>0</v>
      </c>
      <c r="CN39" s="87">
        <f>IF(AQ39="",0,VLOOKUP(E39,Tables!$B$3:$D$36,3,FALSE())*AA$1)</f>
        <v>0</v>
      </c>
      <c r="CO39" s="73">
        <f>IF(AR39="",0,VLOOKUP(F39,Tables!$B$3:$D$36,3,FALSE())*AB$1)</f>
        <v>0</v>
      </c>
      <c r="CP39" s="73">
        <f>IF(AS39="",0,VLOOKUP(G39,Tables!$B$3:$D$36,3,FALSE())*AC$1)</f>
        <v>0</v>
      </c>
      <c r="CQ39" s="73">
        <f>IF(AT39="",0,VLOOKUP(H39,Tables!$B$3:$D$36,3,FALSE())*AD$1)</f>
        <v>0</v>
      </c>
      <c r="CR39" s="73">
        <f>IF(AU39="",0,VLOOKUP(I39,Tables!$B$3:$D$36,3,FALSE())*AE$1)</f>
        <v>0</v>
      </c>
      <c r="CS39" s="87">
        <f>IF(AV39="",0,VLOOKUP(J39,Tables!$B$3:$D$36,3,FALSE())*AF$1)</f>
        <v>0</v>
      </c>
      <c r="CT39" s="73">
        <f>IF(AW39="",0,VLOOKUP(K39,Tables!$B$3:$D$36,3,FALSE())*AG$1)</f>
        <v>0</v>
      </c>
      <c r="CU39" s="73">
        <f>IF(AX39="",0,VLOOKUP(L39,Tables!$B$3:$D$36,3,FALSE())*AH$1)</f>
        <v>0</v>
      </c>
      <c r="CV39" s="87">
        <f>IF(AY39="",0,VLOOKUP(M39,Tables!$B$3:$D$36,3,FALSE())*AI$1)</f>
        <v>1.1200000000000001</v>
      </c>
      <c r="CW39" s="73">
        <f>IF(AZ39="",0,VLOOKUP(N39,Tables!$B$3:$D$36,3,FALSE())*AJ$1)</f>
        <v>0.24</v>
      </c>
      <c r="CX39" s="73">
        <f>IF(BA39="",0,VLOOKUP(O39,Tables!$B$3:$D$36,3,FALSE())*AK$1)</f>
        <v>0</v>
      </c>
      <c r="CY39" s="88">
        <f>IF(BB39="",0,VLOOKUP(P39,Tables!$B$3:$D$36,3,FALSE())*AL$1)</f>
        <v>0</v>
      </c>
      <c r="CZ39" s="89">
        <f t="shared" si="40"/>
        <v>0</v>
      </c>
      <c r="DA39" s="75">
        <f t="shared" si="41"/>
        <v>0</v>
      </c>
      <c r="DB39" s="75">
        <f t="shared" si="42"/>
        <v>0</v>
      </c>
      <c r="DC39" s="89">
        <f t="shared" si="43"/>
        <v>0</v>
      </c>
      <c r="DD39" s="75">
        <f t="shared" si="44"/>
        <v>0</v>
      </c>
      <c r="DE39" s="75">
        <f t="shared" si="45"/>
        <v>0</v>
      </c>
      <c r="DF39" s="75">
        <f t="shared" si="46"/>
        <v>0</v>
      </c>
      <c r="DG39" s="75">
        <f t="shared" si="47"/>
        <v>0</v>
      </c>
      <c r="DH39" s="89">
        <f t="shared" si="48"/>
        <v>0</v>
      </c>
      <c r="DI39" s="75">
        <f t="shared" si="49"/>
        <v>0</v>
      </c>
      <c r="DJ39" s="75">
        <f t="shared" si="50"/>
        <v>0</v>
      </c>
      <c r="DK39" s="89">
        <f t="shared" si="51"/>
        <v>0.8</v>
      </c>
      <c r="DL39" s="75">
        <f t="shared" si="52"/>
        <v>0.8</v>
      </c>
      <c r="DM39" s="75">
        <f t="shared" si="53"/>
        <v>0</v>
      </c>
      <c r="DN39" s="90">
        <f t="shared" si="54"/>
        <v>0</v>
      </c>
      <c r="DO39" s="91">
        <f>IF(AN39="",0,VLOOKUP(B39,Tables!$B$3:$M$36,11,FALSE())*X$1)</f>
        <v>0</v>
      </c>
      <c r="DP39" s="92">
        <f>IF(AO39="",0,VLOOKUP(C39,Tables!$B$3:$M$36,11,FALSE())*Y$1)</f>
        <v>0</v>
      </c>
      <c r="DQ39" s="92">
        <f>IF(AP39="",0,VLOOKUP(D39,Tables!$B$3:$M$36,11,FALSE())*Z$1)</f>
        <v>0</v>
      </c>
      <c r="DR39" s="91">
        <f>IF(AQ39="",0,VLOOKUP(E39,Tables!$B$3:$M$36,11,FALSE())*AA$1)</f>
        <v>0</v>
      </c>
      <c r="DS39" s="92">
        <f>IF(AR39="",0,VLOOKUP(F39,Tables!$B$3:$M$36,11,FALSE())*AB$1)</f>
        <v>0</v>
      </c>
      <c r="DT39" s="92">
        <f>IF(AS39="",0,VLOOKUP(G39,Tables!$B$3:$M$36,11,FALSE())*AC$1)</f>
        <v>0</v>
      </c>
      <c r="DU39" s="92">
        <f>IF(AT39="",0,VLOOKUP(H39,Tables!$B$3:$M$36,11,FALSE())*AD$1)</f>
        <v>0</v>
      </c>
      <c r="DV39" s="92">
        <f>IF(AU39="",0,VLOOKUP(I39,Tables!$B$3:$M$36,11,FALSE())*AE$1)</f>
        <v>0</v>
      </c>
      <c r="DW39" s="91">
        <f>IF(AV39="",0,VLOOKUP(J39,Tables!$B$3:$M$36,11,FALSE())*AF$1)</f>
        <v>0</v>
      </c>
      <c r="DX39" s="92">
        <f>IF(AW39="",0,VLOOKUP(K39,Tables!$B$3:$M$36,11,FALSE())*AG$1)</f>
        <v>0</v>
      </c>
      <c r="DY39" s="92">
        <f>IF(AX39="",0,VLOOKUP(L39,Tables!$B$3:$M$36,11,FALSE())*AH$1)</f>
        <v>0</v>
      </c>
      <c r="DZ39" s="91">
        <f>IF(AY39="",0,VLOOKUP(M39,Tables!$B$3:$M$36,11,FALSE())*AI$1)</f>
        <v>4.2</v>
      </c>
      <c r="EA39" s="92">
        <f>IF(AZ39="",0,VLOOKUP(N39,Tables!$B$3:$M$36,11,FALSE())*AJ$1)</f>
        <v>0.89999999999999991</v>
      </c>
      <c r="EB39" s="92">
        <f>IF(BA39="",0,VLOOKUP(O39,Tables!$B$3:$M$36,11,FALSE())*AK$1)</f>
        <v>0</v>
      </c>
      <c r="EC39" s="93">
        <f>IF(BB39="",0,VLOOKUP(P39,Tables!$B$3:$M$36,11,FALSE())*AL$1)</f>
        <v>0</v>
      </c>
      <c r="ED39" s="91">
        <f>IF(AN39="",0,VLOOKUP(B39,Tables!$B$3:$M$36,12,FALSE())*X$1)</f>
        <v>0</v>
      </c>
      <c r="EE39" s="92">
        <f>IF(AO39="",0,VLOOKUP(C39,Tables!$B$3:$M$36,12,FALSE())*Y$1)</f>
        <v>0</v>
      </c>
      <c r="EF39" s="92">
        <f>IF(AP39="",0,VLOOKUP(D39,Tables!$B$3:$M$36,12,FALSE())*Z$1)</f>
        <v>0</v>
      </c>
      <c r="EG39" s="91">
        <f>IF(AQ39="",0,VLOOKUP(E39,Tables!$B$3:$M$36,12,FALSE())*AA$1)</f>
        <v>0</v>
      </c>
      <c r="EH39" s="92">
        <f>IF(AR39="",0,VLOOKUP(F39,Tables!$B$3:$M$36,12,FALSE())*AB$1)</f>
        <v>0</v>
      </c>
      <c r="EI39" s="92">
        <f>IF(AS39="",0,VLOOKUP(G39,Tables!$B$3:$M$36,12,FALSE())*AC$1)</f>
        <v>0</v>
      </c>
      <c r="EJ39" s="92">
        <f>IF(AT39="",0,VLOOKUP(H39,Tables!$B$3:$M$36,12,FALSE())*AD$1)</f>
        <v>0</v>
      </c>
      <c r="EK39" s="92">
        <f>IF(AU39="",0,VLOOKUP(I39,Tables!$B$3:$M$36,12,FALSE())*AE$1)</f>
        <v>0</v>
      </c>
      <c r="EL39" s="91">
        <f>IF(AV39="",0,VLOOKUP(J39,Tables!$B$3:$M$36,12,FALSE())*AF$1)</f>
        <v>0</v>
      </c>
      <c r="EM39" s="92">
        <f>IF(AW39="",0,VLOOKUP(K39,Tables!$B$3:$M$36,12,FALSE())*AG$1)</f>
        <v>0</v>
      </c>
      <c r="EN39" s="92">
        <f>IF(AX39="",0,VLOOKUP(L39,Tables!$B$3:$M$36,12,FALSE())*AH$1)</f>
        <v>0</v>
      </c>
      <c r="EO39" s="91">
        <f>IF(AY39="",0,VLOOKUP(M39,Tables!$B$3:$M$36,12,FALSE())*AI$1)</f>
        <v>21.000000000000004</v>
      </c>
      <c r="EP39" s="92">
        <f>IF(AZ39="",0,VLOOKUP(N39,Tables!$B$3:$M$36,12,FALSE())*AJ$1)</f>
        <v>4.5</v>
      </c>
      <c r="EQ39" s="92">
        <f>IF(BA39="",0,VLOOKUP(O39,Tables!$B$3:$M$36,12,FALSE())*AK$1)</f>
        <v>0</v>
      </c>
      <c r="ER39" s="93">
        <f>IF(BB39="",0,VLOOKUP(P39,Tables!$B$3:$M$36,12,FALSE())*AL$1)</f>
        <v>0</v>
      </c>
      <c r="ES39" s="94">
        <f t="shared" si="55"/>
        <v>0</v>
      </c>
      <c r="ET39" s="95">
        <f>IF(AN39="",10,MIN(VLOOKUP(B39,Tables!$B$3:$N$34,13,FALSE()),'Item Builder'!$W39))</f>
        <v>10</v>
      </c>
      <c r="EU39" s="95">
        <f>IF(AO39="",10,MIN(VLOOKUP(C39,Tables!$B$3:$N$34,13,FALSE()),'Item Builder'!$W39))</f>
        <v>10</v>
      </c>
      <c r="EV39" s="95">
        <f>IF(AP39="",10,MIN(VLOOKUP(D39,Tables!$B$3:$N$34,13,FALSE()),'Item Builder'!$W39))</f>
        <v>10</v>
      </c>
      <c r="EW39" s="95">
        <f>IF(AQ39="",10,MIN(VLOOKUP(E39,Tables!$B$3:$N$34,13,FALSE()),'Item Builder'!$W39))</f>
        <v>10</v>
      </c>
      <c r="EX39" s="95">
        <f>IF(AR39="",10,MIN(VLOOKUP(F39,Tables!$B$3:$N$34,13,FALSE()),'Item Builder'!$W39))</f>
        <v>10</v>
      </c>
      <c r="EY39" s="95">
        <f>IF(AS39="",10,MIN(VLOOKUP(G39,Tables!$B$3:$N$34,13,FALSE()),'Item Builder'!$W39))</f>
        <v>10</v>
      </c>
      <c r="EZ39" s="95">
        <f>IF(AT39="",10,MIN(VLOOKUP(H39,Tables!$B$3:$N$34,13,FALSE()),'Item Builder'!$W39))</f>
        <v>10</v>
      </c>
      <c r="FA39" s="95">
        <f>IF(AU39="",10,MIN(VLOOKUP(I39,Tables!$B$3:$N$34,13,FALSE()),'Item Builder'!$W39))</f>
        <v>10</v>
      </c>
      <c r="FB39" s="95">
        <f>IF(AV39="",10,MIN(VLOOKUP(J39,Tables!$B$3:$N$34,13,FALSE()),'Item Builder'!$W39))</f>
        <v>10</v>
      </c>
      <c r="FC39" s="95">
        <f>IF(AW39="",10,MIN(VLOOKUP(K39,Tables!$B$3:$N$34,13,FALSE()),'Item Builder'!$W39))</f>
        <v>10</v>
      </c>
      <c r="FD39" s="95">
        <f>IF(AX39="",10,MIN(VLOOKUP(L39,Tables!$B$3:$N$34,13,FALSE()),'Item Builder'!$W39))</f>
        <v>10</v>
      </c>
      <c r="FE39" s="95">
        <f>IF(AY39="",10,MIN(VLOOKUP(M39,Tables!$B$3:$N$34,13,FALSE()),'Item Builder'!$W39))</f>
        <v>0</v>
      </c>
      <c r="FF39" s="95">
        <f>IF(AZ39="",10,MIN(VLOOKUP(N39,Tables!$B$3:$N$34,13,FALSE()),'Item Builder'!$W39))</f>
        <v>0</v>
      </c>
      <c r="FG39" s="95">
        <f>IF(BA39="",10,MIN(VLOOKUP(O39,Tables!$B$3:$N$34,13,FALSE()),'Item Builder'!$W39))</f>
        <v>10</v>
      </c>
      <c r="FH39" s="98">
        <f>IF(BB39="",10,MIN(VLOOKUP(P39,Tables!$B$3:$N$34,13,FALSE()),'Item Builder'!$W39))</f>
        <v>10</v>
      </c>
    </row>
    <row r="40" spans="1:164" x14ac:dyDescent="0.25">
      <c r="A40" s="67" t="s">
        <v>207</v>
      </c>
      <c r="B40" s="68"/>
      <c r="C40" s="69"/>
      <c r="D40" s="70"/>
      <c r="E40" s="68"/>
      <c r="F40" s="69"/>
      <c r="G40" s="69"/>
      <c r="H40" s="69"/>
      <c r="I40" s="70"/>
      <c r="J40" s="68"/>
      <c r="K40" s="69"/>
      <c r="L40" s="70" t="s">
        <v>101</v>
      </c>
      <c r="M40" s="68" t="s">
        <v>101</v>
      </c>
      <c r="N40" s="69" t="s">
        <v>101</v>
      </c>
      <c r="O40" s="69" t="s">
        <v>101</v>
      </c>
      <c r="P40" s="71"/>
      <c r="Q40" s="72">
        <f>SUM(BV40:CJ40)*VLOOKUP(W40,Tables!$W$3:$Z$8,4)</f>
        <v>78</v>
      </c>
      <c r="R40" s="73">
        <f t="shared" si="0"/>
        <v>3.12</v>
      </c>
      <c r="S40" s="74">
        <f t="shared" si="1"/>
        <v>0</v>
      </c>
      <c r="T40" s="74">
        <f t="shared" si="2"/>
        <v>0</v>
      </c>
      <c r="U40" s="75">
        <f t="shared" si="3"/>
        <v>11.7</v>
      </c>
      <c r="V40" s="76">
        <f t="shared" si="4"/>
        <v>58.5</v>
      </c>
      <c r="W40" s="77">
        <v>0</v>
      </c>
      <c r="X40" s="78">
        <f t="shared" si="5"/>
        <v>0</v>
      </c>
      <c r="Y40" s="79">
        <f t="shared" si="6"/>
        <v>0</v>
      </c>
      <c r="Z40" s="79">
        <f t="shared" si="7"/>
        <v>0</v>
      </c>
      <c r="AA40" s="78">
        <f t="shared" si="8"/>
        <v>0</v>
      </c>
      <c r="AB40" s="79">
        <f t="shared" si="9"/>
        <v>0</v>
      </c>
      <c r="AC40" s="79">
        <f t="shared" si="10"/>
        <v>0</v>
      </c>
      <c r="AD40" s="79">
        <f t="shared" si="11"/>
        <v>0</v>
      </c>
      <c r="AE40" s="79">
        <f t="shared" si="12"/>
        <v>0</v>
      </c>
      <c r="AF40" s="78">
        <f t="shared" si="13"/>
        <v>0</v>
      </c>
      <c r="AG40" s="79">
        <f t="shared" si="14"/>
        <v>0</v>
      </c>
      <c r="AH40" s="79">
        <f t="shared" si="15"/>
        <v>1</v>
      </c>
      <c r="AI40" s="78">
        <f t="shared" si="16"/>
        <v>1</v>
      </c>
      <c r="AJ40" s="79">
        <f t="shared" si="17"/>
        <v>1</v>
      </c>
      <c r="AK40" s="79">
        <f t="shared" si="18"/>
        <v>1</v>
      </c>
      <c r="AL40" s="80">
        <f t="shared" si="19"/>
        <v>0</v>
      </c>
      <c r="AM40" s="81">
        <f t="shared" si="20"/>
        <v>0.39</v>
      </c>
      <c r="AN40" s="82" t="str">
        <f t="shared" si="21"/>
        <v/>
      </c>
      <c r="AO40" s="79" t="str">
        <f t="shared" si="22"/>
        <v/>
      </c>
      <c r="AP40" t="str">
        <f t="shared" si="23"/>
        <v/>
      </c>
      <c r="AQ40" s="82" t="str">
        <f t="shared" si="24"/>
        <v/>
      </c>
      <c r="AR40" t="str">
        <f t="shared" si="25"/>
        <v/>
      </c>
      <c r="AS40" t="str">
        <f t="shared" si="26"/>
        <v/>
      </c>
      <c r="AT40" t="str">
        <f t="shared" si="27"/>
        <v/>
      </c>
      <c r="AU40" t="str">
        <f t="shared" si="28"/>
        <v/>
      </c>
      <c r="AV40" s="82" t="str">
        <f t="shared" si="29"/>
        <v/>
      </c>
      <c r="AW40" t="str">
        <f t="shared" si="30"/>
        <v/>
      </c>
      <c r="AX40" t="str">
        <f t="shared" si="31"/>
        <v>D</v>
      </c>
      <c r="AY40" s="82" t="str">
        <f t="shared" si="32"/>
        <v>D</v>
      </c>
      <c r="AZ40" t="str">
        <f t="shared" si="33"/>
        <v>D</v>
      </c>
      <c r="BA40" t="str">
        <f t="shared" si="34"/>
        <v>D</v>
      </c>
      <c r="BB40" s="83" t="str">
        <f t="shared" si="35"/>
        <v/>
      </c>
      <c r="BC40" s="84">
        <f t="shared" si="36"/>
        <v>0</v>
      </c>
      <c r="BD40" s="84">
        <f t="shared" si="37"/>
        <v>0</v>
      </c>
      <c r="BE40" s="84">
        <f t="shared" si="38"/>
        <v>0.29411764705882359</v>
      </c>
      <c r="BF40" s="84">
        <f t="shared" si="39"/>
        <v>0.80555555555555558</v>
      </c>
      <c r="BG40" s="78">
        <f>IF(AN40="",0,VLOOKUP(AN40,Tables!$AB$3:$AC$12,2))</f>
        <v>0</v>
      </c>
      <c r="BH40" s="79">
        <f>IF(AO40="",0,VLOOKUP(AO40,Tables!$AB$3:$AC$12,2))</f>
        <v>0</v>
      </c>
      <c r="BI40" s="79">
        <f>IF(AP40="",0,VLOOKUP(AP40,Tables!$AB$3:$AC$12,2))</f>
        <v>0</v>
      </c>
      <c r="BJ40" s="78">
        <f>IF(AQ40="",0,VLOOKUP(AQ40,Tables!$AB$3:$AC$12,2))</f>
        <v>0</v>
      </c>
      <c r="BK40" s="79">
        <f>IF(AR40="",0,VLOOKUP(AR40,Tables!$AB$3:$AC$12,2))</f>
        <v>0</v>
      </c>
      <c r="BL40" s="79">
        <f>IF(AS40="",0,VLOOKUP(AS40,Tables!$AB$3:$AC$12,2))</f>
        <v>0</v>
      </c>
      <c r="BM40" s="79">
        <f>IF(AT40="",0,VLOOKUP(AT40,Tables!$AB$3:$AC$12,2))</f>
        <v>0</v>
      </c>
      <c r="BN40" s="79">
        <f>IF(AU40="",0,VLOOKUP(AU40,Tables!$AB$3:$AC$12,2))</f>
        <v>0</v>
      </c>
      <c r="BO40" s="78">
        <f>IF(AV40="",0,VLOOKUP(AV40,Tables!$AB$3:$AC$12,2))</f>
        <v>0</v>
      </c>
      <c r="BP40" s="79">
        <f>IF(AW40="",0,VLOOKUP(AW40,Tables!$AB$3:$AC$12,2))</f>
        <v>0</v>
      </c>
      <c r="BQ40" s="79">
        <f>IF(AX40="",0,VLOOKUP(AX40,Tables!$AB$3:$AC$12,2))</f>
        <v>1.5</v>
      </c>
      <c r="BR40" s="78">
        <f>IF(AY40="",0,VLOOKUP(AY40,Tables!$AB$3:$AC$12,2))</f>
        <v>1.5</v>
      </c>
      <c r="BS40" s="79">
        <f>IF(AZ40="",0,VLOOKUP(AZ40,Tables!$AB$3:$AC$12,2))</f>
        <v>1.5</v>
      </c>
      <c r="BT40" s="79">
        <f>IF(BA40="",0,VLOOKUP(BA40,Tables!$AB$3:$AC$12,2))</f>
        <v>1.5</v>
      </c>
      <c r="BU40" s="80">
        <f>IF(BB40="",0,VLOOKUP(BB40,Tables!$AB$3:$AC$12,2))</f>
        <v>0</v>
      </c>
      <c r="BV40" s="85">
        <f>IF(AN40="",0,VLOOKUP(B40,Tables!$B$3:$D$36,2,FALSE())*X$1)</f>
        <v>0</v>
      </c>
      <c r="BW40" s="72">
        <f>IF(AO40="",0,VLOOKUP(C40,Tables!$B$3:$D$36,2,FALSE())*Y$1)</f>
        <v>0</v>
      </c>
      <c r="BX40" s="72">
        <f>IF(AP40="",0,VLOOKUP(D40,Tables!$B$3:$D$36,2,FALSE())*Z$1)</f>
        <v>0</v>
      </c>
      <c r="BY40" s="85">
        <f>IF(AQ40="",0,VLOOKUP(E40,Tables!$B$3:$D$36,2,FALSE())*AA$1)</f>
        <v>0</v>
      </c>
      <c r="BZ40" s="72">
        <f>IF(AR40="",0,VLOOKUP(F40,Tables!$B$3:$D$36,2,FALSE())*AB$1)</f>
        <v>0</v>
      </c>
      <c r="CA40" s="72">
        <f>IF(AS40="",0,VLOOKUP(G40,Tables!$B$3:$D$36,2,FALSE())*AC$1)</f>
        <v>0</v>
      </c>
      <c r="CB40" s="72">
        <f>IF(AT40="",0,VLOOKUP(H40,Tables!$B$3:$D$36,2,FALSE())*AD$1)</f>
        <v>0</v>
      </c>
      <c r="CC40" s="72">
        <f>IF(AU40="",0,VLOOKUP(I40,Tables!$B$3:$D$36,2,FALSE())*AE$1)</f>
        <v>0</v>
      </c>
      <c r="CD40" s="85">
        <f>IF(AV40="",0,VLOOKUP(J40,Tables!$B$3:$D$36,2,FALSE())*AF$1)</f>
        <v>0</v>
      </c>
      <c r="CE40" s="72">
        <f>IF(AW40="",0,VLOOKUP(K40,Tables!$B$3:$D$36,2,FALSE())*AG$1)</f>
        <v>0</v>
      </c>
      <c r="CF40" s="72">
        <f>IF(AX40="",0,VLOOKUP(L40,Tables!$B$3:$D$36,2,FALSE())*AH$1)</f>
        <v>20</v>
      </c>
      <c r="CG40" s="85">
        <f>IF(AY40="",0,VLOOKUP(M40,Tables!$B$3:$D$36,2,FALSE())*AI$1)</f>
        <v>28.000000000000004</v>
      </c>
      <c r="CH40" s="72">
        <f>IF(AZ40="",0,VLOOKUP(N40,Tables!$B$3:$D$36,2,FALSE())*AJ$1)</f>
        <v>6</v>
      </c>
      <c r="CI40" s="72">
        <f>IF(BA40="",0,VLOOKUP(O40,Tables!$B$3:$D$36,2,FALSE())*AK$1)</f>
        <v>24</v>
      </c>
      <c r="CJ40" s="86">
        <f>IF(BB40="",0,VLOOKUP(P40,Tables!$B$3:$D$36,2,FALSE())*AL$1)</f>
        <v>0</v>
      </c>
      <c r="CK40" s="87">
        <f>IF(AN40="",0,VLOOKUP(B40,Tables!$B$3:$D$36,3,FALSE())*X$1)*IF(OR(AN40="K",AN40="P"),2,1)</f>
        <v>0</v>
      </c>
      <c r="CL40" s="73">
        <f>IF(AO40="",0,VLOOKUP(C40,Tables!$B$3:$D$36,3,FALSE())*Y$1)*IF(OR(AO40="K",AO40="P"),2,1)</f>
        <v>0</v>
      </c>
      <c r="CM40" s="73">
        <f>IF(AP40="",0,VLOOKUP(D40,Tables!$B$3:$D$36,3,FALSE())*Z$1)*IF(OR(AP40="K",AP40="P"),2,1)</f>
        <v>0</v>
      </c>
      <c r="CN40" s="87">
        <f>IF(AQ40="",0,VLOOKUP(E40,Tables!$B$3:$D$36,3,FALSE())*AA$1)</f>
        <v>0</v>
      </c>
      <c r="CO40" s="73">
        <f>IF(AR40="",0,VLOOKUP(F40,Tables!$B$3:$D$36,3,FALSE())*AB$1)</f>
        <v>0</v>
      </c>
      <c r="CP40" s="73">
        <f>IF(AS40="",0,VLOOKUP(G40,Tables!$B$3:$D$36,3,FALSE())*AC$1)</f>
        <v>0</v>
      </c>
      <c r="CQ40" s="73">
        <f>IF(AT40="",0,VLOOKUP(H40,Tables!$B$3:$D$36,3,FALSE())*AD$1)</f>
        <v>0</v>
      </c>
      <c r="CR40" s="73">
        <f>IF(AU40="",0,VLOOKUP(I40,Tables!$B$3:$D$36,3,FALSE())*AE$1)</f>
        <v>0</v>
      </c>
      <c r="CS40" s="87">
        <f>IF(AV40="",0,VLOOKUP(J40,Tables!$B$3:$D$36,3,FALSE())*AF$1)</f>
        <v>0</v>
      </c>
      <c r="CT40" s="73">
        <f>IF(AW40="",0,VLOOKUP(K40,Tables!$B$3:$D$36,3,FALSE())*AG$1)</f>
        <v>0</v>
      </c>
      <c r="CU40" s="73">
        <f>IF(AX40="",0,VLOOKUP(L40,Tables!$B$3:$D$36,3,FALSE())*AH$1)</f>
        <v>0.8</v>
      </c>
      <c r="CV40" s="87">
        <f>IF(AY40="",0,VLOOKUP(M40,Tables!$B$3:$D$36,3,FALSE())*AI$1)</f>
        <v>1.1200000000000001</v>
      </c>
      <c r="CW40" s="73">
        <f>IF(AZ40="",0,VLOOKUP(N40,Tables!$B$3:$D$36,3,FALSE())*AJ$1)</f>
        <v>0.24</v>
      </c>
      <c r="CX40" s="73">
        <f>IF(BA40="",0,VLOOKUP(O40,Tables!$B$3:$D$36,3,FALSE())*AK$1)</f>
        <v>0.96</v>
      </c>
      <c r="CY40" s="88">
        <f>IF(BB40="",0,VLOOKUP(P40,Tables!$B$3:$D$36,3,FALSE())*AL$1)</f>
        <v>0</v>
      </c>
      <c r="CZ40" s="89">
        <f t="shared" si="40"/>
        <v>0</v>
      </c>
      <c r="DA40" s="75">
        <f t="shared" si="41"/>
        <v>0</v>
      </c>
      <c r="DB40" s="75">
        <f t="shared" si="42"/>
        <v>0</v>
      </c>
      <c r="DC40" s="89">
        <f t="shared" si="43"/>
        <v>0</v>
      </c>
      <c r="DD40" s="75">
        <f t="shared" si="44"/>
        <v>0</v>
      </c>
      <c r="DE40" s="75">
        <f t="shared" si="45"/>
        <v>0</v>
      </c>
      <c r="DF40" s="75">
        <f t="shared" si="46"/>
        <v>0</v>
      </c>
      <c r="DG40" s="75">
        <f t="shared" si="47"/>
        <v>0</v>
      </c>
      <c r="DH40" s="89">
        <f t="shared" si="48"/>
        <v>0</v>
      </c>
      <c r="DI40" s="75">
        <f t="shared" si="49"/>
        <v>0</v>
      </c>
      <c r="DJ40" s="75">
        <f t="shared" si="50"/>
        <v>0.8</v>
      </c>
      <c r="DK40" s="89">
        <f t="shared" si="51"/>
        <v>0.8</v>
      </c>
      <c r="DL40" s="75">
        <f t="shared" si="52"/>
        <v>0.8</v>
      </c>
      <c r="DM40" s="75">
        <f t="shared" si="53"/>
        <v>0.8</v>
      </c>
      <c r="DN40" s="90">
        <f t="shared" si="54"/>
        <v>0</v>
      </c>
      <c r="DO40" s="91">
        <f>IF(AN40="",0,VLOOKUP(B40,Tables!$B$3:$M$36,11,FALSE())*X$1)</f>
        <v>0</v>
      </c>
      <c r="DP40" s="92">
        <f>IF(AO40="",0,VLOOKUP(C40,Tables!$B$3:$M$36,11,FALSE())*Y$1)</f>
        <v>0</v>
      </c>
      <c r="DQ40" s="92">
        <f>IF(AP40="",0,VLOOKUP(D40,Tables!$B$3:$M$36,11,FALSE())*Z$1)</f>
        <v>0</v>
      </c>
      <c r="DR40" s="91">
        <f>IF(AQ40="",0,VLOOKUP(E40,Tables!$B$3:$M$36,11,FALSE())*AA$1)</f>
        <v>0</v>
      </c>
      <c r="DS40" s="92">
        <f>IF(AR40="",0,VLOOKUP(F40,Tables!$B$3:$M$36,11,FALSE())*AB$1)</f>
        <v>0</v>
      </c>
      <c r="DT40" s="92">
        <f>IF(AS40="",0,VLOOKUP(G40,Tables!$B$3:$M$36,11,FALSE())*AC$1)</f>
        <v>0</v>
      </c>
      <c r="DU40" s="92">
        <f>IF(AT40="",0,VLOOKUP(H40,Tables!$B$3:$M$36,11,FALSE())*AD$1)</f>
        <v>0</v>
      </c>
      <c r="DV40" s="92">
        <f>IF(AU40="",0,VLOOKUP(I40,Tables!$B$3:$M$36,11,FALSE())*AE$1)</f>
        <v>0</v>
      </c>
      <c r="DW40" s="91">
        <f>IF(AV40="",0,VLOOKUP(J40,Tables!$B$3:$M$36,11,FALSE())*AF$1)</f>
        <v>0</v>
      </c>
      <c r="DX40" s="92">
        <f>IF(AW40="",0,VLOOKUP(K40,Tables!$B$3:$M$36,11,FALSE())*AG$1)</f>
        <v>0</v>
      </c>
      <c r="DY40" s="92">
        <f>IF(AX40="",0,VLOOKUP(L40,Tables!$B$3:$M$36,11,FALSE())*AH$1)</f>
        <v>3</v>
      </c>
      <c r="DZ40" s="91">
        <f>IF(AY40="",0,VLOOKUP(M40,Tables!$B$3:$M$36,11,FALSE())*AI$1)</f>
        <v>4.2</v>
      </c>
      <c r="EA40" s="92">
        <f>IF(AZ40="",0,VLOOKUP(N40,Tables!$B$3:$M$36,11,FALSE())*AJ$1)</f>
        <v>0.89999999999999991</v>
      </c>
      <c r="EB40" s="92">
        <f>IF(BA40="",0,VLOOKUP(O40,Tables!$B$3:$M$36,11,FALSE())*AK$1)</f>
        <v>3.5999999999999996</v>
      </c>
      <c r="EC40" s="93">
        <f>IF(BB40="",0,VLOOKUP(P40,Tables!$B$3:$M$36,11,FALSE())*AL$1)</f>
        <v>0</v>
      </c>
      <c r="ED40" s="91">
        <f>IF(AN40="",0,VLOOKUP(B40,Tables!$B$3:$M$36,12,FALSE())*X$1)</f>
        <v>0</v>
      </c>
      <c r="EE40" s="92">
        <f>IF(AO40="",0,VLOOKUP(C40,Tables!$B$3:$M$36,12,FALSE())*Y$1)</f>
        <v>0</v>
      </c>
      <c r="EF40" s="92">
        <f>IF(AP40="",0,VLOOKUP(D40,Tables!$B$3:$M$36,12,FALSE())*Z$1)</f>
        <v>0</v>
      </c>
      <c r="EG40" s="91">
        <f>IF(AQ40="",0,VLOOKUP(E40,Tables!$B$3:$M$36,12,FALSE())*AA$1)</f>
        <v>0</v>
      </c>
      <c r="EH40" s="92">
        <f>IF(AR40="",0,VLOOKUP(F40,Tables!$B$3:$M$36,12,FALSE())*AB$1)</f>
        <v>0</v>
      </c>
      <c r="EI40" s="92">
        <f>IF(AS40="",0,VLOOKUP(G40,Tables!$B$3:$M$36,12,FALSE())*AC$1)</f>
        <v>0</v>
      </c>
      <c r="EJ40" s="92">
        <f>IF(AT40="",0,VLOOKUP(H40,Tables!$B$3:$M$36,12,FALSE())*AD$1)</f>
        <v>0</v>
      </c>
      <c r="EK40" s="92">
        <f>IF(AU40="",0,VLOOKUP(I40,Tables!$B$3:$M$36,12,FALSE())*AE$1)</f>
        <v>0</v>
      </c>
      <c r="EL40" s="91">
        <f>IF(AV40="",0,VLOOKUP(J40,Tables!$B$3:$M$36,12,FALSE())*AF$1)</f>
        <v>0</v>
      </c>
      <c r="EM40" s="92">
        <f>IF(AW40="",0,VLOOKUP(K40,Tables!$B$3:$M$36,12,FALSE())*AG$1)</f>
        <v>0</v>
      </c>
      <c r="EN40" s="92">
        <f>IF(AX40="",0,VLOOKUP(L40,Tables!$B$3:$M$36,12,FALSE())*AH$1)</f>
        <v>15</v>
      </c>
      <c r="EO40" s="91">
        <f>IF(AY40="",0,VLOOKUP(M40,Tables!$B$3:$M$36,12,FALSE())*AI$1)</f>
        <v>21.000000000000004</v>
      </c>
      <c r="EP40" s="92">
        <f>IF(AZ40="",0,VLOOKUP(N40,Tables!$B$3:$M$36,12,FALSE())*AJ$1)</f>
        <v>4.5</v>
      </c>
      <c r="EQ40" s="92">
        <f>IF(BA40="",0,VLOOKUP(O40,Tables!$B$3:$M$36,12,FALSE())*AK$1)</f>
        <v>18</v>
      </c>
      <c r="ER40" s="93">
        <f>IF(BB40="",0,VLOOKUP(P40,Tables!$B$3:$M$36,12,FALSE())*AL$1)</f>
        <v>0</v>
      </c>
      <c r="ES40" s="94">
        <f t="shared" si="55"/>
        <v>0</v>
      </c>
      <c r="ET40" s="95">
        <f>IF(AN40="",10,MIN(VLOOKUP(B40,Tables!$B$3:$N$34,13,FALSE()),'Item Builder'!$W40))</f>
        <v>10</v>
      </c>
      <c r="EU40" s="95">
        <f>IF(AO40="",10,MIN(VLOOKUP(C40,Tables!$B$3:$N$34,13,FALSE()),'Item Builder'!$W40))</f>
        <v>10</v>
      </c>
      <c r="EV40" s="95">
        <f>IF(AP40="",10,MIN(VLOOKUP(D40,Tables!$B$3:$N$34,13,FALSE()),'Item Builder'!$W40))</f>
        <v>10</v>
      </c>
      <c r="EW40" s="95">
        <f>IF(AQ40="",10,MIN(VLOOKUP(E40,Tables!$B$3:$N$34,13,FALSE()),'Item Builder'!$W40))</f>
        <v>10</v>
      </c>
      <c r="EX40" s="95">
        <f>IF(AR40="",10,MIN(VLOOKUP(F40,Tables!$B$3:$N$34,13,FALSE()),'Item Builder'!$W40))</f>
        <v>10</v>
      </c>
      <c r="EY40" s="95">
        <f>IF(AS40="",10,MIN(VLOOKUP(G40,Tables!$B$3:$N$34,13,FALSE()),'Item Builder'!$W40))</f>
        <v>10</v>
      </c>
      <c r="EZ40" s="95">
        <f>IF(AT40="",10,MIN(VLOOKUP(H40,Tables!$B$3:$N$34,13,FALSE()),'Item Builder'!$W40))</f>
        <v>10</v>
      </c>
      <c r="FA40" s="95">
        <f>IF(AU40="",10,MIN(VLOOKUP(I40,Tables!$B$3:$N$34,13,FALSE()),'Item Builder'!$W40))</f>
        <v>10</v>
      </c>
      <c r="FB40" s="95">
        <f>IF(AV40="",10,MIN(VLOOKUP(J40,Tables!$B$3:$N$34,13,FALSE()),'Item Builder'!$W40))</f>
        <v>10</v>
      </c>
      <c r="FC40" s="95">
        <f>IF(AW40="",10,MIN(VLOOKUP(K40,Tables!$B$3:$N$34,13,FALSE()),'Item Builder'!$W40))</f>
        <v>10</v>
      </c>
      <c r="FD40" s="95">
        <f>IF(AX40="",10,MIN(VLOOKUP(L40,Tables!$B$3:$N$34,13,FALSE()),'Item Builder'!$W40))</f>
        <v>0</v>
      </c>
      <c r="FE40" s="95">
        <f>IF(AY40="",10,MIN(VLOOKUP(M40,Tables!$B$3:$N$34,13,FALSE()),'Item Builder'!$W40))</f>
        <v>0</v>
      </c>
      <c r="FF40" s="95">
        <f>IF(AZ40="",10,MIN(VLOOKUP(N40,Tables!$B$3:$N$34,13,FALSE()),'Item Builder'!$W40))</f>
        <v>0</v>
      </c>
      <c r="FG40" s="95">
        <f>IF(BA40="",10,MIN(VLOOKUP(O40,Tables!$B$3:$N$34,13,FALSE()),'Item Builder'!$W40))</f>
        <v>0</v>
      </c>
      <c r="FH40" s="98">
        <f>IF(BB40="",10,MIN(VLOOKUP(P40,Tables!$B$3:$N$34,13,FALSE()),'Item Builder'!$W40))</f>
        <v>10</v>
      </c>
    </row>
    <row r="41" spans="1:164" x14ac:dyDescent="0.25">
      <c r="A41" s="67" t="s">
        <v>50</v>
      </c>
      <c r="B41" s="68"/>
      <c r="C41" s="69"/>
      <c r="D41" s="70"/>
      <c r="E41" s="68"/>
      <c r="F41" s="69"/>
      <c r="G41" s="69"/>
      <c r="H41" s="69"/>
      <c r="I41" s="70"/>
      <c r="J41" s="68"/>
      <c r="K41" s="69"/>
      <c r="L41" s="70"/>
      <c r="M41" s="68" t="s">
        <v>101</v>
      </c>
      <c r="N41" s="69" t="s">
        <v>101</v>
      </c>
      <c r="O41" s="69" t="s">
        <v>101</v>
      </c>
      <c r="P41" s="71" t="s">
        <v>101</v>
      </c>
      <c r="Q41" s="72">
        <f>SUM(BV41:CJ41)*VLOOKUP(W41,Tables!$W$3:$Z$8,4)</f>
        <v>72</v>
      </c>
      <c r="R41" s="73">
        <f t="shared" si="0"/>
        <v>2.8800000000000003</v>
      </c>
      <c r="S41" s="74">
        <f t="shared" si="1"/>
        <v>0</v>
      </c>
      <c r="T41" s="74">
        <f t="shared" si="2"/>
        <v>0</v>
      </c>
      <c r="U41" s="75">
        <f t="shared" si="3"/>
        <v>10.799999999999999</v>
      </c>
      <c r="V41" s="76">
        <f t="shared" si="4"/>
        <v>54</v>
      </c>
      <c r="W41" s="77">
        <v>0</v>
      </c>
      <c r="X41" s="78">
        <f t="shared" si="5"/>
        <v>0</v>
      </c>
      <c r="Y41" s="79">
        <f t="shared" si="6"/>
        <v>0</v>
      </c>
      <c r="Z41" s="79">
        <f t="shared" si="7"/>
        <v>0</v>
      </c>
      <c r="AA41" s="78">
        <f t="shared" si="8"/>
        <v>0</v>
      </c>
      <c r="AB41" s="79">
        <f t="shared" si="9"/>
        <v>0</v>
      </c>
      <c r="AC41" s="79">
        <f t="shared" si="10"/>
        <v>0</v>
      </c>
      <c r="AD41" s="79">
        <f t="shared" si="11"/>
        <v>0</v>
      </c>
      <c r="AE41" s="79">
        <f t="shared" si="12"/>
        <v>0</v>
      </c>
      <c r="AF41" s="78">
        <f t="shared" si="13"/>
        <v>0</v>
      </c>
      <c r="AG41" s="79">
        <f t="shared" si="14"/>
        <v>0</v>
      </c>
      <c r="AH41" s="79">
        <f t="shared" si="15"/>
        <v>0</v>
      </c>
      <c r="AI41" s="78">
        <f t="shared" si="16"/>
        <v>1</v>
      </c>
      <c r="AJ41" s="79">
        <f t="shared" si="17"/>
        <v>1</v>
      </c>
      <c r="AK41" s="79">
        <f t="shared" si="18"/>
        <v>1</v>
      </c>
      <c r="AL41" s="80">
        <f t="shared" si="19"/>
        <v>1</v>
      </c>
      <c r="AM41" s="81">
        <f t="shared" si="20"/>
        <v>0.36000000000000004</v>
      </c>
      <c r="AN41" s="82" t="str">
        <f t="shared" si="21"/>
        <v/>
      </c>
      <c r="AO41" s="79" t="str">
        <f t="shared" si="22"/>
        <v/>
      </c>
      <c r="AP41" t="str">
        <f t="shared" si="23"/>
        <v/>
      </c>
      <c r="AQ41" s="82" t="str">
        <f t="shared" si="24"/>
        <v/>
      </c>
      <c r="AR41" t="str">
        <f t="shared" si="25"/>
        <v/>
      </c>
      <c r="AS41" t="str">
        <f t="shared" si="26"/>
        <v/>
      </c>
      <c r="AT41" t="str">
        <f t="shared" si="27"/>
        <v/>
      </c>
      <c r="AU41" t="str">
        <f t="shared" si="28"/>
        <v/>
      </c>
      <c r="AV41" s="82" t="str">
        <f t="shared" si="29"/>
        <v/>
      </c>
      <c r="AW41" t="str">
        <f t="shared" si="30"/>
        <v/>
      </c>
      <c r="AX41" t="str">
        <f t="shared" si="31"/>
        <v/>
      </c>
      <c r="AY41" s="82" t="str">
        <f t="shared" si="32"/>
        <v>D</v>
      </c>
      <c r="AZ41" t="str">
        <f t="shared" si="33"/>
        <v>D</v>
      </c>
      <c r="BA41" t="str">
        <f t="shared" si="34"/>
        <v>D</v>
      </c>
      <c r="BB41" s="83" t="str">
        <f t="shared" si="35"/>
        <v>D</v>
      </c>
      <c r="BC41" s="84">
        <f t="shared" si="36"/>
        <v>0</v>
      </c>
      <c r="BD41" s="84">
        <f t="shared" si="37"/>
        <v>0</v>
      </c>
      <c r="BE41" s="84">
        <f t="shared" si="38"/>
        <v>0</v>
      </c>
      <c r="BF41" s="84">
        <f t="shared" si="39"/>
        <v>1</v>
      </c>
      <c r="BG41" s="78">
        <f>IF(AN41="",0,VLOOKUP(AN41,Tables!$AB$3:$AC$12,2))</f>
        <v>0</v>
      </c>
      <c r="BH41" s="79">
        <f>IF(AO41="",0,VLOOKUP(AO41,Tables!$AB$3:$AC$12,2))</f>
        <v>0</v>
      </c>
      <c r="BI41" s="79">
        <f>IF(AP41="",0,VLOOKUP(AP41,Tables!$AB$3:$AC$12,2))</f>
        <v>0</v>
      </c>
      <c r="BJ41" s="78">
        <f>IF(AQ41="",0,VLOOKUP(AQ41,Tables!$AB$3:$AC$12,2))</f>
        <v>0</v>
      </c>
      <c r="BK41" s="79">
        <f>IF(AR41="",0,VLOOKUP(AR41,Tables!$AB$3:$AC$12,2))</f>
        <v>0</v>
      </c>
      <c r="BL41" s="79">
        <f>IF(AS41="",0,VLOOKUP(AS41,Tables!$AB$3:$AC$12,2))</f>
        <v>0</v>
      </c>
      <c r="BM41" s="79">
        <f>IF(AT41="",0,VLOOKUP(AT41,Tables!$AB$3:$AC$12,2))</f>
        <v>0</v>
      </c>
      <c r="BN41" s="79">
        <f>IF(AU41="",0,VLOOKUP(AU41,Tables!$AB$3:$AC$12,2))</f>
        <v>0</v>
      </c>
      <c r="BO41" s="78">
        <f>IF(AV41="",0,VLOOKUP(AV41,Tables!$AB$3:$AC$12,2))</f>
        <v>0</v>
      </c>
      <c r="BP41" s="79">
        <f>IF(AW41="",0,VLOOKUP(AW41,Tables!$AB$3:$AC$12,2))</f>
        <v>0</v>
      </c>
      <c r="BQ41" s="79">
        <f>IF(AX41="",0,VLOOKUP(AX41,Tables!$AB$3:$AC$12,2))</f>
        <v>0</v>
      </c>
      <c r="BR41" s="78">
        <f>IF(AY41="",0,VLOOKUP(AY41,Tables!$AB$3:$AC$12,2))</f>
        <v>1.5</v>
      </c>
      <c r="BS41" s="79">
        <f>IF(AZ41="",0,VLOOKUP(AZ41,Tables!$AB$3:$AC$12,2))</f>
        <v>1.5</v>
      </c>
      <c r="BT41" s="79">
        <f>IF(BA41="",0,VLOOKUP(BA41,Tables!$AB$3:$AC$12,2))</f>
        <v>1.5</v>
      </c>
      <c r="BU41" s="80">
        <f>IF(BB41="",0,VLOOKUP(BB41,Tables!$AB$3:$AC$12,2))</f>
        <v>1.5</v>
      </c>
      <c r="BV41" s="85">
        <f>IF(AN41="",0,VLOOKUP(B41,Tables!$B$3:$D$36,2,FALSE())*X$1)</f>
        <v>0</v>
      </c>
      <c r="BW41" s="72">
        <f>IF(AO41="",0,VLOOKUP(C41,Tables!$B$3:$D$36,2,FALSE())*Y$1)</f>
        <v>0</v>
      </c>
      <c r="BX41" s="72">
        <f>IF(AP41="",0,VLOOKUP(D41,Tables!$B$3:$D$36,2,FALSE())*Z$1)</f>
        <v>0</v>
      </c>
      <c r="BY41" s="85">
        <f>IF(AQ41="",0,VLOOKUP(E41,Tables!$B$3:$D$36,2,FALSE())*AA$1)</f>
        <v>0</v>
      </c>
      <c r="BZ41" s="72">
        <f>IF(AR41="",0,VLOOKUP(F41,Tables!$B$3:$D$36,2,FALSE())*AB$1)</f>
        <v>0</v>
      </c>
      <c r="CA41" s="72">
        <f>IF(AS41="",0,VLOOKUP(G41,Tables!$B$3:$D$36,2,FALSE())*AC$1)</f>
        <v>0</v>
      </c>
      <c r="CB41" s="72">
        <f>IF(AT41="",0,VLOOKUP(H41,Tables!$B$3:$D$36,2,FALSE())*AD$1)</f>
        <v>0</v>
      </c>
      <c r="CC41" s="72">
        <f>IF(AU41="",0,VLOOKUP(I41,Tables!$B$3:$D$36,2,FALSE())*AE$1)</f>
        <v>0</v>
      </c>
      <c r="CD41" s="85">
        <f>IF(AV41="",0,VLOOKUP(J41,Tables!$B$3:$D$36,2,FALSE())*AF$1)</f>
        <v>0</v>
      </c>
      <c r="CE41" s="72">
        <f>IF(AW41="",0,VLOOKUP(K41,Tables!$B$3:$D$36,2,FALSE())*AG$1)</f>
        <v>0</v>
      </c>
      <c r="CF41" s="72">
        <f>IF(AX41="",0,VLOOKUP(L41,Tables!$B$3:$D$36,2,FALSE())*AH$1)</f>
        <v>0</v>
      </c>
      <c r="CG41" s="85">
        <f>IF(AY41="",0,VLOOKUP(M41,Tables!$B$3:$D$36,2,FALSE())*AI$1)</f>
        <v>28.000000000000004</v>
      </c>
      <c r="CH41" s="72">
        <f>IF(AZ41="",0,VLOOKUP(N41,Tables!$B$3:$D$36,2,FALSE())*AJ$1)</f>
        <v>6</v>
      </c>
      <c r="CI41" s="72">
        <f>IF(BA41="",0,VLOOKUP(O41,Tables!$B$3:$D$36,2,FALSE())*AK$1)</f>
        <v>24</v>
      </c>
      <c r="CJ41" s="86">
        <f>IF(BB41="",0,VLOOKUP(P41,Tables!$B$3:$D$36,2,FALSE())*AL$1)</f>
        <v>14.000000000000002</v>
      </c>
      <c r="CK41" s="87">
        <f>IF(AN41="",0,VLOOKUP(B41,Tables!$B$3:$D$36,3,FALSE())*X$1)*IF(OR(AN41="K",AN41="P"),2,1)</f>
        <v>0</v>
      </c>
      <c r="CL41" s="73">
        <f>IF(AO41="",0,VLOOKUP(C41,Tables!$B$3:$D$36,3,FALSE())*Y$1)*IF(OR(AO41="K",AO41="P"),2,1)</f>
        <v>0</v>
      </c>
      <c r="CM41" s="73">
        <f>IF(AP41="",0,VLOOKUP(D41,Tables!$B$3:$D$36,3,FALSE())*Z$1)*IF(OR(AP41="K",AP41="P"),2,1)</f>
        <v>0</v>
      </c>
      <c r="CN41" s="87">
        <f>IF(AQ41="",0,VLOOKUP(E41,Tables!$B$3:$D$36,3,FALSE())*AA$1)</f>
        <v>0</v>
      </c>
      <c r="CO41" s="73">
        <f>IF(AR41="",0,VLOOKUP(F41,Tables!$B$3:$D$36,3,FALSE())*AB$1)</f>
        <v>0</v>
      </c>
      <c r="CP41" s="73">
        <f>IF(AS41="",0,VLOOKUP(G41,Tables!$B$3:$D$36,3,FALSE())*AC$1)</f>
        <v>0</v>
      </c>
      <c r="CQ41" s="73">
        <f>IF(AT41="",0,VLOOKUP(H41,Tables!$B$3:$D$36,3,FALSE())*AD$1)</f>
        <v>0</v>
      </c>
      <c r="CR41" s="73">
        <f>IF(AU41="",0,VLOOKUP(I41,Tables!$B$3:$D$36,3,FALSE())*AE$1)</f>
        <v>0</v>
      </c>
      <c r="CS41" s="87">
        <f>IF(AV41="",0,VLOOKUP(J41,Tables!$B$3:$D$36,3,FALSE())*AF$1)</f>
        <v>0</v>
      </c>
      <c r="CT41" s="73">
        <f>IF(AW41="",0,VLOOKUP(K41,Tables!$B$3:$D$36,3,FALSE())*AG$1)</f>
        <v>0</v>
      </c>
      <c r="CU41" s="73">
        <f>IF(AX41="",0,VLOOKUP(L41,Tables!$B$3:$D$36,3,FALSE())*AH$1)</f>
        <v>0</v>
      </c>
      <c r="CV41" s="87">
        <f>IF(AY41="",0,VLOOKUP(M41,Tables!$B$3:$D$36,3,FALSE())*AI$1)</f>
        <v>1.1200000000000001</v>
      </c>
      <c r="CW41" s="73">
        <f>IF(AZ41="",0,VLOOKUP(N41,Tables!$B$3:$D$36,3,FALSE())*AJ$1)</f>
        <v>0.24</v>
      </c>
      <c r="CX41" s="73">
        <f>IF(BA41="",0,VLOOKUP(O41,Tables!$B$3:$D$36,3,FALSE())*AK$1)</f>
        <v>0.96</v>
      </c>
      <c r="CY41" s="88">
        <f>IF(BB41="",0,VLOOKUP(P41,Tables!$B$3:$D$36,3,FALSE())*AL$1)</f>
        <v>0.56000000000000005</v>
      </c>
      <c r="CZ41" s="89">
        <f t="shared" si="40"/>
        <v>0</v>
      </c>
      <c r="DA41" s="75">
        <f t="shared" si="41"/>
        <v>0</v>
      </c>
      <c r="DB41" s="75">
        <f t="shared" si="42"/>
        <v>0</v>
      </c>
      <c r="DC41" s="89">
        <f t="shared" si="43"/>
        <v>0</v>
      </c>
      <c r="DD41" s="75">
        <f t="shared" si="44"/>
        <v>0</v>
      </c>
      <c r="DE41" s="75">
        <f t="shared" si="45"/>
        <v>0</v>
      </c>
      <c r="DF41" s="75">
        <f t="shared" si="46"/>
        <v>0</v>
      </c>
      <c r="DG41" s="75">
        <f t="shared" si="47"/>
        <v>0</v>
      </c>
      <c r="DH41" s="89">
        <f t="shared" si="48"/>
        <v>0</v>
      </c>
      <c r="DI41" s="75">
        <f t="shared" si="49"/>
        <v>0</v>
      </c>
      <c r="DJ41" s="75">
        <f t="shared" si="50"/>
        <v>0</v>
      </c>
      <c r="DK41" s="89">
        <f t="shared" si="51"/>
        <v>0.8</v>
      </c>
      <c r="DL41" s="75">
        <f t="shared" si="52"/>
        <v>0.8</v>
      </c>
      <c r="DM41" s="75">
        <f t="shared" si="53"/>
        <v>0.8</v>
      </c>
      <c r="DN41" s="90">
        <f t="shared" si="54"/>
        <v>0.8</v>
      </c>
      <c r="DO41" s="91">
        <f>IF(AN41="",0,VLOOKUP(B41,Tables!$B$3:$M$36,11,FALSE())*X$1)</f>
        <v>0</v>
      </c>
      <c r="DP41" s="92">
        <f>IF(AO41="",0,VLOOKUP(C41,Tables!$B$3:$M$36,11,FALSE())*Y$1)</f>
        <v>0</v>
      </c>
      <c r="DQ41" s="92">
        <f>IF(AP41="",0,VLOOKUP(D41,Tables!$B$3:$M$36,11,FALSE())*Z$1)</f>
        <v>0</v>
      </c>
      <c r="DR41" s="91">
        <f>IF(AQ41="",0,VLOOKUP(E41,Tables!$B$3:$M$36,11,FALSE())*AA$1)</f>
        <v>0</v>
      </c>
      <c r="DS41" s="92">
        <f>IF(AR41="",0,VLOOKUP(F41,Tables!$B$3:$M$36,11,FALSE())*AB$1)</f>
        <v>0</v>
      </c>
      <c r="DT41" s="92">
        <f>IF(AS41="",0,VLOOKUP(G41,Tables!$B$3:$M$36,11,FALSE())*AC$1)</f>
        <v>0</v>
      </c>
      <c r="DU41" s="92">
        <f>IF(AT41="",0,VLOOKUP(H41,Tables!$B$3:$M$36,11,FALSE())*AD$1)</f>
        <v>0</v>
      </c>
      <c r="DV41" s="92">
        <f>IF(AU41="",0,VLOOKUP(I41,Tables!$B$3:$M$36,11,FALSE())*AE$1)</f>
        <v>0</v>
      </c>
      <c r="DW41" s="91">
        <f>IF(AV41="",0,VLOOKUP(J41,Tables!$B$3:$M$36,11,FALSE())*AF$1)</f>
        <v>0</v>
      </c>
      <c r="DX41" s="92">
        <f>IF(AW41="",0,VLOOKUP(K41,Tables!$B$3:$M$36,11,FALSE())*AG$1)</f>
        <v>0</v>
      </c>
      <c r="DY41" s="92">
        <f>IF(AX41="",0,VLOOKUP(L41,Tables!$B$3:$M$36,11,FALSE())*AH$1)</f>
        <v>0</v>
      </c>
      <c r="DZ41" s="91">
        <f>IF(AY41="",0,VLOOKUP(M41,Tables!$B$3:$M$36,11,FALSE())*AI$1)</f>
        <v>4.2</v>
      </c>
      <c r="EA41" s="92">
        <f>IF(AZ41="",0,VLOOKUP(N41,Tables!$B$3:$M$36,11,FALSE())*AJ$1)</f>
        <v>0.89999999999999991</v>
      </c>
      <c r="EB41" s="92">
        <f>IF(BA41="",0,VLOOKUP(O41,Tables!$B$3:$M$36,11,FALSE())*AK$1)</f>
        <v>3.5999999999999996</v>
      </c>
      <c r="EC41" s="93">
        <f>IF(BB41="",0,VLOOKUP(P41,Tables!$B$3:$M$36,11,FALSE())*AL$1)</f>
        <v>2.1</v>
      </c>
      <c r="ED41" s="91">
        <f>IF(AN41="",0,VLOOKUP(B41,Tables!$B$3:$M$36,12,FALSE())*X$1)</f>
        <v>0</v>
      </c>
      <c r="EE41" s="92">
        <f>IF(AO41="",0,VLOOKUP(C41,Tables!$B$3:$M$36,12,FALSE())*Y$1)</f>
        <v>0</v>
      </c>
      <c r="EF41" s="92">
        <f>IF(AP41="",0,VLOOKUP(D41,Tables!$B$3:$M$36,12,FALSE())*Z$1)</f>
        <v>0</v>
      </c>
      <c r="EG41" s="91">
        <f>IF(AQ41="",0,VLOOKUP(E41,Tables!$B$3:$M$36,12,FALSE())*AA$1)</f>
        <v>0</v>
      </c>
      <c r="EH41" s="92">
        <f>IF(AR41="",0,VLOOKUP(F41,Tables!$B$3:$M$36,12,FALSE())*AB$1)</f>
        <v>0</v>
      </c>
      <c r="EI41" s="92">
        <f>IF(AS41="",0,VLOOKUP(G41,Tables!$B$3:$M$36,12,FALSE())*AC$1)</f>
        <v>0</v>
      </c>
      <c r="EJ41" s="92">
        <f>IF(AT41="",0,VLOOKUP(H41,Tables!$B$3:$M$36,12,FALSE())*AD$1)</f>
        <v>0</v>
      </c>
      <c r="EK41" s="92">
        <f>IF(AU41="",0,VLOOKUP(I41,Tables!$B$3:$M$36,12,FALSE())*AE$1)</f>
        <v>0</v>
      </c>
      <c r="EL41" s="91">
        <f>IF(AV41="",0,VLOOKUP(J41,Tables!$B$3:$M$36,12,FALSE())*AF$1)</f>
        <v>0</v>
      </c>
      <c r="EM41" s="92">
        <f>IF(AW41="",0,VLOOKUP(K41,Tables!$B$3:$M$36,12,FALSE())*AG$1)</f>
        <v>0</v>
      </c>
      <c r="EN41" s="92">
        <f>IF(AX41="",0,VLOOKUP(L41,Tables!$B$3:$M$36,12,FALSE())*AH$1)</f>
        <v>0</v>
      </c>
      <c r="EO41" s="91">
        <f>IF(AY41="",0,VLOOKUP(M41,Tables!$B$3:$M$36,12,FALSE())*AI$1)</f>
        <v>21.000000000000004</v>
      </c>
      <c r="EP41" s="92">
        <f>IF(AZ41="",0,VLOOKUP(N41,Tables!$B$3:$M$36,12,FALSE())*AJ$1)</f>
        <v>4.5</v>
      </c>
      <c r="EQ41" s="92">
        <f>IF(BA41="",0,VLOOKUP(O41,Tables!$B$3:$M$36,12,FALSE())*AK$1)</f>
        <v>18</v>
      </c>
      <c r="ER41" s="93">
        <f>IF(BB41="",0,VLOOKUP(P41,Tables!$B$3:$M$36,12,FALSE())*AL$1)</f>
        <v>10.500000000000002</v>
      </c>
      <c r="ES41" s="94">
        <f t="shared" si="55"/>
        <v>0</v>
      </c>
      <c r="ET41" s="95">
        <f>IF(AN41="",10,MIN(VLOOKUP(B41,Tables!$B$3:$N$34,13,FALSE()),'Item Builder'!$W41))</f>
        <v>10</v>
      </c>
      <c r="EU41" s="95">
        <f>IF(AO41="",10,MIN(VLOOKUP(C41,Tables!$B$3:$N$34,13,FALSE()),'Item Builder'!$W41))</f>
        <v>10</v>
      </c>
      <c r="EV41" s="95">
        <f>IF(AP41="",10,MIN(VLOOKUP(D41,Tables!$B$3:$N$34,13,FALSE()),'Item Builder'!$W41))</f>
        <v>10</v>
      </c>
      <c r="EW41" s="95">
        <f>IF(AQ41="",10,MIN(VLOOKUP(E41,Tables!$B$3:$N$34,13,FALSE()),'Item Builder'!$W41))</f>
        <v>10</v>
      </c>
      <c r="EX41" s="95">
        <f>IF(AR41="",10,MIN(VLOOKUP(F41,Tables!$B$3:$N$34,13,FALSE()),'Item Builder'!$W41))</f>
        <v>10</v>
      </c>
      <c r="EY41" s="95">
        <f>IF(AS41="",10,MIN(VLOOKUP(G41,Tables!$B$3:$N$34,13,FALSE()),'Item Builder'!$W41))</f>
        <v>10</v>
      </c>
      <c r="EZ41" s="95">
        <f>IF(AT41="",10,MIN(VLOOKUP(H41,Tables!$B$3:$N$34,13,FALSE()),'Item Builder'!$W41))</f>
        <v>10</v>
      </c>
      <c r="FA41" s="95">
        <f>IF(AU41="",10,MIN(VLOOKUP(I41,Tables!$B$3:$N$34,13,FALSE()),'Item Builder'!$W41))</f>
        <v>10</v>
      </c>
      <c r="FB41" s="95">
        <f>IF(AV41="",10,MIN(VLOOKUP(J41,Tables!$B$3:$N$34,13,FALSE()),'Item Builder'!$W41))</f>
        <v>10</v>
      </c>
      <c r="FC41" s="95">
        <f>IF(AW41="",10,MIN(VLOOKUP(K41,Tables!$B$3:$N$34,13,FALSE()),'Item Builder'!$W41))</f>
        <v>10</v>
      </c>
      <c r="FD41" s="95">
        <f>IF(AX41="",10,MIN(VLOOKUP(L41,Tables!$B$3:$N$34,13,FALSE()),'Item Builder'!$W41))</f>
        <v>10</v>
      </c>
      <c r="FE41" s="95">
        <f>IF(AY41="",10,MIN(VLOOKUP(M41,Tables!$B$3:$N$34,13,FALSE()),'Item Builder'!$W41))</f>
        <v>0</v>
      </c>
      <c r="FF41" s="95">
        <f>IF(AZ41="",10,MIN(VLOOKUP(N41,Tables!$B$3:$N$34,13,FALSE()),'Item Builder'!$W41))</f>
        <v>0</v>
      </c>
      <c r="FG41" s="95">
        <f>IF(BA41="",10,MIN(VLOOKUP(O41,Tables!$B$3:$N$34,13,FALSE()),'Item Builder'!$W41))</f>
        <v>0</v>
      </c>
      <c r="FH41" s="98">
        <f>IF(BB41="",10,MIN(VLOOKUP(P41,Tables!$B$3:$N$34,13,FALSE()),'Item Builder'!$W41))</f>
        <v>0</v>
      </c>
    </row>
    <row r="42" spans="1:164" x14ac:dyDescent="0.25">
      <c r="A42" s="67" t="s">
        <v>208</v>
      </c>
      <c r="B42" s="68" t="s">
        <v>103</v>
      </c>
      <c r="C42" s="69"/>
      <c r="D42" s="70"/>
      <c r="E42" s="68"/>
      <c r="F42" s="69"/>
      <c r="G42" s="69"/>
      <c r="H42" s="69"/>
      <c r="I42" s="70"/>
      <c r="J42" s="68"/>
      <c r="K42" s="69"/>
      <c r="L42" s="70"/>
      <c r="M42" s="68"/>
      <c r="N42" s="69"/>
      <c r="O42" s="69"/>
      <c r="P42" s="71"/>
      <c r="Q42" s="72">
        <f>SUM(BV42:CJ42)*VLOOKUP(W42,Tables!$W$3:$Z$8,4)</f>
        <v>16</v>
      </c>
      <c r="R42" s="73">
        <f t="shared" si="0"/>
        <v>0.72</v>
      </c>
      <c r="S42" s="74">
        <f t="shared" si="1"/>
        <v>0</v>
      </c>
      <c r="T42" s="74">
        <f t="shared" si="2"/>
        <v>0</v>
      </c>
      <c r="U42" s="75">
        <f t="shared" si="3"/>
        <v>4.8</v>
      </c>
      <c r="V42" s="76">
        <f t="shared" si="4"/>
        <v>12</v>
      </c>
      <c r="W42" s="77">
        <v>0</v>
      </c>
      <c r="X42" s="78">
        <f t="shared" si="5"/>
        <v>1</v>
      </c>
      <c r="Y42" s="79">
        <f t="shared" si="6"/>
        <v>0</v>
      </c>
      <c r="Z42" s="79">
        <f t="shared" si="7"/>
        <v>0</v>
      </c>
      <c r="AA42" s="78">
        <f t="shared" si="8"/>
        <v>0</v>
      </c>
      <c r="AB42" s="79">
        <f t="shared" si="9"/>
        <v>0</v>
      </c>
      <c r="AC42" s="79">
        <f t="shared" si="10"/>
        <v>0</v>
      </c>
      <c r="AD42" s="79">
        <f t="shared" si="11"/>
        <v>0</v>
      </c>
      <c r="AE42" s="79">
        <f t="shared" si="12"/>
        <v>0</v>
      </c>
      <c r="AF42" s="78">
        <f t="shared" si="13"/>
        <v>0</v>
      </c>
      <c r="AG42" s="79">
        <f t="shared" si="14"/>
        <v>0</v>
      </c>
      <c r="AH42" s="79">
        <f t="shared" si="15"/>
        <v>0</v>
      </c>
      <c r="AI42" s="78">
        <f t="shared" si="16"/>
        <v>0</v>
      </c>
      <c r="AJ42" s="79">
        <f t="shared" si="17"/>
        <v>0</v>
      </c>
      <c r="AK42" s="79">
        <f t="shared" si="18"/>
        <v>0</v>
      </c>
      <c r="AL42" s="80">
        <f t="shared" si="19"/>
        <v>0</v>
      </c>
      <c r="AM42" s="81">
        <f t="shared" si="20"/>
        <v>0.04</v>
      </c>
      <c r="AN42" s="82" t="str">
        <f t="shared" si="21"/>
        <v>Q</v>
      </c>
      <c r="AO42" s="79" t="str">
        <f t="shared" si="22"/>
        <v/>
      </c>
      <c r="AP42" t="str">
        <f t="shared" si="23"/>
        <v/>
      </c>
      <c r="AQ42" s="82" t="str">
        <f t="shared" si="24"/>
        <v/>
      </c>
      <c r="AR42" t="str">
        <f t="shared" si="25"/>
        <v/>
      </c>
      <c r="AS42" t="str">
        <f t="shared" si="26"/>
        <v/>
      </c>
      <c r="AT42" t="str">
        <f t="shared" si="27"/>
        <v/>
      </c>
      <c r="AU42" t="str">
        <f t="shared" si="28"/>
        <v/>
      </c>
      <c r="AV42" s="82" t="str">
        <f t="shared" si="29"/>
        <v/>
      </c>
      <c r="AW42" t="str">
        <f t="shared" si="30"/>
        <v/>
      </c>
      <c r="AX42" t="str">
        <f t="shared" si="31"/>
        <v/>
      </c>
      <c r="AY42" s="82" t="str">
        <f t="shared" si="32"/>
        <v/>
      </c>
      <c r="AZ42" t="str">
        <f t="shared" si="33"/>
        <v/>
      </c>
      <c r="BA42" t="str">
        <f t="shared" si="34"/>
        <v/>
      </c>
      <c r="BB42" s="83" t="str">
        <f t="shared" si="35"/>
        <v/>
      </c>
      <c r="BC42" s="84">
        <f t="shared" si="36"/>
        <v>0.44444444444444442</v>
      </c>
      <c r="BD42" s="84">
        <f t="shared" si="37"/>
        <v>0</v>
      </c>
      <c r="BE42" s="84">
        <f t="shared" si="38"/>
        <v>0</v>
      </c>
      <c r="BF42" s="84">
        <f t="shared" si="39"/>
        <v>0</v>
      </c>
      <c r="BG42" s="78">
        <f>IF(AN42="",0,VLOOKUP(AN42,Tables!$AB$3:$AC$12,2))</f>
        <v>2</v>
      </c>
      <c r="BH42" s="79">
        <f>IF(AO42="",0,VLOOKUP(AO42,Tables!$AB$3:$AC$12,2))</f>
        <v>0</v>
      </c>
      <c r="BI42" s="79">
        <f>IF(AP42="",0,VLOOKUP(AP42,Tables!$AB$3:$AC$12,2))</f>
        <v>0</v>
      </c>
      <c r="BJ42" s="78">
        <f>IF(AQ42="",0,VLOOKUP(AQ42,Tables!$AB$3:$AC$12,2))</f>
        <v>0</v>
      </c>
      <c r="BK42" s="79">
        <f>IF(AR42="",0,VLOOKUP(AR42,Tables!$AB$3:$AC$12,2))</f>
        <v>0</v>
      </c>
      <c r="BL42" s="79">
        <f>IF(AS42="",0,VLOOKUP(AS42,Tables!$AB$3:$AC$12,2))</f>
        <v>0</v>
      </c>
      <c r="BM42" s="79">
        <f>IF(AT42="",0,VLOOKUP(AT42,Tables!$AB$3:$AC$12,2))</f>
        <v>0</v>
      </c>
      <c r="BN42" s="79">
        <f>IF(AU42="",0,VLOOKUP(AU42,Tables!$AB$3:$AC$12,2))</f>
        <v>0</v>
      </c>
      <c r="BO42" s="78">
        <f>IF(AV42="",0,VLOOKUP(AV42,Tables!$AB$3:$AC$12,2))</f>
        <v>0</v>
      </c>
      <c r="BP42" s="79">
        <f>IF(AW42="",0,VLOOKUP(AW42,Tables!$AB$3:$AC$12,2))</f>
        <v>0</v>
      </c>
      <c r="BQ42" s="79">
        <f>IF(AX42="",0,VLOOKUP(AX42,Tables!$AB$3:$AC$12,2))</f>
        <v>0</v>
      </c>
      <c r="BR42" s="78">
        <f>IF(AY42="",0,VLOOKUP(AY42,Tables!$AB$3:$AC$12,2))</f>
        <v>0</v>
      </c>
      <c r="BS42" s="79">
        <f>IF(AZ42="",0,VLOOKUP(AZ42,Tables!$AB$3:$AC$12,2))</f>
        <v>0</v>
      </c>
      <c r="BT42" s="79">
        <f>IF(BA42="",0,VLOOKUP(BA42,Tables!$AB$3:$AC$12,2))</f>
        <v>0</v>
      </c>
      <c r="BU42" s="80">
        <f>IF(BB42="",0,VLOOKUP(BB42,Tables!$AB$3:$AC$12,2))</f>
        <v>0</v>
      </c>
      <c r="BV42" s="85">
        <f>IF(AN42="",0,VLOOKUP(B42,Tables!$B$3:$D$36,2,FALSE())*X$1)</f>
        <v>16</v>
      </c>
      <c r="BW42" s="72">
        <f>IF(AO42="",0,VLOOKUP(C42,Tables!$B$3:$D$36,2,FALSE())*Y$1)</f>
        <v>0</v>
      </c>
      <c r="BX42" s="72">
        <f>IF(AP42="",0,VLOOKUP(D42,Tables!$B$3:$D$36,2,FALSE())*Z$1)</f>
        <v>0</v>
      </c>
      <c r="BY42" s="85">
        <f>IF(AQ42="",0,VLOOKUP(E42,Tables!$B$3:$D$36,2,FALSE())*AA$1)</f>
        <v>0</v>
      </c>
      <c r="BZ42" s="72">
        <f>IF(AR42="",0,VLOOKUP(F42,Tables!$B$3:$D$36,2,FALSE())*AB$1)</f>
        <v>0</v>
      </c>
      <c r="CA42" s="72">
        <f>IF(AS42="",0,VLOOKUP(G42,Tables!$B$3:$D$36,2,FALSE())*AC$1)</f>
        <v>0</v>
      </c>
      <c r="CB42" s="72">
        <f>IF(AT42="",0,VLOOKUP(H42,Tables!$B$3:$D$36,2,FALSE())*AD$1)</f>
        <v>0</v>
      </c>
      <c r="CC42" s="72">
        <f>IF(AU42="",0,VLOOKUP(I42,Tables!$B$3:$D$36,2,FALSE())*AE$1)</f>
        <v>0</v>
      </c>
      <c r="CD42" s="85">
        <f>IF(AV42="",0,VLOOKUP(J42,Tables!$B$3:$D$36,2,FALSE())*AF$1)</f>
        <v>0</v>
      </c>
      <c r="CE42" s="72">
        <f>IF(AW42="",0,VLOOKUP(K42,Tables!$B$3:$D$36,2,FALSE())*AG$1)</f>
        <v>0</v>
      </c>
      <c r="CF42" s="72">
        <f>IF(AX42="",0,VLOOKUP(L42,Tables!$B$3:$D$36,2,FALSE())*AH$1)</f>
        <v>0</v>
      </c>
      <c r="CG42" s="85">
        <f>IF(AY42="",0,VLOOKUP(M42,Tables!$B$3:$D$36,2,FALSE())*AI$1)</f>
        <v>0</v>
      </c>
      <c r="CH42" s="72">
        <f>IF(AZ42="",0,VLOOKUP(N42,Tables!$B$3:$D$36,2,FALSE())*AJ$1)</f>
        <v>0</v>
      </c>
      <c r="CI42" s="72">
        <f>IF(BA42="",0,VLOOKUP(O42,Tables!$B$3:$D$36,2,FALSE())*AK$1)</f>
        <v>0</v>
      </c>
      <c r="CJ42" s="86">
        <f>IF(BB42="",0,VLOOKUP(P42,Tables!$B$3:$D$36,2,FALSE())*AL$1)</f>
        <v>0</v>
      </c>
      <c r="CK42" s="87">
        <f>IF(AN42="",0,VLOOKUP(B42,Tables!$B$3:$D$36,3,FALSE())*X$1)*IF(OR(AN42="K",AN42="P"),2,1)</f>
        <v>0.72</v>
      </c>
      <c r="CL42" s="73">
        <f>IF(AO42="",0,VLOOKUP(C42,Tables!$B$3:$D$36,3,FALSE())*Y$1)*IF(OR(AO42="K",AO42="P"),2,1)</f>
        <v>0</v>
      </c>
      <c r="CM42" s="73">
        <f>IF(AP42="",0,VLOOKUP(D42,Tables!$B$3:$D$36,3,FALSE())*Z$1)*IF(OR(AP42="K",AP42="P"),2,1)</f>
        <v>0</v>
      </c>
      <c r="CN42" s="87">
        <f>IF(AQ42="",0,VLOOKUP(E42,Tables!$B$3:$D$36,3,FALSE())*AA$1)</f>
        <v>0</v>
      </c>
      <c r="CO42" s="73">
        <f>IF(AR42="",0,VLOOKUP(F42,Tables!$B$3:$D$36,3,FALSE())*AB$1)</f>
        <v>0</v>
      </c>
      <c r="CP42" s="73">
        <f>IF(AS42="",0,VLOOKUP(G42,Tables!$B$3:$D$36,3,FALSE())*AC$1)</f>
        <v>0</v>
      </c>
      <c r="CQ42" s="73">
        <f>IF(AT42="",0,VLOOKUP(H42,Tables!$B$3:$D$36,3,FALSE())*AD$1)</f>
        <v>0</v>
      </c>
      <c r="CR42" s="73">
        <f>IF(AU42="",0,VLOOKUP(I42,Tables!$B$3:$D$36,3,FALSE())*AE$1)</f>
        <v>0</v>
      </c>
      <c r="CS42" s="87">
        <f>IF(AV42="",0,VLOOKUP(J42,Tables!$B$3:$D$36,3,FALSE())*AF$1)</f>
        <v>0</v>
      </c>
      <c r="CT42" s="73">
        <f>IF(AW42="",0,VLOOKUP(K42,Tables!$B$3:$D$36,3,FALSE())*AG$1)</f>
        <v>0</v>
      </c>
      <c r="CU42" s="73">
        <f>IF(AX42="",0,VLOOKUP(L42,Tables!$B$3:$D$36,3,FALSE())*AH$1)</f>
        <v>0</v>
      </c>
      <c r="CV42" s="87">
        <f>IF(AY42="",0,VLOOKUP(M42,Tables!$B$3:$D$36,3,FALSE())*AI$1)</f>
        <v>0</v>
      </c>
      <c r="CW42" s="73">
        <f>IF(AZ42="",0,VLOOKUP(N42,Tables!$B$3:$D$36,3,FALSE())*AJ$1)</f>
        <v>0</v>
      </c>
      <c r="CX42" s="73">
        <f>IF(BA42="",0,VLOOKUP(O42,Tables!$B$3:$D$36,3,FALSE())*AK$1)</f>
        <v>0</v>
      </c>
      <c r="CY42" s="88">
        <f>IF(BB42="",0,VLOOKUP(P42,Tables!$B$3:$D$36,3,FALSE())*AL$1)</f>
        <v>0</v>
      </c>
      <c r="CZ42" s="89">
        <f t="shared" si="40"/>
        <v>0.65</v>
      </c>
      <c r="DA42" s="75">
        <f t="shared" si="41"/>
        <v>0</v>
      </c>
      <c r="DB42" s="75">
        <f t="shared" si="42"/>
        <v>0</v>
      </c>
      <c r="DC42" s="89">
        <f t="shared" si="43"/>
        <v>0</v>
      </c>
      <c r="DD42" s="75">
        <f t="shared" si="44"/>
        <v>0</v>
      </c>
      <c r="DE42" s="75">
        <f t="shared" si="45"/>
        <v>0</v>
      </c>
      <c r="DF42" s="75">
        <f t="shared" si="46"/>
        <v>0</v>
      </c>
      <c r="DG42" s="75">
        <f t="shared" si="47"/>
        <v>0</v>
      </c>
      <c r="DH42" s="89">
        <f t="shared" si="48"/>
        <v>0</v>
      </c>
      <c r="DI42" s="75">
        <f t="shared" si="49"/>
        <v>0</v>
      </c>
      <c r="DJ42" s="75">
        <f t="shared" si="50"/>
        <v>0</v>
      </c>
      <c r="DK42" s="89">
        <f t="shared" si="51"/>
        <v>0</v>
      </c>
      <c r="DL42" s="75">
        <f t="shared" si="52"/>
        <v>0</v>
      </c>
      <c r="DM42" s="75">
        <f t="shared" si="53"/>
        <v>0</v>
      </c>
      <c r="DN42" s="90">
        <f t="shared" si="54"/>
        <v>0</v>
      </c>
      <c r="DO42" s="91">
        <f>IF(AN42="",0,VLOOKUP(B42,Tables!$B$3:$M$36,11,FALSE())*X$1)</f>
        <v>4.8</v>
      </c>
      <c r="DP42" s="92">
        <f>IF(AO42="",0,VLOOKUP(C42,Tables!$B$3:$M$36,11,FALSE())*Y$1)</f>
        <v>0</v>
      </c>
      <c r="DQ42" s="92">
        <f>IF(AP42="",0,VLOOKUP(D42,Tables!$B$3:$M$36,11,FALSE())*Z$1)</f>
        <v>0</v>
      </c>
      <c r="DR42" s="91">
        <f>IF(AQ42="",0,VLOOKUP(E42,Tables!$B$3:$M$36,11,FALSE())*AA$1)</f>
        <v>0</v>
      </c>
      <c r="DS42" s="92">
        <f>IF(AR42="",0,VLOOKUP(F42,Tables!$B$3:$M$36,11,FALSE())*AB$1)</f>
        <v>0</v>
      </c>
      <c r="DT42" s="92">
        <f>IF(AS42="",0,VLOOKUP(G42,Tables!$B$3:$M$36,11,FALSE())*AC$1)</f>
        <v>0</v>
      </c>
      <c r="DU42" s="92">
        <f>IF(AT42="",0,VLOOKUP(H42,Tables!$B$3:$M$36,11,FALSE())*AD$1)</f>
        <v>0</v>
      </c>
      <c r="DV42" s="92">
        <f>IF(AU42="",0,VLOOKUP(I42,Tables!$B$3:$M$36,11,FALSE())*AE$1)</f>
        <v>0</v>
      </c>
      <c r="DW42" s="91">
        <f>IF(AV42="",0,VLOOKUP(J42,Tables!$B$3:$M$36,11,FALSE())*AF$1)</f>
        <v>0</v>
      </c>
      <c r="DX42" s="92">
        <f>IF(AW42="",0,VLOOKUP(K42,Tables!$B$3:$M$36,11,FALSE())*AG$1)</f>
        <v>0</v>
      </c>
      <c r="DY42" s="92">
        <f>IF(AX42="",0,VLOOKUP(L42,Tables!$B$3:$M$36,11,FALSE())*AH$1)</f>
        <v>0</v>
      </c>
      <c r="DZ42" s="91">
        <f>IF(AY42="",0,VLOOKUP(M42,Tables!$B$3:$M$36,11,FALSE())*AI$1)</f>
        <v>0</v>
      </c>
      <c r="EA42" s="92">
        <f>IF(AZ42="",0,VLOOKUP(N42,Tables!$B$3:$M$36,11,FALSE())*AJ$1)</f>
        <v>0</v>
      </c>
      <c r="EB42" s="92">
        <f>IF(BA42="",0,VLOOKUP(O42,Tables!$B$3:$M$36,11,FALSE())*AK$1)</f>
        <v>0</v>
      </c>
      <c r="EC42" s="93">
        <f>IF(BB42="",0,VLOOKUP(P42,Tables!$B$3:$M$36,11,FALSE())*AL$1)</f>
        <v>0</v>
      </c>
      <c r="ED42" s="91">
        <f>IF(AN42="",0,VLOOKUP(B42,Tables!$B$3:$M$36,12,FALSE())*X$1)</f>
        <v>12</v>
      </c>
      <c r="EE42" s="92">
        <f>IF(AO42="",0,VLOOKUP(C42,Tables!$B$3:$M$36,12,FALSE())*Y$1)</f>
        <v>0</v>
      </c>
      <c r="EF42" s="92">
        <f>IF(AP42="",0,VLOOKUP(D42,Tables!$B$3:$M$36,12,FALSE())*Z$1)</f>
        <v>0</v>
      </c>
      <c r="EG42" s="91">
        <f>IF(AQ42="",0,VLOOKUP(E42,Tables!$B$3:$M$36,12,FALSE())*AA$1)</f>
        <v>0</v>
      </c>
      <c r="EH42" s="92">
        <f>IF(AR42="",0,VLOOKUP(F42,Tables!$B$3:$M$36,12,FALSE())*AB$1)</f>
        <v>0</v>
      </c>
      <c r="EI42" s="92">
        <f>IF(AS42="",0,VLOOKUP(G42,Tables!$B$3:$M$36,12,FALSE())*AC$1)</f>
        <v>0</v>
      </c>
      <c r="EJ42" s="92">
        <f>IF(AT42="",0,VLOOKUP(H42,Tables!$B$3:$M$36,12,FALSE())*AD$1)</f>
        <v>0</v>
      </c>
      <c r="EK42" s="92">
        <f>IF(AU42="",0,VLOOKUP(I42,Tables!$B$3:$M$36,12,FALSE())*AE$1)</f>
        <v>0</v>
      </c>
      <c r="EL42" s="91">
        <f>IF(AV42="",0,VLOOKUP(J42,Tables!$B$3:$M$36,12,FALSE())*AF$1)</f>
        <v>0</v>
      </c>
      <c r="EM42" s="92">
        <f>IF(AW42="",0,VLOOKUP(K42,Tables!$B$3:$M$36,12,FALSE())*AG$1)</f>
        <v>0</v>
      </c>
      <c r="EN42" s="92">
        <f>IF(AX42="",0,VLOOKUP(L42,Tables!$B$3:$M$36,12,FALSE())*AH$1)</f>
        <v>0</v>
      </c>
      <c r="EO42" s="91">
        <f>IF(AY42="",0,VLOOKUP(M42,Tables!$B$3:$M$36,12,FALSE())*AI$1)</f>
        <v>0</v>
      </c>
      <c r="EP42" s="92">
        <f>IF(AZ42="",0,VLOOKUP(N42,Tables!$B$3:$M$36,12,FALSE())*AJ$1)</f>
        <v>0</v>
      </c>
      <c r="EQ42" s="92">
        <f>IF(BA42="",0,VLOOKUP(O42,Tables!$B$3:$M$36,12,FALSE())*AK$1)</f>
        <v>0</v>
      </c>
      <c r="ER42" s="93">
        <f>IF(BB42="",0,VLOOKUP(P42,Tables!$B$3:$M$36,12,FALSE())*AL$1)</f>
        <v>0</v>
      </c>
      <c r="ES42" s="94">
        <f t="shared" si="55"/>
        <v>0</v>
      </c>
      <c r="ET42" s="95">
        <f>IF(AN42="",10,MIN(VLOOKUP(B42,Tables!$B$3:$N$34,13,FALSE()),'Item Builder'!$W42))</f>
        <v>0</v>
      </c>
      <c r="EU42" s="95">
        <f>IF(AO42="",10,MIN(VLOOKUP(C42,Tables!$B$3:$N$34,13,FALSE()),'Item Builder'!$W42))</f>
        <v>10</v>
      </c>
      <c r="EV42" s="95">
        <f>IF(AP42="",10,MIN(VLOOKUP(D42,Tables!$B$3:$N$34,13,FALSE()),'Item Builder'!$W42))</f>
        <v>10</v>
      </c>
      <c r="EW42" s="95">
        <f>IF(AQ42="",10,MIN(VLOOKUP(E42,Tables!$B$3:$N$34,13,FALSE()),'Item Builder'!$W42))</f>
        <v>10</v>
      </c>
      <c r="EX42" s="95">
        <f>IF(AR42="",10,MIN(VLOOKUP(F42,Tables!$B$3:$N$34,13,FALSE()),'Item Builder'!$W42))</f>
        <v>10</v>
      </c>
      <c r="EY42" s="95">
        <f>IF(AS42="",10,MIN(VLOOKUP(G42,Tables!$B$3:$N$34,13,FALSE()),'Item Builder'!$W42))</f>
        <v>10</v>
      </c>
      <c r="EZ42" s="95">
        <f>IF(AT42="",10,MIN(VLOOKUP(H42,Tables!$B$3:$N$34,13,FALSE()),'Item Builder'!$W42))</f>
        <v>10</v>
      </c>
      <c r="FA42" s="95">
        <f>IF(AU42="",10,MIN(VLOOKUP(I42,Tables!$B$3:$N$34,13,FALSE()),'Item Builder'!$W42))</f>
        <v>10</v>
      </c>
      <c r="FB42" s="95">
        <f>IF(AV42="",10,MIN(VLOOKUP(J42,Tables!$B$3:$N$34,13,FALSE()),'Item Builder'!$W42))</f>
        <v>10</v>
      </c>
      <c r="FC42" s="95">
        <f>IF(AW42="",10,MIN(VLOOKUP(K42,Tables!$B$3:$N$34,13,FALSE()),'Item Builder'!$W42))</f>
        <v>10</v>
      </c>
      <c r="FD42" s="95">
        <f>IF(AX42="",10,MIN(VLOOKUP(L42,Tables!$B$3:$N$34,13,FALSE()),'Item Builder'!$W42))</f>
        <v>10</v>
      </c>
      <c r="FE42" s="95">
        <f>IF(AY42="",10,MIN(VLOOKUP(M42,Tables!$B$3:$N$34,13,FALSE()),'Item Builder'!$W42))</f>
        <v>10</v>
      </c>
      <c r="FF42" s="95">
        <f>IF(AZ42="",10,MIN(VLOOKUP(N42,Tables!$B$3:$N$34,13,FALSE()),'Item Builder'!$W42))</f>
        <v>10</v>
      </c>
      <c r="FG42" s="95">
        <f>IF(BA42="",10,MIN(VLOOKUP(O42,Tables!$B$3:$N$34,13,FALSE()),'Item Builder'!$W42))</f>
        <v>10</v>
      </c>
      <c r="FH42" s="98">
        <f>IF(BB42="",10,MIN(VLOOKUP(P42,Tables!$B$3:$N$34,13,FALSE()),'Item Builder'!$W42))</f>
        <v>10</v>
      </c>
    </row>
    <row r="43" spans="1:164" x14ac:dyDescent="0.25">
      <c r="A43" s="67" t="s">
        <v>209</v>
      </c>
      <c r="B43" s="68" t="s">
        <v>103</v>
      </c>
      <c r="C43" s="69"/>
      <c r="D43" s="70" t="s">
        <v>103</v>
      </c>
      <c r="E43" s="68"/>
      <c r="F43" s="69"/>
      <c r="G43" s="69"/>
      <c r="H43" s="69"/>
      <c r="I43" s="70"/>
      <c r="J43" s="68"/>
      <c r="K43" s="69"/>
      <c r="L43" s="70"/>
      <c r="M43" s="68"/>
      <c r="N43" s="69"/>
      <c r="O43" s="69"/>
      <c r="P43" s="71"/>
      <c r="Q43" s="72">
        <f>SUM(BV43:CJ43)*VLOOKUP(W43,Tables!$W$3:$Z$8,4)</f>
        <v>24</v>
      </c>
      <c r="R43" s="73">
        <f t="shared" si="0"/>
        <v>1.08</v>
      </c>
      <c r="S43" s="74">
        <f t="shared" si="1"/>
        <v>0</v>
      </c>
      <c r="T43" s="74">
        <f t="shared" si="2"/>
        <v>5</v>
      </c>
      <c r="U43" s="75">
        <f t="shared" si="3"/>
        <v>7.1999999999999993</v>
      </c>
      <c r="V43" s="76">
        <f t="shared" si="4"/>
        <v>18</v>
      </c>
      <c r="W43" s="77">
        <v>0</v>
      </c>
      <c r="X43" s="78">
        <f t="shared" si="5"/>
        <v>1</v>
      </c>
      <c r="Y43" s="79">
        <f t="shared" si="6"/>
        <v>0</v>
      </c>
      <c r="Z43" s="79">
        <f t="shared" si="7"/>
        <v>1</v>
      </c>
      <c r="AA43" s="78">
        <f t="shared" si="8"/>
        <v>0</v>
      </c>
      <c r="AB43" s="79">
        <f t="shared" si="9"/>
        <v>0</v>
      </c>
      <c r="AC43" s="79">
        <f t="shared" si="10"/>
        <v>0</v>
      </c>
      <c r="AD43" s="79">
        <f t="shared" si="11"/>
        <v>0</v>
      </c>
      <c r="AE43" s="79">
        <f t="shared" si="12"/>
        <v>0</v>
      </c>
      <c r="AF43" s="78">
        <f t="shared" si="13"/>
        <v>0</v>
      </c>
      <c r="AG43" s="79">
        <f t="shared" si="14"/>
        <v>0</v>
      </c>
      <c r="AH43" s="79">
        <f t="shared" si="15"/>
        <v>0</v>
      </c>
      <c r="AI43" s="78">
        <f t="shared" si="16"/>
        <v>0</v>
      </c>
      <c r="AJ43" s="79">
        <f t="shared" si="17"/>
        <v>0</v>
      </c>
      <c r="AK43" s="79">
        <f t="shared" si="18"/>
        <v>0</v>
      </c>
      <c r="AL43" s="80">
        <f t="shared" si="19"/>
        <v>0</v>
      </c>
      <c r="AM43" s="81">
        <f t="shared" si="20"/>
        <v>0.06</v>
      </c>
      <c r="AN43" s="82" t="str">
        <f t="shared" si="21"/>
        <v>Q</v>
      </c>
      <c r="AO43" s="79" t="str">
        <f t="shared" si="22"/>
        <v/>
      </c>
      <c r="AP43" t="str">
        <f t="shared" si="23"/>
        <v>Q</v>
      </c>
      <c r="AQ43" s="82" t="str">
        <f t="shared" si="24"/>
        <v/>
      </c>
      <c r="AR43" t="str">
        <f t="shared" si="25"/>
        <v/>
      </c>
      <c r="AS43" t="str">
        <f t="shared" si="26"/>
        <v/>
      </c>
      <c r="AT43" t="str">
        <f t="shared" si="27"/>
        <v/>
      </c>
      <c r="AU43" t="str">
        <f t="shared" si="28"/>
        <v/>
      </c>
      <c r="AV43" s="82" t="str">
        <f t="shared" si="29"/>
        <v/>
      </c>
      <c r="AW43" t="str">
        <f t="shared" si="30"/>
        <v/>
      </c>
      <c r="AX43" t="str">
        <f t="shared" si="31"/>
        <v/>
      </c>
      <c r="AY43" s="82" t="str">
        <f t="shared" si="32"/>
        <v/>
      </c>
      <c r="AZ43" t="str">
        <f t="shared" si="33"/>
        <v/>
      </c>
      <c r="BA43" t="str">
        <f t="shared" si="34"/>
        <v/>
      </c>
      <c r="BB43" s="83" t="str">
        <f t="shared" si="35"/>
        <v/>
      </c>
      <c r="BC43" s="84">
        <f t="shared" si="36"/>
        <v>0.66666666666666652</v>
      </c>
      <c r="BD43" s="84">
        <f t="shared" si="37"/>
        <v>0</v>
      </c>
      <c r="BE43" s="84">
        <f t="shared" si="38"/>
        <v>0</v>
      </c>
      <c r="BF43" s="84">
        <f t="shared" si="39"/>
        <v>0</v>
      </c>
      <c r="BG43" s="78">
        <f>IF(AN43="",0,VLOOKUP(AN43,Tables!$AB$3:$AC$12,2))</f>
        <v>2</v>
      </c>
      <c r="BH43" s="79">
        <f>IF(AO43="",0,VLOOKUP(AO43,Tables!$AB$3:$AC$12,2))</f>
        <v>0</v>
      </c>
      <c r="BI43" s="79">
        <f>IF(AP43="",0,VLOOKUP(AP43,Tables!$AB$3:$AC$12,2))</f>
        <v>2</v>
      </c>
      <c r="BJ43" s="78">
        <f>IF(AQ43="",0,VLOOKUP(AQ43,Tables!$AB$3:$AC$12,2))</f>
        <v>0</v>
      </c>
      <c r="BK43" s="79">
        <f>IF(AR43="",0,VLOOKUP(AR43,Tables!$AB$3:$AC$12,2))</f>
        <v>0</v>
      </c>
      <c r="BL43" s="79">
        <f>IF(AS43="",0,VLOOKUP(AS43,Tables!$AB$3:$AC$12,2))</f>
        <v>0</v>
      </c>
      <c r="BM43" s="79">
        <f>IF(AT43="",0,VLOOKUP(AT43,Tables!$AB$3:$AC$12,2))</f>
        <v>0</v>
      </c>
      <c r="BN43" s="79">
        <f>IF(AU43="",0,VLOOKUP(AU43,Tables!$AB$3:$AC$12,2))</f>
        <v>0</v>
      </c>
      <c r="BO43" s="78">
        <f>IF(AV43="",0,VLOOKUP(AV43,Tables!$AB$3:$AC$12,2))</f>
        <v>0</v>
      </c>
      <c r="BP43" s="79">
        <f>IF(AW43="",0,VLOOKUP(AW43,Tables!$AB$3:$AC$12,2))</f>
        <v>0</v>
      </c>
      <c r="BQ43" s="79">
        <f>IF(AX43="",0,VLOOKUP(AX43,Tables!$AB$3:$AC$12,2))</f>
        <v>0</v>
      </c>
      <c r="BR43" s="78">
        <f>IF(AY43="",0,VLOOKUP(AY43,Tables!$AB$3:$AC$12,2))</f>
        <v>0</v>
      </c>
      <c r="BS43" s="79">
        <f>IF(AZ43="",0,VLOOKUP(AZ43,Tables!$AB$3:$AC$12,2))</f>
        <v>0</v>
      </c>
      <c r="BT43" s="79">
        <f>IF(BA43="",0,VLOOKUP(BA43,Tables!$AB$3:$AC$12,2))</f>
        <v>0</v>
      </c>
      <c r="BU43" s="80">
        <f>IF(BB43="",0,VLOOKUP(BB43,Tables!$AB$3:$AC$12,2))</f>
        <v>0</v>
      </c>
      <c r="BV43" s="85">
        <f>IF(AN43="",0,VLOOKUP(B43,Tables!$B$3:$D$36,2,FALSE())*X$1)</f>
        <v>16</v>
      </c>
      <c r="BW43" s="72">
        <f>IF(AO43="",0,VLOOKUP(C43,Tables!$B$3:$D$36,2,FALSE())*Y$1)</f>
        <v>0</v>
      </c>
      <c r="BX43" s="72">
        <f>IF(AP43="",0,VLOOKUP(D43,Tables!$B$3:$D$36,2,FALSE())*Z$1)</f>
        <v>8</v>
      </c>
      <c r="BY43" s="85">
        <f>IF(AQ43="",0,VLOOKUP(E43,Tables!$B$3:$D$36,2,FALSE())*AA$1)</f>
        <v>0</v>
      </c>
      <c r="BZ43" s="72">
        <f>IF(AR43="",0,VLOOKUP(F43,Tables!$B$3:$D$36,2,FALSE())*AB$1)</f>
        <v>0</v>
      </c>
      <c r="CA43" s="72">
        <f>IF(AS43="",0,VLOOKUP(G43,Tables!$B$3:$D$36,2,FALSE())*AC$1)</f>
        <v>0</v>
      </c>
      <c r="CB43" s="72">
        <f>IF(AT43="",0,VLOOKUP(H43,Tables!$B$3:$D$36,2,FALSE())*AD$1)</f>
        <v>0</v>
      </c>
      <c r="CC43" s="72">
        <f>IF(AU43="",0,VLOOKUP(I43,Tables!$B$3:$D$36,2,FALSE())*AE$1)</f>
        <v>0</v>
      </c>
      <c r="CD43" s="85">
        <f>IF(AV43="",0,VLOOKUP(J43,Tables!$B$3:$D$36,2,FALSE())*AF$1)</f>
        <v>0</v>
      </c>
      <c r="CE43" s="72">
        <f>IF(AW43="",0,VLOOKUP(K43,Tables!$B$3:$D$36,2,FALSE())*AG$1)</f>
        <v>0</v>
      </c>
      <c r="CF43" s="72">
        <f>IF(AX43="",0,VLOOKUP(L43,Tables!$B$3:$D$36,2,FALSE())*AH$1)</f>
        <v>0</v>
      </c>
      <c r="CG43" s="85">
        <f>IF(AY43="",0,VLOOKUP(M43,Tables!$B$3:$D$36,2,FALSE())*AI$1)</f>
        <v>0</v>
      </c>
      <c r="CH43" s="72">
        <f>IF(AZ43="",0,VLOOKUP(N43,Tables!$B$3:$D$36,2,FALSE())*AJ$1)</f>
        <v>0</v>
      </c>
      <c r="CI43" s="72">
        <f>IF(BA43="",0,VLOOKUP(O43,Tables!$B$3:$D$36,2,FALSE())*AK$1)</f>
        <v>0</v>
      </c>
      <c r="CJ43" s="86">
        <f>IF(BB43="",0,VLOOKUP(P43,Tables!$B$3:$D$36,2,FALSE())*AL$1)</f>
        <v>0</v>
      </c>
      <c r="CK43" s="87">
        <f>IF(AN43="",0,VLOOKUP(B43,Tables!$B$3:$D$36,3,FALSE())*X$1)*IF(OR(AN43="K",AN43="P"),2,1)</f>
        <v>0.72</v>
      </c>
      <c r="CL43" s="73">
        <f>IF(AO43="",0,VLOOKUP(C43,Tables!$B$3:$D$36,3,FALSE())*Y$1)*IF(OR(AO43="K",AO43="P"),2,1)</f>
        <v>0</v>
      </c>
      <c r="CM43" s="73">
        <f>IF(AP43="",0,VLOOKUP(D43,Tables!$B$3:$D$36,3,FALSE())*Z$1)*IF(OR(AP43="K",AP43="P"),2,1)</f>
        <v>0.36</v>
      </c>
      <c r="CN43" s="87">
        <f>IF(AQ43="",0,VLOOKUP(E43,Tables!$B$3:$D$36,3,FALSE())*AA$1)</f>
        <v>0</v>
      </c>
      <c r="CO43" s="73">
        <f>IF(AR43="",0,VLOOKUP(F43,Tables!$B$3:$D$36,3,FALSE())*AB$1)</f>
        <v>0</v>
      </c>
      <c r="CP43" s="73">
        <f>IF(AS43="",0,VLOOKUP(G43,Tables!$B$3:$D$36,3,FALSE())*AC$1)</f>
        <v>0</v>
      </c>
      <c r="CQ43" s="73">
        <f>IF(AT43="",0,VLOOKUP(H43,Tables!$B$3:$D$36,3,FALSE())*AD$1)</f>
        <v>0</v>
      </c>
      <c r="CR43" s="73">
        <f>IF(AU43="",0,VLOOKUP(I43,Tables!$B$3:$D$36,3,FALSE())*AE$1)</f>
        <v>0</v>
      </c>
      <c r="CS43" s="87">
        <f>IF(AV43="",0,VLOOKUP(J43,Tables!$B$3:$D$36,3,FALSE())*AF$1)</f>
        <v>0</v>
      </c>
      <c r="CT43" s="73">
        <f>IF(AW43="",0,VLOOKUP(K43,Tables!$B$3:$D$36,3,FALSE())*AG$1)</f>
        <v>0</v>
      </c>
      <c r="CU43" s="73">
        <f>IF(AX43="",0,VLOOKUP(L43,Tables!$B$3:$D$36,3,FALSE())*AH$1)</f>
        <v>0</v>
      </c>
      <c r="CV43" s="87">
        <f>IF(AY43="",0,VLOOKUP(M43,Tables!$B$3:$D$36,3,FALSE())*AI$1)</f>
        <v>0</v>
      </c>
      <c r="CW43" s="73">
        <f>IF(AZ43="",0,VLOOKUP(N43,Tables!$B$3:$D$36,3,FALSE())*AJ$1)</f>
        <v>0</v>
      </c>
      <c r="CX43" s="73">
        <f>IF(BA43="",0,VLOOKUP(O43,Tables!$B$3:$D$36,3,FALSE())*AK$1)</f>
        <v>0</v>
      </c>
      <c r="CY43" s="88">
        <f>IF(BB43="",0,VLOOKUP(P43,Tables!$B$3:$D$36,3,FALSE())*AL$1)</f>
        <v>0</v>
      </c>
      <c r="CZ43" s="89">
        <f t="shared" si="40"/>
        <v>0.65</v>
      </c>
      <c r="DA43" s="75">
        <f t="shared" si="41"/>
        <v>0</v>
      </c>
      <c r="DB43" s="75">
        <f t="shared" si="42"/>
        <v>0.65</v>
      </c>
      <c r="DC43" s="89">
        <f t="shared" si="43"/>
        <v>0</v>
      </c>
      <c r="DD43" s="75">
        <f t="shared" si="44"/>
        <v>0</v>
      </c>
      <c r="DE43" s="75">
        <f t="shared" si="45"/>
        <v>0</v>
      </c>
      <c r="DF43" s="75">
        <f t="shared" si="46"/>
        <v>0</v>
      </c>
      <c r="DG43" s="75">
        <f t="shared" si="47"/>
        <v>0</v>
      </c>
      <c r="DH43" s="89">
        <f t="shared" si="48"/>
        <v>0</v>
      </c>
      <c r="DI43" s="75">
        <f t="shared" si="49"/>
        <v>0</v>
      </c>
      <c r="DJ43" s="75">
        <f t="shared" si="50"/>
        <v>0</v>
      </c>
      <c r="DK43" s="89">
        <f t="shared" si="51"/>
        <v>0</v>
      </c>
      <c r="DL43" s="75">
        <f t="shared" si="52"/>
        <v>0</v>
      </c>
      <c r="DM43" s="75">
        <f t="shared" si="53"/>
        <v>0</v>
      </c>
      <c r="DN43" s="90">
        <f t="shared" si="54"/>
        <v>0</v>
      </c>
      <c r="DO43" s="91">
        <f>IF(AN43="",0,VLOOKUP(B43,Tables!$B$3:$M$36,11,FALSE())*X$1)</f>
        <v>4.8</v>
      </c>
      <c r="DP43" s="92">
        <f>IF(AO43="",0,VLOOKUP(C43,Tables!$B$3:$M$36,11,FALSE())*Y$1)</f>
        <v>0</v>
      </c>
      <c r="DQ43" s="92">
        <f>IF(AP43="",0,VLOOKUP(D43,Tables!$B$3:$M$36,11,FALSE())*Z$1)</f>
        <v>2.4</v>
      </c>
      <c r="DR43" s="91">
        <f>IF(AQ43="",0,VLOOKUP(E43,Tables!$B$3:$M$36,11,FALSE())*AA$1)</f>
        <v>0</v>
      </c>
      <c r="DS43" s="92">
        <f>IF(AR43="",0,VLOOKUP(F43,Tables!$B$3:$M$36,11,FALSE())*AB$1)</f>
        <v>0</v>
      </c>
      <c r="DT43" s="92">
        <f>IF(AS43="",0,VLOOKUP(G43,Tables!$B$3:$M$36,11,FALSE())*AC$1)</f>
        <v>0</v>
      </c>
      <c r="DU43" s="92">
        <f>IF(AT43="",0,VLOOKUP(H43,Tables!$B$3:$M$36,11,FALSE())*AD$1)</f>
        <v>0</v>
      </c>
      <c r="DV43" s="92">
        <f>IF(AU43="",0,VLOOKUP(I43,Tables!$B$3:$M$36,11,FALSE())*AE$1)</f>
        <v>0</v>
      </c>
      <c r="DW43" s="91">
        <f>IF(AV43="",0,VLOOKUP(J43,Tables!$B$3:$M$36,11,FALSE())*AF$1)</f>
        <v>0</v>
      </c>
      <c r="DX43" s="92">
        <f>IF(AW43="",0,VLOOKUP(K43,Tables!$B$3:$M$36,11,FALSE())*AG$1)</f>
        <v>0</v>
      </c>
      <c r="DY43" s="92">
        <f>IF(AX43="",0,VLOOKUP(L43,Tables!$B$3:$M$36,11,FALSE())*AH$1)</f>
        <v>0</v>
      </c>
      <c r="DZ43" s="91">
        <f>IF(AY43="",0,VLOOKUP(M43,Tables!$B$3:$M$36,11,FALSE())*AI$1)</f>
        <v>0</v>
      </c>
      <c r="EA43" s="92">
        <f>IF(AZ43="",0,VLOOKUP(N43,Tables!$B$3:$M$36,11,FALSE())*AJ$1)</f>
        <v>0</v>
      </c>
      <c r="EB43" s="92">
        <f>IF(BA43="",0,VLOOKUP(O43,Tables!$B$3:$M$36,11,FALSE())*AK$1)</f>
        <v>0</v>
      </c>
      <c r="EC43" s="93">
        <f>IF(BB43="",0,VLOOKUP(P43,Tables!$B$3:$M$36,11,FALSE())*AL$1)</f>
        <v>0</v>
      </c>
      <c r="ED43" s="91">
        <f>IF(AN43="",0,VLOOKUP(B43,Tables!$B$3:$M$36,12,FALSE())*X$1)</f>
        <v>12</v>
      </c>
      <c r="EE43" s="92">
        <f>IF(AO43="",0,VLOOKUP(C43,Tables!$B$3:$M$36,12,FALSE())*Y$1)</f>
        <v>0</v>
      </c>
      <c r="EF43" s="92">
        <f>IF(AP43="",0,VLOOKUP(D43,Tables!$B$3:$M$36,12,FALSE())*Z$1)</f>
        <v>6</v>
      </c>
      <c r="EG43" s="91">
        <f>IF(AQ43="",0,VLOOKUP(E43,Tables!$B$3:$M$36,12,FALSE())*AA$1)</f>
        <v>0</v>
      </c>
      <c r="EH43" s="92">
        <f>IF(AR43="",0,VLOOKUP(F43,Tables!$B$3:$M$36,12,FALSE())*AB$1)</f>
        <v>0</v>
      </c>
      <c r="EI43" s="92">
        <f>IF(AS43="",0,VLOOKUP(G43,Tables!$B$3:$M$36,12,FALSE())*AC$1)</f>
        <v>0</v>
      </c>
      <c r="EJ43" s="92">
        <f>IF(AT43="",0,VLOOKUP(H43,Tables!$B$3:$M$36,12,FALSE())*AD$1)</f>
        <v>0</v>
      </c>
      <c r="EK43" s="92">
        <f>IF(AU43="",0,VLOOKUP(I43,Tables!$B$3:$M$36,12,FALSE())*AE$1)</f>
        <v>0</v>
      </c>
      <c r="EL43" s="91">
        <f>IF(AV43="",0,VLOOKUP(J43,Tables!$B$3:$M$36,12,FALSE())*AF$1)</f>
        <v>0</v>
      </c>
      <c r="EM43" s="92">
        <f>IF(AW43="",0,VLOOKUP(K43,Tables!$B$3:$M$36,12,FALSE())*AG$1)</f>
        <v>0</v>
      </c>
      <c r="EN43" s="92">
        <f>IF(AX43="",0,VLOOKUP(L43,Tables!$B$3:$M$36,12,FALSE())*AH$1)</f>
        <v>0</v>
      </c>
      <c r="EO43" s="91">
        <f>IF(AY43="",0,VLOOKUP(M43,Tables!$B$3:$M$36,12,FALSE())*AI$1)</f>
        <v>0</v>
      </c>
      <c r="EP43" s="92">
        <f>IF(AZ43="",0,VLOOKUP(N43,Tables!$B$3:$M$36,12,FALSE())*AJ$1)</f>
        <v>0</v>
      </c>
      <c r="EQ43" s="92">
        <f>IF(BA43="",0,VLOOKUP(O43,Tables!$B$3:$M$36,12,FALSE())*AK$1)</f>
        <v>0</v>
      </c>
      <c r="ER43" s="93">
        <f>IF(BB43="",0,VLOOKUP(P43,Tables!$B$3:$M$36,12,FALSE())*AL$1)</f>
        <v>0</v>
      </c>
      <c r="ES43" s="94">
        <f t="shared" si="55"/>
        <v>0</v>
      </c>
      <c r="ET43" s="95">
        <f>IF(AN43="",10,MIN(VLOOKUP(B43,Tables!$B$3:$N$34,13,FALSE()),'Item Builder'!$W43))</f>
        <v>0</v>
      </c>
      <c r="EU43" s="95">
        <f>IF(AO43="",10,MIN(VLOOKUP(C43,Tables!$B$3:$N$34,13,FALSE()),'Item Builder'!$W43))</f>
        <v>10</v>
      </c>
      <c r="EV43" s="95">
        <f>IF(AP43="",10,MIN(VLOOKUP(D43,Tables!$B$3:$N$34,13,FALSE()),'Item Builder'!$W43))</f>
        <v>0</v>
      </c>
      <c r="EW43" s="95">
        <f>IF(AQ43="",10,MIN(VLOOKUP(E43,Tables!$B$3:$N$34,13,FALSE()),'Item Builder'!$W43))</f>
        <v>10</v>
      </c>
      <c r="EX43" s="95">
        <f>IF(AR43="",10,MIN(VLOOKUP(F43,Tables!$B$3:$N$34,13,FALSE()),'Item Builder'!$W43))</f>
        <v>10</v>
      </c>
      <c r="EY43" s="95">
        <f>IF(AS43="",10,MIN(VLOOKUP(G43,Tables!$B$3:$N$34,13,FALSE()),'Item Builder'!$W43))</f>
        <v>10</v>
      </c>
      <c r="EZ43" s="95">
        <f>IF(AT43="",10,MIN(VLOOKUP(H43,Tables!$B$3:$N$34,13,FALSE()),'Item Builder'!$W43))</f>
        <v>10</v>
      </c>
      <c r="FA43" s="95">
        <f>IF(AU43="",10,MIN(VLOOKUP(I43,Tables!$B$3:$N$34,13,FALSE()),'Item Builder'!$W43))</f>
        <v>10</v>
      </c>
      <c r="FB43" s="95">
        <f>IF(AV43="",10,MIN(VLOOKUP(J43,Tables!$B$3:$N$34,13,FALSE()),'Item Builder'!$W43))</f>
        <v>10</v>
      </c>
      <c r="FC43" s="95">
        <f>IF(AW43="",10,MIN(VLOOKUP(K43,Tables!$B$3:$N$34,13,FALSE()),'Item Builder'!$W43))</f>
        <v>10</v>
      </c>
      <c r="FD43" s="95">
        <f>IF(AX43="",10,MIN(VLOOKUP(L43,Tables!$B$3:$N$34,13,FALSE()),'Item Builder'!$W43))</f>
        <v>10</v>
      </c>
      <c r="FE43" s="95">
        <f>IF(AY43="",10,MIN(VLOOKUP(M43,Tables!$B$3:$N$34,13,FALSE()),'Item Builder'!$W43))</f>
        <v>10</v>
      </c>
      <c r="FF43" s="95">
        <f>IF(AZ43="",10,MIN(VLOOKUP(N43,Tables!$B$3:$N$34,13,FALSE()),'Item Builder'!$W43))</f>
        <v>10</v>
      </c>
      <c r="FG43" s="95">
        <f>IF(BA43="",10,MIN(VLOOKUP(O43,Tables!$B$3:$N$34,13,FALSE()),'Item Builder'!$W43))</f>
        <v>10</v>
      </c>
      <c r="FH43" s="98">
        <f>IF(BB43="",10,MIN(VLOOKUP(P43,Tables!$B$3:$N$34,13,FALSE()),'Item Builder'!$W43))</f>
        <v>10</v>
      </c>
    </row>
    <row r="44" spans="1:164" x14ac:dyDescent="0.25">
      <c r="A44" s="67" t="s">
        <v>210</v>
      </c>
      <c r="B44" s="68"/>
      <c r="C44" s="69"/>
      <c r="D44" s="70"/>
      <c r="E44" s="68" t="s">
        <v>103</v>
      </c>
      <c r="F44" s="69" t="s">
        <v>103</v>
      </c>
      <c r="G44" s="69"/>
      <c r="H44" s="69"/>
      <c r="I44" s="70"/>
      <c r="J44" s="68" t="s">
        <v>103</v>
      </c>
      <c r="K44" s="69"/>
      <c r="L44" s="70"/>
      <c r="M44" s="68"/>
      <c r="N44" s="69"/>
      <c r="O44" s="69"/>
      <c r="P44" s="71"/>
      <c r="Q44" s="72">
        <f>SUM(BV44:CJ44)*VLOOKUP(W44,Tables!$W$3:$Z$8,4)</f>
        <v>84</v>
      </c>
      <c r="R44" s="73">
        <f t="shared" si="0"/>
        <v>3.7800000000000002</v>
      </c>
      <c r="S44" s="74">
        <f t="shared" si="1"/>
        <v>0</v>
      </c>
      <c r="T44" s="74">
        <f t="shared" si="2"/>
        <v>0</v>
      </c>
      <c r="U44" s="75">
        <f t="shared" si="3"/>
        <v>25.199999999999996</v>
      </c>
      <c r="V44" s="76">
        <f t="shared" si="4"/>
        <v>63</v>
      </c>
      <c r="W44" s="77">
        <v>0</v>
      </c>
      <c r="X44" s="78">
        <f t="shared" si="5"/>
        <v>0</v>
      </c>
      <c r="Y44" s="79">
        <f t="shared" si="6"/>
        <v>0</v>
      </c>
      <c r="Z44" s="79">
        <f t="shared" si="7"/>
        <v>0</v>
      </c>
      <c r="AA44" s="78">
        <f t="shared" si="8"/>
        <v>1</v>
      </c>
      <c r="AB44" s="79">
        <f t="shared" si="9"/>
        <v>1</v>
      </c>
      <c r="AC44" s="79">
        <f t="shared" si="10"/>
        <v>0</v>
      </c>
      <c r="AD44" s="79">
        <f t="shared" si="11"/>
        <v>0</v>
      </c>
      <c r="AE44" s="79">
        <f t="shared" si="12"/>
        <v>0</v>
      </c>
      <c r="AF44" s="78">
        <f t="shared" si="13"/>
        <v>1</v>
      </c>
      <c r="AG44" s="79">
        <f t="shared" si="14"/>
        <v>0</v>
      </c>
      <c r="AH44" s="79">
        <f t="shared" si="15"/>
        <v>0</v>
      </c>
      <c r="AI44" s="78">
        <f t="shared" si="16"/>
        <v>0</v>
      </c>
      <c r="AJ44" s="79">
        <f t="shared" si="17"/>
        <v>0</v>
      </c>
      <c r="AK44" s="79">
        <f t="shared" si="18"/>
        <v>0</v>
      </c>
      <c r="AL44" s="80">
        <f t="shared" si="19"/>
        <v>0</v>
      </c>
      <c r="AM44" s="81">
        <f t="shared" si="20"/>
        <v>0.21</v>
      </c>
      <c r="AN44" s="82" t="str">
        <f t="shared" si="21"/>
        <v/>
      </c>
      <c r="AO44" s="79" t="str">
        <f t="shared" si="22"/>
        <v/>
      </c>
      <c r="AP44" t="str">
        <f t="shared" si="23"/>
        <v/>
      </c>
      <c r="AQ44" s="82" t="str">
        <f t="shared" si="24"/>
        <v>Q</v>
      </c>
      <c r="AR44" t="str">
        <f t="shared" si="25"/>
        <v>Q</v>
      </c>
      <c r="AS44" t="str">
        <f t="shared" si="26"/>
        <v/>
      </c>
      <c r="AT44" t="str">
        <f t="shared" si="27"/>
        <v/>
      </c>
      <c r="AU44" t="str">
        <f t="shared" si="28"/>
        <v/>
      </c>
      <c r="AV44" s="82" t="str">
        <f t="shared" si="29"/>
        <v>Q</v>
      </c>
      <c r="AW44" t="str">
        <f t="shared" si="30"/>
        <v/>
      </c>
      <c r="AX44" t="str">
        <f t="shared" si="31"/>
        <v/>
      </c>
      <c r="AY44" s="82" t="str">
        <f t="shared" si="32"/>
        <v/>
      </c>
      <c r="AZ44" t="str">
        <f t="shared" si="33"/>
        <v/>
      </c>
      <c r="BA44" t="str">
        <f t="shared" si="34"/>
        <v/>
      </c>
      <c r="BB44" s="83" t="str">
        <f t="shared" si="35"/>
        <v/>
      </c>
      <c r="BC44" s="84">
        <f t="shared" si="36"/>
        <v>0</v>
      </c>
      <c r="BD44" s="84">
        <f t="shared" si="37"/>
        <v>0.42857142857142849</v>
      </c>
      <c r="BE44" s="84">
        <f t="shared" si="38"/>
        <v>0.35294117647058826</v>
      </c>
      <c r="BF44" s="84">
        <f t="shared" si="39"/>
        <v>0</v>
      </c>
      <c r="BG44" s="78">
        <f>IF(AN44="",0,VLOOKUP(AN44,Tables!$AB$3:$AC$12,2))</f>
        <v>0</v>
      </c>
      <c r="BH44" s="79">
        <f>IF(AO44="",0,VLOOKUP(AO44,Tables!$AB$3:$AC$12,2))</f>
        <v>0</v>
      </c>
      <c r="BI44" s="79">
        <f>IF(AP44="",0,VLOOKUP(AP44,Tables!$AB$3:$AC$12,2))</f>
        <v>0</v>
      </c>
      <c r="BJ44" s="78">
        <f>IF(AQ44="",0,VLOOKUP(AQ44,Tables!$AB$3:$AC$12,2))</f>
        <v>2</v>
      </c>
      <c r="BK44" s="79">
        <f>IF(AR44="",0,VLOOKUP(AR44,Tables!$AB$3:$AC$12,2))</f>
        <v>2</v>
      </c>
      <c r="BL44" s="79">
        <f>IF(AS44="",0,VLOOKUP(AS44,Tables!$AB$3:$AC$12,2))</f>
        <v>0</v>
      </c>
      <c r="BM44" s="79">
        <f>IF(AT44="",0,VLOOKUP(AT44,Tables!$AB$3:$AC$12,2))</f>
        <v>0</v>
      </c>
      <c r="BN44" s="79">
        <f>IF(AU44="",0,VLOOKUP(AU44,Tables!$AB$3:$AC$12,2))</f>
        <v>0</v>
      </c>
      <c r="BO44" s="78">
        <f>IF(AV44="",0,VLOOKUP(AV44,Tables!$AB$3:$AC$12,2))</f>
        <v>2</v>
      </c>
      <c r="BP44" s="79">
        <f>IF(AW44="",0,VLOOKUP(AW44,Tables!$AB$3:$AC$12,2))</f>
        <v>0</v>
      </c>
      <c r="BQ44" s="79">
        <f>IF(AX44="",0,VLOOKUP(AX44,Tables!$AB$3:$AC$12,2))</f>
        <v>0</v>
      </c>
      <c r="BR44" s="78">
        <f>IF(AY44="",0,VLOOKUP(AY44,Tables!$AB$3:$AC$12,2))</f>
        <v>0</v>
      </c>
      <c r="BS44" s="79">
        <f>IF(AZ44="",0,VLOOKUP(AZ44,Tables!$AB$3:$AC$12,2))</f>
        <v>0</v>
      </c>
      <c r="BT44" s="79">
        <f>IF(BA44="",0,VLOOKUP(BA44,Tables!$AB$3:$AC$12,2))</f>
        <v>0</v>
      </c>
      <c r="BU44" s="80">
        <f>IF(BB44="",0,VLOOKUP(BB44,Tables!$AB$3:$AC$12,2))</f>
        <v>0</v>
      </c>
      <c r="BV44" s="85">
        <f>IF(AN44="",0,VLOOKUP(B44,Tables!$B$3:$D$36,2,FALSE())*X$1)</f>
        <v>0</v>
      </c>
      <c r="BW44" s="72">
        <f>IF(AO44="",0,VLOOKUP(C44,Tables!$B$3:$D$36,2,FALSE())*Y$1)</f>
        <v>0</v>
      </c>
      <c r="BX44" s="72">
        <f>IF(AP44="",0,VLOOKUP(D44,Tables!$B$3:$D$36,2,FALSE())*Z$1)</f>
        <v>0</v>
      </c>
      <c r="BY44" s="85">
        <f>IF(AQ44="",0,VLOOKUP(E44,Tables!$B$3:$D$36,2,FALSE())*AA$1)</f>
        <v>12</v>
      </c>
      <c r="BZ44" s="72">
        <f>IF(AR44="",0,VLOOKUP(F44,Tables!$B$3:$D$36,2,FALSE())*AB$1)</f>
        <v>24</v>
      </c>
      <c r="CA44" s="72">
        <f>IF(AS44="",0,VLOOKUP(G44,Tables!$B$3:$D$36,2,FALSE())*AC$1)</f>
        <v>0</v>
      </c>
      <c r="CB44" s="72">
        <f>IF(AT44="",0,VLOOKUP(H44,Tables!$B$3:$D$36,2,FALSE())*AD$1)</f>
        <v>0</v>
      </c>
      <c r="CC44" s="72">
        <f>IF(AU44="",0,VLOOKUP(I44,Tables!$B$3:$D$36,2,FALSE())*AE$1)</f>
        <v>0</v>
      </c>
      <c r="CD44" s="85">
        <f>IF(AV44="",0,VLOOKUP(J44,Tables!$B$3:$D$36,2,FALSE())*AF$1)</f>
        <v>48</v>
      </c>
      <c r="CE44" s="72">
        <f>IF(AW44="",0,VLOOKUP(K44,Tables!$B$3:$D$36,2,FALSE())*AG$1)</f>
        <v>0</v>
      </c>
      <c r="CF44" s="72">
        <f>IF(AX44="",0,VLOOKUP(L44,Tables!$B$3:$D$36,2,FALSE())*AH$1)</f>
        <v>0</v>
      </c>
      <c r="CG44" s="85">
        <f>IF(AY44="",0,VLOOKUP(M44,Tables!$B$3:$D$36,2,FALSE())*AI$1)</f>
        <v>0</v>
      </c>
      <c r="CH44" s="72">
        <f>IF(AZ44="",0,VLOOKUP(N44,Tables!$B$3:$D$36,2,FALSE())*AJ$1)</f>
        <v>0</v>
      </c>
      <c r="CI44" s="72">
        <f>IF(BA44="",0,VLOOKUP(O44,Tables!$B$3:$D$36,2,FALSE())*AK$1)</f>
        <v>0</v>
      </c>
      <c r="CJ44" s="86">
        <f>IF(BB44="",0,VLOOKUP(P44,Tables!$B$3:$D$36,2,FALSE())*AL$1)</f>
        <v>0</v>
      </c>
      <c r="CK44" s="87">
        <f>IF(AN44="",0,VLOOKUP(B44,Tables!$B$3:$D$36,3,FALSE())*X$1)*IF(OR(AN44="K",AN44="P"),2,1)</f>
        <v>0</v>
      </c>
      <c r="CL44" s="73">
        <f>IF(AO44="",0,VLOOKUP(C44,Tables!$B$3:$D$36,3,FALSE())*Y$1)*IF(OR(AO44="K",AO44="P"),2,1)</f>
        <v>0</v>
      </c>
      <c r="CM44" s="73">
        <f>IF(AP44="",0,VLOOKUP(D44,Tables!$B$3:$D$36,3,FALSE())*Z$1)*IF(OR(AP44="K",AP44="P"),2,1)</f>
        <v>0</v>
      </c>
      <c r="CN44" s="87">
        <f>IF(AQ44="",0,VLOOKUP(E44,Tables!$B$3:$D$36,3,FALSE())*AA$1)</f>
        <v>0.54</v>
      </c>
      <c r="CO44" s="73">
        <f>IF(AR44="",0,VLOOKUP(F44,Tables!$B$3:$D$36,3,FALSE())*AB$1)</f>
        <v>1.08</v>
      </c>
      <c r="CP44" s="73">
        <f>IF(AS44="",0,VLOOKUP(G44,Tables!$B$3:$D$36,3,FALSE())*AC$1)</f>
        <v>0</v>
      </c>
      <c r="CQ44" s="73">
        <f>IF(AT44="",0,VLOOKUP(H44,Tables!$B$3:$D$36,3,FALSE())*AD$1)</f>
        <v>0</v>
      </c>
      <c r="CR44" s="73">
        <f>IF(AU44="",0,VLOOKUP(I44,Tables!$B$3:$D$36,3,FALSE())*AE$1)</f>
        <v>0</v>
      </c>
      <c r="CS44" s="87">
        <f>IF(AV44="",0,VLOOKUP(J44,Tables!$B$3:$D$36,3,FALSE())*AF$1)</f>
        <v>2.16</v>
      </c>
      <c r="CT44" s="73">
        <f>IF(AW44="",0,VLOOKUP(K44,Tables!$B$3:$D$36,3,FALSE())*AG$1)</f>
        <v>0</v>
      </c>
      <c r="CU44" s="73">
        <f>IF(AX44="",0,VLOOKUP(L44,Tables!$B$3:$D$36,3,FALSE())*AH$1)</f>
        <v>0</v>
      </c>
      <c r="CV44" s="87">
        <f>IF(AY44="",0,VLOOKUP(M44,Tables!$B$3:$D$36,3,FALSE())*AI$1)</f>
        <v>0</v>
      </c>
      <c r="CW44" s="73">
        <f>IF(AZ44="",0,VLOOKUP(N44,Tables!$B$3:$D$36,3,FALSE())*AJ$1)</f>
        <v>0</v>
      </c>
      <c r="CX44" s="73">
        <f>IF(BA44="",0,VLOOKUP(O44,Tables!$B$3:$D$36,3,FALSE())*AK$1)</f>
        <v>0</v>
      </c>
      <c r="CY44" s="88">
        <f>IF(BB44="",0,VLOOKUP(P44,Tables!$B$3:$D$36,3,FALSE())*AL$1)</f>
        <v>0</v>
      </c>
      <c r="CZ44" s="89">
        <f t="shared" si="40"/>
        <v>0</v>
      </c>
      <c r="DA44" s="75">
        <f t="shared" si="41"/>
        <v>0</v>
      </c>
      <c r="DB44" s="75">
        <f t="shared" si="42"/>
        <v>0</v>
      </c>
      <c r="DC44" s="89">
        <f t="shared" si="43"/>
        <v>0.65</v>
      </c>
      <c r="DD44" s="75">
        <f t="shared" si="44"/>
        <v>0.65</v>
      </c>
      <c r="DE44" s="75">
        <f t="shared" si="45"/>
        <v>0</v>
      </c>
      <c r="DF44" s="75">
        <f t="shared" si="46"/>
        <v>0</v>
      </c>
      <c r="DG44" s="75">
        <f t="shared" si="47"/>
        <v>0</v>
      </c>
      <c r="DH44" s="89">
        <f t="shared" si="48"/>
        <v>0.65</v>
      </c>
      <c r="DI44" s="75">
        <f t="shared" si="49"/>
        <v>0</v>
      </c>
      <c r="DJ44" s="75">
        <f t="shared" si="50"/>
        <v>0</v>
      </c>
      <c r="DK44" s="89">
        <f t="shared" si="51"/>
        <v>0</v>
      </c>
      <c r="DL44" s="75">
        <f t="shared" si="52"/>
        <v>0</v>
      </c>
      <c r="DM44" s="75">
        <f t="shared" si="53"/>
        <v>0</v>
      </c>
      <c r="DN44" s="90">
        <f t="shared" si="54"/>
        <v>0</v>
      </c>
      <c r="DO44" s="91">
        <f>IF(AN44="",0,VLOOKUP(B44,Tables!$B$3:$M$36,11,FALSE())*X$1)</f>
        <v>0</v>
      </c>
      <c r="DP44" s="92">
        <f>IF(AO44="",0,VLOOKUP(C44,Tables!$B$3:$M$36,11,FALSE())*Y$1)</f>
        <v>0</v>
      </c>
      <c r="DQ44" s="92">
        <f>IF(AP44="",0,VLOOKUP(D44,Tables!$B$3:$M$36,11,FALSE())*Z$1)</f>
        <v>0</v>
      </c>
      <c r="DR44" s="91">
        <f>IF(AQ44="",0,VLOOKUP(E44,Tables!$B$3:$M$36,11,FALSE())*AA$1)</f>
        <v>3.5999999999999996</v>
      </c>
      <c r="DS44" s="92">
        <f>IF(AR44="",0,VLOOKUP(F44,Tables!$B$3:$M$36,11,FALSE())*AB$1)</f>
        <v>7.1999999999999993</v>
      </c>
      <c r="DT44" s="92">
        <f>IF(AS44="",0,VLOOKUP(G44,Tables!$B$3:$M$36,11,FALSE())*AC$1)</f>
        <v>0</v>
      </c>
      <c r="DU44" s="92">
        <f>IF(AT44="",0,VLOOKUP(H44,Tables!$B$3:$M$36,11,FALSE())*AD$1)</f>
        <v>0</v>
      </c>
      <c r="DV44" s="92">
        <f>IF(AU44="",0,VLOOKUP(I44,Tables!$B$3:$M$36,11,FALSE())*AE$1)</f>
        <v>0</v>
      </c>
      <c r="DW44" s="91">
        <f>IF(AV44="",0,VLOOKUP(J44,Tables!$B$3:$M$36,11,FALSE())*AF$1)</f>
        <v>14.399999999999999</v>
      </c>
      <c r="DX44" s="92">
        <f>IF(AW44="",0,VLOOKUP(K44,Tables!$B$3:$M$36,11,FALSE())*AG$1)</f>
        <v>0</v>
      </c>
      <c r="DY44" s="92">
        <f>IF(AX44="",0,VLOOKUP(L44,Tables!$B$3:$M$36,11,FALSE())*AH$1)</f>
        <v>0</v>
      </c>
      <c r="DZ44" s="91">
        <f>IF(AY44="",0,VLOOKUP(M44,Tables!$B$3:$M$36,11,FALSE())*AI$1)</f>
        <v>0</v>
      </c>
      <c r="EA44" s="92">
        <f>IF(AZ44="",0,VLOOKUP(N44,Tables!$B$3:$M$36,11,FALSE())*AJ$1)</f>
        <v>0</v>
      </c>
      <c r="EB44" s="92">
        <f>IF(BA44="",0,VLOOKUP(O44,Tables!$B$3:$M$36,11,FALSE())*AK$1)</f>
        <v>0</v>
      </c>
      <c r="EC44" s="93">
        <f>IF(BB44="",0,VLOOKUP(P44,Tables!$B$3:$M$36,11,FALSE())*AL$1)</f>
        <v>0</v>
      </c>
      <c r="ED44" s="91">
        <f>IF(AN44="",0,VLOOKUP(B44,Tables!$B$3:$M$36,12,FALSE())*X$1)</f>
        <v>0</v>
      </c>
      <c r="EE44" s="92">
        <f>IF(AO44="",0,VLOOKUP(C44,Tables!$B$3:$M$36,12,FALSE())*Y$1)</f>
        <v>0</v>
      </c>
      <c r="EF44" s="92">
        <f>IF(AP44="",0,VLOOKUP(D44,Tables!$B$3:$M$36,12,FALSE())*Z$1)</f>
        <v>0</v>
      </c>
      <c r="EG44" s="91">
        <f>IF(AQ44="",0,VLOOKUP(E44,Tables!$B$3:$M$36,12,FALSE())*AA$1)</f>
        <v>9</v>
      </c>
      <c r="EH44" s="92">
        <f>IF(AR44="",0,VLOOKUP(F44,Tables!$B$3:$M$36,12,FALSE())*AB$1)</f>
        <v>18</v>
      </c>
      <c r="EI44" s="92">
        <f>IF(AS44="",0,VLOOKUP(G44,Tables!$B$3:$M$36,12,FALSE())*AC$1)</f>
        <v>0</v>
      </c>
      <c r="EJ44" s="92">
        <f>IF(AT44="",0,VLOOKUP(H44,Tables!$B$3:$M$36,12,FALSE())*AD$1)</f>
        <v>0</v>
      </c>
      <c r="EK44" s="92">
        <f>IF(AU44="",0,VLOOKUP(I44,Tables!$B$3:$M$36,12,FALSE())*AE$1)</f>
        <v>0</v>
      </c>
      <c r="EL44" s="91">
        <f>IF(AV44="",0,VLOOKUP(J44,Tables!$B$3:$M$36,12,FALSE())*AF$1)</f>
        <v>36</v>
      </c>
      <c r="EM44" s="92">
        <f>IF(AW44="",0,VLOOKUP(K44,Tables!$B$3:$M$36,12,FALSE())*AG$1)</f>
        <v>0</v>
      </c>
      <c r="EN44" s="92">
        <f>IF(AX44="",0,VLOOKUP(L44,Tables!$B$3:$M$36,12,FALSE())*AH$1)</f>
        <v>0</v>
      </c>
      <c r="EO44" s="91">
        <f>IF(AY44="",0,VLOOKUP(M44,Tables!$B$3:$M$36,12,FALSE())*AI$1)</f>
        <v>0</v>
      </c>
      <c r="EP44" s="92">
        <f>IF(AZ44="",0,VLOOKUP(N44,Tables!$B$3:$M$36,12,FALSE())*AJ$1)</f>
        <v>0</v>
      </c>
      <c r="EQ44" s="92">
        <f>IF(BA44="",0,VLOOKUP(O44,Tables!$B$3:$M$36,12,FALSE())*AK$1)</f>
        <v>0</v>
      </c>
      <c r="ER44" s="93">
        <f>IF(BB44="",0,VLOOKUP(P44,Tables!$B$3:$M$36,12,FALSE())*AL$1)</f>
        <v>0</v>
      </c>
      <c r="ES44" s="94">
        <f t="shared" si="55"/>
        <v>0</v>
      </c>
      <c r="ET44" s="95">
        <f>IF(AN44="",10,MIN(VLOOKUP(B44,Tables!$B$3:$N$34,13,FALSE()),'Item Builder'!$W44))</f>
        <v>10</v>
      </c>
      <c r="EU44" s="95">
        <f>IF(AO44="",10,MIN(VLOOKUP(C44,Tables!$B$3:$N$34,13,FALSE()),'Item Builder'!$W44))</f>
        <v>10</v>
      </c>
      <c r="EV44" s="95">
        <f>IF(AP44="",10,MIN(VLOOKUP(D44,Tables!$B$3:$N$34,13,FALSE()),'Item Builder'!$W44))</f>
        <v>10</v>
      </c>
      <c r="EW44" s="95">
        <f>IF(AQ44="",10,MIN(VLOOKUP(E44,Tables!$B$3:$N$34,13,FALSE()),'Item Builder'!$W44))</f>
        <v>0</v>
      </c>
      <c r="EX44" s="95">
        <f>IF(AR44="",10,MIN(VLOOKUP(F44,Tables!$B$3:$N$34,13,FALSE()),'Item Builder'!$W44))</f>
        <v>0</v>
      </c>
      <c r="EY44" s="95">
        <f>IF(AS44="",10,MIN(VLOOKUP(G44,Tables!$B$3:$N$34,13,FALSE()),'Item Builder'!$W44))</f>
        <v>10</v>
      </c>
      <c r="EZ44" s="95">
        <f>IF(AT44="",10,MIN(VLOOKUP(H44,Tables!$B$3:$N$34,13,FALSE()),'Item Builder'!$W44))</f>
        <v>10</v>
      </c>
      <c r="FA44" s="95">
        <f>IF(AU44="",10,MIN(VLOOKUP(I44,Tables!$B$3:$N$34,13,FALSE()),'Item Builder'!$W44))</f>
        <v>10</v>
      </c>
      <c r="FB44" s="95">
        <f>IF(AV44="",10,MIN(VLOOKUP(J44,Tables!$B$3:$N$34,13,FALSE()),'Item Builder'!$W44))</f>
        <v>0</v>
      </c>
      <c r="FC44" s="95">
        <f>IF(AW44="",10,MIN(VLOOKUP(K44,Tables!$B$3:$N$34,13,FALSE()),'Item Builder'!$W44))</f>
        <v>10</v>
      </c>
      <c r="FD44" s="95">
        <f>IF(AX44="",10,MIN(VLOOKUP(L44,Tables!$B$3:$N$34,13,FALSE()),'Item Builder'!$W44))</f>
        <v>10</v>
      </c>
      <c r="FE44" s="95">
        <f>IF(AY44="",10,MIN(VLOOKUP(M44,Tables!$B$3:$N$34,13,FALSE()),'Item Builder'!$W44))</f>
        <v>10</v>
      </c>
      <c r="FF44" s="95">
        <f>IF(AZ44="",10,MIN(VLOOKUP(N44,Tables!$B$3:$N$34,13,FALSE()),'Item Builder'!$W44))</f>
        <v>10</v>
      </c>
      <c r="FG44" s="95">
        <f>IF(BA44="",10,MIN(VLOOKUP(O44,Tables!$B$3:$N$34,13,FALSE()),'Item Builder'!$W44))</f>
        <v>10</v>
      </c>
      <c r="FH44" s="98">
        <f>IF(BB44="",10,MIN(VLOOKUP(P44,Tables!$B$3:$N$34,13,FALSE()),'Item Builder'!$W44))</f>
        <v>10</v>
      </c>
    </row>
    <row r="45" spans="1:164" x14ac:dyDescent="0.25">
      <c r="A45" s="67" t="s">
        <v>211</v>
      </c>
      <c r="B45" s="68"/>
      <c r="C45" s="69"/>
      <c r="D45" s="70"/>
      <c r="E45" s="68"/>
      <c r="F45" s="69"/>
      <c r="G45" s="69"/>
      <c r="H45" s="69"/>
      <c r="I45" s="70"/>
      <c r="J45" s="68" t="s">
        <v>103</v>
      </c>
      <c r="K45" s="69" t="s">
        <v>103</v>
      </c>
      <c r="L45" s="70"/>
      <c r="M45" s="68"/>
      <c r="N45" s="69"/>
      <c r="O45" s="69"/>
      <c r="P45" s="71"/>
      <c r="Q45" s="72">
        <f>SUM(BV45:CJ45)*VLOOKUP(W45,Tables!$W$3:$Z$8,4)</f>
        <v>96</v>
      </c>
      <c r="R45" s="73">
        <f t="shared" si="0"/>
        <v>4.32</v>
      </c>
      <c r="S45" s="74">
        <f t="shared" si="1"/>
        <v>0</v>
      </c>
      <c r="T45" s="74">
        <f t="shared" si="2"/>
        <v>0</v>
      </c>
      <c r="U45" s="75">
        <f t="shared" si="3"/>
        <v>28.799999999999997</v>
      </c>
      <c r="V45" s="76">
        <f t="shared" si="4"/>
        <v>72</v>
      </c>
      <c r="W45" s="77">
        <v>0</v>
      </c>
      <c r="X45" s="78">
        <f t="shared" si="5"/>
        <v>0</v>
      </c>
      <c r="Y45" s="79">
        <f t="shared" si="6"/>
        <v>0</v>
      </c>
      <c r="Z45" s="79">
        <f t="shared" si="7"/>
        <v>0</v>
      </c>
      <c r="AA45" s="78">
        <f t="shared" si="8"/>
        <v>0</v>
      </c>
      <c r="AB45" s="79">
        <f t="shared" si="9"/>
        <v>0</v>
      </c>
      <c r="AC45" s="79">
        <f t="shared" si="10"/>
        <v>0</v>
      </c>
      <c r="AD45" s="79">
        <f t="shared" si="11"/>
        <v>0</v>
      </c>
      <c r="AE45" s="79">
        <f t="shared" si="12"/>
        <v>0</v>
      </c>
      <c r="AF45" s="78">
        <f t="shared" si="13"/>
        <v>1</v>
      </c>
      <c r="AG45" s="79">
        <f t="shared" si="14"/>
        <v>1</v>
      </c>
      <c r="AH45" s="79">
        <f t="shared" si="15"/>
        <v>0</v>
      </c>
      <c r="AI45" s="78">
        <f t="shared" si="16"/>
        <v>0</v>
      </c>
      <c r="AJ45" s="79">
        <f t="shared" si="17"/>
        <v>0</v>
      </c>
      <c r="AK45" s="79">
        <f t="shared" si="18"/>
        <v>0</v>
      </c>
      <c r="AL45" s="80">
        <f t="shared" si="19"/>
        <v>0</v>
      </c>
      <c r="AM45" s="81">
        <f t="shared" si="20"/>
        <v>0.24</v>
      </c>
      <c r="AN45" s="82" t="str">
        <f t="shared" si="21"/>
        <v/>
      </c>
      <c r="AO45" s="79" t="str">
        <f t="shared" si="22"/>
        <v/>
      </c>
      <c r="AP45" t="str">
        <f t="shared" si="23"/>
        <v/>
      </c>
      <c r="AQ45" s="82" t="str">
        <f t="shared" si="24"/>
        <v/>
      </c>
      <c r="AR45" t="str">
        <f t="shared" si="25"/>
        <v/>
      </c>
      <c r="AS45" t="str">
        <f t="shared" si="26"/>
        <v/>
      </c>
      <c r="AT45" t="str">
        <f t="shared" si="27"/>
        <v/>
      </c>
      <c r="AU45" t="str">
        <f t="shared" si="28"/>
        <v/>
      </c>
      <c r="AV45" s="82" t="str">
        <f t="shared" si="29"/>
        <v>Q</v>
      </c>
      <c r="AW45" t="str">
        <f t="shared" si="30"/>
        <v>Q</v>
      </c>
      <c r="AX45" t="str">
        <f t="shared" si="31"/>
        <v/>
      </c>
      <c r="AY45" s="82" t="str">
        <f t="shared" si="32"/>
        <v/>
      </c>
      <c r="AZ45" t="str">
        <f t="shared" si="33"/>
        <v/>
      </c>
      <c r="BA45" t="str">
        <f t="shared" si="34"/>
        <v/>
      </c>
      <c r="BB45" s="83" t="str">
        <f t="shared" si="35"/>
        <v/>
      </c>
      <c r="BC45" s="84">
        <f t="shared" si="36"/>
        <v>0</v>
      </c>
      <c r="BD45" s="84">
        <f t="shared" si="37"/>
        <v>0</v>
      </c>
      <c r="BE45" s="84">
        <f t="shared" si="38"/>
        <v>0.70588235294117652</v>
      </c>
      <c r="BF45" s="84">
        <f t="shared" si="39"/>
        <v>0</v>
      </c>
      <c r="BG45" s="78">
        <f>IF(AN45="",0,VLOOKUP(AN45,Tables!$AB$3:$AC$12,2))</f>
        <v>0</v>
      </c>
      <c r="BH45" s="79">
        <f>IF(AO45="",0,VLOOKUP(AO45,Tables!$AB$3:$AC$12,2))</f>
        <v>0</v>
      </c>
      <c r="BI45" s="79">
        <f>IF(AP45="",0,VLOOKUP(AP45,Tables!$AB$3:$AC$12,2))</f>
        <v>0</v>
      </c>
      <c r="BJ45" s="78">
        <f>IF(AQ45="",0,VLOOKUP(AQ45,Tables!$AB$3:$AC$12,2))</f>
        <v>0</v>
      </c>
      <c r="BK45" s="79">
        <f>IF(AR45="",0,VLOOKUP(AR45,Tables!$AB$3:$AC$12,2))</f>
        <v>0</v>
      </c>
      <c r="BL45" s="79">
        <f>IF(AS45="",0,VLOOKUP(AS45,Tables!$AB$3:$AC$12,2))</f>
        <v>0</v>
      </c>
      <c r="BM45" s="79">
        <f>IF(AT45="",0,VLOOKUP(AT45,Tables!$AB$3:$AC$12,2))</f>
        <v>0</v>
      </c>
      <c r="BN45" s="79">
        <f>IF(AU45="",0,VLOOKUP(AU45,Tables!$AB$3:$AC$12,2))</f>
        <v>0</v>
      </c>
      <c r="BO45" s="78">
        <f>IF(AV45="",0,VLOOKUP(AV45,Tables!$AB$3:$AC$12,2))</f>
        <v>2</v>
      </c>
      <c r="BP45" s="79">
        <f>IF(AW45="",0,VLOOKUP(AW45,Tables!$AB$3:$AC$12,2))</f>
        <v>2</v>
      </c>
      <c r="BQ45" s="79">
        <f>IF(AX45="",0,VLOOKUP(AX45,Tables!$AB$3:$AC$12,2))</f>
        <v>0</v>
      </c>
      <c r="BR45" s="78">
        <f>IF(AY45="",0,VLOOKUP(AY45,Tables!$AB$3:$AC$12,2))</f>
        <v>0</v>
      </c>
      <c r="BS45" s="79">
        <f>IF(AZ45="",0,VLOOKUP(AZ45,Tables!$AB$3:$AC$12,2))</f>
        <v>0</v>
      </c>
      <c r="BT45" s="79">
        <f>IF(BA45="",0,VLOOKUP(BA45,Tables!$AB$3:$AC$12,2))</f>
        <v>0</v>
      </c>
      <c r="BU45" s="80">
        <f>IF(BB45="",0,VLOOKUP(BB45,Tables!$AB$3:$AC$12,2))</f>
        <v>0</v>
      </c>
      <c r="BV45" s="85">
        <f>IF(AN45="",0,VLOOKUP(B45,Tables!$B$3:$D$36,2,FALSE())*X$1)</f>
        <v>0</v>
      </c>
      <c r="BW45" s="72">
        <f>IF(AO45="",0,VLOOKUP(C45,Tables!$B$3:$D$36,2,FALSE())*Y$1)</f>
        <v>0</v>
      </c>
      <c r="BX45" s="72">
        <f>IF(AP45="",0,VLOOKUP(D45,Tables!$B$3:$D$36,2,FALSE())*Z$1)</f>
        <v>0</v>
      </c>
      <c r="BY45" s="85">
        <f>IF(AQ45="",0,VLOOKUP(E45,Tables!$B$3:$D$36,2,FALSE())*AA$1)</f>
        <v>0</v>
      </c>
      <c r="BZ45" s="72">
        <f>IF(AR45="",0,VLOOKUP(F45,Tables!$B$3:$D$36,2,FALSE())*AB$1)</f>
        <v>0</v>
      </c>
      <c r="CA45" s="72">
        <f>IF(AS45="",0,VLOOKUP(G45,Tables!$B$3:$D$36,2,FALSE())*AC$1)</f>
        <v>0</v>
      </c>
      <c r="CB45" s="72">
        <f>IF(AT45="",0,VLOOKUP(H45,Tables!$B$3:$D$36,2,FALSE())*AD$1)</f>
        <v>0</v>
      </c>
      <c r="CC45" s="72">
        <f>IF(AU45="",0,VLOOKUP(I45,Tables!$B$3:$D$36,2,FALSE())*AE$1)</f>
        <v>0</v>
      </c>
      <c r="CD45" s="85">
        <f>IF(AV45="",0,VLOOKUP(J45,Tables!$B$3:$D$36,2,FALSE())*AF$1)</f>
        <v>48</v>
      </c>
      <c r="CE45" s="72">
        <f>IF(AW45="",0,VLOOKUP(K45,Tables!$B$3:$D$36,2,FALSE())*AG$1)</f>
        <v>48</v>
      </c>
      <c r="CF45" s="72">
        <f>IF(AX45="",0,VLOOKUP(L45,Tables!$B$3:$D$36,2,FALSE())*AH$1)</f>
        <v>0</v>
      </c>
      <c r="CG45" s="85">
        <f>IF(AY45="",0,VLOOKUP(M45,Tables!$B$3:$D$36,2,FALSE())*AI$1)</f>
        <v>0</v>
      </c>
      <c r="CH45" s="72">
        <f>IF(AZ45="",0,VLOOKUP(N45,Tables!$B$3:$D$36,2,FALSE())*AJ$1)</f>
        <v>0</v>
      </c>
      <c r="CI45" s="72">
        <f>IF(BA45="",0,VLOOKUP(O45,Tables!$B$3:$D$36,2,FALSE())*AK$1)</f>
        <v>0</v>
      </c>
      <c r="CJ45" s="86">
        <f>IF(BB45="",0,VLOOKUP(P45,Tables!$B$3:$D$36,2,FALSE())*AL$1)</f>
        <v>0</v>
      </c>
      <c r="CK45" s="87">
        <f>IF(AN45="",0,VLOOKUP(B45,Tables!$B$3:$D$36,3,FALSE())*X$1)*IF(OR(AN45="K",AN45="P"),2,1)</f>
        <v>0</v>
      </c>
      <c r="CL45" s="73">
        <f>IF(AO45="",0,VLOOKUP(C45,Tables!$B$3:$D$36,3,FALSE())*Y$1)*IF(OR(AO45="K",AO45="P"),2,1)</f>
        <v>0</v>
      </c>
      <c r="CM45" s="73">
        <f>IF(AP45="",0,VLOOKUP(D45,Tables!$B$3:$D$36,3,FALSE())*Z$1)*IF(OR(AP45="K",AP45="P"),2,1)</f>
        <v>0</v>
      </c>
      <c r="CN45" s="87">
        <f>IF(AQ45="",0,VLOOKUP(E45,Tables!$B$3:$D$36,3,FALSE())*AA$1)</f>
        <v>0</v>
      </c>
      <c r="CO45" s="73">
        <f>IF(AR45="",0,VLOOKUP(F45,Tables!$B$3:$D$36,3,FALSE())*AB$1)</f>
        <v>0</v>
      </c>
      <c r="CP45" s="73">
        <f>IF(AS45="",0,VLOOKUP(G45,Tables!$B$3:$D$36,3,FALSE())*AC$1)</f>
        <v>0</v>
      </c>
      <c r="CQ45" s="73">
        <f>IF(AT45="",0,VLOOKUP(H45,Tables!$B$3:$D$36,3,FALSE())*AD$1)</f>
        <v>0</v>
      </c>
      <c r="CR45" s="73">
        <f>IF(AU45="",0,VLOOKUP(I45,Tables!$B$3:$D$36,3,FALSE())*AE$1)</f>
        <v>0</v>
      </c>
      <c r="CS45" s="87">
        <f>IF(AV45="",0,VLOOKUP(J45,Tables!$B$3:$D$36,3,FALSE())*AF$1)</f>
        <v>2.16</v>
      </c>
      <c r="CT45" s="73">
        <f>IF(AW45="",0,VLOOKUP(K45,Tables!$B$3:$D$36,3,FALSE())*AG$1)</f>
        <v>2.16</v>
      </c>
      <c r="CU45" s="73">
        <f>IF(AX45="",0,VLOOKUP(L45,Tables!$B$3:$D$36,3,FALSE())*AH$1)</f>
        <v>0</v>
      </c>
      <c r="CV45" s="87">
        <f>IF(AY45="",0,VLOOKUP(M45,Tables!$B$3:$D$36,3,FALSE())*AI$1)</f>
        <v>0</v>
      </c>
      <c r="CW45" s="73">
        <f>IF(AZ45="",0,VLOOKUP(N45,Tables!$B$3:$D$36,3,FALSE())*AJ$1)</f>
        <v>0</v>
      </c>
      <c r="CX45" s="73">
        <f>IF(BA45="",0,VLOOKUP(O45,Tables!$B$3:$D$36,3,FALSE())*AK$1)</f>
        <v>0</v>
      </c>
      <c r="CY45" s="88">
        <f>IF(BB45="",0,VLOOKUP(P45,Tables!$B$3:$D$36,3,FALSE())*AL$1)</f>
        <v>0</v>
      </c>
      <c r="CZ45" s="89">
        <f t="shared" si="40"/>
        <v>0</v>
      </c>
      <c r="DA45" s="75">
        <f t="shared" si="41"/>
        <v>0</v>
      </c>
      <c r="DB45" s="75">
        <f t="shared" si="42"/>
        <v>0</v>
      </c>
      <c r="DC45" s="89">
        <f t="shared" si="43"/>
        <v>0</v>
      </c>
      <c r="DD45" s="75">
        <f t="shared" si="44"/>
        <v>0</v>
      </c>
      <c r="DE45" s="75">
        <f t="shared" si="45"/>
        <v>0</v>
      </c>
      <c r="DF45" s="75">
        <f t="shared" si="46"/>
        <v>0</v>
      </c>
      <c r="DG45" s="75">
        <f t="shared" si="47"/>
        <v>0</v>
      </c>
      <c r="DH45" s="89">
        <f t="shared" si="48"/>
        <v>0.65</v>
      </c>
      <c r="DI45" s="75">
        <f t="shared" si="49"/>
        <v>0.65</v>
      </c>
      <c r="DJ45" s="75">
        <f t="shared" si="50"/>
        <v>0</v>
      </c>
      <c r="DK45" s="89">
        <f t="shared" si="51"/>
        <v>0</v>
      </c>
      <c r="DL45" s="75">
        <f t="shared" si="52"/>
        <v>0</v>
      </c>
      <c r="DM45" s="75">
        <f t="shared" si="53"/>
        <v>0</v>
      </c>
      <c r="DN45" s="90">
        <f t="shared" si="54"/>
        <v>0</v>
      </c>
      <c r="DO45" s="91">
        <f>IF(AN45="",0,VLOOKUP(B45,Tables!$B$3:$M$36,11,FALSE())*X$1)</f>
        <v>0</v>
      </c>
      <c r="DP45" s="92">
        <f>IF(AO45="",0,VLOOKUP(C45,Tables!$B$3:$M$36,11,FALSE())*Y$1)</f>
        <v>0</v>
      </c>
      <c r="DQ45" s="92">
        <f>IF(AP45="",0,VLOOKUP(D45,Tables!$B$3:$M$36,11,FALSE())*Z$1)</f>
        <v>0</v>
      </c>
      <c r="DR45" s="91">
        <f>IF(AQ45="",0,VLOOKUP(E45,Tables!$B$3:$M$36,11,FALSE())*AA$1)</f>
        <v>0</v>
      </c>
      <c r="DS45" s="92">
        <f>IF(AR45="",0,VLOOKUP(F45,Tables!$B$3:$M$36,11,FALSE())*AB$1)</f>
        <v>0</v>
      </c>
      <c r="DT45" s="92">
        <f>IF(AS45="",0,VLOOKUP(G45,Tables!$B$3:$M$36,11,FALSE())*AC$1)</f>
        <v>0</v>
      </c>
      <c r="DU45" s="92">
        <f>IF(AT45="",0,VLOOKUP(H45,Tables!$B$3:$M$36,11,FALSE())*AD$1)</f>
        <v>0</v>
      </c>
      <c r="DV45" s="92">
        <f>IF(AU45="",0,VLOOKUP(I45,Tables!$B$3:$M$36,11,FALSE())*AE$1)</f>
        <v>0</v>
      </c>
      <c r="DW45" s="91">
        <f>IF(AV45="",0,VLOOKUP(J45,Tables!$B$3:$M$36,11,FALSE())*AF$1)</f>
        <v>14.399999999999999</v>
      </c>
      <c r="DX45" s="92">
        <f>IF(AW45="",0,VLOOKUP(K45,Tables!$B$3:$M$36,11,FALSE())*AG$1)</f>
        <v>14.399999999999999</v>
      </c>
      <c r="DY45" s="92">
        <f>IF(AX45="",0,VLOOKUP(L45,Tables!$B$3:$M$36,11,FALSE())*AH$1)</f>
        <v>0</v>
      </c>
      <c r="DZ45" s="91">
        <f>IF(AY45="",0,VLOOKUP(M45,Tables!$B$3:$M$36,11,FALSE())*AI$1)</f>
        <v>0</v>
      </c>
      <c r="EA45" s="92">
        <f>IF(AZ45="",0,VLOOKUP(N45,Tables!$B$3:$M$36,11,FALSE())*AJ$1)</f>
        <v>0</v>
      </c>
      <c r="EB45" s="92">
        <f>IF(BA45="",0,VLOOKUP(O45,Tables!$B$3:$M$36,11,FALSE())*AK$1)</f>
        <v>0</v>
      </c>
      <c r="EC45" s="93">
        <f>IF(BB45="",0,VLOOKUP(P45,Tables!$B$3:$M$36,11,FALSE())*AL$1)</f>
        <v>0</v>
      </c>
      <c r="ED45" s="91">
        <f>IF(AN45="",0,VLOOKUP(B45,Tables!$B$3:$M$36,12,FALSE())*X$1)</f>
        <v>0</v>
      </c>
      <c r="EE45" s="92">
        <f>IF(AO45="",0,VLOOKUP(C45,Tables!$B$3:$M$36,12,FALSE())*Y$1)</f>
        <v>0</v>
      </c>
      <c r="EF45" s="92">
        <f>IF(AP45="",0,VLOOKUP(D45,Tables!$B$3:$M$36,12,FALSE())*Z$1)</f>
        <v>0</v>
      </c>
      <c r="EG45" s="91">
        <f>IF(AQ45="",0,VLOOKUP(E45,Tables!$B$3:$M$36,12,FALSE())*AA$1)</f>
        <v>0</v>
      </c>
      <c r="EH45" s="92">
        <f>IF(AR45="",0,VLOOKUP(F45,Tables!$B$3:$M$36,12,FALSE())*AB$1)</f>
        <v>0</v>
      </c>
      <c r="EI45" s="92">
        <f>IF(AS45="",0,VLOOKUP(G45,Tables!$B$3:$M$36,12,FALSE())*AC$1)</f>
        <v>0</v>
      </c>
      <c r="EJ45" s="92">
        <f>IF(AT45="",0,VLOOKUP(H45,Tables!$B$3:$M$36,12,FALSE())*AD$1)</f>
        <v>0</v>
      </c>
      <c r="EK45" s="92">
        <f>IF(AU45="",0,VLOOKUP(I45,Tables!$B$3:$M$36,12,FALSE())*AE$1)</f>
        <v>0</v>
      </c>
      <c r="EL45" s="91">
        <f>IF(AV45="",0,VLOOKUP(J45,Tables!$B$3:$M$36,12,FALSE())*AF$1)</f>
        <v>36</v>
      </c>
      <c r="EM45" s="92">
        <f>IF(AW45="",0,VLOOKUP(K45,Tables!$B$3:$M$36,12,FALSE())*AG$1)</f>
        <v>36</v>
      </c>
      <c r="EN45" s="92">
        <f>IF(AX45="",0,VLOOKUP(L45,Tables!$B$3:$M$36,12,FALSE())*AH$1)</f>
        <v>0</v>
      </c>
      <c r="EO45" s="91">
        <f>IF(AY45="",0,VLOOKUP(M45,Tables!$B$3:$M$36,12,FALSE())*AI$1)</f>
        <v>0</v>
      </c>
      <c r="EP45" s="92">
        <f>IF(AZ45="",0,VLOOKUP(N45,Tables!$B$3:$M$36,12,FALSE())*AJ$1)</f>
        <v>0</v>
      </c>
      <c r="EQ45" s="92">
        <f>IF(BA45="",0,VLOOKUP(O45,Tables!$B$3:$M$36,12,FALSE())*AK$1)</f>
        <v>0</v>
      </c>
      <c r="ER45" s="93">
        <f>IF(BB45="",0,VLOOKUP(P45,Tables!$B$3:$M$36,12,FALSE())*AL$1)</f>
        <v>0</v>
      </c>
      <c r="ES45" s="94">
        <f t="shared" si="55"/>
        <v>0</v>
      </c>
      <c r="ET45" s="95">
        <f>IF(AN45="",10,MIN(VLOOKUP(B45,Tables!$B$3:$N$34,13,FALSE()),'Item Builder'!$W45))</f>
        <v>10</v>
      </c>
      <c r="EU45" s="95">
        <f>IF(AO45="",10,MIN(VLOOKUP(C45,Tables!$B$3:$N$34,13,FALSE()),'Item Builder'!$W45))</f>
        <v>10</v>
      </c>
      <c r="EV45" s="95">
        <f>IF(AP45="",10,MIN(VLOOKUP(D45,Tables!$B$3:$N$34,13,FALSE()),'Item Builder'!$W45))</f>
        <v>10</v>
      </c>
      <c r="EW45" s="95">
        <f>IF(AQ45="",10,MIN(VLOOKUP(E45,Tables!$B$3:$N$34,13,FALSE()),'Item Builder'!$W45))</f>
        <v>10</v>
      </c>
      <c r="EX45" s="95">
        <f>IF(AR45="",10,MIN(VLOOKUP(F45,Tables!$B$3:$N$34,13,FALSE()),'Item Builder'!$W45))</f>
        <v>10</v>
      </c>
      <c r="EY45" s="95">
        <f>IF(AS45="",10,MIN(VLOOKUP(G45,Tables!$B$3:$N$34,13,FALSE()),'Item Builder'!$W45))</f>
        <v>10</v>
      </c>
      <c r="EZ45" s="95">
        <f>IF(AT45="",10,MIN(VLOOKUP(H45,Tables!$B$3:$N$34,13,FALSE()),'Item Builder'!$W45))</f>
        <v>10</v>
      </c>
      <c r="FA45" s="95">
        <f>IF(AU45="",10,MIN(VLOOKUP(I45,Tables!$B$3:$N$34,13,FALSE()),'Item Builder'!$W45))</f>
        <v>10</v>
      </c>
      <c r="FB45" s="95">
        <f>IF(AV45="",10,MIN(VLOOKUP(J45,Tables!$B$3:$N$34,13,FALSE()),'Item Builder'!$W45))</f>
        <v>0</v>
      </c>
      <c r="FC45" s="95">
        <f>IF(AW45="",10,MIN(VLOOKUP(K45,Tables!$B$3:$N$34,13,FALSE()),'Item Builder'!$W45))</f>
        <v>0</v>
      </c>
      <c r="FD45" s="95">
        <f>IF(AX45="",10,MIN(VLOOKUP(L45,Tables!$B$3:$N$34,13,FALSE()),'Item Builder'!$W45))</f>
        <v>10</v>
      </c>
      <c r="FE45" s="95">
        <f>IF(AY45="",10,MIN(VLOOKUP(M45,Tables!$B$3:$N$34,13,FALSE()),'Item Builder'!$W45))</f>
        <v>10</v>
      </c>
      <c r="FF45" s="95">
        <f>IF(AZ45="",10,MIN(VLOOKUP(N45,Tables!$B$3:$N$34,13,FALSE()),'Item Builder'!$W45))</f>
        <v>10</v>
      </c>
      <c r="FG45" s="95">
        <f>IF(BA45="",10,MIN(VLOOKUP(O45,Tables!$B$3:$N$34,13,FALSE()),'Item Builder'!$W45))</f>
        <v>10</v>
      </c>
      <c r="FH45" s="98">
        <f>IF(BB45="",10,MIN(VLOOKUP(P45,Tables!$B$3:$N$34,13,FALSE()),'Item Builder'!$W45))</f>
        <v>10</v>
      </c>
    </row>
    <row r="46" spans="1:164" x14ac:dyDescent="0.25">
      <c r="A46" s="67" t="s">
        <v>212</v>
      </c>
      <c r="B46" s="68"/>
      <c r="C46" s="69"/>
      <c r="D46" s="70"/>
      <c r="E46" s="68" t="s">
        <v>103</v>
      </c>
      <c r="F46" s="69" t="s">
        <v>103</v>
      </c>
      <c r="G46" s="69"/>
      <c r="H46" s="69"/>
      <c r="I46" s="70"/>
      <c r="J46" s="68" t="s">
        <v>103</v>
      </c>
      <c r="K46" s="69" t="s">
        <v>103</v>
      </c>
      <c r="L46" s="70"/>
      <c r="M46" s="68"/>
      <c r="N46" s="69"/>
      <c r="O46" s="69"/>
      <c r="P46" s="71"/>
      <c r="Q46" s="72">
        <f>SUM(BV46:CJ46)*VLOOKUP(W46,Tables!$W$3:$Z$8,4)</f>
        <v>132</v>
      </c>
      <c r="R46" s="73">
        <f t="shared" si="0"/>
        <v>5.94</v>
      </c>
      <c r="S46" s="74">
        <f t="shared" si="1"/>
        <v>0</v>
      </c>
      <c r="T46" s="74">
        <f t="shared" si="2"/>
        <v>0</v>
      </c>
      <c r="U46" s="75">
        <f t="shared" si="3"/>
        <v>39.599999999999994</v>
      </c>
      <c r="V46" s="76">
        <f t="shared" si="4"/>
        <v>99</v>
      </c>
      <c r="W46" s="77">
        <v>0</v>
      </c>
      <c r="X46" s="78">
        <f t="shared" si="5"/>
        <v>0</v>
      </c>
      <c r="Y46" s="79">
        <f t="shared" si="6"/>
        <v>0</v>
      </c>
      <c r="Z46" s="79">
        <f t="shared" si="7"/>
        <v>0</v>
      </c>
      <c r="AA46" s="78">
        <f t="shared" si="8"/>
        <v>1</v>
      </c>
      <c r="AB46" s="79">
        <f t="shared" si="9"/>
        <v>1</v>
      </c>
      <c r="AC46" s="79">
        <f t="shared" si="10"/>
        <v>0</v>
      </c>
      <c r="AD46" s="79">
        <f t="shared" si="11"/>
        <v>0</v>
      </c>
      <c r="AE46" s="79">
        <f t="shared" si="12"/>
        <v>0</v>
      </c>
      <c r="AF46" s="78">
        <f t="shared" si="13"/>
        <v>1</v>
      </c>
      <c r="AG46" s="79">
        <f t="shared" si="14"/>
        <v>1</v>
      </c>
      <c r="AH46" s="79">
        <f t="shared" si="15"/>
        <v>0</v>
      </c>
      <c r="AI46" s="78">
        <f t="shared" si="16"/>
        <v>0</v>
      </c>
      <c r="AJ46" s="79">
        <f t="shared" si="17"/>
        <v>0</v>
      </c>
      <c r="AK46" s="79">
        <f t="shared" si="18"/>
        <v>0</v>
      </c>
      <c r="AL46" s="80">
        <f t="shared" si="19"/>
        <v>0</v>
      </c>
      <c r="AM46" s="81">
        <f t="shared" si="20"/>
        <v>0.32999999999999996</v>
      </c>
      <c r="AN46" s="82" t="str">
        <f t="shared" si="21"/>
        <v/>
      </c>
      <c r="AO46" s="79" t="str">
        <f t="shared" si="22"/>
        <v/>
      </c>
      <c r="AP46" t="str">
        <f t="shared" si="23"/>
        <v/>
      </c>
      <c r="AQ46" s="82" t="str">
        <f t="shared" si="24"/>
        <v>Q</v>
      </c>
      <c r="AR46" t="str">
        <f t="shared" si="25"/>
        <v>Q</v>
      </c>
      <c r="AS46" t="str">
        <f t="shared" si="26"/>
        <v/>
      </c>
      <c r="AT46" t="str">
        <f t="shared" si="27"/>
        <v/>
      </c>
      <c r="AU46" t="str">
        <f t="shared" si="28"/>
        <v/>
      </c>
      <c r="AV46" s="82" t="str">
        <f t="shared" si="29"/>
        <v>Q</v>
      </c>
      <c r="AW46" t="str">
        <f t="shared" si="30"/>
        <v>Q</v>
      </c>
      <c r="AX46" t="str">
        <f t="shared" si="31"/>
        <v/>
      </c>
      <c r="AY46" s="82" t="str">
        <f t="shared" si="32"/>
        <v/>
      </c>
      <c r="AZ46" t="str">
        <f t="shared" si="33"/>
        <v/>
      </c>
      <c r="BA46" t="str">
        <f t="shared" si="34"/>
        <v/>
      </c>
      <c r="BB46" s="83" t="str">
        <f t="shared" si="35"/>
        <v/>
      </c>
      <c r="BC46" s="84">
        <f t="shared" si="36"/>
        <v>0</v>
      </c>
      <c r="BD46" s="84">
        <f t="shared" si="37"/>
        <v>0.42857142857142849</v>
      </c>
      <c r="BE46" s="84">
        <f t="shared" si="38"/>
        <v>0.70588235294117652</v>
      </c>
      <c r="BF46" s="84">
        <f t="shared" si="39"/>
        <v>0</v>
      </c>
      <c r="BG46" s="78">
        <f>IF(AN46="",0,VLOOKUP(AN46,Tables!$AB$3:$AC$12,2))</f>
        <v>0</v>
      </c>
      <c r="BH46" s="79">
        <f>IF(AO46="",0,VLOOKUP(AO46,Tables!$AB$3:$AC$12,2))</f>
        <v>0</v>
      </c>
      <c r="BI46" s="79">
        <f>IF(AP46="",0,VLOOKUP(AP46,Tables!$AB$3:$AC$12,2))</f>
        <v>0</v>
      </c>
      <c r="BJ46" s="78">
        <f>IF(AQ46="",0,VLOOKUP(AQ46,Tables!$AB$3:$AC$12,2))</f>
        <v>2</v>
      </c>
      <c r="BK46" s="79">
        <f>IF(AR46="",0,VLOOKUP(AR46,Tables!$AB$3:$AC$12,2))</f>
        <v>2</v>
      </c>
      <c r="BL46" s="79">
        <f>IF(AS46="",0,VLOOKUP(AS46,Tables!$AB$3:$AC$12,2))</f>
        <v>0</v>
      </c>
      <c r="BM46" s="79">
        <f>IF(AT46="",0,VLOOKUP(AT46,Tables!$AB$3:$AC$12,2))</f>
        <v>0</v>
      </c>
      <c r="BN46" s="79">
        <f>IF(AU46="",0,VLOOKUP(AU46,Tables!$AB$3:$AC$12,2))</f>
        <v>0</v>
      </c>
      <c r="BO46" s="78">
        <f>IF(AV46="",0,VLOOKUP(AV46,Tables!$AB$3:$AC$12,2))</f>
        <v>2</v>
      </c>
      <c r="BP46" s="79">
        <f>IF(AW46="",0,VLOOKUP(AW46,Tables!$AB$3:$AC$12,2))</f>
        <v>2</v>
      </c>
      <c r="BQ46" s="79">
        <f>IF(AX46="",0,VLOOKUP(AX46,Tables!$AB$3:$AC$12,2))</f>
        <v>0</v>
      </c>
      <c r="BR46" s="78">
        <f>IF(AY46="",0,VLOOKUP(AY46,Tables!$AB$3:$AC$12,2))</f>
        <v>0</v>
      </c>
      <c r="BS46" s="79">
        <f>IF(AZ46="",0,VLOOKUP(AZ46,Tables!$AB$3:$AC$12,2))</f>
        <v>0</v>
      </c>
      <c r="BT46" s="79">
        <f>IF(BA46="",0,VLOOKUP(BA46,Tables!$AB$3:$AC$12,2))</f>
        <v>0</v>
      </c>
      <c r="BU46" s="80">
        <f>IF(BB46="",0,VLOOKUP(BB46,Tables!$AB$3:$AC$12,2))</f>
        <v>0</v>
      </c>
      <c r="BV46" s="85">
        <f>IF(AN46="",0,VLOOKUP(B46,Tables!$B$3:$D$36,2,FALSE())*X$1)</f>
        <v>0</v>
      </c>
      <c r="BW46" s="72">
        <f>IF(AO46="",0,VLOOKUP(C46,Tables!$B$3:$D$36,2,FALSE())*Y$1)</f>
        <v>0</v>
      </c>
      <c r="BX46" s="72">
        <f>IF(AP46="",0,VLOOKUP(D46,Tables!$B$3:$D$36,2,FALSE())*Z$1)</f>
        <v>0</v>
      </c>
      <c r="BY46" s="85">
        <f>IF(AQ46="",0,VLOOKUP(E46,Tables!$B$3:$D$36,2,FALSE())*AA$1)</f>
        <v>12</v>
      </c>
      <c r="BZ46" s="72">
        <f>IF(AR46="",0,VLOOKUP(F46,Tables!$B$3:$D$36,2,FALSE())*AB$1)</f>
        <v>24</v>
      </c>
      <c r="CA46" s="72">
        <f>IF(AS46="",0,VLOOKUP(G46,Tables!$B$3:$D$36,2,FALSE())*AC$1)</f>
        <v>0</v>
      </c>
      <c r="CB46" s="72">
        <f>IF(AT46="",0,VLOOKUP(H46,Tables!$B$3:$D$36,2,FALSE())*AD$1)</f>
        <v>0</v>
      </c>
      <c r="CC46" s="72">
        <f>IF(AU46="",0,VLOOKUP(I46,Tables!$B$3:$D$36,2,FALSE())*AE$1)</f>
        <v>0</v>
      </c>
      <c r="CD46" s="85">
        <f>IF(AV46="",0,VLOOKUP(J46,Tables!$B$3:$D$36,2,FALSE())*AF$1)</f>
        <v>48</v>
      </c>
      <c r="CE46" s="72">
        <f>IF(AW46="",0,VLOOKUP(K46,Tables!$B$3:$D$36,2,FALSE())*AG$1)</f>
        <v>48</v>
      </c>
      <c r="CF46" s="72">
        <f>IF(AX46="",0,VLOOKUP(L46,Tables!$B$3:$D$36,2,FALSE())*AH$1)</f>
        <v>0</v>
      </c>
      <c r="CG46" s="85">
        <f>IF(AY46="",0,VLOOKUP(M46,Tables!$B$3:$D$36,2,FALSE())*AI$1)</f>
        <v>0</v>
      </c>
      <c r="CH46" s="72">
        <f>IF(AZ46="",0,VLOOKUP(N46,Tables!$B$3:$D$36,2,FALSE())*AJ$1)</f>
        <v>0</v>
      </c>
      <c r="CI46" s="72">
        <f>IF(BA46="",0,VLOOKUP(O46,Tables!$B$3:$D$36,2,FALSE())*AK$1)</f>
        <v>0</v>
      </c>
      <c r="CJ46" s="86">
        <f>IF(BB46="",0,VLOOKUP(P46,Tables!$B$3:$D$36,2,FALSE())*AL$1)</f>
        <v>0</v>
      </c>
      <c r="CK46" s="87">
        <f>IF(AN46="",0,VLOOKUP(B46,Tables!$B$3:$D$36,3,FALSE())*X$1)*IF(OR(AN46="K",AN46="P"),2,1)</f>
        <v>0</v>
      </c>
      <c r="CL46" s="73">
        <f>IF(AO46="",0,VLOOKUP(C46,Tables!$B$3:$D$36,3,FALSE())*Y$1)*IF(OR(AO46="K",AO46="P"),2,1)</f>
        <v>0</v>
      </c>
      <c r="CM46" s="73">
        <f>IF(AP46="",0,VLOOKUP(D46,Tables!$B$3:$D$36,3,FALSE())*Z$1)*IF(OR(AP46="K",AP46="P"),2,1)</f>
        <v>0</v>
      </c>
      <c r="CN46" s="87">
        <f>IF(AQ46="",0,VLOOKUP(E46,Tables!$B$3:$D$36,3,FALSE())*AA$1)</f>
        <v>0.54</v>
      </c>
      <c r="CO46" s="73">
        <f>IF(AR46="",0,VLOOKUP(F46,Tables!$B$3:$D$36,3,FALSE())*AB$1)</f>
        <v>1.08</v>
      </c>
      <c r="CP46" s="73">
        <f>IF(AS46="",0,VLOOKUP(G46,Tables!$B$3:$D$36,3,FALSE())*AC$1)</f>
        <v>0</v>
      </c>
      <c r="CQ46" s="73">
        <f>IF(AT46="",0,VLOOKUP(H46,Tables!$B$3:$D$36,3,FALSE())*AD$1)</f>
        <v>0</v>
      </c>
      <c r="CR46" s="73">
        <f>IF(AU46="",0,VLOOKUP(I46,Tables!$B$3:$D$36,3,FALSE())*AE$1)</f>
        <v>0</v>
      </c>
      <c r="CS46" s="87">
        <f>IF(AV46="",0,VLOOKUP(J46,Tables!$B$3:$D$36,3,FALSE())*AF$1)</f>
        <v>2.16</v>
      </c>
      <c r="CT46" s="73">
        <f>IF(AW46="",0,VLOOKUP(K46,Tables!$B$3:$D$36,3,FALSE())*AG$1)</f>
        <v>2.16</v>
      </c>
      <c r="CU46" s="73">
        <f>IF(AX46="",0,VLOOKUP(L46,Tables!$B$3:$D$36,3,FALSE())*AH$1)</f>
        <v>0</v>
      </c>
      <c r="CV46" s="87">
        <f>IF(AY46="",0,VLOOKUP(M46,Tables!$B$3:$D$36,3,FALSE())*AI$1)</f>
        <v>0</v>
      </c>
      <c r="CW46" s="73">
        <f>IF(AZ46="",0,VLOOKUP(N46,Tables!$B$3:$D$36,3,FALSE())*AJ$1)</f>
        <v>0</v>
      </c>
      <c r="CX46" s="73">
        <f>IF(BA46="",0,VLOOKUP(O46,Tables!$B$3:$D$36,3,FALSE())*AK$1)</f>
        <v>0</v>
      </c>
      <c r="CY46" s="88">
        <f>IF(BB46="",0,VLOOKUP(P46,Tables!$B$3:$D$36,3,FALSE())*AL$1)</f>
        <v>0</v>
      </c>
      <c r="CZ46" s="89">
        <f t="shared" si="40"/>
        <v>0</v>
      </c>
      <c r="DA46" s="75">
        <f t="shared" si="41"/>
        <v>0</v>
      </c>
      <c r="DB46" s="75">
        <f t="shared" si="42"/>
        <v>0</v>
      </c>
      <c r="DC46" s="89">
        <f t="shared" si="43"/>
        <v>0.65</v>
      </c>
      <c r="DD46" s="75">
        <f t="shared" si="44"/>
        <v>0.65</v>
      </c>
      <c r="DE46" s="75">
        <f t="shared" si="45"/>
        <v>0</v>
      </c>
      <c r="DF46" s="75">
        <f t="shared" si="46"/>
        <v>0</v>
      </c>
      <c r="DG46" s="75">
        <f t="shared" si="47"/>
        <v>0</v>
      </c>
      <c r="DH46" s="89">
        <f t="shared" si="48"/>
        <v>0.65</v>
      </c>
      <c r="DI46" s="75">
        <f t="shared" si="49"/>
        <v>0.65</v>
      </c>
      <c r="DJ46" s="75">
        <f t="shared" si="50"/>
        <v>0</v>
      </c>
      <c r="DK46" s="89">
        <f t="shared" si="51"/>
        <v>0</v>
      </c>
      <c r="DL46" s="75">
        <f t="shared" si="52"/>
        <v>0</v>
      </c>
      <c r="DM46" s="75">
        <f t="shared" si="53"/>
        <v>0</v>
      </c>
      <c r="DN46" s="90">
        <f t="shared" si="54"/>
        <v>0</v>
      </c>
      <c r="DO46" s="91">
        <f>IF(AN46="",0,VLOOKUP(B46,Tables!$B$3:$M$36,11,FALSE())*X$1)</f>
        <v>0</v>
      </c>
      <c r="DP46" s="92">
        <f>IF(AO46="",0,VLOOKUP(C46,Tables!$B$3:$M$36,11,FALSE())*Y$1)</f>
        <v>0</v>
      </c>
      <c r="DQ46" s="92">
        <f>IF(AP46="",0,VLOOKUP(D46,Tables!$B$3:$M$36,11,FALSE())*Z$1)</f>
        <v>0</v>
      </c>
      <c r="DR46" s="91">
        <f>IF(AQ46="",0,VLOOKUP(E46,Tables!$B$3:$M$36,11,FALSE())*AA$1)</f>
        <v>3.5999999999999996</v>
      </c>
      <c r="DS46" s="92">
        <f>IF(AR46="",0,VLOOKUP(F46,Tables!$B$3:$M$36,11,FALSE())*AB$1)</f>
        <v>7.1999999999999993</v>
      </c>
      <c r="DT46" s="92">
        <f>IF(AS46="",0,VLOOKUP(G46,Tables!$B$3:$M$36,11,FALSE())*AC$1)</f>
        <v>0</v>
      </c>
      <c r="DU46" s="92">
        <f>IF(AT46="",0,VLOOKUP(H46,Tables!$B$3:$M$36,11,FALSE())*AD$1)</f>
        <v>0</v>
      </c>
      <c r="DV46" s="92">
        <f>IF(AU46="",0,VLOOKUP(I46,Tables!$B$3:$M$36,11,FALSE())*AE$1)</f>
        <v>0</v>
      </c>
      <c r="DW46" s="91">
        <f>IF(AV46="",0,VLOOKUP(J46,Tables!$B$3:$M$36,11,FALSE())*AF$1)</f>
        <v>14.399999999999999</v>
      </c>
      <c r="DX46" s="92">
        <f>IF(AW46="",0,VLOOKUP(K46,Tables!$B$3:$M$36,11,FALSE())*AG$1)</f>
        <v>14.399999999999999</v>
      </c>
      <c r="DY46" s="92">
        <f>IF(AX46="",0,VLOOKUP(L46,Tables!$B$3:$M$36,11,FALSE())*AH$1)</f>
        <v>0</v>
      </c>
      <c r="DZ46" s="91">
        <f>IF(AY46="",0,VLOOKUP(M46,Tables!$B$3:$M$36,11,FALSE())*AI$1)</f>
        <v>0</v>
      </c>
      <c r="EA46" s="92">
        <f>IF(AZ46="",0,VLOOKUP(N46,Tables!$B$3:$M$36,11,FALSE())*AJ$1)</f>
        <v>0</v>
      </c>
      <c r="EB46" s="92">
        <f>IF(BA46="",0,VLOOKUP(O46,Tables!$B$3:$M$36,11,FALSE())*AK$1)</f>
        <v>0</v>
      </c>
      <c r="EC46" s="93">
        <f>IF(BB46="",0,VLOOKUP(P46,Tables!$B$3:$M$36,11,FALSE())*AL$1)</f>
        <v>0</v>
      </c>
      <c r="ED46" s="91">
        <f>IF(AN46="",0,VLOOKUP(B46,Tables!$B$3:$M$36,12,FALSE())*X$1)</f>
        <v>0</v>
      </c>
      <c r="EE46" s="92">
        <f>IF(AO46="",0,VLOOKUP(C46,Tables!$B$3:$M$36,12,FALSE())*Y$1)</f>
        <v>0</v>
      </c>
      <c r="EF46" s="92">
        <f>IF(AP46="",0,VLOOKUP(D46,Tables!$B$3:$M$36,12,FALSE())*Z$1)</f>
        <v>0</v>
      </c>
      <c r="EG46" s="91">
        <f>IF(AQ46="",0,VLOOKUP(E46,Tables!$B$3:$M$36,12,FALSE())*AA$1)</f>
        <v>9</v>
      </c>
      <c r="EH46" s="92">
        <f>IF(AR46="",0,VLOOKUP(F46,Tables!$B$3:$M$36,12,FALSE())*AB$1)</f>
        <v>18</v>
      </c>
      <c r="EI46" s="92">
        <f>IF(AS46="",0,VLOOKUP(G46,Tables!$B$3:$M$36,12,FALSE())*AC$1)</f>
        <v>0</v>
      </c>
      <c r="EJ46" s="92">
        <f>IF(AT46="",0,VLOOKUP(H46,Tables!$B$3:$M$36,12,FALSE())*AD$1)</f>
        <v>0</v>
      </c>
      <c r="EK46" s="92">
        <f>IF(AU46="",0,VLOOKUP(I46,Tables!$B$3:$M$36,12,FALSE())*AE$1)</f>
        <v>0</v>
      </c>
      <c r="EL46" s="91">
        <f>IF(AV46="",0,VLOOKUP(J46,Tables!$B$3:$M$36,12,FALSE())*AF$1)</f>
        <v>36</v>
      </c>
      <c r="EM46" s="92">
        <f>IF(AW46="",0,VLOOKUP(K46,Tables!$B$3:$M$36,12,FALSE())*AG$1)</f>
        <v>36</v>
      </c>
      <c r="EN46" s="92">
        <f>IF(AX46="",0,VLOOKUP(L46,Tables!$B$3:$M$36,12,FALSE())*AH$1)</f>
        <v>0</v>
      </c>
      <c r="EO46" s="91">
        <f>IF(AY46="",0,VLOOKUP(M46,Tables!$B$3:$M$36,12,FALSE())*AI$1)</f>
        <v>0</v>
      </c>
      <c r="EP46" s="92">
        <f>IF(AZ46="",0,VLOOKUP(N46,Tables!$B$3:$M$36,12,FALSE())*AJ$1)</f>
        <v>0</v>
      </c>
      <c r="EQ46" s="92">
        <f>IF(BA46="",0,VLOOKUP(O46,Tables!$B$3:$M$36,12,FALSE())*AK$1)</f>
        <v>0</v>
      </c>
      <c r="ER46" s="93">
        <f>IF(BB46="",0,VLOOKUP(P46,Tables!$B$3:$M$36,12,FALSE())*AL$1)</f>
        <v>0</v>
      </c>
      <c r="ES46" s="94">
        <f t="shared" si="55"/>
        <v>0</v>
      </c>
      <c r="ET46" s="95">
        <f>IF(AN46="",10,MIN(VLOOKUP(B46,Tables!$B$3:$N$34,13,FALSE()),'Item Builder'!$W46))</f>
        <v>10</v>
      </c>
      <c r="EU46" s="95">
        <f>IF(AO46="",10,MIN(VLOOKUP(C46,Tables!$B$3:$N$34,13,FALSE()),'Item Builder'!$W46))</f>
        <v>10</v>
      </c>
      <c r="EV46" s="95">
        <f>IF(AP46="",10,MIN(VLOOKUP(D46,Tables!$B$3:$N$34,13,FALSE()),'Item Builder'!$W46))</f>
        <v>10</v>
      </c>
      <c r="EW46" s="95">
        <f>IF(AQ46="",10,MIN(VLOOKUP(E46,Tables!$B$3:$N$34,13,FALSE()),'Item Builder'!$W46))</f>
        <v>0</v>
      </c>
      <c r="EX46" s="95">
        <f>IF(AR46="",10,MIN(VLOOKUP(F46,Tables!$B$3:$N$34,13,FALSE()),'Item Builder'!$W46))</f>
        <v>0</v>
      </c>
      <c r="EY46" s="95">
        <f>IF(AS46="",10,MIN(VLOOKUP(G46,Tables!$B$3:$N$34,13,FALSE()),'Item Builder'!$W46))</f>
        <v>10</v>
      </c>
      <c r="EZ46" s="95">
        <f>IF(AT46="",10,MIN(VLOOKUP(H46,Tables!$B$3:$N$34,13,FALSE()),'Item Builder'!$W46))</f>
        <v>10</v>
      </c>
      <c r="FA46" s="95">
        <f>IF(AU46="",10,MIN(VLOOKUP(I46,Tables!$B$3:$N$34,13,FALSE()),'Item Builder'!$W46))</f>
        <v>10</v>
      </c>
      <c r="FB46" s="95">
        <f>IF(AV46="",10,MIN(VLOOKUP(J46,Tables!$B$3:$N$34,13,FALSE()),'Item Builder'!$W46))</f>
        <v>0</v>
      </c>
      <c r="FC46" s="95">
        <f>IF(AW46="",10,MIN(VLOOKUP(K46,Tables!$B$3:$N$34,13,FALSE()),'Item Builder'!$W46))</f>
        <v>0</v>
      </c>
      <c r="FD46" s="95">
        <f>IF(AX46="",10,MIN(VLOOKUP(L46,Tables!$B$3:$N$34,13,FALSE()),'Item Builder'!$W46))</f>
        <v>10</v>
      </c>
      <c r="FE46" s="95">
        <f>IF(AY46="",10,MIN(VLOOKUP(M46,Tables!$B$3:$N$34,13,FALSE()),'Item Builder'!$W46))</f>
        <v>10</v>
      </c>
      <c r="FF46" s="95">
        <f>IF(AZ46="",10,MIN(VLOOKUP(N46,Tables!$B$3:$N$34,13,FALSE()),'Item Builder'!$W46))</f>
        <v>10</v>
      </c>
      <c r="FG46" s="95">
        <f>IF(BA46="",10,MIN(VLOOKUP(O46,Tables!$B$3:$N$34,13,FALSE()),'Item Builder'!$W46))</f>
        <v>10</v>
      </c>
      <c r="FH46" s="98">
        <f>IF(BB46="",10,MIN(VLOOKUP(P46,Tables!$B$3:$N$34,13,FALSE()),'Item Builder'!$W46))</f>
        <v>10</v>
      </c>
    </row>
    <row r="47" spans="1:164" x14ac:dyDescent="0.25">
      <c r="A47" s="67" t="s">
        <v>213</v>
      </c>
      <c r="B47" s="68"/>
      <c r="C47" s="69"/>
      <c r="D47" s="70"/>
      <c r="E47" s="68" t="s">
        <v>103</v>
      </c>
      <c r="F47" s="69" t="s">
        <v>103</v>
      </c>
      <c r="G47" s="69" t="s">
        <v>103</v>
      </c>
      <c r="H47" s="69"/>
      <c r="I47" s="70"/>
      <c r="J47" s="68" t="s">
        <v>103</v>
      </c>
      <c r="K47" s="69" t="s">
        <v>103</v>
      </c>
      <c r="L47" s="70" t="s">
        <v>103</v>
      </c>
      <c r="M47" s="68"/>
      <c r="N47" s="69"/>
      <c r="O47" s="69"/>
      <c r="P47" s="71"/>
      <c r="Q47" s="72">
        <f>SUM(BV47:CJ47)*VLOOKUP(W47,Tables!$W$3:$Z$8,4)</f>
        <v>180</v>
      </c>
      <c r="R47" s="73">
        <f t="shared" si="0"/>
        <v>8.1000000000000014</v>
      </c>
      <c r="S47" s="74">
        <f t="shared" si="1"/>
        <v>0</v>
      </c>
      <c r="T47" s="74">
        <f t="shared" si="2"/>
        <v>0</v>
      </c>
      <c r="U47" s="75">
        <f t="shared" si="3"/>
        <v>54</v>
      </c>
      <c r="V47" s="76">
        <f t="shared" si="4"/>
        <v>135</v>
      </c>
      <c r="W47" s="77">
        <v>0</v>
      </c>
      <c r="X47" s="78">
        <f t="shared" si="5"/>
        <v>0</v>
      </c>
      <c r="Y47" s="79">
        <f t="shared" si="6"/>
        <v>0</v>
      </c>
      <c r="Z47" s="79">
        <f t="shared" si="7"/>
        <v>0</v>
      </c>
      <c r="AA47" s="78">
        <f t="shared" si="8"/>
        <v>1</v>
      </c>
      <c r="AB47" s="79">
        <f t="shared" si="9"/>
        <v>1</v>
      </c>
      <c r="AC47" s="79">
        <f t="shared" si="10"/>
        <v>1</v>
      </c>
      <c r="AD47" s="79">
        <f t="shared" si="11"/>
        <v>0</v>
      </c>
      <c r="AE47" s="79">
        <f t="shared" si="12"/>
        <v>0</v>
      </c>
      <c r="AF47" s="78">
        <f t="shared" si="13"/>
        <v>1</v>
      </c>
      <c r="AG47" s="79">
        <f t="shared" si="14"/>
        <v>1</v>
      </c>
      <c r="AH47" s="79">
        <f t="shared" si="15"/>
        <v>1</v>
      </c>
      <c r="AI47" s="78">
        <f t="shared" si="16"/>
        <v>0</v>
      </c>
      <c r="AJ47" s="79">
        <f t="shared" si="17"/>
        <v>0</v>
      </c>
      <c r="AK47" s="79">
        <f t="shared" si="18"/>
        <v>0</v>
      </c>
      <c r="AL47" s="80">
        <f t="shared" si="19"/>
        <v>0</v>
      </c>
      <c r="AM47" s="81">
        <f t="shared" si="20"/>
        <v>0.44999999999999996</v>
      </c>
      <c r="AN47" s="82" t="str">
        <f t="shared" si="21"/>
        <v/>
      </c>
      <c r="AO47" s="79" t="str">
        <f t="shared" si="22"/>
        <v/>
      </c>
      <c r="AP47" t="str">
        <f t="shared" si="23"/>
        <v/>
      </c>
      <c r="AQ47" s="82" t="str">
        <f t="shared" si="24"/>
        <v>Q</v>
      </c>
      <c r="AR47" t="str">
        <f t="shared" si="25"/>
        <v>Q</v>
      </c>
      <c r="AS47" t="str">
        <f t="shared" si="26"/>
        <v>Q</v>
      </c>
      <c r="AT47" t="str">
        <f t="shared" si="27"/>
        <v/>
      </c>
      <c r="AU47" t="str">
        <f t="shared" si="28"/>
        <v/>
      </c>
      <c r="AV47" s="82" t="str">
        <f t="shared" si="29"/>
        <v>Q</v>
      </c>
      <c r="AW47" t="str">
        <f t="shared" si="30"/>
        <v>Q</v>
      </c>
      <c r="AX47" t="str">
        <f t="shared" si="31"/>
        <v>Q</v>
      </c>
      <c r="AY47" s="82" t="str">
        <f t="shared" si="32"/>
        <v/>
      </c>
      <c r="AZ47" t="str">
        <f t="shared" si="33"/>
        <v/>
      </c>
      <c r="BA47" t="str">
        <f t="shared" si="34"/>
        <v/>
      </c>
      <c r="BB47" s="83" t="str">
        <f t="shared" si="35"/>
        <v/>
      </c>
      <c r="BC47" s="84">
        <f t="shared" si="36"/>
        <v>0</v>
      </c>
      <c r="BD47" s="84">
        <f t="shared" si="37"/>
        <v>0.52380952380952372</v>
      </c>
      <c r="BE47" s="84">
        <f t="shared" si="38"/>
        <v>1</v>
      </c>
      <c r="BF47" s="84">
        <f t="shared" si="39"/>
        <v>0</v>
      </c>
      <c r="BG47" s="78">
        <f>IF(AN47="",0,VLOOKUP(AN47,Tables!$AB$3:$AC$12,2))</f>
        <v>0</v>
      </c>
      <c r="BH47" s="79">
        <f>IF(AO47="",0,VLOOKUP(AO47,Tables!$AB$3:$AC$12,2))</f>
        <v>0</v>
      </c>
      <c r="BI47" s="79">
        <f>IF(AP47="",0,VLOOKUP(AP47,Tables!$AB$3:$AC$12,2))</f>
        <v>0</v>
      </c>
      <c r="BJ47" s="78">
        <f>IF(AQ47="",0,VLOOKUP(AQ47,Tables!$AB$3:$AC$12,2))</f>
        <v>2</v>
      </c>
      <c r="BK47" s="79">
        <f>IF(AR47="",0,VLOOKUP(AR47,Tables!$AB$3:$AC$12,2))</f>
        <v>2</v>
      </c>
      <c r="BL47" s="79">
        <f>IF(AS47="",0,VLOOKUP(AS47,Tables!$AB$3:$AC$12,2))</f>
        <v>2</v>
      </c>
      <c r="BM47" s="79">
        <f>IF(AT47="",0,VLOOKUP(AT47,Tables!$AB$3:$AC$12,2))</f>
        <v>0</v>
      </c>
      <c r="BN47" s="79">
        <f>IF(AU47="",0,VLOOKUP(AU47,Tables!$AB$3:$AC$12,2))</f>
        <v>0</v>
      </c>
      <c r="BO47" s="78">
        <f>IF(AV47="",0,VLOOKUP(AV47,Tables!$AB$3:$AC$12,2))</f>
        <v>2</v>
      </c>
      <c r="BP47" s="79">
        <f>IF(AW47="",0,VLOOKUP(AW47,Tables!$AB$3:$AC$12,2))</f>
        <v>2</v>
      </c>
      <c r="BQ47" s="79">
        <f>IF(AX47="",0,VLOOKUP(AX47,Tables!$AB$3:$AC$12,2))</f>
        <v>2</v>
      </c>
      <c r="BR47" s="78">
        <f>IF(AY47="",0,VLOOKUP(AY47,Tables!$AB$3:$AC$12,2))</f>
        <v>0</v>
      </c>
      <c r="BS47" s="79">
        <f>IF(AZ47="",0,VLOOKUP(AZ47,Tables!$AB$3:$AC$12,2))</f>
        <v>0</v>
      </c>
      <c r="BT47" s="79">
        <f>IF(BA47="",0,VLOOKUP(BA47,Tables!$AB$3:$AC$12,2))</f>
        <v>0</v>
      </c>
      <c r="BU47" s="80">
        <f>IF(BB47="",0,VLOOKUP(BB47,Tables!$AB$3:$AC$12,2))</f>
        <v>0</v>
      </c>
      <c r="BV47" s="85">
        <f>IF(AN47="",0,VLOOKUP(B47,Tables!$B$3:$D$36,2,FALSE())*X$1)</f>
        <v>0</v>
      </c>
      <c r="BW47" s="72">
        <f>IF(AO47="",0,VLOOKUP(C47,Tables!$B$3:$D$36,2,FALSE())*Y$1)</f>
        <v>0</v>
      </c>
      <c r="BX47" s="72">
        <f>IF(AP47="",0,VLOOKUP(D47,Tables!$B$3:$D$36,2,FALSE())*Z$1)</f>
        <v>0</v>
      </c>
      <c r="BY47" s="85">
        <f>IF(AQ47="",0,VLOOKUP(E47,Tables!$B$3:$D$36,2,FALSE())*AA$1)</f>
        <v>12</v>
      </c>
      <c r="BZ47" s="72">
        <f>IF(AR47="",0,VLOOKUP(F47,Tables!$B$3:$D$36,2,FALSE())*AB$1)</f>
        <v>24</v>
      </c>
      <c r="CA47" s="72">
        <f>IF(AS47="",0,VLOOKUP(G47,Tables!$B$3:$D$36,2,FALSE())*AC$1)</f>
        <v>8</v>
      </c>
      <c r="CB47" s="72">
        <f>IF(AT47="",0,VLOOKUP(H47,Tables!$B$3:$D$36,2,FALSE())*AD$1)</f>
        <v>0</v>
      </c>
      <c r="CC47" s="72">
        <f>IF(AU47="",0,VLOOKUP(I47,Tables!$B$3:$D$36,2,FALSE())*AE$1)</f>
        <v>0</v>
      </c>
      <c r="CD47" s="85">
        <f>IF(AV47="",0,VLOOKUP(J47,Tables!$B$3:$D$36,2,FALSE())*AF$1)</f>
        <v>48</v>
      </c>
      <c r="CE47" s="72">
        <f>IF(AW47="",0,VLOOKUP(K47,Tables!$B$3:$D$36,2,FALSE())*AG$1)</f>
        <v>48</v>
      </c>
      <c r="CF47" s="72">
        <f>IF(AX47="",0,VLOOKUP(L47,Tables!$B$3:$D$36,2,FALSE())*AH$1)</f>
        <v>40</v>
      </c>
      <c r="CG47" s="85">
        <f>IF(AY47="",0,VLOOKUP(M47,Tables!$B$3:$D$36,2,FALSE())*AI$1)</f>
        <v>0</v>
      </c>
      <c r="CH47" s="72">
        <f>IF(AZ47="",0,VLOOKUP(N47,Tables!$B$3:$D$36,2,FALSE())*AJ$1)</f>
        <v>0</v>
      </c>
      <c r="CI47" s="72">
        <f>IF(BA47="",0,VLOOKUP(O47,Tables!$B$3:$D$36,2,FALSE())*AK$1)</f>
        <v>0</v>
      </c>
      <c r="CJ47" s="86">
        <f>IF(BB47="",0,VLOOKUP(P47,Tables!$B$3:$D$36,2,FALSE())*AL$1)</f>
        <v>0</v>
      </c>
      <c r="CK47" s="87">
        <f>IF(AN47="",0,VLOOKUP(B47,Tables!$B$3:$D$36,3,FALSE())*X$1)*IF(OR(AN47="K",AN47="P"),2,1)</f>
        <v>0</v>
      </c>
      <c r="CL47" s="73">
        <f>IF(AO47="",0,VLOOKUP(C47,Tables!$B$3:$D$36,3,FALSE())*Y$1)*IF(OR(AO47="K",AO47="P"),2,1)</f>
        <v>0</v>
      </c>
      <c r="CM47" s="73">
        <f>IF(AP47="",0,VLOOKUP(D47,Tables!$B$3:$D$36,3,FALSE())*Z$1)*IF(OR(AP47="K",AP47="P"),2,1)</f>
        <v>0</v>
      </c>
      <c r="CN47" s="87">
        <f>IF(AQ47="",0,VLOOKUP(E47,Tables!$B$3:$D$36,3,FALSE())*AA$1)</f>
        <v>0.54</v>
      </c>
      <c r="CO47" s="73">
        <f>IF(AR47="",0,VLOOKUP(F47,Tables!$B$3:$D$36,3,FALSE())*AB$1)</f>
        <v>1.08</v>
      </c>
      <c r="CP47" s="73">
        <f>IF(AS47="",0,VLOOKUP(G47,Tables!$B$3:$D$36,3,FALSE())*AC$1)</f>
        <v>0.36</v>
      </c>
      <c r="CQ47" s="73">
        <f>IF(AT47="",0,VLOOKUP(H47,Tables!$B$3:$D$36,3,FALSE())*AD$1)</f>
        <v>0</v>
      </c>
      <c r="CR47" s="73">
        <f>IF(AU47="",0,VLOOKUP(I47,Tables!$B$3:$D$36,3,FALSE())*AE$1)</f>
        <v>0</v>
      </c>
      <c r="CS47" s="87">
        <f>IF(AV47="",0,VLOOKUP(J47,Tables!$B$3:$D$36,3,FALSE())*AF$1)</f>
        <v>2.16</v>
      </c>
      <c r="CT47" s="73">
        <f>IF(AW47="",0,VLOOKUP(K47,Tables!$B$3:$D$36,3,FALSE())*AG$1)</f>
        <v>2.16</v>
      </c>
      <c r="CU47" s="73">
        <f>IF(AX47="",0,VLOOKUP(L47,Tables!$B$3:$D$36,3,FALSE())*AH$1)</f>
        <v>1.8</v>
      </c>
      <c r="CV47" s="87">
        <f>IF(AY47="",0,VLOOKUP(M47,Tables!$B$3:$D$36,3,FALSE())*AI$1)</f>
        <v>0</v>
      </c>
      <c r="CW47" s="73">
        <f>IF(AZ47="",0,VLOOKUP(N47,Tables!$B$3:$D$36,3,FALSE())*AJ$1)</f>
        <v>0</v>
      </c>
      <c r="CX47" s="73">
        <f>IF(BA47="",0,VLOOKUP(O47,Tables!$B$3:$D$36,3,FALSE())*AK$1)</f>
        <v>0</v>
      </c>
      <c r="CY47" s="88">
        <f>IF(BB47="",0,VLOOKUP(P47,Tables!$B$3:$D$36,3,FALSE())*AL$1)</f>
        <v>0</v>
      </c>
      <c r="CZ47" s="89">
        <f t="shared" si="40"/>
        <v>0</v>
      </c>
      <c r="DA47" s="75">
        <f t="shared" si="41"/>
        <v>0</v>
      </c>
      <c r="DB47" s="75">
        <f t="shared" si="42"/>
        <v>0</v>
      </c>
      <c r="DC47" s="89">
        <f t="shared" si="43"/>
        <v>0.65</v>
      </c>
      <c r="DD47" s="75">
        <f t="shared" si="44"/>
        <v>0.65</v>
      </c>
      <c r="DE47" s="75">
        <f t="shared" si="45"/>
        <v>0.65</v>
      </c>
      <c r="DF47" s="75">
        <f t="shared" si="46"/>
        <v>0</v>
      </c>
      <c r="DG47" s="75">
        <f t="shared" si="47"/>
        <v>0</v>
      </c>
      <c r="DH47" s="89">
        <f t="shared" si="48"/>
        <v>0.65</v>
      </c>
      <c r="DI47" s="75">
        <f t="shared" si="49"/>
        <v>0.65</v>
      </c>
      <c r="DJ47" s="75">
        <f t="shared" si="50"/>
        <v>0.65</v>
      </c>
      <c r="DK47" s="89">
        <f t="shared" si="51"/>
        <v>0</v>
      </c>
      <c r="DL47" s="75">
        <f t="shared" si="52"/>
        <v>0</v>
      </c>
      <c r="DM47" s="75">
        <f t="shared" si="53"/>
        <v>0</v>
      </c>
      <c r="DN47" s="90">
        <f t="shared" si="54"/>
        <v>0</v>
      </c>
      <c r="DO47" s="91">
        <f>IF(AN47="",0,VLOOKUP(B47,Tables!$B$3:$M$36,11,FALSE())*X$1)</f>
        <v>0</v>
      </c>
      <c r="DP47" s="92">
        <f>IF(AO47="",0,VLOOKUP(C47,Tables!$B$3:$M$36,11,FALSE())*Y$1)</f>
        <v>0</v>
      </c>
      <c r="DQ47" s="92">
        <f>IF(AP47="",0,VLOOKUP(D47,Tables!$B$3:$M$36,11,FALSE())*Z$1)</f>
        <v>0</v>
      </c>
      <c r="DR47" s="91">
        <f>IF(AQ47="",0,VLOOKUP(E47,Tables!$B$3:$M$36,11,FALSE())*AA$1)</f>
        <v>3.5999999999999996</v>
      </c>
      <c r="DS47" s="92">
        <f>IF(AR47="",0,VLOOKUP(F47,Tables!$B$3:$M$36,11,FALSE())*AB$1)</f>
        <v>7.1999999999999993</v>
      </c>
      <c r="DT47" s="92">
        <f>IF(AS47="",0,VLOOKUP(G47,Tables!$B$3:$M$36,11,FALSE())*AC$1)</f>
        <v>2.4</v>
      </c>
      <c r="DU47" s="92">
        <f>IF(AT47="",0,VLOOKUP(H47,Tables!$B$3:$M$36,11,FALSE())*AD$1)</f>
        <v>0</v>
      </c>
      <c r="DV47" s="92">
        <f>IF(AU47="",0,VLOOKUP(I47,Tables!$B$3:$M$36,11,FALSE())*AE$1)</f>
        <v>0</v>
      </c>
      <c r="DW47" s="91">
        <f>IF(AV47="",0,VLOOKUP(J47,Tables!$B$3:$M$36,11,FALSE())*AF$1)</f>
        <v>14.399999999999999</v>
      </c>
      <c r="DX47" s="92">
        <f>IF(AW47="",0,VLOOKUP(K47,Tables!$B$3:$M$36,11,FALSE())*AG$1)</f>
        <v>14.399999999999999</v>
      </c>
      <c r="DY47" s="92">
        <f>IF(AX47="",0,VLOOKUP(L47,Tables!$B$3:$M$36,11,FALSE())*AH$1)</f>
        <v>12</v>
      </c>
      <c r="DZ47" s="91">
        <f>IF(AY47="",0,VLOOKUP(M47,Tables!$B$3:$M$36,11,FALSE())*AI$1)</f>
        <v>0</v>
      </c>
      <c r="EA47" s="92">
        <f>IF(AZ47="",0,VLOOKUP(N47,Tables!$B$3:$M$36,11,FALSE())*AJ$1)</f>
        <v>0</v>
      </c>
      <c r="EB47" s="92">
        <f>IF(BA47="",0,VLOOKUP(O47,Tables!$B$3:$M$36,11,FALSE())*AK$1)</f>
        <v>0</v>
      </c>
      <c r="EC47" s="93">
        <f>IF(BB47="",0,VLOOKUP(P47,Tables!$B$3:$M$36,11,FALSE())*AL$1)</f>
        <v>0</v>
      </c>
      <c r="ED47" s="91">
        <f>IF(AN47="",0,VLOOKUP(B47,Tables!$B$3:$M$36,12,FALSE())*X$1)</f>
        <v>0</v>
      </c>
      <c r="EE47" s="92">
        <f>IF(AO47="",0,VLOOKUP(C47,Tables!$B$3:$M$36,12,FALSE())*Y$1)</f>
        <v>0</v>
      </c>
      <c r="EF47" s="92">
        <f>IF(AP47="",0,VLOOKUP(D47,Tables!$B$3:$M$36,12,FALSE())*Z$1)</f>
        <v>0</v>
      </c>
      <c r="EG47" s="91">
        <f>IF(AQ47="",0,VLOOKUP(E47,Tables!$B$3:$M$36,12,FALSE())*AA$1)</f>
        <v>9</v>
      </c>
      <c r="EH47" s="92">
        <f>IF(AR47="",0,VLOOKUP(F47,Tables!$B$3:$M$36,12,FALSE())*AB$1)</f>
        <v>18</v>
      </c>
      <c r="EI47" s="92">
        <f>IF(AS47="",0,VLOOKUP(G47,Tables!$B$3:$M$36,12,FALSE())*AC$1)</f>
        <v>6</v>
      </c>
      <c r="EJ47" s="92">
        <f>IF(AT47="",0,VLOOKUP(H47,Tables!$B$3:$M$36,12,FALSE())*AD$1)</f>
        <v>0</v>
      </c>
      <c r="EK47" s="92">
        <f>IF(AU47="",0,VLOOKUP(I47,Tables!$B$3:$M$36,12,FALSE())*AE$1)</f>
        <v>0</v>
      </c>
      <c r="EL47" s="91">
        <f>IF(AV47="",0,VLOOKUP(J47,Tables!$B$3:$M$36,12,FALSE())*AF$1)</f>
        <v>36</v>
      </c>
      <c r="EM47" s="92">
        <f>IF(AW47="",0,VLOOKUP(K47,Tables!$B$3:$M$36,12,FALSE())*AG$1)</f>
        <v>36</v>
      </c>
      <c r="EN47" s="92">
        <f>IF(AX47="",0,VLOOKUP(L47,Tables!$B$3:$M$36,12,FALSE())*AH$1)</f>
        <v>30</v>
      </c>
      <c r="EO47" s="91">
        <f>IF(AY47="",0,VLOOKUP(M47,Tables!$B$3:$M$36,12,FALSE())*AI$1)</f>
        <v>0</v>
      </c>
      <c r="EP47" s="92">
        <f>IF(AZ47="",0,VLOOKUP(N47,Tables!$B$3:$M$36,12,FALSE())*AJ$1)</f>
        <v>0</v>
      </c>
      <c r="EQ47" s="92">
        <f>IF(BA47="",0,VLOOKUP(O47,Tables!$B$3:$M$36,12,FALSE())*AK$1)</f>
        <v>0</v>
      </c>
      <c r="ER47" s="93">
        <f>IF(BB47="",0,VLOOKUP(P47,Tables!$B$3:$M$36,12,FALSE())*AL$1)</f>
        <v>0</v>
      </c>
      <c r="ES47" s="94">
        <f t="shared" si="55"/>
        <v>0</v>
      </c>
      <c r="ET47" s="95">
        <f>IF(AN47="",10,MIN(VLOOKUP(B47,Tables!$B$3:$N$34,13,FALSE()),'Item Builder'!$W47))</f>
        <v>10</v>
      </c>
      <c r="EU47" s="95">
        <f>IF(AO47="",10,MIN(VLOOKUP(C47,Tables!$B$3:$N$34,13,FALSE()),'Item Builder'!$W47))</f>
        <v>10</v>
      </c>
      <c r="EV47" s="95">
        <f>IF(AP47="",10,MIN(VLOOKUP(D47,Tables!$B$3:$N$34,13,FALSE()),'Item Builder'!$W47))</f>
        <v>10</v>
      </c>
      <c r="EW47" s="95">
        <f>IF(AQ47="",10,MIN(VLOOKUP(E47,Tables!$B$3:$N$34,13,FALSE()),'Item Builder'!$W47))</f>
        <v>0</v>
      </c>
      <c r="EX47" s="95">
        <f>IF(AR47="",10,MIN(VLOOKUP(F47,Tables!$B$3:$N$34,13,FALSE()),'Item Builder'!$W47))</f>
        <v>0</v>
      </c>
      <c r="EY47" s="95">
        <f>IF(AS47="",10,MIN(VLOOKUP(G47,Tables!$B$3:$N$34,13,FALSE()),'Item Builder'!$W47))</f>
        <v>0</v>
      </c>
      <c r="EZ47" s="95">
        <f>IF(AT47="",10,MIN(VLOOKUP(H47,Tables!$B$3:$N$34,13,FALSE()),'Item Builder'!$W47))</f>
        <v>10</v>
      </c>
      <c r="FA47" s="95">
        <f>IF(AU47="",10,MIN(VLOOKUP(I47,Tables!$B$3:$N$34,13,FALSE()),'Item Builder'!$W47))</f>
        <v>10</v>
      </c>
      <c r="FB47" s="95">
        <f>IF(AV47="",10,MIN(VLOOKUP(J47,Tables!$B$3:$N$34,13,FALSE()),'Item Builder'!$W47))</f>
        <v>0</v>
      </c>
      <c r="FC47" s="95">
        <f>IF(AW47="",10,MIN(VLOOKUP(K47,Tables!$B$3:$N$34,13,FALSE()),'Item Builder'!$W47))</f>
        <v>0</v>
      </c>
      <c r="FD47" s="95">
        <f>IF(AX47="",10,MIN(VLOOKUP(L47,Tables!$B$3:$N$34,13,FALSE()),'Item Builder'!$W47))</f>
        <v>0</v>
      </c>
      <c r="FE47" s="95">
        <f>IF(AY47="",10,MIN(VLOOKUP(M47,Tables!$B$3:$N$34,13,FALSE()),'Item Builder'!$W47))</f>
        <v>10</v>
      </c>
      <c r="FF47" s="95">
        <f>IF(AZ47="",10,MIN(VLOOKUP(N47,Tables!$B$3:$N$34,13,FALSE()),'Item Builder'!$W47))</f>
        <v>10</v>
      </c>
      <c r="FG47" s="95">
        <f>IF(BA47="",10,MIN(VLOOKUP(O47,Tables!$B$3:$N$34,13,FALSE()),'Item Builder'!$W47))</f>
        <v>10</v>
      </c>
      <c r="FH47" s="98">
        <f>IF(BB47="",10,MIN(VLOOKUP(P47,Tables!$B$3:$N$34,13,FALSE()),'Item Builder'!$W47))</f>
        <v>10</v>
      </c>
    </row>
    <row r="48" spans="1:164" x14ac:dyDescent="0.25">
      <c r="A48" s="67" t="s">
        <v>214</v>
      </c>
      <c r="B48" s="68"/>
      <c r="C48" s="69"/>
      <c r="D48" s="70"/>
      <c r="E48" s="68" t="s">
        <v>103</v>
      </c>
      <c r="F48" s="69" t="s">
        <v>103</v>
      </c>
      <c r="G48" s="69" t="s">
        <v>103</v>
      </c>
      <c r="H48" s="69" t="s">
        <v>103</v>
      </c>
      <c r="I48" s="70"/>
      <c r="J48" s="68" t="s">
        <v>103</v>
      </c>
      <c r="K48" s="69" t="s">
        <v>103</v>
      </c>
      <c r="L48" s="70" t="s">
        <v>103</v>
      </c>
      <c r="M48" s="68"/>
      <c r="N48" s="69"/>
      <c r="O48" s="69"/>
      <c r="P48" s="71"/>
      <c r="Q48" s="72">
        <f>SUM(BV48:CJ48)*VLOOKUP(W48,Tables!$W$3:$Z$8,4)</f>
        <v>200</v>
      </c>
      <c r="R48" s="73">
        <f t="shared" si="0"/>
        <v>9</v>
      </c>
      <c r="S48" s="101">
        <f t="shared" si="1"/>
        <v>5</v>
      </c>
      <c r="T48" s="74">
        <f t="shared" si="2"/>
        <v>0</v>
      </c>
      <c r="U48" s="75">
        <f t="shared" si="3"/>
        <v>59.999999999999993</v>
      </c>
      <c r="V48" s="76">
        <f t="shared" si="4"/>
        <v>150</v>
      </c>
      <c r="W48" s="77">
        <v>0</v>
      </c>
      <c r="X48" s="78">
        <f t="shared" si="5"/>
        <v>0</v>
      </c>
      <c r="Y48" s="79">
        <f t="shared" si="6"/>
        <v>0</v>
      </c>
      <c r="Z48" s="79">
        <f t="shared" si="7"/>
        <v>0</v>
      </c>
      <c r="AA48" s="78">
        <f t="shared" si="8"/>
        <v>1</v>
      </c>
      <c r="AB48" s="79">
        <f t="shared" si="9"/>
        <v>1</v>
      </c>
      <c r="AC48" s="79">
        <f t="shared" si="10"/>
        <v>1</v>
      </c>
      <c r="AD48" s="79">
        <f t="shared" si="11"/>
        <v>1</v>
      </c>
      <c r="AE48" s="79">
        <f t="shared" si="12"/>
        <v>0</v>
      </c>
      <c r="AF48" s="78">
        <f t="shared" si="13"/>
        <v>1</v>
      </c>
      <c r="AG48" s="79">
        <f t="shared" si="14"/>
        <v>1</v>
      </c>
      <c r="AH48" s="79">
        <f t="shared" si="15"/>
        <v>1</v>
      </c>
      <c r="AI48" s="78">
        <f t="shared" si="16"/>
        <v>0</v>
      </c>
      <c r="AJ48" s="79">
        <f t="shared" si="17"/>
        <v>0</v>
      </c>
      <c r="AK48" s="79">
        <f t="shared" si="18"/>
        <v>0</v>
      </c>
      <c r="AL48" s="80">
        <f t="shared" si="19"/>
        <v>0</v>
      </c>
      <c r="AM48" s="81">
        <f t="shared" si="20"/>
        <v>0.5</v>
      </c>
      <c r="AN48" s="82" t="str">
        <f t="shared" si="21"/>
        <v/>
      </c>
      <c r="AO48" s="79" t="str">
        <f t="shared" si="22"/>
        <v/>
      </c>
      <c r="AP48" t="str">
        <f t="shared" si="23"/>
        <v/>
      </c>
      <c r="AQ48" s="82" t="str">
        <f t="shared" si="24"/>
        <v>Q</v>
      </c>
      <c r="AR48" t="str">
        <f t="shared" si="25"/>
        <v>Q</v>
      </c>
      <c r="AS48" t="str">
        <f t="shared" si="26"/>
        <v>Q</v>
      </c>
      <c r="AT48" t="str">
        <f t="shared" si="27"/>
        <v>Q</v>
      </c>
      <c r="AU48" t="str">
        <f t="shared" si="28"/>
        <v/>
      </c>
      <c r="AV48" s="82" t="str">
        <f t="shared" si="29"/>
        <v>Q</v>
      </c>
      <c r="AW48" t="str">
        <f t="shared" si="30"/>
        <v>Q</v>
      </c>
      <c r="AX48" t="str">
        <f t="shared" si="31"/>
        <v>Q</v>
      </c>
      <c r="AY48" s="82" t="str">
        <f t="shared" si="32"/>
        <v/>
      </c>
      <c r="AZ48" t="str">
        <f t="shared" si="33"/>
        <v/>
      </c>
      <c r="BA48" t="str">
        <f t="shared" si="34"/>
        <v/>
      </c>
      <c r="BB48" s="83" t="str">
        <f t="shared" si="35"/>
        <v/>
      </c>
      <c r="BC48" s="84">
        <f t="shared" si="36"/>
        <v>0</v>
      </c>
      <c r="BD48" s="84">
        <f t="shared" si="37"/>
        <v>0.76190476190476186</v>
      </c>
      <c r="BE48" s="84">
        <f t="shared" si="38"/>
        <v>1</v>
      </c>
      <c r="BF48" s="84">
        <f t="shared" si="39"/>
        <v>0</v>
      </c>
      <c r="BG48" s="78">
        <f>IF(AN48="",0,VLOOKUP(AN48,Tables!$AB$3:$AC$12,2))</f>
        <v>0</v>
      </c>
      <c r="BH48" s="79">
        <f>IF(AO48="",0,VLOOKUP(AO48,Tables!$AB$3:$AC$12,2))</f>
        <v>0</v>
      </c>
      <c r="BI48" s="79">
        <f>IF(AP48="",0,VLOOKUP(AP48,Tables!$AB$3:$AC$12,2))</f>
        <v>0</v>
      </c>
      <c r="BJ48" s="78">
        <f>IF(AQ48="",0,VLOOKUP(AQ48,Tables!$AB$3:$AC$12,2))</f>
        <v>2</v>
      </c>
      <c r="BK48" s="79">
        <f>IF(AR48="",0,VLOOKUP(AR48,Tables!$AB$3:$AC$12,2))</f>
        <v>2</v>
      </c>
      <c r="BL48" s="79">
        <f>IF(AS48="",0,VLOOKUP(AS48,Tables!$AB$3:$AC$12,2))</f>
        <v>2</v>
      </c>
      <c r="BM48" s="79">
        <f>IF(AT48="",0,VLOOKUP(AT48,Tables!$AB$3:$AC$12,2))</f>
        <v>2</v>
      </c>
      <c r="BN48" s="79">
        <f>IF(AU48="",0,VLOOKUP(AU48,Tables!$AB$3:$AC$12,2))</f>
        <v>0</v>
      </c>
      <c r="BO48" s="78">
        <f>IF(AV48="",0,VLOOKUP(AV48,Tables!$AB$3:$AC$12,2))</f>
        <v>2</v>
      </c>
      <c r="BP48" s="79">
        <f>IF(AW48="",0,VLOOKUP(AW48,Tables!$AB$3:$AC$12,2))</f>
        <v>2</v>
      </c>
      <c r="BQ48" s="79">
        <f>IF(AX48="",0,VLOOKUP(AX48,Tables!$AB$3:$AC$12,2))</f>
        <v>2</v>
      </c>
      <c r="BR48" s="78">
        <f>IF(AY48="",0,VLOOKUP(AY48,Tables!$AB$3:$AC$12,2))</f>
        <v>0</v>
      </c>
      <c r="BS48" s="79">
        <f>IF(AZ48="",0,VLOOKUP(AZ48,Tables!$AB$3:$AC$12,2))</f>
        <v>0</v>
      </c>
      <c r="BT48" s="79">
        <f>IF(BA48="",0,VLOOKUP(BA48,Tables!$AB$3:$AC$12,2))</f>
        <v>0</v>
      </c>
      <c r="BU48" s="80">
        <f>IF(BB48="",0,VLOOKUP(BB48,Tables!$AB$3:$AC$12,2))</f>
        <v>0</v>
      </c>
      <c r="BV48" s="85">
        <f>IF(AN48="",0,VLOOKUP(B48,Tables!$B$3:$D$36,2,FALSE())*X$1)</f>
        <v>0</v>
      </c>
      <c r="BW48" s="72">
        <f>IF(AO48="",0,VLOOKUP(C48,Tables!$B$3:$D$36,2,FALSE())*Y$1)</f>
        <v>0</v>
      </c>
      <c r="BX48" s="72">
        <f>IF(AP48="",0,VLOOKUP(D48,Tables!$B$3:$D$36,2,FALSE())*Z$1)</f>
        <v>0</v>
      </c>
      <c r="BY48" s="85">
        <f>IF(AQ48="",0,VLOOKUP(E48,Tables!$B$3:$D$36,2,FALSE())*AA$1)</f>
        <v>12</v>
      </c>
      <c r="BZ48" s="72">
        <f>IF(AR48="",0,VLOOKUP(F48,Tables!$B$3:$D$36,2,FALSE())*AB$1)</f>
        <v>24</v>
      </c>
      <c r="CA48" s="72">
        <f>IF(AS48="",0,VLOOKUP(G48,Tables!$B$3:$D$36,2,FALSE())*AC$1)</f>
        <v>8</v>
      </c>
      <c r="CB48" s="72">
        <f>IF(AT48="",0,VLOOKUP(H48,Tables!$B$3:$D$36,2,FALSE())*AD$1)</f>
        <v>20</v>
      </c>
      <c r="CC48" s="72">
        <f>IF(AU48="",0,VLOOKUP(I48,Tables!$B$3:$D$36,2,FALSE())*AE$1)</f>
        <v>0</v>
      </c>
      <c r="CD48" s="85">
        <f>IF(AV48="",0,VLOOKUP(J48,Tables!$B$3:$D$36,2,FALSE())*AF$1)</f>
        <v>48</v>
      </c>
      <c r="CE48" s="72">
        <f>IF(AW48="",0,VLOOKUP(K48,Tables!$B$3:$D$36,2,FALSE())*AG$1)</f>
        <v>48</v>
      </c>
      <c r="CF48" s="72">
        <f>IF(AX48="",0,VLOOKUP(L48,Tables!$B$3:$D$36,2,FALSE())*AH$1)</f>
        <v>40</v>
      </c>
      <c r="CG48" s="85">
        <f>IF(AY48="",0,VLOOKUP(M48,Tables!$B$3:$D$36,2,FALSE())*AI$1)</f>
        <v>0</v>
      </c>
      <c r="CH48" s="72">
        <f>IF(AZ48="",0,VLOOKUP(N48,Tables!$B$3:$D$36,2,FALSE())*AJ$1)</f>
        <v>0</v>
      </c>
      <c r="CI48" s="72">
        <f>IF(BA48="",0,VLOOKUP(O48,Tables!$B$3:$D$36,2,FALSE())*AK$1)</f>
        <v>0</v>
      </c>
      <c r="CJ48" s="86">
        <f>IF(BB48="",0,VLOOKUP(P48,Tables!$B$3:$D$36,2,FALSE())*AL$1)</f>
        <v>0</v>
      </c>
      <c r="CK48" s="87">
        <f>IF(AN48="",0,VLOOKUP(B48,Tables!$B$3:$D$36,3,FALSE())*X$1)*IF(OR(AN48="K",AN48="P"),2,1)</f>
        <v>0</v>
      </c>
      <c r="CL48" s="73">
        <f>IF(AO48="",0,VLOOKUP(C48,Tables!$B$3:$D$36,3,FALSE())*Y$1)*IF(OR(AO48="K",AO48="P"),2,1)</f>
        <v>0</v>
      </c>
      <c r="CM48" s="73">
        <f>IF(AP48="",0,VLOOKUP(D48,Tables!$B$3:$D$36,3,FALSE())*Z$1)*IF(OR(AP48="K",AP48="P"),2,1)</f>
        <v>0</v>
      </c>
      <c r="CN48" s="87">
        <f>IF(AQ48="",0,VLOOKUP(E48,Tables!$B$3:$D$36,3,FALSE())*AA$1)</f>
        <v>0.54</v>
      </c>
      <c r="CO48" s="73">
        <f>IF(AR48="",0,VLOOKUP(F48,Tables!$B$3:$D$36,3,FALSE())*AB$1)</f>
        <v>1.08</v>
      </c>
      <c r="CP48" s="73">
        <f>IF(AS48="",0,VLOOKUP(G48,Tables!$B$3:$D$36,3,FALSE())*AC$1)</f>
        <v>0.36</v>
      </c>
      <c r="CQ48" s="73">
        <f>IF(AT48="",0,VLOOKUP(H48,Tables!$B$3:$D$36,3,FALSE())*AD$1)</f>
        <v>0.9</v>
      </c>
      <c r="CR48" s="73">
        <f>IF(AU48="",0,VLOOKUP(I48,Tables!$B$3:$D$36,3,FALSE())*AE$1)</f>
        <v>0</v>
      </c>
      <c r="CS48" s="87">
        <f>IF(AV48="",0,VLOOKUP(J48,Tables!$B$3:$D$36,3,FALSE())*AF$1)</f>
        <v>2.16</v>
      </c>
      <c r="CT48" s="73">
        <f>IF(AW48="",0,VLOOKUP(K48,Tables!$B$3:$D$36,3,FALSE())*AG$1)</f>
        <v>2.16</v>
      </c>
      <c r="CU48" s="73">
        <f>IF(AX48="",0,VLOOKUP(L48,Tables!$B$3:$D$36,3,FALSE())*AH$1)</f>
        <v>1.8</v>
      </c>
      <c r="CV48" s="87">
        <f>IF(AY48="",0,VLOOKUP(M48,Tables!$B$3:$D$36,3,FALSE())*AI$1)</f>
        <v>0</v>
      </c>
      <c r="CW48" s="73">
        <f>IF(AZ48="",0,VLOOKUP(N48,Tables!$B$3:$D$36,3,FALSE())*AJ$1)</f>
        <v>0</v>
      </c>
      <c r="CX48" s="73">
        <f>IF(BA48="",0,VLOOKUP(O48,Tables!$B$3:$D$36,3,FALSE())*AK$1)</f>
        <v>0</v>
      </c>
      <c r="CY48" s="88">
        <f>IF(BB48="",0,VLOOKUP(P48,Tables!$B$3:$D$36,3,FALSE())*AL$1)</f>
        <v>0</v>
      </c>
      <c r="CZ48" s="89">
        <f t="shared" si="40"/>
        <v>0</v>
      </c>
      <c r="DA48" s="75">
        <f t="shared" si="41"/>
        <v>0</v>
      </c>
      <c r="DB48" s="75">
        <f t="shared" si="42"/>
        <v>0</v>
      </c>
      <c r="DC48" s="89">
        <f t="shared" si="43"/>
        <v>0.65</v>
      </c>
      <c r="DD48" s="75">
        <f t="shared" si="44"/>
        <v>0.65</v>
      </c>
      <c r="DE48" s="75">
        <f t="shared" si="45"/>
        <v>0.65</v>
      </c>
      <c r="DF48" s="75">
        <f t="shared" si="46"/>
        <v>0.65</v>
      </c>
      <c r="DG48" s="75">
        <f t="shared" si="47"/>
        <v>0</v>
      </c>
      <c r="DH48" s="89">
        <f t="shared" si="48"/>
        <v>0.65</v>
      </c>
      <c r="DI48" s="75">
        <f t="shared" si="49"/>
        <v>0.65</v>
      </c>
      <c r="DJ48" s="75">
        <f t="shared" si="50"/>
        <v>0.65</v>
      </c>
      <c r="DK48" s="89">
        <f t="shared" si="51"/>
        <v>0</v>
      </c>
      <c r="DL48" s="75">
        <f t="shared" si="52"/>
        <v>0</v>
      </c>
      <c r="DM48" s="75">
        <f t="shared" si="53"/>
        <v>0</v>
      </c>
      <c r="DN48" s="90">
        <f t="shared" si="54"/>
        <v>0</v>
      </c>
      <c r="DO48" s="91">
        <f>IF(AN48="",0,VLOOKUP(B48,Tables!$B$3:$M$36,11,FALSE())*X$1)</f>
        <v>0</v>
      </c>
      <c r="DP48" s="92">
        <f>IF(AO48="",0,VLOOKUP(C48,Tables!$B$3:$M$36,11,FALSE())*Y$1)</f>
        <v>0</v>
      </c>
      <c r="DQ48" s="92">
        <f>IF(AP48="",0,VLOOKUP(D48,Tables!$B$3:$M$36,11,FALSE())*Z$1)</f>
        <v>0</v>
      </c>
      <c r="DR48" s="91">
        <f>IF(AQ48="",0,VLOOKUP(E48,Tables!$B$3:$M$36,11,FALSE())*AA$1)</f>
        <v>3.5999999999999996</v>
      </c>
      <c r="DS48" s="92">
        <f>IF(AR48="",0,VLOOKUP(F48,Tables!$B$3:$M$36,11,FALSE())*AB$1)</f>
        <v>7.1999999999999993</v>
      </c>
      <c r="DT48" s="92">
        <f>IF(AS48="",0,VLOOKUP(G48,Tables!$B$3:$M$36,11,FALSE())*AC$1)</f>
        <v>2.4</v>
      </c>
      <c r="DU48" s="92">
        <f>IF(AT48="",0,VLOOKUP(H48,Tables!$B$3:$M$36,11,FALSE())*AD$1)</f>
        <v>6</v>
      </c>
      <c r="DV48" s="92">
        <f>IF(AU48="",0,VLOOKUP(I48,Tables!$B$3:$M$36,11,FALSE())*AE$1)</f>
        <v>0</v>
      </c>
      <c r="DW48" s="91">
        <f>IF(AV48="",0,VLOOKUP(J48,Tables!$B$3:$M$36,11,FALSE())*AF$1)</f>
        <v>14.399999999999999</v>
      </c>
      <c r="DX48" s="92">
        <f>IF(AW48="",0,VLOOKUP(K48,Tables!$B$3:$M$36,11,FALSE())*AG$1)</f>
        <v>14.399999999999999</v>
      </c>
      <c r="DY48" s="92">
        <f>IF(AX48="",0,VLOOKUP(L48,Tables!$B$3:$M$36,11,FALSE())*AH$1)</f>
        <v>12</v>
      </c>
      <c r="DZ48" s="91">
        <f>IF(AY48="",0,VLOOKUP(M48,Tables!$B$3:$M$36,11,FALSE())*AI$1)</f>
        <v>0</v>
      </c>
      <c r="EA48" s="92">
        <f>IF(AZ48="",0,VLOOKUP(N48,Tables!$B$3:$M$36,11,FALSE())*AJ$1)</f>
        <v>0</v>
      </c>
      <c r="EB48" s="92">
        <f>IF(BA48="",0,VLOOKUP(O48,Tables!$B$3:$M$36,11,FALSE())*AK$1)</f>
        <v>0</v>
      </c>
      <c r="EC48" s="93">
        <f>IF(BB48="",0,VLOOKUP(P48,Tables!$B$3:$M$36,11,FALSE())*AL$1)</f>
        <v>0</v>
      </c>
      <c r="ED48" s="91">
        <f>IF(AN48="",0,VLOOKUP(B48,Tables!$B$3:$M$36,12,FALSE())*X$1)</f>
        <v>0</v>
      </c>
      <c r="EE48" s="92">
        <f>IF(AO48="",0,VLOOKUP(C48,Tables!$B$3:$M$36,12,FALSE())*Y$1)</f>
        <v>0</v>
      </c>
      <c r="EF48" s="92">
        <f>IF(AP48="",0,VLOOKUP(D48,Tables!$B$3:$M$36,12,FALSE())*Z$1)</f>
        <v>0</v>
      </c>
      <c r="EG48" s="91">
        <f>IF(AQ48="",0,VLOOKUP(E48,Tables!$B$3:$M$36,12,FALSE())*AA$1)</f>
        <v>9</v>
      </c>
      <c r="EH48" s="92">
        <f>IF(AR48="",0,VLOOKUP(F48,Tables!$B$3:$M$36,12,FALSE())*AB$1)</f>
        <v>18</v>
      </c>
      <c r="EI48" s="92">
        <f>IF(AS48="",0,VLOOKUP(G48,Tables!$B$3:$M$36,12,FALSE())*AC$1)</f>
        <v>6</v>
      </c>
      <c r="EJ48" s="92">
        <f>IF(AT48="",0,VLOOKUP(H48,Tables!$B$3:$M$36,12,FALSE())*AD$1)</f>
        <v>15</v>
      </c>
      <c r="EK48" s="92">
        <f>IF(AU48="",0,VLOOKUP(I48,Tables!$B$3:$M$36,12,FALSE())*AE$1)</f>
        <v>0</v>
      </c>
      <c r="EL48" s="91">
        <f>IF(AV48="",0,VLOOKUP(J48,Tables!$B$3:$M$36,12,FALSE())*AF$1)</f>
        <v>36</v>
      </c>
      <c r="EM48" s="92">
        <f>IF(AW48="",0,VLOOKUP(K48,Tables!$B$3:$M$36,12,FALSE())*AG$1)</f>
        <v>36</v>
      </c>
      <c r="EN48" s="92">
        <f>IF(AX48="",0,VLOOKUP(L48,Tables!$B$3:$M$36,12,FALSE())*AH$1)</f>
        <v>30</v>
      </c>
      <c r="EO48" s="91">
        <f>IF(AY48="",0,VLOOKUP(M48,Tables!$B$3:$M$36,12,FALSE())*AI$1)</f>
        <v>0</v>
      </c>
      <c r="EP48" s="92">
        <f>IF(AZ48="",0,VLOOKUP(N48,Tables!$B$3:$M$36,12,FALSE())*AJ$1)</f>
        <v>0</v>
      </c>
      <c r="EQ48" s="92">
        <f>IF(BA48="",0,VLOOKUP(O48,Tables!$B$3:$M$36,12,FALSE())*AK$1)</f>
        <v>0</v>
      </c>
      <c r="ER48" s="93">
        <f>IF(BB48="",0,VLOOKUP(P48,Tables!$B$3:$M$36,12,FALSE())*AL$1)</f>
        <v>0</v>
      </c>
      <c r="ES48" s="94">
        <f t="shared" si="55"/>
        <v>0</v>
      </c>
      <c r="ET48" s="95">
        <f>IF(AN48="",10,MIN(VLOOKUP(B48,Tables!$B$3:$N$34,13,FALSE()),'Item Builder'!$W48))</f>
        <v>10</v>
      </c>
      <c r="EU48" s="95">
        <f>IF(AO48="",10,MIN(VLOOKUP(C48,Tables!$B$3:$N$34,13,FALSE()),'Item Builder'!$W48))</f>
        <v>10</v>
      </c>
      <c r="EV48" s="95">
        <f>IF(AP48="",10,MIN(VLOOKUP(D48,Tables!$B$3:$N$34,13,FALSE()),'Item Builder'!$W48))</f>
        <v>10</v>
      </c>
      <c r="EW48" s="95">
        <f>IF(AQ48="",10,MIN(VLOOKUP(E48,Tables!$B$3:$N$34,13,FALSE()),'Item Builder'!$W48))</f>
        <v>0</v>
      </c>
      <c r="EX48" s="95">
        <f>IF(AR48="",10,MIN(VLOOKUP(F48,Tables!$B$3:$N$34,13,FALSE()),'Item Builder'!$W48))</f>
        <v>0</v>
      </c>
      <c r="EY48" s="95">
        <f>IF(AS48="",10,MIN(VLOOKUP(G48,Tables!$B$3:$N$34,13,FALSE()),'Item Builder'!$W48))</f>
        <v>0</v>
      </c>
      <c r="EZ48" s="95">
        <f>IF(AT48="",10,MIN(VLOOKUP(H48,Tables!$B$3:$N$34,13,FALSE()),'Item Builder'!$W48))</f>
        <v>0</v>
      </c>
      <c r="FA48" s="95">
        <f>IF(AU48="",10,MIN(VLOOKUP(I48,Tables!$B$3:$N$34,13,FALSE()),'Item Builder'!$W48))</f>
        <v>10</v>
      </c>
      <c r="FB48" s="95">
        <f>IF(AV48="",10,MIN(VLOOKUP(J48,Tables!$B$3:$N$34,13,FALSE()),'Item Builder'!$W48))</f>
        <v>0</v>
      </c>
      <c r="FC48" s="95">
        <f>IF(AW48="",10,MIN(VLOOKUP(K48,Tables!$B$3:$N$34,13,FALSE()),'Item Builder'!$W48))</f>
        <v>0</v>
      </c>
      <c r="FD48" s="95">
        <f>IF(AX48="",10,MIN(VLOOKUP(L48,Tables!$B$3:$N$34,13,FALSE()),'Item Builder'!$W48))</f>
        <v>0</v>
      </c>
      <c r="FE48" s="95">
        <f>IF(AY48="",10,MIN(VLOOKUP(M48,Tables!$B$3:$N$34,13,FALSE()),'Item Builder'!$W48))</f>
        <v>10</v>
      </c>
      <c r="FF48" s="95">
        <f>IF(AZ48="",10,MIN(VLOOKUP(N48,Tables!$B$3:$N$34,13,FALSE()),'Item Builder'!$W48))</f>
        <v>10</v>
      </c>
      <c r="FG48" s="95">
        <f>IF(BA48="",10,MIN(VLOOKUP(O48,Tables!$B$3:$N$34,13,FALSE()),'Item Builder'!$W48))</f>
        <v>10</v>
      </c>
      <c r="FH48" s="98">
        <f>IF(BB48="",10,MIN(VLOOKUP(P48,Tables!$B$3:$N$34,13,FALSE()),'Item Builder'!$W48))</f>
        <v>10</v>
      </c>
    </row>
    <row r="49" spans="1:164" x14ac:dyDescent="0.25">
      <c r="A49" s="67" t="s">
        <v>77</v>
      </c>
      <c r="B49" s="68"/>
      <c r="C49" s="69"/>
      <c r="D49" s="70"/>
      <c r="E49" s="68" t="s">
        <v>103</v>
      </c>
      <c r="F49" s="69" t="s">
        <v>103</v>
      </c>
      <c r="G49" s="69" t="s">
        <v>103</v>
      </c>
      <c r="H49" s="69" t="s">
        <v>103</v>
      </c>
      <c r="I49" s="70"/>
      <c r="J49" s="68" t="s">
        <v>103</v>
      </c>
      <c r="K49" s="69" t="s">
        <v>103</v>
      </c>
      <c r="L49" s="70" t="s">
        <v>103</v>
      </c>
      <c r="M49" s="68" t="s">
        <v>103</v>
      </c>
      <c r="N49" s="69"/>
      <c r="O49" s="69"/>
      <c r="P49" s="71"/>
      <c r="Q49" s="72">
        <f>SUM(BV49:CJ49)*VLOOKUP(W49,Tables!$W$3:$Z$8,4)</f>
        <v>256</v>
      </c>
      <c r="R49" s="73">
        <f t="shared" si="0"/>
        <v>11.52</v>
      </c>
      <c r="S49" s="101">
        <f t="shared" si="1"/>
        <v>5</v>
      </c>
      <c r="T49" s="74">
        <f t="shared" si="2"/>
        <v>0</v>
      </c>
      <c r="U49" s="75">
        <f t="shared" si="3"/>
        <v>76.8</v>
      </c>
      <c r="V49" s="76">
        <f t="shared" si="4"/>
        <v>192</v>
      </c>
      <c r="W49" s="77">
        <v>0</v>
      </c>
      <c r="X49" s="78">
        <f t="shared" si="5"/>
        <v>0</v>
      </c>
      <c r="Y49" s="79">
        <f t="shared" si="6"/>
        <v>0</v>
      </c>
      <c r="Z49" s="79">
        <f t="shared" si="7"/>
        <v>0</v>
      </c>
      <c r="AA49" s="78">
        <f t="shared" si="8"/>
        <v>1</v>
      </c>
      <c r="AB49" s="79">
        <f t="shared" si="9"/>
        <v>1</v>
      </c>
      <c r="AC49" s="79">
        <f t="shared" si="10"/>
        <v>1</v>
      </c>
      <c r="AD49" s="79">
        <f t="shared" si="11"/>
        <v>1</v>
      </c>
      <c r="AE49" s="79">
        <f t="shared" si="12"/>
        <v>0</v>
      </c>
      <c r="AF49" s="78">
        <f t="shared" si="13"/>
        <v>1</v>
      </c>
      <c r="AG49" s="79">
        <f t="shared" si="14"/>
        <v>1</v>
      </c>
      <c r="AH49" s="79">
        <f t="shared" si="15"/>
        <v>1</v>
      </c>
      <c r="AI49" s="78">
        <f t="shared" si="16"/>
        <v>1</v>
      </c>
      <c r="AJ49" s="79">
        <f t="shared" si="17"/>
        <v>0</v>
      </c>
      <c r="AK49" s="79">
        <f t="shared" si="18"/>
        <v>0</v>
      </c>
      <c r="AL49" s="80">
        <f t="shared" si="19"/>
        <v>0</v>
      </c>
      <c r="AM49" s="81">
        <f t="shared" si="20"/>
        <v>0.64</v>
      </c>
      <c r="AN49" s="82" t="str">
        <f t="shared" si="21"/>
        <v/>
      </c>
      <c r="AO49" s="79" t="str">
        <f t="shared" si="22"/>
        <v/>
      </c>
      <c r="AP49" t="str">
        <f t="shared" si="23"/>
        <v/>
      </c>
      <c r="AQ49" s="82" t="str">
        <f t="shared" si="24"/>
        <v>Q</v>
      </c>
      <c r="AR49" t="str">
        <f t="shared" si="25"/>
        <v>Q</v>
      </c>
      <c r="AS49" t="str">
        <f t="shared" si="26"/>
        <v>Q</v>
      </c>
      <c r="AT49" t="str">
        <f t="shared" si="27"/>
        <v>Q</v>
      </c>
      <c r="AU49" t="str">
        <f t="shared" si="28"/>
        <v/>
      </c>
      <c r="AV49" s="82" t="str">
        <f t="shared" si="29"/>
        <v>Q</v>
      </c>
      <c r="AW49" t="str">
        <f t="shared" si="30"/>
        <v>Q</v>
      </c>
      <c r="AX49" t="str">
        <f t="shared" si="31"/>
        <v>Q</v>
      </c>
      <c r="AY49" s="82" t="str">
        <f t="shared" si="32"/>
        <v>Q</v>
      </c>
      <c r="AZ49" t="str">
        <f t="shared" si="33"/>
        <v/>
      </c>
      <c r="BA49" t="str">
        <f t="shared" si="34"/>
        <v/>
      </c>
      <c r="BB49" s="83" t="str">
        <f t="shared" si="35"/>
        <v/>
      </c>
      <c r="BC49" s="84">
        <f t="shared" si="36"/>
        <v>0</v>
      </c>
      <c r="BD49" s="84">
        <f t="shared" si="37"/>
        <v>0.76190476190476186</v>
      </c>
      <c r="BE49" s="84">
        <f t="shared" si="38"/>
        <v>1</v>
      </c>
      <c r="BF49" s="84">
        <f t="shared" si="39"/>
        <v>0.3888888888888889</v>
      </c>
      <c r="BG49" s="78">
        <f>IF(AN49="",0,VLOOKUP(AN49,Tables!$AB$3:$AC$12,2))</f>
        <v>0</v>
      </c>
      <c r="BH49" s="79">
        <f>IF(AO49="",0,VLOOKUP(AO49,Tables!$AB$3:$AC$12,2))</f>
        <v>0</v>
      </c>
      <c r="BI49" s="79">
        <f>IF(AP49="",0,VLOOKUP(AP49,Tables!$AB$3:$AC$12,2))</f>
        <v>0</v>
      </c>
      <c r="BJ49" s="78">
        <f>IF(AQ49="",0,VLOOKUP(AQ49,Tables!$AB$3:$AC$12,2))</f>
        <v>2</v>
      </c>
      <c r="BK49" s="79">
        <f>IF(AR49="",0,VLOOKUP(AR49,Tables!$AB$3:$AC$12,2))</f>
        <v>2</v>
      </c>
      <c r="BL49" s="79">
        <f>IF(AS49="",0,VLOOKUP(AS49,Tables!$AB$3:$AC$12,2))</f>
        <v>2</v>
      </c>
      <c r="BM49" s="79">
        <f>IF(AT49="",0,VLOOKUP(AT49,Tables!$AB$3:$AC$12,2))</f>
        <v>2</v>
      </c>
      <c r="BN49" s="79">
        <f>IF(AU49="",0,VLOOKUP(AU49,Tables!$AB$3:$AC$12,2))</f>
        <v>0</v>
      </c>
      <c r="BO49" s="78">
        <f>IF(AV49="",0,VLOOKUP(AV49,Tables!$AB$3:$AC$12,2))</f>
        <v>2</v>
      </c>
      <c r="BP49" s="79">
        <f>IF(AW49="",0,VLOOKUP(AW49,Tables!$AB$3:$AC$12,2))</f>
        <v>2</v>
      </c>
      <c r="BQ49" s="79">
        <f>IF(AX49="",0,VLOOKUP(AX49,Tables!$AB$3:$AC$12,2))</f>
        <v>2</v>
      </c>
      <c r="BR49" s="78">
        <f>IF(AY49="",0,VLOOKUP(AY49,Tables!$AB$3:$AC$12,2))</f>
        <v>2</v>
      </c>
      <c r="BS49" s="79">
        <f>IF(AZ49="",0,VLOOKUP(AZ49,Tables!$AB$3:$AC$12,2))</f>
        <v>0</v>
      </c>
      <c r="BT49" s="79">
        <f>IF(BA49="",0,VLOOKUP(BA49,Tables!$AB$3:$AC$12,2))</f>
        <v>0</v>
      </c>
      <c r="BU49" s="80">
        <f>IF(BB49="",0,VLOOKUP(BB49,Tables!$AB$3:$AC$12,2))</f>
        <v>0</v>
      </c>
      <c r="BV49" s="85">
        <f>IF(AN49="",0,VLOOKUP(B49,Tables!$B$3:$D$36,2,FALSE())*X$1)</f>
        <v>0</v>
      </c>
      <c r="BW49" s="72">
        <f>IF(AO49="",0,VLOOKUP(C49,Tables!$B$3:$D$36,2,FALSE())*Y$1)</f>
        <v>0</v>
      </c>
      <c r="BX49" s="72">
        <f>IF(AP49="",0,VLOOKUP(D49,Tables!$B$3:$D$36,2,FALSE())*Z$1)</f>
        <v>0</v>
      </c>
      <c r="BY49" s="85">
        <f>IF(AQ49="",0,VLOOKUP(E49,Tables!$B$3:$D$36,2,FALSE())*AA$1)</f>
        <v>12</v>
      </c>
      <c r="BZ49" s="72">
        <f>IF(AR49="",0,VLOOKUP(F49,Tables!$B$3:$D$36,2,FALSE())*AB$1)</f>
        <v>24</v>
      </c>
      <c r="CA49" s="72">
        <f>IF(AS49="",0,VLOOKUP(G49,Tables!$B$3:$D$36,2,FALSE())*AC$1)</f>
        <v>8</v>
      </c>
      <c r="CB49" s="72">
        <f>IF(AT49="",0,VLOOKUP(H49,Tables!$B$3:$D$36,2,FALSE())*AD$1)</f>
        <v>20</v>
      </c>
      <c r="CC49" s="72">
        <f>IF(AU49="",0,VLOOKUP(I49,Tables!$B$3:$D$36,2,FALSE())*AE$1)</f>
        <v>0</v>
      </c>
      <c r="CD49" s="85">
        <f>IF(AV49="",0,VLOOKUP(J49,Tables!$B$3:$D$36,2,FALSE())*AF$1)</f>
        <v>48</v>
      </c>
      <c r="CE49" s="72">
        <f>IF(AW49="",0,VLOOKUP(K49,Tables!$B$3:$D$36,2,FALSE())*AG$1)</f>
        <v>48</v>
      </c>
      <c r="CF49" s="72">
        <f>IF(AX49="",0,VLOOKUP(L49,Tables!$B$3:$D$36,2,FALSE())*AH$1)</f>
        <v>40</v>
      </c>
      <c r="CG49" s="85">
        <f>IF(AY49="",0,VLOOKUP(M49,Tables!$B$3:$D$36,2,FALSE())*AI$1)</f>
        <v>56.000000000000007</v>
      </c>
      <c r="CH49" s="72">
        <f>IF(AZ49="",0,VLOOKUP(N49,Tables!$B$3:$D$36,2,FALSE())*AJ$1)</f>
        <v>0</v>
      </c>
      <c r="CI49" s="72">
        <f>IF(BA49="",0,VLOOKUP(O49,Tables!$B$3:$D$36,2,FALSE())*AK$1)</f>
        <v>0</v>
      </c>
      <c r="CJ49" s="86">
        <f>IF(BB49="",0,VLOOKUP(P49,Tables!$B$3:$D$36,2,FALSE())*AL$1)</f>
        <v>0</v>
      </c>
      <c r="CK49" s="87">
        <f>IF(AN49="",0,VLOOKUP(B49,Tables!$B$3:$D$36,3,FALSE())*X$1)*IF(OR(AN49="K",AN49="P"),2,1)</f>
        <v>0</v>
      </c>
      <c r="CL49" s="73">
        <f>IF(AO49="",0,VLOOKUP(C49,Tables!$B$3:$D$36,3,FALSE())*Y$1)*IF(OR(AO49="K",AO49="P"),2,1)</f>
        <v>0</v>
      </c>
      <c r="CM49" s="73">
        <f>IF(AP49="",0,VLOOKUP(D49,Tables!$B$3:$D$36,3,FALSE())*Z$1)*IF(OR(AP49="K",AP49="P"),2,1)</f>
        <v>0</v>
      </c>
      <c r="CN49" s="87">
        <f>IF(AQ49="",0,VLOOKUP(E49,Tables!$B$3:$D$36,3,FALSE())*AA$1)</f>
        <v>0.54</v>
      </c>
      <c r="CO49" s="73">
        <f>IF(AR49="",0,VLOOKUP(F49,Tables!$B$3:$D$36,3,FALSE())*AB$1)</f>
        <v>1.08</v>
      </c>
      <c r="CP49" s="73">
        <f>IF(AS49="",0,VLOOKUP(G49,Tables!$B$3:$D$36,3,FALSE())*AC$1)</f>
        <v>0.36</v>
      </c>
      <c r="CQ49" s="73">
        <f>IF(AT49="",0,VLOOKUP(H49,Tables!$B$3:$D$36,3,FALSE())*AD$1)</f>
        <v>0.9</v>
      </c>
      <c r="CR49" s="73">
        <f>IF(AU49="",0,VLOOKUP(I49,Tables!$B$3:$D$36,3,FALSE())*AE$1)</f>
        <v>0</v>
      </c>
      <c r="CS49" s="87">
        <f>IF(AV49="",0,VLOOKUP(J49,Tables!$B$3:$D$36,3,FALSE())*AF$1)</f>
        <v>2.16</v>
      </c>
      <c r="CT49" s="73">
        <f>IF(AW49="",0,VLOOKUP(K49,Tables!$B$3:$D$36,3,FALSE())*AG$1)</f>
        <v>2.16</v>
      </c>
      <c r="CU49" s="73">
        <f>IF(AX49="",0,VLOOKUP(L49,Tables!$B$3:$D$36,3,FALSE())*AH$1)</f>
        <v>1.8</v>
      </c>
      <c r="CV49" s="87">
        <f>IF(AY49="",0,VLOOKUP(M49,Tables!$B$3:$D$36,3,FALSE())*AI$1)</f>
        <v>2.5200000000000005</v>
      </c>
      <c r="CW49" s="73">
        <f>IF(AZ49="",0,VLOOKUP(N49,Tables!$B$3:$D$36,3,FALSE())*AJ$1)</f>
        <v>0</v>
      </c>
      <c r="CX49" s="73">
        <f>IF(BA49="",0,VLOOKUP(O49,Tables!$B$3:$D$36,3,FALSE())*AK$1)</f>
        <v>0</v>
      </c>
      <c r="CY49" s="88">
        <f>IF(BB49="",0,VLOOKUP(P49,Tables!$B$3:$D$36,3,FALSE())*AL$1)</f>
        <v>0</v>
      </c>
      <c r="CZ49" s="89">
        <f t="shared" si="40"/>
        <v>0</v>
      </c>
      <c r="DA49" s="75">
        <f t="shared" si="41"/>
        <v>0</v>
      </c>
      <c r="DB49" s="75">
        <f t="shared" si="42"/>
        <v>0</v>
      </c>
      <c r="DC49" s="89">
        <f t="shared" si="43"/>
        <v>0.65</v>
      </c>
      <c r="DD49" s="75">
        <f t="shared" si="44"/>
        <v>0.65</v>
      </c>
      <c r="DE49" s="75">
        <f t="shared" si="45"/>
        <v>0.65</v>
      </c>
      <c r="DF49" s="75">
        <f t="shared" si="46"/>
        <v>0.65</v>
      </c>
      <c r="DG49" s="75">
        <f t="shared" si="47"/>
        <v>0</v>
      </c>
      <c r="DH49" s="89">
        <f t="shared" si="48"/>
        <v>0.65</v>
      </c>
      <c r="DI49" s="75">
        <f t="shared" si="49"/>
        <v>0.65</v>
      </c>
      <c r="DJ49" s="75">
        <f t="shared" si="50"/>
        <v>0.65</v>
      </c>
      <c r="DK49" s="89">
        <f t="shared" si="51"/>
        <v>0.65</v>
      </c>
      <c r="DL49" s="75">
        <f t="shared" si="52"/>
        <v>0</v>
      </c>
      <c r="DM49" s="75">
        <f t="shared" si="53"/>
        <v>0</v>
      </c>
      <c r="DN49" s="90">
        <f t="shared" si="54"/>
        <v>0</v>
      </c>
      <c r="DO49" s="91">
        <f>IF(AN49="",0,VLOOKUP(B49,Tables!$B$3:$M$36,11,FALSE())*X$1)</f>
        <v>0</v>
      </c>
      <c r="DP49" s="92">
        <f>IF(AO49="",0,VLOOKUP(C49,Tables!$B$3:$M$36,11,FALSE())*Y$1)</f>
        <v>0</v>
      </c>
      <c r="DQ49" s="92">
        <f>IF(AP49="",0,VLOOKUP(D49,Tables!$B$3:$M$36,11,FALSE())*Z$1)</f>
        <v>0</v>
      </c>
      <c r="DR49" s="91">
        <f>IF(AQ49="",0,VLOOKUP(E49,Tables!$B$3:$M$36,11,FALSE())*AA$1)</f>
        <v>3.5999999999999996</v>
      </c>
      <c r="DS49" s="92">
        <f>IF(AR49="",0,VLOOKUP(F49,Tables!$B$3:$M$36,11,FALSE())*AB$1)</f>
        <v>7.1999999999999993</v>
      </c>
      <c r="DT49" s="92">
        <f>IF(AS49="",0,VLOOKUP(G49,Tables!$B$3:$M$36,11,FALSE())*AC$1)</f>
        <v>2.4</v>
      </c>
      <c r="DU49" s="92">
        <f>IF(AT49="",0,VLOOKUP(H49,Tables!$B$3:$M$36,11,FALSE())*AD$1)</f>
        <v>6</v>
      </c>
      <c r="DV49" s="92">
        <f>IF(AU49="",0,VLOOKUP(I49,Tables!$B$3:$M$36,11,FALSE())*AE$1)</f>
        <v>0</v>
      </c>
      <c r="DW49" s="91">
        <f>IF(AV49="",0,VLOOKUP(J49,Tables!$B$3:$M$36,11,FALSE())*AF$1)</f>
        <v>14.399999999999999</v>
      </c>
      <c r="DX49" s="92">
        <f>IF(AW49="",0,VLOOKUP(K49,Tables!$B$3:$M$36,11,FALSE())*AG$1)</f>
        <v>14.399999999999999</v>
      </c>
      <c r="DY49" s="92">
        <f>IF(AX49="",0,VLOOKUP(L49,Tables!$B$3:$M$36,11,FALSE())*AH$1)</f>
        <v>12</v>
      </c>
      <c r="DZ49" s="91">
        <f>IF(AY49="",0,VLOOKUP(M49,Tables!$B$3:$M$36,11,FALSE())*AI$1)</f>
        <v>16.8</v>
      </c>
      <c r="EA49" s="92">
        <f>IF(AZ49="",0,VLOOKUP(N49,Tables!$B$3:$M$36,11,FALSE())*AJ$1)</f>
        <v>0</v>
      </c>
      <c r="EB49" s="92">
        <f>IF(BA49="",0,VLOOKUP(O49,Tables!$B$3:$M$36,11,FALSE())*AK$1)</f>
        <v>0</v>
      </c>
      <c r="EC49" s="93">
        <f>IF(BB49="",0,VLOOKUP(P49,Tables!$B$3:$M$36,11,FALSE())*AL$1)</f>
        <v>0</v>
      </c>
      <c r="ED49" s="91">
        <f>IF(AN49="",0,VLOOKUP(B49,Tables!$B$3:$M$36,12,FALSE())*X$1)</f>
        <v>0</v>
      </c>
      <c r="EE49" s="92">
        <f>IF(AO49="",0,VLOOKUP(C49,Tables!$B$3:$M$36,12,FALSE())*Y$1)</f>
        <v>0</v>
      </c>
      <c r="EF49" s="92">
        <f>IF(AP49="",0,VLOOKUP(D49,Tables!$B$3:$M$36,12,FALSE())*Z$1)</f>
        <v>0</v>
      </c>
      <c r="EG49" s="91">
        <f>IF(AQ49="",0,VLOOKUP(E49,Tables!$B$3:$M$36,12,FALSE())*AA$1)</f>
        <v>9</v>
      </c>
      <c r="EH49" s="92">
        <f>IF(AR49="",0,VLOOKUP(F49,Tables!$B$3:$M$36,12,FALSE())*AB$1)</f>
        <v>18</v>
      </c>
      <c r="EI49" s="92">
        <f>IF(AS49="",0,VLOOKUP(G49,Tables!$B$3:$M$36,12,FALSE())*AC$1)</f>
        <v>6</v>
      </c>
      <c r="EJ49" s="92">
        <f>IF(AT49="",0,VLOOKUP(H49,Tables!$B$3:$M$36,12,FALSE())*AD$1)</f>
        <v>15</v>
      </c>
      <c r="EK49" s="92">
        <f>IF(AU49="",0,VLOOKUP(I49,Tables!$B$3:$M$36,12,FALSE())*AE$1)</f>
        <v>0</v>
      </c>
      <c r="EL49" s="91">
        <f>IF(AV49="",0,VLOOKUP(J49,Tables!$B$3:$M$36,12,FALSE())*AF$1)</f>
        <v>36</v>
      </c>
      <c r="EM49" s="92">
        <f>IF(AW49="",0,VLOOKUP(K49,Tables!$B$3:$M$36,12,FALSE())*AG$1)</f>
        <v>36</v>
      </c>
      <c r="EN49" s="92">
        <f>IF(AX49="",0,VLOOKUP(L49,Tables!$B$3:$M$36,12,FALSE())*AH$1)</f>
        <v>30</v>
      </c>
      <c r="EO49" s="91">
        <f>IF(AY49="",0,VLOOKUP(M49,Tables!$B$3:$M$36,12,FALSE())*AI$1)</f>
        <v>42.000000000000007</v>
      </c>
      <c r="EP49" s="92">
        <f>IF(AZ49="",0,VLOOKUP(N49,Tables!$B$3:$M$36,12,FALSE())*AJ$1)</f>
        <v>0</v>
      </c>
      <c r="EQ49" s="92">
        <f>IF(BA49="",0,VLOOKUP(O49,Tables!$B$3:$M$36,12,FALSE())*AK$1)</f>
        <v>0</v>
      </c>
      <c r="ER49" s="93">
        <f>IF(BB49="",0,VLOOKUP(P49,Tables!$B$3:$M$36,12,FALSE())*AL$1)</f>
        <v>0</v>
      </c>
      <c r="ES49" s="94">
        <f t="shared" si="55"/>
        <v>0</v>
      </c>
      <c r="ET49" s="95">
        <f>IF(AN49="",10,MIN(VLOOKUP(B49,Tables!$B$3:$N$34,13,FALSE()),'Item Builder'!$W49))</f>
        <v>10</v>
      </c>
      <c r="EU49" s="95">
        <f>IF(AO49="",10,MIN(VLOOKUP(C49,Tables!$B$3:$N$34,13,FALSE()),'Item Builder'!$W49))</f>
        <v>10</v>
      </c>
      <c r="EV49" s="95">
        <f>IF(AP49="",10,MIN(VLOOKUP(D49,Tables!$B$3:$N$34,13,FALSE()),'Item Builder'!$W49))</f>
        <v>10</v>
      </c>
      <c r="EW49" s="95">
        <f>IF(AQ49="",10,MIN(VLOOKUP(E49,Tables!$B$3:$N$34,13,FALSE()),'Item Builder'!$W49))</f>
        <v>0</v>
      </c>
      <c r="EX49" s="95">
        <f>IF(AR49="",10,MIN(VLOOKUP(F49,Tables!$B$3:$N$34,13,FALSE()),'Item Builder'!$W49))</f>
        <v>0</v>
      </c>
      <c r="EY49" s="95">
        <f>IF(AS49="",10,MIN(VLOOKUP(G49,Tables!$B$3:$N$34,13,FALSE()),'Item Builder'!$W49))</f>
        <v>0</v>
      </c>
      <c r="EZ49" s="95">
        <f>IF(AT49="",10,MIN(VLOOKUP(H49,Tables!$B$3:$N$34,13,FALSE()),'Item Builder'!$W49))</f>
        <v>0</v>
      </c>
      <c r="FA49" s="95">
        <f>IF(AU49="",10,MIN(VLOOKUP(I49,Tables!$B$3:$N$34,13,FALSE()),'Item Builder'!$W49))</f>
        <v>10</v>
      </c>
      <c r="FB49" s="95">
        <f>IF(AV49="",10,MIN(VLOOKUP(J49,Tables!$B$3:$N$34,13,FALSE()),'Item Builder'!$W49))</f>
        <v>0</v>
      </c>
      <c r="FC49" s="95">
        <f>IF(AW49="",10,MIN(VLOOKUP(K49,Tables!$B$3:$N$34,13,FALSE()),'Item Builder'!$W49))</f>
        <v>0</v>
      </c>
      <c r="FD49" s="95">
        <f>IF(AX49="",10,MIN(VLOOKUP(L49,Tables!$B$3:$N$34,13,FALSE()),'Item Builder'!$W49))</f>
        <v>0</v>
      </c>
      <c r="FE49" s="95">
        <f>IF(AY49="",10,MIN(VLOOKUP(M49,Tables!$B$3:$N$34,13,FALSE()),'Item Builder'!$W49))</f>
        <v>0</v>
      </c>
      <c r="FF49" s="95">
        <f>IF(AZ49="",10,MIN(VLOOKUP(N49,Tables!$B$3:$N$34,13,FALSE()),'Item Builder'!$W49))</f>
        <v>10</v>
      </c>
      <c r="FG49" s="95">
        <f>IF(BA49="",10,MIN(VLOOKUP(O49,Tables!$B$3:$N$34,13,FALSE()),'Item Builder'!$W49))</f>
        <v>10</v>
      </c>
      <c r="FH49" s="98">
        <f>IF(BB49="",10,MIN(VLOOKUP(P49,Tables!$B$3:$N$34,13,FALSE()),'Item Builder'!$W49))</f>
        <v>10</v>
      </c>
    </row>
    <row r="50" spans="1:164" x14ac:dyDescent="0.25">
      <c r="A50" s="67" t="s">
        <v>215</v>
      </c>
      <c r="B50" s="68"/>
      <c r="C50" s="69"/>
      <c r="D50" s="70"/>
      <c r="E50" s="68" t="s">
        <v>103</v>
      </c>
      <c r="F50" s="69"/>
      <c r="G50" s="69"/>
      <c r="H50" s="69"/>
      <c r="I50" s="70"/>
      <c r="J50" s="68" t="s">
        <v>103</v>
      </c>
      <c r="K50" s="69" t="s">
        <v>103</v>
      </c>
      <c r="L50" s="70" t="s">
        <v>103</v>
      </c>
      <c r="M50" s="68" t="s">
        <v>103</v>
      </c>
      <c r="N50" s="69" t="s">
        <v>103</v>
      </c>
      <c r="O50" s="69"/>
      <c r="P50" s="71"/>
      <c r="Q50" s="72">
        <f>SUM(BV50:CJ50)*VLOOKUP(W50,Tables!$W$3:$Z$8,4)</f>
        <v>216</v>
      </c>
      <c r="R50" s="73">
        <f t="shared" si="0"/>
        <v>9.7199999999999989</v>
      </c>
      <c r="S50" s="74">
        <f t="shared" si="1"/>
        <v>0</v>
      </c>
      <c r="T50" s="74">
        <f t="shared" si="2"/>
        <v>0</v>
      </c>
      <c r="U50" s="75">
        <f t="shared" si="3"/>
        <v>64.8</v>
      </c>
      <c r="V50" s="76">
        <f t="shared" si="4"/>
        <v>162</v>
      </c>
      <c r="W50" s="77">
        <v>0</v>
      </c>
      <c r="X50" s="78">
        <f t="shared" si="5"/>
        <v>0</v>
      </c>
      <c r="Y50" s="79">
        <f t="shared" si="6"/>
        <v>0</v>
      </c>
      <c r="Z50" s="79">
        <f t="shared" si="7"/>
        <v>0</v>
      </c>
      <c r="AA50" s="78">
        <f t="shared" si="8"/>
        <v>1</v>
      </c>
      <c r="AB50" s="79">
        <f t="shared" si="9"/>
        <v>0</v>
      </c>
      <c r="AC50" s="79">
        <f t="shared" si="10"/>
        <v>0</v>
      </c>
      <c r="AD50" s="79">
        <f t="shared" si="11"/>
        <v>0</v>
      </c>
      <c r="AE50" s="79">
        <f t="shared" si="12"/>
        <v>0</v>
      </c>
      <c r="AF50" s="78">
        <f t="shared" si="13"/>
        <v>1</v>
      </c>
      <c r="AG50" s="79">
        <f t="shared" si="14"/>
        <v>1</v>
      </c>
      <c r="AH50" s="79">
        <f t="shared" si="15"/>
        <v>1</v>
      </c>
      <c r="AI50" s="78">
        <f t="shared" si="16"/>
        <v>1</v>
      </c>
      <c r="AJ50" s="79">
        <f t="shared" si="17"/>
        <v>1</v>
      </c>
      <c r="AK50" s="79">
        <f t="shared" si="18"/>
        <v>0</v>
      </c>
      <c r="AL50" s="80">
        <f t="shared" si="19"/>
        <v>0</v>
      </c>
      <c r="AM50" s="81">
        <f t="shared" si="20"/>
        <v>0.54</v>
      </c>
      <c r="AN50" s="82" t="str">
        <f t="shared" si="21"/>
        <v/>
      </c>
      <c r="AO50" s="79" t="str">
        <f t="shared" si="22"/>
        <v/>
      </c>
      <c r="AP50" t="str">
        <f t="shared" si="23"/>
        <v/>
      </c>
      <c r="AQ50" s="82" t="str">
        <f t="shared" si="24"/>
        <v>Q</v>
      </c>
      <c r="AR50" t="str">
        <f t="shared" si="25"/>
        <v/>
      </c>
      <c r="AS50" t="str">
        <f t="shared" si="26"/>
        <v/>
      </c>
      <c r="AT50" t="str">
        <f t="shared" si="27"/>
        <v/>
      </c>
      <c r="AU50" t="str">
        <f t="shared" si="28"/>
        <v/>
      </c>
      <c r="AV50" s="82" t="str">
        <f t="shared" si="29"/>
        <v>Q</v>
      </c>
      <c r="AW50" t="str">
        <f t="shared" si="30"/>
        <v>Q</v>
      </c>
      <c r="AX50" t="str">
        <f t="shared" si="31"/>
        <v>Q</v>
      </c>
      <c r="AY50" s="82" t="str">
        <f t="shared" si="32"/>
        <v>Q</v>
      </c>
      <c r="AZ50" t="str">
        <f t="shared" si="33"/>
        <v>Q</v>
      </c>
      <c r="BA50" t="str">
        <f t="shared" si="34"/>
        <v/>
      </c>
      <c r="BB50" s="83" t="str">
        <f t="shared" si="35"/>
        <v/>
      </c>
      <c r="BC50" s="84">
        <f t="shared" si="36"/>
        <v>0</v>
      </c>
      <c r="BD50" s="84">
        <f t="shared" si="37"/>
        <v>0.14285714285714285</v>
      </c>
      <c r="BE50" s="84">
        <f t="shared" si="38"/>
        <v>1</v>
      </c>
      <c r="BF50" s="84">
        <f t="shared" si="39"/>
        <v>0.47222222222222221</v>
      </c>
      <c r="BG50" s="78">
        <f>IF(AN50="",0,VLOOKUP(AN50,Tables!$AB$3:$AC$12,2))</f>
        <v>0</v>
      </c>
      <c r="BH50" s="79">
        <f>IF(AO50="",0,VLOOKUP(AO50,Tables!$AB$3:$AC$12,2))</f>
        <v>0</v>
      </c>
      <c r="BI50" s="79">
        <f>IF(AP50="",0,VLOOKUP(AP50,Tables!$AB$3:$AC$12,2))</f>
        <v>0</v>
      </c>
      <c r="BJ50" s="78">
        <f>IF(AQ50="",0,VLOOKUP(AQ50,Tables!$AB$3:$AC$12,2))</f>
        <v>2</v>
      </c>
      <c r="BK50" s="79">
        <f>IF(AR50="",0,VLOOKUP(AR50,Tables!$AB$3:$AC$12,2))</f>
        <v>0</v>
      </c>
      <c r="BL50" s="79">
        <f>IF(AS50="",0,VLOOKUP(AS50,Tables!$AB$3:$AC$12,2))</f>
        <v>0</v>
      </c>
      <c r="BM50" s="79">
        <f>IF(AT50="",0,VLOOKUP(AT50,Tables!$AB$3:$AC$12,2))</f>
        <v>0</v>
      </c>
      <c r="BN50" s="79">
        <f>IF(AU50="",0,VLOOKUP(AU50,Tables!$AB$3:$AC$12,2))</f>
        <v>0</v>
      </c>
      <c r="BO50" s="78">
        <f>IF(AV50="",0,VLOOKUP(AV50,Tables!$AB$3:$AC$12,2))</f>
        <v>2</v>
      </c>
      <c r="BP50" s="79">
        <f>IF(AW50="",0,VLOOKUP(AW50,Tables!$AB$3:$AC$12,2))</f>
        <v>2</v>
      </c>
      <c r="BQ50" s="79">
        <f>IF(AX50="",0,VLOOKUP(AX50,Tables!$AB$3:$AC$12,2))</f>
        <v>2</v>
      </c>
      <c r="BR50" s="78">
        <f>IF(AY50="",0,VLOOKUP(AY50,Tables!$AB$3:$AC$12,2))</f>
        <v>2</v>
      </c>
      <c r="BS50" s="79">
        <f>IF(AZ50="",0,VLOOKUP(AZ50,Tables!$AB$3:$AC$12,2))</f>
        <v>2</v>
      </c>
      <c r="BT50" s="79">
        <f>IF(BA50="",0,VLOOKUP(BA50,Tables!$AB$3:$AC$12,2))</f>
        <v>0</v>
      </c>
      <c r="BU50" s="80">
        <f>IF(BB50="",0,VLOOKUP(BB50,Tables!$AB$3:$AC$12,2))</f>
        <v>0</v>
      </c>
      <c r="BV50" s="85">
        <f>IF(AN50="",0,VLOOKUP(B50,Tables!$B$3:$D$36,2,FALSE())*X$1)</f>
        <v>0</v>
      </c>
      <c r="BW50" s="72">
        <f>IF(AO50="",0,VLOOKUP(C50,Tables!$B$3:$D$36,2,FALSE())*Y$1)</f>
        <v>0</v>
      </c>
      <c r="BX50" s="72">
        <f>IF(AP50="",0,VLOOKUP(D50,Tables!$B$3:$D$36,2,FALSE())*Z$1)</f>
        <v>0</v>
      </c>
      <c r="BY50" s="85">
        <f>IF(AQ50="",0,VLOOKUP(E50,Tables!$B$3:$D$36,2,FALSE())*AA$1)</f>
        <v>12</v>
      </c>
      <c r="BZ50" s="72">
        <f>IF(AR50="",0,VLOOKUP(F50,Tables!$B$3:$D$36,2,FALSE())*AB$1)</f>
        <v>0</v>
      </c>
      <c r="CA50" s="72">
        <f>IF(AS50="",0,VLOOKUP(G50,Tables!$B$3:$D$36,2,FALSE())*AC$1)</f>
        <v>0</v>
      </c>
      <c r="CB50" s="72">
        <f>IF(AT50="",0,VLOOKUP(H50,Tables!$B$3:$D$36,2,FALSE())*AD$1)</f>
        <v>0</v>
      </c>
      <c r="CC50" s="72">
        <f>IF(AU50="",0,VLOOKUP(I50,Tables!$B$3:$D$36,2,FALSE())*AE$1)</f>
        <v>0</v>
      </c>
      <c r="CD50" s="85">
        <f>IF(AV50="",0,VLOOKUP(J50,Tables!$B$3:$D$36,2,FALSE())*AF$1)</f>
        <v>48</v>
      </c>
      <c r="CE50" s="72">
        <f>IF(AW50="",0,VLOOKUP(K50,Tables!$B$3:$D$36,2,FALSE())*AG$1)</f>
        <v>48</v>
      </c>
      <c r="CF50" s="72">
        <f>IF(AX50="",0,VLOOKUP(L50,Tables!$B$3:$D$36,2,FALSE())*AH$1)</f>
        <v>40</v>
      </c>
      <c r="CG50" s="85">
        <f>IF(AY50="",0,VLOOKUP(M50,Tables!$B$3:$D$36,2,FALSE())*AI$1)</f>
        <v>56.000000000000007</v>
      </c>
      <c r="CH50" s="72">
        <f>IF(AZ50="",0,VLOOKUP(N50,Tables!$B$3:$D$36,2,FALSE())*AJ$1)</f>
        <v>12</v>
      </c>
      <c r="CI50" s="72">
        <f>IF(BA50="",0,VLOOKUP(O50,Tables!$B$3:$D$36,2,FALSE())*AK$1)</f>
        <v>0</v>
      </c>
      <c r="CJ50" s="86">
        <f>IF(BB50="",0,VLOOKUP(P50,Tables!$B$3:$D$36,2,FALSE())*AL$1)</f>
        <v>0</v>
      </c>
      <c r="CK50" s="87">
        <f>IF(AN50="",0,VLOOKUP(B50,Tables!$B$3:$D$36,3,FALSE())*X$1)*IF(OR(AN50="K",AN50="P"),2,1)</f>
        <v>0</v>
      </c>
      <c r="CL50" s="73">
        <f>IF(AO50="",0,VLOOKUP(C50,Tables!$B$3:$D$36,3,FALSE())*Y$1)*IF(OR(AO50="K",AO50="P"),2,1)</f>
        <v>0</v>
      </c>
      <c r="CM50" s="73">
        <f>IF(AP50="",0,VLOOKUP(D50,Tables!$B$3:$D$36,3,FALSE())*Z$1)*IF(OR(AP50="K",AP50="P"),2,1)</f>
        <v>0</v>
      </c>
      <c r="CN50" s="87">
        <f>IF(AQ50="",0,VLOOKUP(E50,Tables!$B$3:$D$36,3,FALSE())*AA$1)</f>
        <v>0.54</v>
      </c>
      <c r="CO50" s="73">
        <f>IF(AR50="",0,VLOOKUP(F50,Tables!$B$3:$D$36,3,FALSE())*AB$1)</f>
        <v>0</v>
      </c>
      <c r="CP50" s="73">
        <f>IF(AS50="",0,VLOOKUP(G50,Tables!$B$3:$D$36,3,FALSE())*AC$1)</f>
        <v>0</v>
      </c>
      <c r="CQ50" s="73">
        <f>IF(AT50="",0,VLOOKUP(H50,Tables!$B$3:$D$36,3,FALSE())*AD$1)</f>
        <v>0</v>
      </c>
      <c r="CR50" s="73">
        <f>IF(AU50="",0,VLOOKUP(I50,Tables!$B$3:$D$36,3,FALSE())*AE$1)</f>
        <v>0</v>
      </c>
      <c r="CS50" s="87">
        <f>IF(AV50="",0,VLOOKUP(J50,Tables!$B$3:$D$36,3,FALSE())*AF$1)</f>
        <v>2.16</v>
      </c>
      <c r="CT50" s="73">
        <f>IF(AW50="",0,VLOOKUP(K50,Tables!$B$3:$D$36,3,FALSE())*AG$1)</f>
        <v>2.16</v>
      </c>
      <c r="CU50" s="73">
        <f>IF(AX50="",0,VLOOKUP(L50,Tables!$B$3:$D$36,3,FALSE())*AH$1)</f>
        <v>1.8</v>
      </c>
      <c r="CV50" s="87">
        <f>IF(AY50="",0,VLOOKUP(M50,Tables!$B$3:$D$36,3,FALSE())*AI$1)</f>
        <v>2.5200000000000005</v>
      </c>
      <c r="CW50" s="73">
        <f>IF(AZ50="",0,VLOOKUP(N50,Tables!$B$3:$D$36,3,FALSE())*AJ$1)</f>
        <v>0.54</v>
      </c>
      <c r="CX50" s="73">
        <f>IF(BA50="",0,VLOOKUP(O50,Tables!$B$3:$D$36,3,FALSE())*AK$1)</f>
        <v>0</v>
      </c>
      <c r="CY50" s="88">
        <f>IF(BB50="",0,VLOOKUP(P50,Tables!$B$3:$D$36,3,FALSE())*AL$1)</f>
        <v>0</v>
      </c>
      <c r="CZ50" s="89">
        <f t="shared" si="40"/>
        <v>0</v>
      </c>
      <c r="DA50" s="75">
        <f t="shared" si="41"/>
        <v>0</v>
      </c>
      <c r="DB50" s="75">
        <f t="shared" si="42"/>
        <v>0</v>
      </c>
      <c r="DC50" s="89">
        <f t="shared" si="43"/>
        <v>0.65</v>
      </c>
      <c r="DD50" s="75">
        <f t="shared" si="44"/>
        <v>0</v>
      </c>
      <c r="DE50" s="75">
        <f t="shared" si="45"/>
        <v>0</v>
      </c>
      <c r="DF50" s="75">
        <f t="shared" si="46"/>
        <v>0</v>
      </c>
      <c r="DG50" s="75">
        <f t="shared" si="47"/>
        <v>0</v>
      </c>
      <c r="DH50" s="89">
        <f t="shared" si="48"/>
        <v>0.65</v>
      </c>
      <c r="DI50" s="75">
        <f t="shared" si="49"/>
        <v>0.65</v>
      </c>
      <c r="DJ50" s="75">
        <f t="shared" si="50"/>
        <v>0.65</v>
      </c>
      <c r="DK50" s="89">
        <f t="shared" si="51"/>
        <v>0.65</v>
      </c>
      <c r="DL50" s="75">
        <f t="shared" si="52"/>
        <v>0.65</v>
      </c>
      <c r="DM50" s="75">
        <f t="shared" si="53"/>
        <v>0</v>
      </c>
      <c r="DN50" s="90">
        <f t="shared" si="54"/>
        <v>0</v>
      </c>
      <c r="DO50" s="91">
        <f>IF(AN50="",0,VLOOKUP(B50,Tables!$B$3:$M$36,11,FALSE())*X$1)</f>
        <v>0</v>
      </c>
      <c r="DP50" s="92">
        <f>IF(AO50="",0,VLOOKUP(C50,Tables!$B$3:$M$36,11,FALSE())*Y$1)</f>
        <v>0</v>
      </c>
      <c r="DQ50" s="92">
        <f>IF(AP50="",0,VLOOKUP(D50,Tables!$B$3:$M$36,11,FALSE())*Z$1)</f>
        <v>0</v>
      </c>
      <c r="DR50" s="91">
        <f>IF(AQ50="",0,VLOOKUP(E50,Tables!$B$3:$M$36,11,FALSE())*AA$1)</f>
        <v>3.5999999999999996</v>
      </c>
      <c r="DS50" s="92">
        <f>IF(AR50="",0,VLOOKUP(F50,Tables!$B$3:$M$36,11,FALSE())*AB$1)</f>
        <v>0</v>
      </c>
      <c r="DT50" s="92">
        <f>IF(AS50="",0,VLOOKUP(G50,Tables!$B$3:$M$36,11,FALSE())*AC$1)</f>
        <v>0</v>
      </c>
      <c r="DU50" s="92">
        <f>IF(AT50="",0,VLOOKUP(H50,Tables!$B$3:$M$36,11,FALSE())*AD$1)</f>
        <v>0</v>
      </c>
      <c r="DV50" s="92">
        <f>IF(AU50="",0,VLOOKUP(I50,Tables!$B$3:$M$36,11,FALSE())*AE$1)</f>
        <v>0</v>
      </c>
      <c r="DW50" s="91">
        <f>IF(AV50="",0,VLOOKUP(J50,Tables!$B$3:$M$36,11,FALSE())*AF$1)</f>
        <v>14.399999999999999</v>
      </c>
      <c r="DX50" s="92">
        <f>IF(AW50="",0,VLOOKUP(K50,Tables!$B$3:$M$36,11,FALSE())*AG$1)</f>
        <v>14.399999999999999</v>
      </c>
      <c r="DY50" s="92">
        <f>IF(AX50="",0,VLOOKUP(L50,Tables!$B$3:$M$36,11,FALSE())*AH$1)</f>
        <v>12</v>
      </c>
      <c r="DZ50" s="91">
        <f>IF(AY50="",0,VLOOKUP(M50,Tables!$B$3:$M$36,11,FALSE())*AI$1)</f>
        <v>16.8</v>
      </c>
      <c r="EA50" s="92">
        <f>IF(AZ50="",0,VLOOKUP(N50,Tables!$B$3:$M$36,11,FALSE())*AJ$1)</f>
        <v>3.5999999999999996</v>
      </c>
      <c r="EB50" s="92">
        <f>IF(BA50="",0,VLOOKUP(O50,Tables!$B$3:$M$36,11,FALSE())*AK$1)</f>
        <v>0</v>
      </c>
      <c r="EC50" s="93">
        <f>IF(BB50="",0,VLOOKUP(P50,Tables!$B$3:$M$36,11,FALSE())*AL$1)</f>
        <v>0</v>
      </c>
      <c r="ED50" s="91">
        <f>IF(AN50="",0,VLOOKUP(B50,Tables!$B$3:$M$36,12,FALSE())*X$1)</f>
        <v>0</v>
      </c>
      <c r="EE50" s="92">
        <f>IF(AO50="",0,VLOOKUP(C50,Tables!$B$3:$M$36,12,FALSE())*Y$1)</f>
        <v>0</v>
      </c>
      <c r="EF50" s="92">
        <f>IF(AP50="",0,VLOOKUP(D50,Tables!$B$3:$M$36,12,FALSE())*Z$1)</f>
        <v>0</v>
      </c>
      <c r="EG50" s="91">
        <f>IF(AQ50="",0,VLOOKUP(E50,Tables!$B$3:$M$36,12,FALSE())*AA$1)</f>
        <v>9</v>
      </c>
      <c r="EH50" s="92">
        <f>IF(AR50="",0,VLOOKUP(F50,Tables!$B$3:$M$36,12,FALSE())*AB$1)</f>
        <v>0</v>
      </c>
      <c r="EI50" s="92">
        <f>IF(AS50="",0,VLOOKUP(G50,Tables!$B$3:$M$36,12,FALSE())*AC$1)</f>
        <v>0</v>
      </c>
      <c r="EJ50" s="92">
        <f>IF(AT50="",0,VLOOKUP(H50,Tables!$B$3:$M$36,12,FALSE())*AD$1)</f>
        <v>0</v>
      </c>
      <c r="EK50" s="92">
        <f>IF(AU50="",0,VLOOKUP(I50,Tables!$B$3:$M$36,12,FALSE())*AE$1)</f>
        <v>0</v>
      </c>
      <c r="EL50" s="91">
        <f>IF(AV50="",0,VLOOKUP(J50,Tables!$B$3:$M$36,12,FALSE())*AF$1)</f>
        <v>36</v>
      </c>
      <c r="EM50" s="92">
        <f>IF(AW50="",0,VLOOKUP(K50,Tables!$B$3:$M$36,12,FALSE())*AG$1)</f>
        <v>36</v>
      </c>
      <c r="EN50" s="92">
        <f>IF(AX50="",0,VLOOKUP(L50,Tables!$B$3:$M$36,12,FALSE())*AH$1)</f>
        <v>30</v>
      </c>
      <c r="EO50" s="91">
        <f>IF(AY50="",0,VLOOKUP(M50,Tables!$B$3:$M$36,12,FALSE())*AI$1)</f>
        <v>42.000000000000007</v>
      </c>
      <c r="EP50" s="92">
        <f>IF(AZ50="",0,VLOOKUP(N50,Tables!$B$3:$M$36,12,FALSE())*AJ$1)</f>
        <v>9</v>
      </c>
      <c r="EQ50" s="92">
        <f>IF(BA50="",0,VLOOKUP(O50,Tables!$B$3:$M$36,12,FALSE())*AK$1)</f>
        <v>0</v>
      </c>
      <c r="ER50" s="93">
        <f>IF(BB50="",0,VLOOKUP(P50,Tables!$B$3:$M$36,12,FALSE())*AL$1)</f>
        <v>0</v>
      </c>
      <c r="ES50" s="94">
        <f t="shared" si="55"/>
        <v>0</v>
      </c>
      <c r="ET50" s="95">
        <f>IF(AN50="",10,MIN(VLOOKUP(B50,Tables!$B$3:$N$34,13,FALSE()),'Item Builder'!$W50))</f>
        <v>10</v>
      </c>
      <c r="EU50" s="95">
        <f>IF(AO50="",10,MIN(VLOOKUP(C50,Tables!$B$3:$N$34,13,FALSE()),'Item Builder'!$W50))</f>
        <v>10</v>
      </c>
      <c r="EV50" s="95">
        <f>IF(AP50="",10,MIN(VLOOKUP(D50,Tables!$B$3:$N$34,13,FALSE()),'Item Builder'!$W50))</f>
        <v>10</v>
      </c>
      <c r="EW50" s="95">
        <f>IF(AQ50="",10,MIN(VLOOKUP(E50,Tables!$B$3:$N$34,13,FALSE()),'Item Builder'!$W50))</f>
        <v>0</v>
      </c>
      <c r="EX50" s="95">
        <f>IF(AR50="",10,MIN(VLOOKUP(F50,Tables!$B$3:$N$34,13,FALSE()),'Item Builder'!$W50))</f>
        <v>10</v>
      </c>
      <c r="EY50" s="95">
        <f>IF(AS50="",10,MIN(VLOOKUP(G50,Tables!$B$3:$N$34,13,FALSE()),'Item Builder'!$W50))</f>
        <v>10</v>
      </c>
      <c r="EZ50" s="95">
        <f>IF(AT50="",10,MIN(VLOOKUP(H50,Tables!$B$3:$N$34,13,FALSE()),'Item Builder'!$W50))</f>
        <v>10</v>
      </c>
      <c r="FA50" s="95">
        <f>IF(AU50="",10,MIN(VLOOKUP(I50,Tables!$B$3:$N$34,13,FALSE()),'Item Builder'!$W50))</f>
        <v>10</v>
      </c>
      <c r="FB50" s="95">
        <f>IF(AV50="",10,MIN(VLOOKUP(J50,Tables!$B$3:$N$34,13,FALSE()),'Item Builder'!$W50))</f>
        <v>0</v>
      </c>
      <c r="FC50" s="95">
        <f>IF(AW50="",10,MIN(VLOOKUP(K50,Tables!$B$3:$N$34,13,FALSE()),'Item Builder'!$W50))</f>
        <v>0</v>
      </c>
      <c r="FD50" s="95">
        <f>IF(AX50="",10,MIN(VLOOKUP(L50,Tables!$B$3:$N$34,13,FALSE()),'Item Builder'!$W50))</f>
        <v>0</v>
      </c>
      <c r="FE50" s="95">
        <f>IF(AY50="",10,MIN(VLOOKUP(M50,Tables!$B$3:$N$34,13,FALSE()),'Item Builder'!$W50))</f>
        <v>0</v>
      </c>
      <c r="FF50" s="95">
        <f>IF(AZ50="",10,MIN(VLOOKUP(N50,Tables!$B$3:$N$34,13,FALSE()),'Item Builder'!$W50))</f>
        <v>0</v>
      </c>
      <c r="FG50" s="95">
        <f>IF(BA50="",10,MIN(VLOOKUP(O50,Tables!$B$3:$N$34,13,FALSE()),'Item Builder'!$W50))</f>
        <v>10</v>
      </c>
      <c r="FH50" s="98">
        <f>IF(BB50="",10,MIN(VLOOKUP(P50,Tables!$B$3:$N$34,13,FALSE()),'Item Builder'!$W50))</f>
        <v>10</v>
      </c>
    </row>
    <row r="51" spans="1:164" x14ac:dyDescent="0.25">
      <c r="A51" s="67" t="s">
        <v>216</v>
      </c>
      <c r="B51" s="68"/>
      <c r="C51" s="69"/>
      <c r="D51" s="70"/>
      <c r="E51" s="68"/>
      <c r="F51" s="69"/>
      <c r="G51" s="69"/>
      <c r="H51" s="69"/>
      <c r="I51" s="70"/>
      <c r="J51" s="68"/>
      <c r="K51" s="69"/>
      <c r="L51" s="70"/>
      <c r="M51" s="68" t="s">
        <v>103</v>
      </c>
      <c r="N51" s="69" t="s">
        <v>103</v>
      </c>
      <c r="O51" s="69"/>
      <c r="P51" s="71"/>
      <c r="Q51" s="72">
        <f>SUM(BV51:CJ51)*VLOOKUP(W51,Tables!$W$3:$Z$8,4)</f>
        <v>68</v>
      </c>
      <c r="R51" s="73">
        <f t="shared" si="0"/>
        <v>3.0600000000000005</v>
      </c>
      <c r="S51" s="74">
        <f t="shared" si="1"/>
        <v>0</v>
      </c>
      <c r="T51" s="74">
        <f t="shared" si="2"/>
        <v>0</v>
      </c>
      <c r="U51" s="75">
        <f t="shared" si="3"/>
        <v>20.399999999999999</v>
      </c>
      <c r="V51" s="76">
        <f t="shared" si="4"/>
        <v>51.000000000000007</v>
      </c>
      <c r="W51" s="77">
        <v>0</v>
      </c>
      <c r="X51" s="78">
        <f t="shared" si="5"/>
        <v>0</v>
      </c>
      <c r="Y51" s="79">
        <f t="shared" si="6"/>
        <v>0</v>
      </c>
      <c r="Z51" s="79">
        <f t="shared" si="7"/>
        <v>0</v>
      </c>
      <c r="AA51" s="78">
        <f t="shared" si="8"/>
        <v>0</v>
      </c>
      <c r="AB51" s="79">
        <f t="shared" si="9"/>
        <v>0</v>
      </c>
      <c r="AC51" s="79">
        <f t="shared" si="10"/>
        <v>0</v>
      </c>
      <c r="AD51" s="79">
        <f t="shared" si="11"/>
        <v>0</v>
      </c>
      <c r="AE51" s="79">
        <f t="shared" si="12"/>
        <v>0</v>
      </c>
      <c r="AF51" s="78">
        <f t="shared" si="13"/>
        <v>0</v>
      </c>
      <c r="AG51" s="79">
        <f t="shared" si="14"/>
        <v>0</v>
      </c>
      <c r="AH51" s="79">
        <f t="shared" si="15"/>
        <v>0</v>
      </c>
      <c r="AI51" s="78">
        <f t="shared" si="16"/>
        <v>1</v>
      </c>
      <c r="AJ51" s="79">
        <f t="shared" si="17"/>
        <v>1</v>
      </c>
      <c r="AK51" s="79">
        <f t="shared" si="18"/>
        <v>0</v>
      </c>
      <c r="AL51" s="80">
        <f t="shared" si="19"/>
        <v>0</v>
      </c>
      <c r="AM51" s="81">
        <f t="shared" si="20"/>
        <v>0.17</v>
      </c>
      <c r="AN51" s="82" t="str">
        <f t="shared" si="21"/>
        <v/>
      </c>
      <c r="AO51" s="79" t="str">
        <f t="shared" si="22"/>
        <v/>
      </c>
      <c r="AP51" t="str">
        <f t="shared" si="23"/>
        <v/>
      </c>
      <c r="AQ51" s="82" t="str">
        <f t="shared" si="24"/>
        <v/>
      </c>
      <c r="AR51" t="str">
        <f t="shared" si="25"/>
        <v/>
      </c>
      <c r="AS51" t="str">
        <f t="shared" si="26"/>
        <v/>
      </c>
      <c r="AT51" t="str">
        <f t="shared" si="27"/>
        <v/>
      </c>
      <c r="AU51" t="str">
        <f t="shared" si="28"/>
        <v/>
      </c>
      <c r="AV51" s="82" t="str">
        <f t="shared" si="29"/>
        <v/>
      </c>
      <c r="AW51" t="str">
        <f t="shared" si="30"/>
        <v/>
      </c>
      <c r="AX51" t="str">
        <f t="shared" si="31"/>
        <v/>
      </c>
      <c r="AY51" s="82" t="str">
        <f t="shared" si="32"/>
        <v>Q</v>
      </c>
      <c r="AZ51" t="str">
        <f t="shared" si="33"/>
        <v>Q</v>
      </c>
      <c r="BA51" t="str">
        <f t="shared" si="34"/>
        <v/>
      </c>
      <c r="BB51" s="83" t="str">
        <f t="shared" si="35"/>
        <v/>
      </c>
      <c r="BC51" s="84">
        <f t="shared" si="36"/>
        <v>0</v>
      </c>
      <c r="BD51" s="84">
        <f t="shared" si="37"/>
        <v>0</v>
      </c>
      <c r="BE51" s="84">
        <f t="shared" si="38"/>
        <v>0</v>
      </c>
      <c r="BF51" s="84">
        <f t="shared" si="39"/>
        <v>0.47222222222222221</v>
      </c>
      <c r="BG51" s="78">
        <f>IF(AN51="",0,VLOOKUP(AN51,Tables!$AB$3:$AC$12,2))</f>
        <v>0</v>
      </c>
      <c r="BH51" s="79">
        <f>IF(AO51="",0,VLOOKUP(AO51,Tables!$AB$3:$AC$12,2))</f>
        <v>0</v>
      </c>
      <c r="BI51" s="79">
        <f>IF(AP51="",0,VLOOKUP(AP51,Tables!$AB$3:$AC$12,2))</f>
        <v>0</v>
      </c>
      <c r="BJ51" s="78">
        <f>IF(AQ51="",0,VLOOKUP(AQ51,Tables!$AB$3:$AC$12,2))</f>
        <v>0</v>
      </c>
      <c r="BK51" s="79">
        <f>IF(AR51="",0,VLOOKUP(AR51,Tables!$AB$3:$AC$12,2))</f>
        <v>0</v>
      </c>
      <c r="BL51" s="79">
        <f>IF(AS51="",0,VLOOKUP(AS51,Tables!$AB$3:$AC$12,2))</f>
        <v>0</v>
      </c>
      <c r="BM51" s="79">
        <f>IF(AT51="",0,VLOOKUP(AT51,Tables!$AB$3:$AC$12,2))</f>
        <v>0</v>
      </c>
      <c r="BN51" s="79">
        <f>IF(AU51="",0,VLOOKUP(AU51,Tables!$AB$3:$AC$12,2))</f>
        <v>0</v>
      </c>
      <c r="BO51" s="78">
        <f>IF(AV51="",0,VLOOKUP(AV51,Tables!$AB$3:$AC$12,2))</f>
        <v>0</v>
      </c>
      <c r="BP51" s="79">
        <f>IF(AW51="",0,VLOOKUP(AW51,Tables!$AB$3:$AC$12,2))</f>
        <v>0</v>
      </c>
      <c r="BQ51" s="79">
        <f>IF(AX51="",0,VLOOKUP(AX51,Tables!$AB$3:$AC$12,2))</f>
        <v>0</v>
      </c>
      <c r="BR51" s="78">
        <f>IF(AY51="",0,VLOOKUP(AY51,Tables!$AB$3:$AC$12,2))</f>
        <v>2</v>
      </c>
      <c r="BS51" s="79">
        <f>IF(AZ51="",0,VLOOKUP(AZ51,Tables!$AB$3:$AC$12,2))</f>
        <v>2</v>
      </c>
      <c r="BT51" s="79">
        <f>IF(BA51="",0,VLOOKUP(BA51,Tables!$AB$3:$AC$12,2))</f>
        <v>0</v>
      </c>
      <c r="BU51" s="80">
        <f>IF(BB51="",0,VLOOKUP(BB51,Tables!$AB$3:$AC$12,2))</f>
        <v>0</v>
      </c>
      <c r="BV51" s="85">
        <f>IF(AN51="",0,VLOOKUP(B51,Tables!$B$3:$D$36,2,FALSE())*X$1)</f>
        <v>0</v>
      </c>
      <c r="BW51" s="72">
        <f>IF(AO51="",0,VLOOKUP(C51,Tables!$B$3:$D$36,2,FALSE())*Y$1)</f>
        <v>0</v>
      </c>
      <c r="BX51" s="72">
        <f>IF(AP51="",0,VLOOKUP(D51,Tables!$B$3:$D$36,2,FALSE())*Z$1)</f>
        <v>0</v>
      </c>
      <c r="BY51" s="85">
        <f>IF(AQ51="",0,VLOOKUP(E51,Tables!$B$3:$D$36,2,FALSE())*AA$1)</f>
        <v>0</v>
      </c>
      <c r="BZ51" s="72">
        <f>IF(AR51="",0,VLOOKUP(F51,Tables!$B$3:$D$36,2,FALSE())*AB$1)</f>
        <v>0</v>
      </c>
      <c r="CA51" s="72">
        <f>IF(AS51="",0,VLOOKUP(G51,Tables!$B$3:$D$36,2,FALSE())*AC$1)</f>
        <v>0</v>
      </c>
      <c r="CB51" s="72">
        <f>IF(AT51="",0,VLOOKUP(H51,Tables!$B$3:$D$36,2,FALSE())*AD$1)</f>
        <v>0</v>
      </c>
      <c r="CC51" s="72">
        <f>IF(AU51="",0,VLOOKUP(I51,Tables!$B$3:$D$36,2,FALSE())*AE$1)</f>
        <v>0</v>
      </c>
      <c r="CD51" s="85">
        <f>IF(AV51="",0,VLOOKUP(J51,Tables!$B$3:$D$36,2,FALSE())*AF$1)</f>
        <v>0</v>
      </c>
      <c r="CE51" s="72">
        <f>IF(AW51="",0,VLOOKUP(K51,Tables!$B$3:$D$36,2,FALSE())*AG$1)</f>
        <v>0</v>
      </c>
      <c r="CF51" s="72">
        <f>IF(AX51="",0,VLOOKUP(L51,Tables!$B$3:$D$36,2,FALSE())*AH$1)</f>
        <v>0</v>
      </c>
      <c r="CG51" s="85">
        <f>IF(AY51="",0,VLOOKUP(M51,Tables!$B$3:$D$36,2,FALSE())*AI$1)</f>
        <v>56.000000000000007</v>
      </c>
      <c r="CH51" s="72">
        <f>IF(AZ51="",0,VLOOKUP(N51,Tables!$B$3:$D$36,2,FALSE())*AJ$1)</f>
        <v>12</v>
      </c>
      <c r="CI51" s="72">
        <f>IF(BA51="",0,VLOOKUP(O51,Tables!$B$3:$D$36,2,FALSE())*AK$1)</f>
        <v>0</v>
      </c>
      <c r="CJ51" s="86">
        <f>IF(BB51="",0,VLOOKUP(P51,Tables!$B$3:$D$36,2,FALSE())*AL$1)</f>
        <v>0</v>
      </c>
      <c r="CK51" s="87">
        <f>IF(AN51="",0,VLOOKUP(B51,Tables!$B$3:$D$36,3,FALSE())*X$1)*IF(OR(AN51="K",AN51="P"),2,1)</f>
        <v>0</v>
      </c>
      <c r="CL51" s="73">
        <f>IF(AO51="",0,VLOOKUP(C51,Tables!$B$3:$D$36,3,FALSE())*Y$1)*IF(OR(AO51="K",AO51="P"),2,1)</f>
        <v>0</v>
      </c>
      <c r="CM51" s="73">
        <f>IF(AP51="",0,VLOOKUP(D51,Tables!$B$3:$D$36,3,FALSE())*Z$1)*IF(OR(AP51="K",AP51="P"),2,1)</f>
        <v>0</v>
      </c>
      <c r="CN51" s="87">
        <f>IF(AQ51="",0,VLOOKUP(E51,Tables!$B$3:$D$36,3,FALSE())*AA$1)</f>
        <v>0</v>
      </c>
      <c r="CO51" s="73">
        <f>IF(AR51="",0,VLOOKUP(F51,Tables!$B$3:$D$36,3,FALSE())*AB$1)</f>
        <v>0</v>
      </c>
      <c r="CP51" s="73">
        <f>IF(AS51="",0,VLOOKUP(G51,Tables!$B$3:$D$36,3,FALSE())*AC$1)</f>
        <v>0</v>
      </c>
      <c r="CQ51" s="73">
        <f>IF(AT51="",0,VLOOKUP(H51,Tables!$B$3:$D$36,3,FALSE())*AD$1)</f>
        <v>0</v>
      </c>
      <c r="CR51" s="73">
        <f>IF(AU51="",0,VLOOKUP(I51,Tables!$B$3:$D$36,3,FALSE())*AE$1)</f>
        <v>0</v>
      </c>
      <c r="CS51" s="87">
        <f>IF(AV51="",0,VLOOKUP(J51,Tables!$B$3:$D$36,3,FALSE())*AF$1)</f>
        <v>0</v>
      </c>
      <c r="CT51" s="73">
        <f>IF(AW51="",0,VLOOKUP(K51,Tables!$B$3:$D$36,3,FALSE())*AG$1)</f>
        <v>0</v>
      </c>
      <c r="CU51" s="73">
        <f>IF(AX51="",0,VLOOKUP(L51,Tables!$B$3:$D$36,3,FALSE())*AH$1)</f>
        <v>0</v>
      </c>
      <c r="CV51" s="87">
        <f>IF(AY51="",0,VLOOKUP(M51,Tables!$B$3:$D$36,3,FALSE())*AI$1)</f>
        <v>2.5200000000000005</v>
      </c>
      <c r="CW51" s="73">
        <f>IF(AZ51="",0,VLOOKUP(N51,Tables!$B$3:$D$36,3,FALSE())*AJ$1)</f>
        <v>0.54</v>
      </c>
      <c r="CX51" s="73">
        <f>IF(BA51="",0,VLOOKUP(O51,Tables!$B$3:$D$36,3,FALSE())*AK$1)</f>
        <v>0</v>
      </c>
      <c r="CY51" s="88">
        <f>IF(BB51="",0,VLOOKUP(P51,Tables!$B$3:$D$36,3,FALSE())*AL$1)</f>
        <v>0</v>
      </c>
      <c r="CZ51" s="89">
        <f t="shared" si="40"/>
        <v>0</v>
      </c>
      <c r="DA51" s="75">
        <f t="shared" si="41"/>
        <v>0</v>
      </c>
      <c r="DB51" s="75">
        <f t="shared" si="42"/>
        <v>0</v>
      </c>
      <c r="DC51" s="89">
        <f t="shared" si="43"/>
        <v>0</v>
      </c>
      <c r="DD51" s="75">
        <f t="shared" si="44"/>
        <v>0</v>
      </c>
      <c r="DE51" s="75">
        <f t="shared" si="45"/>
        <v>0</v>
      </c>
      <c r="DF51" s="75">
        <f t="shared" si="46"/>
        <v>0</v>
      </c>
      <c r="DG51" s="75">
        <f t="shared" si="47"/>
        <v>0</v>
      </c>
      <c r="DH51" s="89">
        <f t="shared" si="48"/>
        <v>0</v>
      </c>
      <c r="DI51" s="75">
        <f t="shared" si="49"/>
        <v>0</v>
      </c>
      <c r="DJ51" s="75">
        <f t="shared" si="50"/>
        <v>0</v>
      </c>
      <c r="DK51" s="89">
        <f t="shared" si="51"/>
        <v>0.65</v>
      </c>
      <c r="DL51" s="75">
        <f t="shared" si="52"/>
        <v>0.65</v>
      </c>
      <c r="DM51" s="75">
        <f t="shared" si="53"/>
        <v>0</v>
      </c>
      <c r="DN51" s="90">
        <f t="shared" si="54"/>
        <v>0</v>
      </c>
      <c r="DO51" s="91">
        <f>IF(AN51="",0,VLOOKUP(B51,Tables!$B$3:$M$36,11,FALSE())*X$1)</f>
        <v>0</v>
      </c>
      <c r="DP51" s="92">
        <f>IF(AO51="",0,VLOOKUP(C51,Tables!$B$3:$M$36,11,FALSE())*Y$1)</f>
        <v>0</v>
      </c>
      <c r="DQ51" s="92">
        <f>IF(AP51="",0,VLOOKUP(D51,Tables!$B$3:$M$36,11,FALSE())*Z$1)</f>
        <v>0</v>
      </c>
      <c r="DR51" s="91">
        <f>IF(AQ51="",0,VLOOKUP(E51,Tables!$B$3:$M$36,11,FALSE())*AA$1)</f>
        <v>0</v>
      </c>
      <c r="DS51" s="92">
        <f>IF(AR51="",0,VLOOKUP(F51,Tables!$B$3:$M$36,11,FALSE())*AB$1)</f>
        <v>0</v>
      </c>
      <c r="DT51" s="92">
        <f>IF(AS51="",0,VLOOKUP(G51,Tables!$B$3:$M$36,11,FALSE())*AC$1)</f>
        <v>0</v>
      </c>
      <c r="DU51" s="92">
        <f>IF(AT51="",0,VLOOKUP(H51,Tables!$B$3:$M$36,11,FALSE())*AD$1)</f>
        <v>0</v>
      </c>
      <c r="DV51" s="92">
        <f>IF(AU51="",0,VLOOKUP(I51,Tables!$B$3:$M$36,11,FALSE())*AE$1)</f>
        <v>0</v>
      </c>
      <c r="DW51" s="91">
        <f>IF(AV51="",0,VLOOKUP(J51,Tables!$B$3:$M$36,11,FALSE())*AF$1)</f>
        <v>0</v>
      </c>
      <c r="DX51" s="92">
        <f>IF(AW51="",0,VLOOKUP(K51,Tables!$B$3:$M$36,11,FALSE())*AG$1)</f>
        <v>0</v>
      </c>
      <c r="DY51" s="92">
        <f>IF(AX51="",0,VLOOKUP(L51,Tables!$B$3:$M$36,11,FALSE())*AH$1)</f>
        <v>0</v>
      </c>
      <c r="DZ51" s="91">
        <f>IF(AY51="",0,VLOOKUP(M51,Tables!$B$3:$M$36,11,FALSE())*AI$1)</f>
        <v>16.8</v>
      </c>
      <c r="EA51" s="92">
        <f>IF(AZ51="",0,VLOOKUP(N51,Tables!$B$3:$M$36,11,FALSE())*AJ$1)</f>
        <v>3.5999999999999996</v>
      </c>
      <c r="EB51" s="92">
        <f>IF(BA51="",0,VLOOKUP(O51,Tables!$B$3:$M$36,11,FALSE())*AK$1)</f>
        <v>0</v>
      </c>
      <c r="EC51" s="93">
        <f>IF(BB51="",0,VLOOKUP(P51,Tables!$B$3:$M$36,11,FALSE())*AL$1)</f>
        <v>0</v>
      </c>
      <c r="ED51" s="91">
        <f>IF(AN51="",0,VLOOKUP(B51,Tables!$B$3:$M$36,12,FALSE())*X$1)</f>
        <v>0</v>
      </c>
      <c r="EE51" s="92">
        <f>IF(AO51="",0,VLOOKUP(C51,Tables!$B$3:$M$36,12,FALSE())*Y$1)</f>
        <v>0</v>
      </c>
      <c r="EF51" s="92">
        <f>IF(AP51="",0,VLOOKUP(D51,Tables!$B$3:$M$36,12,FALSE())*Z$1)</f>
        <v>0</v>
      </c>
      <c r="EG51" s="91">
        <f>IF(AQ51="",0,VLOOKUP(E51,Tables!$B$3:$M$36,12,FALSE())*AA$1)</f>
        <v>0</v>
      </c>
      <c r="EH51" s="92">
        <f>IF(AR51="",0,VLOOKUP(F51,Tables!$B$3:$M$36,12,FALSE())*AB$1)</f>
        <v>0</v>
      </c>
      <c r="EI51" s="92">
        <f>IF(AS51="",0,VLOOKUP(G51,Tables!$B$3:$M$36,12,FALSE())*AC$1)</f>
        <v>0</v>
      </c>
      <c r="EJ51" s="92">
        <f>IF(AT51="",0,VLOOKUP(H51,Tables!$B$3:$M$36,12,FALSE())*AD$1)</f>
        <v>0</v>
      </c>
      <c r="EK51" s="92">
        <f>IF(AU51="",0,VLOOKUP(I51,Tables!$B$3:$M$36,12,FALSE())*AE$1)</f>
        <v>0</v>
      </c>
      <c r="EL51" s="91">
        <f>IF(AV51="",0,VLOOKUP(J51,Tables!$B$3:$M$36,12,FALSE())*AF$1)</f>
        <v>0</v>
      </c>
      <c r="EM51" s="92">
        <f>IF(AW51="",0,VLOOKUP(K51,Tables!$B$3:$M$36,12,FALSE())*AG$1)</f>
        <v>0</v>
      </c>
      <c r="EN51" s="92">
        <f>IF(AX51="",0,VLOOKUP(L51,Tables!$B$3:$M$36,12,FALSE())*AH$1)</f>
        <v>0</v>
      </c>
      <c r="EO51" s="91">
        <f>IF(AY51="",0,VLOOKUP(M51,Tables!$B$3:$M$36,12,FALSE())*AI$1)</f>
        <v>42.000000000000007</v>
      </c>
      <c r="EP51" s="92">
        <f>IF(AZ51="",0,VLOOKUP(N51,Tables!$B$3:$M$36,12,FALSE())*AJ$1)</f>
        <v>9</v>
      </c>
      <c r="EQ51" s="92">
        <f>IF(BA51="",0,VLOOKUP(O51,Tables!$B$3:$M$36,12,FALSE())*AK$1)</f>
        <v>0</v>
      </c>
      <c r="ER51" s="93">
        <f>IF(BB51="",0,VLOOKUP(P51,Tables!$B$3:$M$36,12,FALSE())*AL$1)</f>
        <v>0</v>
      </c>
      <c r="ES51" s="94">
        <f t="shared" si="55"/>
        <v>0</v>
      </c>
      <c r="ET51" s="95">
        <f>IF(AN51="",10,MIN(VLOOKUP(B51,Tables!$B$3:$N$34,13,FALSE()),'Item Builder'!$W51))</f>
        <v>10</v>
      </c>
      <c r="EU51" s="95">
        <f>IF(AO51="",10,MIN(VLOOKUP(C51,Tables!$B$3:$N$34,13,FALSE()),'Item Builder'!$W51))</f>
        <v>10</v>
      </c>
      <c r="EV51" s="95">
        <f>IF(AP51="",10,MIN(VLOOKUP(D51,Tables!$B$3:$N$34,13,FALSE()),'Item Builder'!$W51))</f>
        <v>10</v>
      </c>
      <c r="EW51" s="95">
        <f>IF(AQ51="",10,MIN(VLOOKUP(E51,Tables!$B$3:$N$34,13,FALSE()),'Item Builder'!$W51))</f>
        <v>10</v>
      </c>
      <c r="EX51" s="95">
        <f>IF(AR51="",10,MIN(VLOOKUP(F51,Tables!$B$3:$N$34,13,FALSE()),'Item Builder'!$W51))</f>
        <v>10</v>
      </c>
      <c r="EY51" s="95">
        <f>IF(AS51="",10,MIN(VLOOKUP(G51,Tables!$B$3:$N$34,13,FALSE()),'Item Builder'!$W51))</f>
        <v>10</v>
      </c>
      <c r="EZ51" s="95">
        <f>IF(AT51="",10,MIN(VLOOKUP(H51,Tables!$B$3:$N$34,13,FALSE()),'Item Builder'!$W51))</f>
        <v>10</v>
      </c>
      <c r="FA51" s="95">
        <f>IF(AU51="",10,MIN(VLOOKUP(I51,Tables!$B$3:$N$34,13,FALSE()),'Item Builder'!$W51))</f>
        <v>10</v>
      </c>
      <c r="FB51" s="95">
        <f>IF(AV51="",10,MIN(VLOOKUP(J51,Tables!$B$3:$N$34,13,FALSE()),'Item Builder'!$W51))</f>
        <v>10</v>
      </c>
      <c r="FC51" s="95">
        <f>IF(AW51="",10,MIN(VLOOKUP(K51,Tables!$B$3:$N$34,13,FALSE()),'Item Builder'!$W51))</f>
        <v>10</v>
      </c>
      <c r="FD51" s="95">
        <f>IF(AX51="",10,MIN(VLOOKUP(L51,Tables!$B$3:$N$34,13,FALSE()),'Item Builder'!$W51))</f>
        <v>10</v>
      </c>
      <c r="FE51" s="95">
        <f>IF(AY51="",10,MIN(VLOOKUP(M51,Tables!$B$3:$N$34,13,FALSE()),'Item Builder'!$W51))</f>
        <v>0</v>
      </c>
      <c r="FF51" s="95">
        <f>IF(AZ51="",10,MIN(VLOOKUP(N51,Tables!$B$3:$N$34,13,FALSE()),'Item Builder'!$W51))</f>
        <v>0</v>
      </c>
      <c r="FG51" s="95">
        <f>IF(BA51="",10,MIN(VLOOKUP(O51,Tables!$B$3:$N$34,13,FALSE()),'Item Builder'!$W51))</f>
        <v>10</v>
      </c>
      <c r="FH51" s="98">
        <f>IF(BB51="",10,MIN(VLOOKUP(P51,Tables!$B$3:$N$34,13,FALSE()),'Item Builder'!$W51))</f>
        <v>10</v>
      </c>
    </row>
    <row r="52" spans="1:164" x14ac:dyDescent="0.25">
      <c r="A52" s="67" t="s">
        <v>217</v>
      </c>
      <c r="B52" s="68"/>
      <c r="C52" s="69"/>
      <c r="D52" s="70" t="s">
        <v>104</v>
      </c>
      <c r="E52" s="68"/>
      <c r="F52" s="69"/>
      <c r="G52" s="69"/>
      <c r="H52" s="69"/>
      <c r="I52" s="70"/>
      <c r="J52" s="68" t="s">
        <v>104</v>
      </c>
      <c r="K52" s="69" t="s">
        <v>104</v>
      </c>
      <c r="L52" s="70"/>
      <c r="M52" s="68"/>
      <c r="N52" s="69"/>
      <c r="O52" s="69"/>
      <c r="P52" s="71"/>
      <c r="Q52" s="72">
        <f>SUM(BV52:CJ52)*VLOOKUP(W52,Tables!$W$3:$Z$8,4)</f>
        <v>208</v>
      </c>
      <c r="R52" s="73">
        <f t="shared" si="0"/>
        <v>7.2799999999999994</v>
      </c>
      <c r="S52" s="74">
        <f t="shared" si="1"/>
        <v>0</v>
      </c>
      <c r="T52" s="74">
        <f t="shared" si="2"/>
        <v>0</v>
      </c>
      <c r="U52" s="75">
        <f t="shared" si="3"/>
        <v>78</v>
      </c>
      <c r="V52" s="76">
        <f t="shared" si="4"/>
        <v>156</v>
      </c>
      <c r="W52" s="77">
        <v>0</v>
      </c>
      <c r="X52" s="78">
        <f t="shared" si="5"/>
        <v>0</v>
      </c>
      <c r="Y52" s="79">
        <f t="shared" si="6"/>
        <v>0</v>
      </c>
      <c r="Z52" s="79">
        <f t="shared" si="7"/>
        <v>1</v>
      </c>
      <c r="AA52" s="78">
        <f t="shared" si="8"/>
        <v>0</v>
      </c>
      <c r="AB52" s="79">
        <f t="shared" si="9"/>
        <v>0</v>
      </c>
      <c r="AC52" s="79">
        <f t="shared" si="10"/>
        <v>0</v>
      </c>
      <c r="AD52" s="79">
        <f t="shared" si="11"/>
        <v>0</v>
      </c>
      <c r="AE52" s="79">
        <f t="shared" si="12"/>
        <v>0</v>
      </c>
      <c r="AF52" s="78">
        <f t="shared" si="13"/>
        <v>1</v>
      </c>
      <c r="AG52" s="79">
        <f t="shared" si="14"/>
        <v>1</v>
      </c>
      <c r="AH52" s="79">
        <f t="shared" si="15"/>
        <v>0</v>
      </c>
      <c r="AI52" s="78">
        <f t="shared" si="16"/>
        <v>0</v>
      </c>
      <c r="AJ52" s="79">
        <f t="shared" si="17"/>
        <v>0</v>
      </c>
      <c r="AK52" s="79">
        <f t="shared" si="18"/>
        <v>0</v>
      </c>
      <c r="AL52" s="80">
        <f t="shared" si="19"/>
        <v>0</v>
      </c>
      <c r="AM52" s="81">
        <f t="shared" si="20"/>
        <v>0.26</v>
      </c>
      <c r="AN52" s="82" t="str">
        <f t="shared" si="21"/>
        <v/>
      </c>
      <c r="AO52" s="79" t="str">
        <f t="shared" si="22"/>
        <v/>
      </c>
      <c r="AP52" t="str">
        <f t="shared" si="23"/>
        <v>G</v>
      </c>
      <c r="AQ52" s="82" t="str">
        <f t="shared" si="24"/>
        <v/>
      </c>
      <c r="AR52" t="str">
        <f t="shared" si="25"/>
        <v/>
      </c>
      <c r="AS52" t="str">
        <f t="shared" si="26"/>
        <v/>
      </c>
      <c r="AT52" t="str">
        <f t="shared" si="27"/>
        <v/>
      </c>
      <c r="AU52" t="str">
        <f t="shared" si="28"/>
        <v/>
      </c>
      <c r="AV52" s="82" t="str">
        <f t="shared" si="29"/>
        <v>G</v>
      </c>
      <c r="AW52" t="str">
        <f t="shared" si="30"/>
        <v>G</v>
      </c>
      <c r="AX52" t="str">
        <f t="shared" si="31"/>
        <v/>
      </c>
      <c r="AY52" s="82" t="str">
        <f t="shared" si="32"/>
        <v/>
      </c>
      <c r="AZ52" t="str">
        <f t="shared" si="33"/>
        <v/>
      </c>
      <c r="BA52" t="str">
        <f t="shared" si="34"/>
        <v/>
      </c>
      <c r="BB52" s="83" t="str">
        <f t="shared" si="35"/>
        <v/>
      </c>
      <c r="BC52" s="84">
        <f t="shared" si="36"/>
        <v>0.22222222222222221</v>
      </c>
      <c r="BD52" s="84">
        <f t="shared" si="37"/>
        <v>0</v>
      </c>
      <c r="BE52" s="84">
        <f t="shared" si="38"/>
        <v>0.70588235294117652</v>
      </c>
      <c r="BF52" s="84">
        <f t="shared" si="39"/>
        <v>0</v>
      </c>
      <c r="BG52" s="78">
        <f>IF(AN52="",0,VLOOKUP(AN52,Tables!$AB$3:$AC$12,2))</f>
        <v>0</v>
      </c>
      <c r="BH52" s="79">
        <f>IF(AO52="",0,VLOOKUP(AO52,Tables!$AB$3:$AC$12,2))</f>
        <v>0</v>
      </c>
      <c r="BI52" s="79">
        <f>IF(AP52="",0,VLOOKUP(AP52,Tables!$AB$3:$AC$12,2))</f>
        <v>3</v>
      </c>
      <c r="BJ52" s="78">
        <f>IF(AQ52="",0,VLOOKUP(AQ52,Tables!$AB$3:$AC$12,2))</f>
        <v>0</v>
      </c>
      <c r="BK52" s="79">
        <f>IF(AR52="",0,VLOOKUP(AR52,Tables!$AB$3:$AC$12,2))</f>
        <v>0</v>
      </c>
      <c r="BL52" s="79">
        <f>IF(AS52="",0,VLOOKUP(AS52,Tables!$AB$3:$AC$12,2))</f>
        <v>0</v>
      </c>
      <c r="BM52" s="79">
        <f>IF(AT52="",0,VLOOKUP(AT52,Tables!$AB$3:$AC$12,2))</f>
        <v>0</v>
      </c>
      <c r="BN52" s="79">
        <f>IF(AU52="",0,VLOOKUP(AU52,Tables!$AB$3:$AC$12,2))</f>
        <v>0</v>
      </c>
      <c r="BO52" s="78">
        <f>IF(AV52="",0,VLOOKUP(AV52,Tables!$AB$3:$AC$12,2))</f>
        <v>3</v>
      </c>
      <c r="BP52" s="79">
        <f>IF(AW52="",0,VLOOKUP(AW52,Tables!$AB$3:$AC$12,2))</f>
        <v>3</v>
      </c>
      <c r="BQ52" s="79">
        <f>IF(AX52="",0,VLOOKUP(AX52,Tables!$AB$3:$AC$12,2))</f>
        <v>0</v>
      </c>
      <c r="BR52" s="78">
        <f>IF(AY52="",0,VLOOKUP(AY52,Tables!$AB$3:$AC$12,2))</f>
        <v>0</v>
      </c>
      <c r="BS52" s="79">
        <f>IF(AZ52="",0,VLOOKUP(AZ52,Tables!$AB$3:$AC$12,2))</f>
        <v>0</v>
      </c>
      <c r="BT52" s="79">
        <f>IF(BA52="",0,VLOOKUP(BA52,Tables!$AB$3:$AC$12,2))</f>
        <v>0</v>
      </c>
      <c r="BU52" s="80">
        <f>IF(BB52="",0,VLOOKUP(BB52,Tables!$AB$3:$AC$12,2))</f>
        <v>0</v>
      </c>
      <c r="BV52" s="85">
        <f>IF(AN52="",0,VLOOKUP(B52,Tables!$B$3:$D$36,2,FALSE())*X$1)</f>
        <v>0</v>
      </c>
      <c r="BW52" s="72">
        <f>IF(AO52="",0,VLOOKUP(C52,Tables!$B$3:$D$36,2,FALSE())*Y$1)</f>
        <v>0</v>
      </c>
      <c r="BX52" s="72">
        <f>IF(AP52="",0,VLOOKUP(D52,Tables!$B$3:$D$36,2,FALSE())*Z$1)</f>
        <v>16</v>
      </c>
      <c r="BY52" s="85">
        <f>IF(AQ52="",0,VLOOKUP(E52,Tables!$B$3:$D$36,2,FALSE())*AA$1)</f>
        <v>0</v>
      </c>
      <c r="BZ52" s="72">
        <f>IF(AR52="",0,VLOOKUP(F52,Tables!$B$3:$D$36,2,FALSE())*AB$1)</f>
        <v>0</v>
      </c>
      <c r="CA52" s="72">
        <f>IF(AS52="",0,VLOOKUP(G52,Tables!$B$3:$D$36,2,FALSE())*AC$1)</f>
        <v>0</v>
      </c>
      <c r="CB52" s="72">
        <f>IF(AT52="",0,VLOOKUP(H52,Tables!$B$3:$D$36,2,FALSE())*AD$1)</f>
        <v>0</v>
      </c>
      <c r="CC52" s="72">
        <f>IF(AU52="",0,VLOOKUP(I52,Tables!$B$3:$D$36,2,FALSE())*AE$1)</f>
        <v>0</v>
      </c>
      <c r="CD52" s="85">
        <f>IF(AV52="",0,VLOOKUP(J52,Tables!$B$3:$D$36,2,FALSE())*AF$1)</f>
        <v>96</v>
      </c>
      <c r="CE52" s="72">
        <f>IF(AW52="",0,VLOOKUP(K52,Tables!$B$3:$D$36,2,FALSE())*AG$1)</f>
        <v>96</v>
      </c>
      <c r="CF52" s="72">
        <f>IF(AX52="",0,VLOOKUP(L52,Tables!$B$3:$D$36,2,FALSE())*AH$1)</f>
        <v>0</v>
      </c>
      <c r="CG52" s="85">
        <f>IF(AY52="",0,VLOOKUP(M52,Tables!$B$3:$D$36,2,FALSE())*AI$1)</f>
        <v>0</v>
      </c>
      <c r="CH52" s="72">
        <f>IF(AZ52="",0,VLOOKUP(N52,Tables!$B$3:$D$36,2,FALSE())*AJ$1)</f>
        <v>0</v>
      </c>
      <c r="CI52" s="72">
        <f>IF(BA52="",0,VLOOKUP(O52,Tables!$B$3:$D$36,2,FALSE())*AK$1)</f>
        <v>0</v>
      </c>
      <c r="CJ52" s="86">
        <f>IF(BB52="",0,VLOOKUP(P52,Tables!$B$3:$D$36,2,FALSE())*AL$1)</f>
        <v>0</v>
      </c>
      <c r="CK52" s="87">
        <f>IF(AN52="",0,VLOOKUP(B52,Tables!$B$3:$D$36,3,FALSE())*X$1)*IF(OR(AN52="K",AN52="P"),2,1)</f>
        <v>0</v>
      </c>
      <c r="CL52" s="73">
        <f>IF(AO52="",0,VLOOKUP(C52,Tables!$B$3:$D$36,3,FALSE())*Y$1)*IF(OR(AO52="K",AO52="P"),2,1)</f>
        <v>0</v>
      </c>
      <c r="CM52" s="73">
        <f>IF(AP52="",0,VLOOKUP(D52,Tables!$B$3:$D$36,3,FALSE())*Z$1)*IF(OR(AP52="K",AP52="P"),2,1)</f>
        <v>0.56000000000000005</v>
      </c>
      <c r="CN52" s="87">
        <f>IF(AQ52="",0,VLOOKUP(E52,Tables!$B$3:$D$36,3,FALSE())*AA$1)</f>
        <v>0</v>
      </c>
      <c r="CO52" s="73">
        <f>IF(AR52="",0,VLOOKUP(F52,Tables!$B$3:$D$36,3,FALSE())*AB$1)</f>
        <v>0</v>
      </c>
      <c r="CP52" s="73">
        <f>IF(AS52="",0,VLOOKUP(G52,Tables!$B$3:$D$36,3,FALSE())*AC$1)</f>
        <v>0</v>
      </c>
      <c r="CQ52" s="73">
        <f>IF(AT52="",0,VLOOKUP(H52,Tables!$B$3:$D$36,3,FALSE())*AD$1)</f>
        <v>0</v>
      </c>
      <c r="CR52" s="73">
        <f>IF(AU52="",0,VLOOKUP(I52,Tables!$B$3:$D$36,3,FALSE())*AE$1)</f>
        <v>0</v>
      </c>
      <c r="CS52" s="87">
        <f>IF(AV52="",0,VLOOKUP(J52,Tables!$B$3:$D$36,3,FALSE())*AF$1)</f>
        <v>3.36</v>
      </c>
      <c r="CT52" s="73">
        <f>IF(AW52="",0,VLOOKUP(K52,Tables!$B$3:$D$36,3,FALSE())*AG$1)</f>
        <v>3.36</v>
      </c>
      <c r="CU52" s="73">
        <f>IF(AX52="",0,VLOOKUP(L52,Tables!$B$3:$D$36,3,FALSE())*AH$1)</f>
        <v>0</v>
      </c>
      <c r="CV52" s="87">
        <f>IF(AY52="",0,VLOOKUP(M52,Tables!$B$3:$D$36,3,FALSE())*AI$1)</f>
        <v>0</v>
      </c>
      <c r="CW52" s="73">
        <f>IF(AZ52="",0,VLOOKUP(N52,Tables!$B$3:$D$36,3,FALSE())*AJ$1)</f>
        <v>0</v>
      </c>
      <c r="CX52" s="73">
        <f>IF(BA52="",0,VLOOKUP(O52,Tables!$B$3:$D$36,3,FALSE())*AK$1)</f>
        <v>0</v>
      </c>
      <c r="CY52" s="88">
        <f>IF(BB52="",0,VLOOKUP(P52,Tables!$B$3:$D$36,3,FALSE())*AL$1)</f>
        <v>0</v>
      </c>
      <c r="CZ52" s="89">
        <f t="shared" si="40"/>
        <v>0</v>
      </c>
      <c r="DA52" s="75">
        <f t="shared" si="41"/>
        <v>0</v>
      </c>
      <c r="DB52" s="75">
        <f t="shared" si="42"/>
        <v>1.25</v>
      </c>
      <c r="DC52" s="89">
        <f t="shared" si="43"/>
        <v>0</v>
      </c>
      <c r="DD52" s="75">
        <f t="shared" si="44"/>
        <v>0</v>
      </c>
      <c r="DE52" s="75">
        <f t="shared" si="45"/>
        <v>0</v>
      </c>
      <c r="DF52" s="75">
        <f t="shared" si="46"/>
        <v>0</v>
      </c>
      <c r="DG52" s="75">
        <f t="shared" si="47"/>
        <v>0</v>
      </c>
      <c r="DH52" s="89">
        <f t="shared" si="48"/>
        <v>1.25</v>
      </c>
      <c r="DI52" s="75">
        <f t="shared" si="49"/>
        <v>1.25</v>
      </c>
      <c r="DJ52" s="75">
        <f t="shared" si="50"/>
        <v>0</v>
      </c>
      <c r="DK52" s="89">
        <f t="shared" si="51"/>
        <v>0</v>
      </c>
      <c r="DL52" s="75">
        <f t="shared" si="52"/>
        <v>0</v>
      </c>
      <c r="DM52" s="75">
        <f t="shared" si="53"/>
        <v>0</v>
      </c>
      <c r="DN52" s="90">
        <f t="shared" si="54"/>
        <v>0</v>
      </c>
      <c r="DO52" s="91">
        <f>IF(AN52="",0,VLOOKUP(B52,Tables!$B$3:$M$36,11,FALSE())*X$1)</f>
        <v>0</v>
      </c>
      <c r="DP52" s="92">
        <f>IF(AO52="",0,VLOOKUP(C52,Tables!$B$3:$M$36,11,FALSE())*Y$1)</f>
        <v>0</v>
      </c>
      <c r="DQ52" s="92">
        <f>IF(AP52="",0,VLOOKUP(D52,Tables!$B$3:$M$36,11,FALSE())*Z$1)</f>
        <v>6</v>
      </c>
      <c r="DR52" s="91">
        <f>IF(AQ52="",0,VLOOKUP(E52,Tables!$B$3:$M$36,11,FALSE())*AA$1)</f>
        <v>0</v>
      </c>
      <c r="DS52" s="92">
        <f>IF(AR52="",0,VLOOKUP(F52,Tables!$B$3:$M$36,11,FALSE())*AB$1)</f>
        <v>0</v>
      </c>
      <c r="DT52" s="92">
        <f>IF(AS52="",0,VLOOKUP(G52,Tables!$B$3:$M$36,11,FALSE())*AC$1)</f>
        <v>0</v>
      </c>
      <c r="DU52" s="92">
        <f>IF(AT52="",0,VLOOKUP(H52,Tables!$B$3:$M$36,11,FALSE())*AD$1)</f>
        <v>0</v>
      </c>
      <c r="DV52" s="92">
        <f>IF(AU52="",0,VLOOKUP(I52,Tables!$B$3:$M$36,11,FALSE())*AE$1)</f>
        <v>0</v>
      </c>
      <c r="DW52" s="91">
        <f>IF(AV52="",0,VLOOKUP(J52,Tables!$B$3:$M$36,11,FALSE())*AF$1)</f>
        <v>36</v>
      </c>
      <c r="DX52" s="92">
        <f>IF(AW52="",0,VLOOKUP(K52,Tables!$B$3:$M$36,11,FALSE())*AG$1)</f>
        <v>36</v>
      </c>
      <c r="DY52" s="92">
        <f>IF(AX52="",0,VLOOKUP(L52,Tables!$B$3:$M$36,11,FALSE())*AH$1)</f>
        <v>0</v>
      </c>
      <c r="DZ52" s="91">
        <f>IF(AY52="",0,VLOOKUP(M52,Tables!$B$3:$M$36,11,FALSE())*AI$1)</f>
        <v>0</v>
      </c>
      <c r="EA52" s="92">
        <f>IF(AZ52="",0,VLOOKUP(N52,Tables!$B$3:$M$36,11,FALSE())*AJ$1)</f>
        <v>0</v>
      </c>
      <c r="EB52" s="92">
        <f>IF(BA52="",0,VLOOKUP(O52,Tables!$B$3:$M$36,11,FALSE())*AK$1)</f>
        <v>0</v>
      </c>
      <c r="EC52" s="93">
        <f>IF(BB52="",0,VLOOKUP(P52,Tables!$B$3:$M$36,11,FALSE())*AL$1)</f>
        <v>0</v>
      </c>
      <c r="ED52" s="91">
        <f>IF(AN52="",0,VLOOKUP(B52,Tables!$B$3:$M$36,12,FALSE())*X$1)</f>
        <v>0</v>
      </c>
      <c r="EE52" s="92">
        <f>IF(AO52="",0,VLOOKUP(C52,Tables!$B$3:$M$36,12,FALSE())*Y$1)</f>
        <v>0</v>
      </c>
      <c r="EF52" s="92">
        <f>IF(AP52="",0,VLOOKUP(D52,Tables!$B$3:$M$36,12,FALSE())*Z$1)</f>
        <v>12</v>
      </c>
      <c r="EG52" s="91">
        <f>IF(AQ52="",0,VLOOKUP(E52,Tables!$B$3:$M$36,12,FALSE())*AA$1)</f>
        <v>0</v>
      </c>
      <c r="EH52" s="92">
        <f>IF(AR52="",0,VLOOKUP(F52,Tables!$B$3:$M$36,12,FALSE())*AB$1)</f>
        <v>0</v>
      </c>
      <c r="EI52" s="92">
        <f>IF(AS52="",0,VLOOKUP(G52,Tables!$B$3:$M$36,12,FALSE())*AC$1)</f>
        <v>0</v>
      </c>
      <c r="EJ52" s="92">
        <f>IF(AT52="",0,VLOOKUP(H52,Tables!$B$3:$M$36,12,FALSE())*AD$1)</f>
        <v>0</v>
      </c>
      <c r="EK52" s="92">
        <f>IF(AU52="",0,VLOOKUP(I52,Tables!$B$3:$M$36,12,FALSE())*AE$1)</f>
        <v>0</v>
      </c>
      <c r="EL52" s="91">
        <f>IF(AV52="",0,VLOOKUP(J52,Tables!$B$3:$M$36,12,FALSE())*AF$1)</f>
        <v>72</v>
      </c>
      <c r="EM52" s="92">
        <f>IF(AW52="",0,VLOOKUP(K52,Tables!$B$3:$M$36,12,FALSE())*AG$1)</f>
        <v>72</v>
      </c>
      <c r="EN52" s="92">
        <f>IF(AX52="",0,VLOOKUP(L52,Tables!$B$3:$M$36,12,FALSE())*AH$1)</f>
        <v>0</v>
      </c>
      <c r="EO52" s="91">
        <f>IF(AY52="",0,VLOOKUP(M52,Tables!$B$3:$M$36,12,FALSE())*AI$1)</f>
        <v>0</v>
      </c>
      <c r="EP52" s="92">
        <f>IF(AZ52="",0,VLOOKUP(N52,Tables!$B$3:$M$36,12,FALSE())*AJ$1)</f>
        <v>0</v>
      </c>
      <c r="EQ52" s="92">
        <f>IF(BA52="",0,VLOOKUP(O52,Tables!$B$3:$M$36,12,FALSE())*AK$1)</f>
        <v>0</v>
      </c>
      <c r="ER52" s="93">
        <f>IF(BB52="",0,VLOOKUP(P52,Tables!$B$3:$M$36,12,FALSE())*AL$1)</f>
        <v>0</v>
      </c>
      <c r="ES52" s="94">
        <f t="shared" si="55"/>
        <v>0</v>
      </c>
      <c r="ET52" s="95">
        <f>IF(AN52="",10,MIN(VLOOKUP(B52,Tables!$B$3:$N$34,13,FALSE()),'Item Builder'!$W52))</f>
        <v>10</v>
      </c>
      <c r="EU52" s="95">
        <f>IF(AO52="",10,MIN(VLOOKUP(C52,Tables!$B$3:$N$34,13,FALSE()),'Item Builder'!$W52))</f>
        <v>10</v>
      </c>
      <c r="EV52" s="95">
        <f>IF(AP52="",10,MIN(VLOOKUP(D52,Tables!$B$3:$N$34,13,FALSE()),'Item Builder'!$W52))</f>
        <v>0</v>
      </c>
      <c r="EW52" s="95">
        <f>IF(AQ52="",10,MIN(VLOOKUP(E52,Tables!$B$3:$N$34,13,FALSE()),'Item Builder'!$W52))</f>
        <v>10</v>
      </c>
      <c r="EX52" s="95">
        <f>IF(AR52="",10,MIN(VLOOKUP(F52,Tables!$B$3:$N$34,13,FALSE()),'Item Builder'!$W52))</f>
        <v>10</v>
      </c>
      <c r="EY52" s="95">
        <f>IF(AS52="",10,MIN(VLOOKUP(G52,Tables!$B$3:$N$34,13,FALSE()),'Item Builder'!$W52))</f>
        <v>10</v>
      </c>
      <c r="EZ52" s="95">
        <f>IF(AT52="",10,MIN(VLOOKUP(H52,Tables!$B$3:$N$34,13,FALSE()),'Item Builder'!$W52))</f>
        <v>10</v>
      </c>
      <c r="FA52" s="95">
        <f>IF(AU52="",10,MIN(VLOOKUP(I52,Tables!$B$3:$N$34,13,FALSE()),'Item Builder'!$W52))</f>
        <v>10</v>
      </c>
      <c r="FB52" s="95">
        <f>IF(AV52="",10,MIN(VLOOKUP(J52,Tables!$B$3:$N$34,13,FALSE()),'Item Builder'!$W52))</f>
        <v>0</v>
      </c>
      <c r="FC52" s="95">
        <f>IF(AW52="",10,MIN(VLOOKUP(K52,Tables!$B$3:$N$34,13,FALSE()),'Item Builder'!$W52))</f>
        <v>0</v>
      </c>
      <c r="FD52" s="95">
        <f>IF(AX52="",10,MIN(VLOOKUP(L52,Tables!$B$3:$N$34,13,FALSE()),'Item Builder'!$W52))</f>
        <v>10</v>
      </c>
      <c r="FE52" s="95">
        <f>IF(AY52="",10,MIN(VLOOKUP(M52,Tables!$B$3:$N$34,13,FALSE()),'Item Builder'!$W52))</f>
        <v>10</v>
      </c>
      <c r="FF52" s="95">
        <f>IF(AZ52="",10,MIN(VLOOKUP(N52,Tables!$B$3:$N$34,13,FALSE()),'Item Builder'!$W52))</f>
        <v>10</v>
      </c>
      <c r="FG52" s="95">
        <f>IF(BA52="",10,MIN(VLOOKUP(O52,Tables!$B$3:$N$34,13,FALSE()),'Item Builder'!$W52))</f>
        <v>10</v>
      </c>
      <c r="FH52" s="98">
        <f>IF(BB52="",10,MIN(VLOOKUP(P52,Tables!$B$3:$N$34,13,FALSE()),'Item Builder'!$W52))</f>
        <v>10</v>
      </c>
    </row>
    <row r="53" spans="1:164" x14ac:dyDescent="0.25">
      <c r="A53" s="67" t="s">
        <v>218</v>
      </c>
      <c r="B53" s="68"/>
      <c r="C53" s="69"/>
      <c r="D53" s="70" t="s">
        <v>104</v>
      </c>
      <c r="E53" s="68" t="s">
        <v>104</v>
      </c>
      <c r="F53" s="69" t="s">
        <v>104</v>
      </c>
      <c r="G53" s="69"/>
      <c r="H53" s="69"/>
      <c r="I53" s="70"/>
      <c r="J53" s="68" t="s">
        <v>104</v>
      </c>
      <c r="K53" s="69" t="s">
        <v>104</v>
      </c>
      <c r="L53" s="70"/>
      <c r="M53" s="68"/>
      <c r="N53" s="69"/>
      <c r="O53" s="69"/>
      <c r="P53" s="71"/>
      <c r="Q53" s="72">
        <f>SUM(BV53:CJ53)*VLOOKUP(W53,Tables!$W$3:$Z$8,4)</f>
        <v>280</v>
      </c>
      <c r="R53" s="73">
        <f t="shared" si="0"/>
        <v>9.7999999999999989</v>
      </c>
      <c r="S53" s="101">
        <f t="shared" si="1"/>
        <v>5</v>
      </c>
      <c r="T53" s="74">
        <f t="shared" si="2"/>
        <v>0</v>
      </c>
      <c r="U53" s="75">
        <f t="shared" si="3"/>
        <v>105</v>
      </c>
      <c r="V53" s="76">
        <f t="shared" si="4"/>
        <v>210</v>
      </c>
      <c r="W53" s="77">
        <v>0</v>
      </c>
      <c r="X53" s="78">
        <f t="shared" si="5"/>
        <v>0</v>
      </c>
      <c r="Y53" s="79">
        <f t="shared" si="6"/>
        <v>0</v>
      </c>
      <c r="Z53" s="79">
        <f t="shared" si="7"/>
        <v>1</v>
      </c>
      <c r="AA53" s="78">
        <f t="shared" si="8"/>
        <v>1</v>
      </c>
      <c r="AB53" s="79">
        <f t="shared" si="9"/>
        <v>1</v>
      </c>
      <c r="AC53" s="79">
        <f t="shared" si="10"/>
        <v>0</v>
      </c>
      <c r="AD53" s="79">
        <f t="shared" si="11"/>
        <v>0</v>
      </c>
      <c r="AE53" s="79">
        <f t="shared" si="12"/>
        <v>0</v>
      </c>
      <c r="AF53" s="78">
        <f t="shared" si="13"/>
        <v>1</v>
      </c>
      <c r="AG53" s="79">
        <f t="shared" si="14"/>
        <v>1</v>
      </c>
      <c r="AH53" s="79">
        <f t="shared" si="15"/>
        <v>0</v>
      </c>
      <c r="AI53" s="78">
        <f t="shared" si="16"/>
        <v>0</v>
      </c>
      <c r="AJ53" s="79">
        <f t="shared" si="17"/>
        <v>0</v>
      </c>
      <c r="AK53" s="79">
        <f t="shared" si="18"/>
        <v>0</v>
      </c>
      <c r="AL53" s="80">
        <f t="shared" si="19"/>
        <v>0</v>
      </c>
      <c r="AM53" s="81">
        <f t="shared" si="20"/>
        <v>0.35</v>
      </c>
      <c r="AN53" s="82" t="str">
        <f t="shared" si="21"/>
        <v/>
      </c>
      <c r="AO53" s="79" t="str">
        <f t="shared" si="22"/>
        <v/>
      </c>
      <c r="AP53" t="str">
        <f t="shared" si="23"/>
        <v>G</v>
      </c>
      <c r="AQ53" s="82" t="str">
        <f t="shared" si="24"/>
        <v>G</v>
      </c>
      <c r="AR53" t="str">
        <f t="shared" si="25"/>
        <v>G</v>
      </c>
      <c r="AS53" t="str">
        <f t="shared" si="26"/>
        <v/>
      </c>
      <c r="AT53" t="str">
        <f t="shared" si="27"/>
        <v/>
      </c>
      <c r="AU53" t="str">
        <f t="shared" si="28"/>
        <v/>
      </c>
      <c r="AV53" s="82" t="str">
        <f t="shared" si="29"/>
        <v>G</v>
      </c>
      <c r="AW53" t="str">
        <f t="shared" si="30"/>
        <v>G</v>
      </c>
      <c r="AX53" t="str">
        <f t="shared" si="31"/>
        <v/>
      </c>
      <c r="AY53" s="82" t="str">
        <f t="shared" si="32"/>
        <v/>
      </c>
      <c r="AZ53" t="str">
        <f t="shared" si="33"/>
        <v/>
      </c>
      <c r="BA53" t="str">
        <f t="shared" si="34"/>
        <v/>
      </c>
      <c r="BB53" s="83" t="str">
        <f t="shared" si="35"/>
        <v/>
      </c>
      <c r="BC53" s="84">
        <f t="shared" si="36"/>
        <v>0.22222222222222221</v>
      </c>
      <c r="BD53" s="84">
        <f t="shared" si="37"/>
        <v>0.42857142857142849</v>
      </c>
      <c r="BE53" s="84">
        <f t="shared" si="38"/>
        <v>0.70588235294117652</v>
      </c>
      <c r="BF53" s="84">
        <f t="shared" si="39"/>
        <v>0</v>
      </c>
      <c r="BG53" s="78">
        <f>IF(AN53="",0,VLOOKUP(AN53,Tables!$AB$3:$AC$12,2))</f>
        <v>0</v>
      </c>
      <c r="BH53" s="79">
        <f>IF(AO53="",0,VLOOKUP(AO53,Tables!$AB$3:$AC$12,2))</f>
        <v>0</v>
      </c>
      <c r="BI53" s="79">
        <f>IF(AP53="",0,VLOOKUP(AP53,Tables!$AB$3:$AC$12,2))</f>
        <v>3</v>
      </c>
      <c r="BJ53" s="78">
        <f>IF(AQ53="",0,VLOOKUP(AQ53,Tables!$AB$3:$AC$12,2))</f>
        <v>3</v>
      </c>
      <c r="BK53" s="79">
        <f>IF(AR53="",0,VLOOKUP(AR53,Tables!$AB$3:$AC$12,2))</f>
        <v>3</v>
      </c>
      <c r="BL53" s="79">
        <f>IF(AS53="",0,VLOOKUP(AS53,Tables!$AB$3:$AC$12,2))</f>
        <v>0</v>
      </c>
      <c r="BM53" s="79">
        <f>IF(AT53="",0,VLOOKUP(AT53,Tables!$AB$3:$AC$12,2))</f>
        <v>0</v>
      </c>
      <c r="BN53" s="79">
        <f>IF(AU53="",0,VLOOKUP(AU53,Tables!$AB$3:$AC$12,2))</f>
        <v>0</v>
      </c>
      <c r="BO53" s="78">
        <f>IF(AV53="",0,VLOOKUP(AV53,Tables!$AB$3:$AC$12,2))</f>
        <v>3</v>
      </c>
      <c r="BP53" s="79">
        <f>IF(AW53="",0,VLOOKUP(AW53,Tables!$AB$3:$AC$12,2))</f>
        <v>3</v>
      </c>
      <c r="BQ53" s="79">
        <f>IF(AX53="",0,VLOOKUP(AX53,Tables!$AB$3:$AC$12,2))</f>
        <v>0</v>
      </c>
      <c r="BR53" s="78">
        <f>IF(AY53="",0,VLOOKUP(AY53,Tables!$AB$3:$AC$12,2))</f>
        <v>0</v>
      </c>
      <c r="BS53" s="79">
        <f>IF(AZ53="",0,VLOOKUP(AZ53,Tables!$AB$3:$AC$12,2))</f>
        <v>0</v>
      </c>
      <c r="BT53" s="79">
        <f>IF(BA53="",0,VLOOKUP(BA53,Tables!$AB$3:$AC$12,2))</f>
        <v>0</v>
      </c>
      <c r="BU53" s="80">
        <f>IF(BB53="",0,VLOOKUP(BB53,Tables!$AB$3:$AC$12,2))</f>
        <v>0</v>
      </c>
      <c r="BV53" s="85">
        <f>IF(AN53="",0,VLOOKUP(B53,Tables!$B$3:$D$36,2,FALSE())*X$1)</f>
        <v>0</v>
      </c>
      <c r="BW53" s="72">
        <f>IF(AO53="",0,VLOOKUP(C53,Tables!$B$3:$D$36,2,FALSE())*Y$1)</f>
        <v>0</v>
      </c>
      <c r="BX53" s="72">
        <f>IF(AP53="",0,VLOOKUP(D53,Tables!$B$3:$D$36,2,FALSE())*Z$1)</f>
        <v>16</v>
      </c>
      <c r="BY53" s="85">
        <f>IF(AQ53="",0,VLOOKUP(E53,Tables!$B$3:$D$36,2,FALSE())*AA$1)</f>
        <v>24</v>
      </c>
      <c r="BZ53" s="72">
        <f>IF(AR53="",0,VLOOKUP(F53,Tables!$B$3:$D$36,2,FALSE())*AB$1)</f>
        <v>48</v>
      </c>
      <c r="CA53" s="72">
        <f>IF(AS53="",0,VLOOKUP(G53,Tables!$B$3:$D$36,2,FALSE())*AC$1)</f>
        <v>0</v>
      </c>
      <c r="CB53" s="72">
        <f>IF(AT53="",0,VLOOKUP(H53,Tables!$B$3:$D$36,2,FALSE())*AD$1)</f>
        <v>0</v>
      </c>
      <c r="CC53" s="72">
        <f>IF(AU53="",0,VLOOKUP(I53,Tables!$B$3:$D$36,2,FALSE())*AE$1)</f>
        <v>0</v>
      </c>
      <c r="CD53" s="85">
        <f>IF(AV53="",0,VLOOKUP(J53,Tables!$B$3:$D$36,2,FALSE())*AF$1)</f>
        <v>96</v>
      </c>
      <c r="CE53" s="72">
        <f>IF(AW53="",0,VLOOKUP(K53,Tables!$B$3:$D$36,2,FALSE())*AG$1)</f>
        <v>96</v>
      </c>
      <c r="CF53" s="72">
        <f>IF(AX53="",0,VLOOKUP(L53,Tables!$B$3:$D$36,2,FALSE())*AH$1)</f>
        <v>0</v>
      </c>
      <c r="CG53" s="85">
        <f>IF(AY53="",0,VLOOKUP(M53,Tables!$B$3:$D$36,2,FALSE())*AI$1)</f>
        <v>0</v>
      </c>
      <c r="CH53" s="72">
        <f>IF(AZ53="",0,VLOOKUP(N53,Tables!$B$3:$D$36,2,FALSE())*AJ$1)</f>
        <v>0</v>
      </c>
      <c r="CI53" s="72">
        <f>IF(BA53="",0,VLOOKUP(O53,Tables!$B$3:$D$36,2,FALSE())*AK$1)</f>
        <v>0</v>
      </c>
      <c r="CJ53" s="86">
        <f>IF(BB53="",0,VLOOKUP(P53,Tables!$B$3:$D$36,2,FALSE())*AL$1)</f>
        <v>0</v>
      </c>
      <c r="CK53" s="87">
        <f>IF(AN53="",0,VLOOKUP(B53,Tables!$B$3:$D$36,3,FALSE())*X$1)*IF(OR(AN53="K",AN53="P"),2,1)</f>
        <v>0</v>
      </c>
      <c r="CL53" s="73">
        <f>IF(AO53="",0,VLOOKUP(C53,Tables!$B$3:$D$36,3,FALSE())*Y$1)*IF(OR(AO53="K",AO53="P"),2,1)</f>
        <v>0</v>
      </c>
      <c r="CM53" s="73">
        <f>IF(AP53="",0,VLOOKUP(D53,Tables!$B$3:$D$36,3,FALSE())*Z$1)*IF(OR(AP53="K",AP53="P"),2,1)</f>
        <v>0.56000000000000005</v>
      </c>
      <c r="CN53" s="87">
        <f>IF(AQ53="",0,VLOOKUP(E53,Tables!$B$3:$D$36,3,FALSE())*AA$1)</f>
        <v>0.84</v>
      </c>
      <c r="CO53" s="73">
        <f>IF(AR53="",0,VLOOKUP(F53,Tables!$B$3:$D$36,3,FALSE())*AB$1)</f>
        <v>1.68</v>
      </c>
      <c r="CP53" s="73">
        <f>IF(AS53="",0,VLOOKUP(G53,Tables!$B$3:$D$36,3,FALSE())*AC$1)</f>
        <v>0</v>
      </c>
      <c r="CQ53" s="73">
        <f>IF(AT53="",0,VLOOKUP(H53,Tables!$B$3:$D$36,3,FALSE())*AD$1)</f>
        <v>0</v>
      </c>
      <c r="CR53" s="73">
        <f>IF(AU53="",0,VLOOKUP(I53,Tables!$B$3:$D$36,3,FALSE())*AE$1)</f>
        <v>0</v>
      </c>
      <c r="CS53" s="87">
        <f>IF(AV53="",0,VLOOKUP(J53,Tables!$B$3:$D$36,3,FALSE())*AF$1)</f>
        <v>3.36</v>
      </c>
      <c r="CT53" s="73">
        <f>IF(AW53="",0,VLOOKUP(K53,Tables!$B$3:$D$36,3,FALSE())*AG$1)</f>
        <v>3.36</v>
      </c>
      <c r="CU53" s="73">
        <f>IF(AX53="",0,VLOOKUP(L53,Tables!$B$3:$D$36,3,FALSE())*AH$1)</f>
        <v>0</v>
      </c>
      <c r="CV53" s="87">
        <f>IF(AY53="",0,VLOOKUP(M53,Tables!$B$3:$D$36,3,FALSE())*AI$1)</f>
        <v>0</v>
      </c>
      <c r="CW53" s="73">
        <f>IF(AZ53="",0,VLOOKUP(N53,Tables!$B$3:$D$36,3,FALSE())*AJ$1)</f>
        <v>0</v>
      </c>
      <c r="CX53" s="73">
        <f>IF(BA53="",0,VLOOKUP(O53,Tables!$B$3:$D$36,3,FALSE())*AK$1)</f>
        <v>0</v>
      </c>
      <c r="CY53" s="88">
        <f>IF(BB53="",0,VLOOKUP(P53,Tables!$B$3:$D$36,3,FALSE())*AL$1)</f>
        <v>0</v>
      </c>
      <c r="CZ53" s="89">
        <f t="shared" si="40"/>
        <v>0</v>
      </c>
      <c r="DA53" s="75">
        <f t="shared" si="41"/>
        <v>0</v>
      </c>
      <c r="DB53" s="75">
        <f t="shared" si="42"/>
        <v>1.25</v>
      </c>
      <c r="DC53" s="89">
        <f t="shared" si="43"/>
        <v>1.25</v>
      </c>
      <c r="DD53" s="75">
        <f t="shared" si="44"/>
        <v>1.25</v>
      </c>
      <c r="DE53" s="75">
        <f t="shared" si="45"/>
        <v>0</v>
      </c>
      <c r="DF53" s="75">
        <f t="shared" si="46"/>
        <v>0</v>
      </c>
      <c r="DG53" s="75">
        <f t="shared" si="47"/>
        <v>0</v>
      </c>
      <c r="DH53" s="89">
        <f t="shared" si="48"/>
        <v>1.25</v>
      </c>
      <c r="DI53" s="75">
        <f t="shared" si="49"/>
        <v>1.25</v>
      </c>
      <c r="DJ53" s="75">
        <f t="shared" si="50"/>
        <v>0</v>
      </c>
      <c r="DK53" s="89">
        <f t="shared" si="51"/>
        <v>0</v>
      </c>
      <c r="DL53" s="75">
        <f t="shared" si="52"/>
        <v>0</v>
      </c>
      <c r="DM53" s="75">
        <f t="shared" si="53"/>
        <v>0</v>
      </c>
      <c r="DN53" s="90">
        <f t="shared" si="54"/>
        <v>0</v>
      </c>
      <c r="DO53" s="91">
        <f>IF(AN53="",0,VLOOKUP(B53,Tables!$B$3:$M$36,11,FALSE())*X$1)</f>
        <v>0</v>
      </c>
      <c r="DP53" s="92">
        <f>IF(AO53="",0,VLOOKUP(C53,Tables!$B$3:$M$36,11,FALSE())*Y$1)</f>
        <v>0</v>
      </c>
      <c r="DQ53" s="92">
        <f>IF(AP53="",0,VLOOKUP(D53,Tables!$B$3:$M$36,11,FALSE())*Z$1)</f>
        <v>6</v>
      </c>
      <c r="DR53" s="91">
        <f>IF(AQ53="",0,VLOOKUP(E53,Tables!$B$3:$M$36,11,FALSE())*AA$1)</f>
        <v>9</v>
      </c>
      <c r="DS53" s="92">
        <f>IF(AR53="",0,VLOOKUP(F53,Tables!$B$3:$M$36,11,FALSE())*AB$1)</f>
        <v>18</v>
      </c>
      <c r="DT53" s="92">
        <f>IF(AS53="",0,VLOOKUP(G53,Tables!$B$3:$M$36,11,FALSE())*AC$1)</f>
        <v>0</v>
      </c>
      <c r="DU53" s="92">
        <f>IF(AT53="",0,VLOOKUP(H53,Tables!$B$3:$M$36,11,FALSE())*AD$1)</f>
        <v>0</v>
      </c>
      <c r="DV53" s="92">
        <f>IF(AU53="",0,VLOOKUP(I53,Tables!$B$3:$M$36,11,FALSE())*AE$1)</f>
        <v>0</v>
      </c>
      <c r="DW53" s="91">
        <f>IF(AV53="",0,VLOOKUP(J53,Tables!$B$3:$M$36,11,FALSE())*AF$1)</f>
        <v>36</v>
      </c>
      <c r="DX53" s="92">
        <f>IF(AW53="",0,VLOOKUP(K53,Tables!$B$3:$M$36,11,FALSE())*AG$1)</f>
        <v>36</v>
      </c>
      <c r="DY53" s="92">
        <f>IF(AX53="",0,VLOOKUP(L53,Tables!$B$3:$M$36,11,FALSE())*AH$1)</f>
        <v>0</v>
      </c>
      <c r="DZ53" s="91">
        <f>IF(AY53="",0,VLOOKUP(M53,Tables!$B$3:$M$36,11,FALSE())*AI$1)</f>
        <v>0</v>
      </c>
      <c r="EA53" s="92">
        <f>IF(AZ53="",0,VLOOKUP(N53,Tables!$B$3:$M$36,11,FALSE())*AJ$1)</f>
        <v>0</v>
      </c>
      <c r="EB53" s="92">
        <f>IF(BA53="",0,VLOOKUP(O53,Tables!$B$3:$M$36,11,FALSE())*AK$1)</f>
        <v>0</v>
      </c>
      <c r="EC53" s="93">
        <f>IF(BB53="",0,VLOOKUP(P53,Tables!$B$3:$M$36,11,FALSE())*AL$1)</f>
        <v>0</v>
      </c>
      <c r="ED53" s="91">
        <f>IF(AN53="",0,VLOOKUP(B53,Tables!$B$3:$M$36,12,FALSE())*X$1)</f>
        <v>0</v>
      </c>
      <c r="EE53" s="92">
        <f>IF(AO53="",0,VLOOKUP(C53,Tables!$B$3:$M$36,12,FALSE())*Y$1)</f>
        <v>0</v>
      </c>
      <c r="EF53" s="92">
        <f>IF(AP53="",0,VLOOKUP(D53,Tables!$B$3:$M$36,12,FALSE())*Z$1)</f>
        <v>12</v>
      </c>
      <c r="EG53" s="91">
        <f>IF(AQ53="",0,VLOOKUP(E53,Tables!$B$3:$M$36,12,FALSE())*AA$1)</f>
        <v>18</v>
      </c>
      <c r="EH53" s="92">
        <f>IF(AR53="",0,VLOOKUP(F53,Tables!$B$3:$M$36,12,FALSE())*AB$1)</f>
        <v>36</v>
      </c>
      <c r="EI53" s="92">
        <f>IF(AS53="",0,VLOOKUP(G53,Tables!$B$3:$M$36,12,FALSE())*AC$1)</f>
        <v>0</v>
      </c>
      <c r="EJ53" s="92">
        <f>IF(AT53="",0,VLOOKUP(H53,Tables!$B$3:$M$36,12,FALSE())*AD$1)</f>
        <v>0</v>
      </c>
      <c r="EK53" s="92">
        <f>IF(AU53="",0,VLOOKUP(I53,Tables!$B$3:$M$36,12,FALSE())*AE$1)</f>
        <v>0</v>
      </c>
      <c r="EL53" s="91">
        <f>IF(AV53="",0,VLOOKUP(J53,Tables!$B$3:$M$36,12,FALSE())*AF$1)</f>
        <v>72</v>
      </c>
      <c r="EM53" s="92">
        <f>IF(AW53="",0,VLOOKUP(K53,Tables!$B$3:$M$36,12,FALSE())*AG$1)</f>
        <v>72</v>
      </c>
      <c r="EN53" s="92">
        <f>IF(AX53="",0,VLOOKUP(L53,Tables!$B$3:$M$36,12,FALSE())*AH$1)</f>
        <v>0</v>
      </c>
      <c r="EO53" s="91">
        <f>IF(AY53="",0,VLOOKUP(M53,Tables!$B$3:$M$36,12,FALSE())*AI$1)</f>
        <v>0</v>
      </c>
      <c r="EP53" s="92">
        <f>IF(AZ53="",0,VLOOKUP(N53,Tables!$B$3:$M$36,12,FALSE())*AJ$1)</f>
        <v>0</v>
      </c>
      <c r="EQ53" s="92">
        <f>IF(BA53="",0,VLOOKUP(O53,Tables!$B$3:$M$36,12,FALSE())*AK$1)</f>
        <v>0</v>
      </c>
      <c r="ER53" s="93">
        <f>IF(BB53="",0,VLOOKUP(P53,Tables!$B$3:$M$36,12,FALSE())*AL$1)</f>
        <v>0</v>
      </c>
      <c r="ES53" s="94">
        <f t="shared" si="55"/>
        <v>0</v>
      </c>
      <c r="ET53" s="95">
        <f>IF(AN53="",10,MIN(VLOOKUP(B53,Tables!$B$3:$N$34,13,FALSE()),'Item Builder'!$W53))</f>
        <v>10</v>
      </c>
      <c r="EU53" s="95">
        <f>IF(AO53="",10,MIN(VLOOKUP(C53,Tables!$B$3:$N$34,13,FALSE()),'Item Builder'!$W53))</f>
        <v>10</v>
      </c>
      <c r="EV53" s="95">
        <f>IF(AP53="",10,MIN(VLOOKUP(D53,Tables!$B$3:$N$34,13,FALSE()),'Item Builder'!$W53))</f>
        <v>0</v>
      </c>
      <c r="EW53" s="95">
        <f>IF(AQ53="",10,MIN(VLOOKUP(E53,Tables!$B$3:$N$34,13,FALSE()),'Item Builder'!$W53))</f>
        <v>0</v>
      </c>
      <c r="EX53" s="95">
        <f>IF(AR53="",10,MIN(VLOOKUP(F53,Tables!$B$3:$N$34,13,FALSE()),'Item Builder'!$W53))</f>
        <v>0</v>
      </c>
      <c r="EY53" s="95">
        <f>IF(AS53="",10,MIN(VLOOKUP(G53,Tables!$B$3:$N$34,13,FALSE()),'Item Builder'!$W53))</f>
        <v>10</v>
      </c>
      <c r="EZ53" s="95">
        <f>IF(AT53="",10,MIN(VLOOKUP(H53,Tables!$B$3:$N$34,13,FALSE()),'Item Builder'!$W53))</f>
        <v>10</v>
      </c>
      <c r="FA53" s="95">
        <f>IF(AU53="",10,MIN(VLOOKUP(I53,Tables!$B$3:$N$34,13,FALSE()),'Item Builder'!$W53))</f>
        <v>10</v>
      </c>
      <c r="FB53" s="95">
        <f>IF(AV53="",10,MIN(VLOOKUP(J53,Tables!$B$3:$N$34,13,FALSE()),'Item Builder'!$W53))</f>
        <v>0</v>
      </c>
      <c r="FC53" s="95">
        <f>IF(AW53="",10,MIN(VLOOKUP(K53,Tables!$B$3:$N$34,13,FALSE()),'Item Builder'!$W53))</f>
        <v>0</v>
      </c>
      <c r="FD53" s="95">
        <f>IF(AX53="",10,MIN(VLOOKUP(L53,Tables!$B$3:$N$34,13,FALSE()),'Item Builder'!$W53))</f>
        <v>10</v>
      </c>
      <c r="FE53" s="95">
        <f>IF(AY53="",10,MIN(VLOOKUP(M53,Tables!$B$3:$N$34,13,FALSE()),'Item Builder'!$W53))</f>
        <v>10</v>
      </c>
      <c r="FF53" s="95">
        <f>IF(AZ53="",10,MIN(VLOOKUP(N53,Tables!$B$3:$N$34,13,FALSE()),'Item Builder'!$W53))</f>
        <v>10</v>
      </c>
      <c r="FG53" s="95">
        <f>IF(BA53="",10,MIN(VLOOKUP(O53,Tables!$B$3:$N$34,13,FALSE()),'Item Builder'!$W53))</f>
        <v>10</v>
      </c>
      <c r="FH53" s="98">
        <f>IF(BB53="",10,MIN(VLOOKUP(P53,Tables!$B$3:$N$34,13,FALSE()),'Item Builder'!$W53))</f>
        <v>10</v>
      </c>
    </row>
    <row r="54" spans="1:164" x14ac:dyDescent="0.25">
      <c r="A54" s="67" t="s">
        <v>219</v>
      </c>
      <c r="B54" s="68"/>
      <c r="C54" s="69"/>
      <c r="D54" s="70" t="s">
        <v>104</v>
      </c>
      <c r="E54" s="68" t="s">
        <v>104</v>
      </c>
      <c r="F54" s="69"/>
      <c r="G54" s="69"/>
      <c r="H54" s="69"/>
      <c r="I54" s="70"/>
      <c r="J54" s="68" t="s">
        <v>104</v>
      </c>
      <c r="K54" s="69" t="s">
        <v>104</v>
      </c>
      <c r="L54" s="70" t="s">
        <v>104</v>
      </c>
      <c r="M54" s="68"/>
      <c r="N54" s="69"/>
      <c r="O54" s="69"/>
      <c r="P54" s="71"/>
      <c r="Q54" s="72">
        <f>SUM(BV54:CJ54)*VLOOKUP(W54,Tables!$W$3:$Z$8,4)</f>
        <v>312</v>
      </c>
      <c r="R54" s="73">
        <f t="shared" si="0"/>
        <v>10.92</v>
      </c>
      <c r="S54" s="101">
        <f t="shared" si="1"/>
        <v>5</v>
      </c>
      <c r="T54" s="74">
        <f t="shared" si="2"/>
        <v>0</v>
      </c>
      <c r="U54" s="75">
        <f t="shared" si="3"/>
        <v>117</v>
      </c>
      <c r="V54" s="76">
        <f t="shared" si="4"/>
        <v>234</v>
      </c>
      <c r="W54" s="77">
        <v>0</v>
      </c>
      <c r="X54" s="78">
        <f t="shared" si="5"/>
        <v>0</v>
      </c>
      <c r="Y54" s="79">
        <f t="shared" si="6"/>
        <v>0</v>
      </c>
      <c r="Z54" s="79">
        <f t="shared" si="7"/>
        <v>1</v>
      </c>
      <c r="AA54" s="78">
        <f t="shared" si="8"/>
        <v>1</v>
      </c>
      <c r="AB54" s="79">
        <f t="shared" si="9"/>
        <v>0</v>
      </c>
      <c r="AC54" s="79">
        <f t="shared" si="10"/>
        <v>0</v>
      </c>
      <c r="AD54" s="79">
        <f t="shared" si="11"/>
        <v>0</v>
      </c>
      <c r="AE54" s="79">
        <f t="shared" si="12"/>
        <v>0</v>
      </c>
      <c r="AF54" s="78">
        <f t="shared" si="13"/>
        <v>1</v>
      </c>
      <c r="AG54" s="79">
        <f t="shared" si="14"/>
        <v>1</v>
      </c>
      <c r="AH54" s="79">
        <f t="shared" si="15"/>
        <v>1</v>
      </c>
      <c r="AI54" s="78">
        <f t="shared" si="16"/>
        <v>0</v>
      </c>
      <c r="AJ54" s="79">
        <f t="shared" si="17"/>
        <v>0</v>
      </c>
      <c r="AK54" s="79">
        <f t="shared" si="18"/>
        <v>0</v>
      </c>
      <c r="AL54" s="80">
        <f t="shared" si="19"/>
        <v>0</v>
      </c>
      <c r="AM54" s="81">
        <f t="shared" si="20"/>
        <v>0.39</v>
      </c>
      <c r="AN54" s="82" t="str">
        <f t="shared" si="21"/>
        <v/>
      </c>
      <c r="AO54" s="79" t="str">
        <f t="shared" si="22"/>
        <v/>
      </c>
      <c r="AP54" t="str">
        <f t="shared" si="23"/>
        <v>G</v>
      </c>
      <c r="AQ54" s="82" t="str">
        <f t="shared" si="24"/>
        <v>G</v>
      </c>
      <c r="AR54" t="str">
        <f t="shared" si="25"/>
        <v/>
      </c>
      <c r="AS54" t="str">
        <f t="shared" si="26"/>
        <v/>
      </c>
      <c r="AT54" t="str">
        <f t="shared" si="27"/>
        <v/>
      </c>
      <c r="AU54" t="str">
        <f t="shared" si="28"/>
        <v/>
      </c>
      <c r="AV54" s="82" t="str">
        <f t="shared" si="29"/>
        <v>G</v>
      </c>
      <c r="AW54" t="str">
        <f t="shared" si="30"/>
        <v>G</v>
      </c>
      <c r="AX54" t="str">
        <f t="shared" si="31"/>
        <v>G</v>
      </c>
      <c r="AY54" s="82" t="str">
        <f t="shared" si="32"/>
        <v/>
      </c>
      <c r="AZ54" t="str">
        <f t="shared" si="33"/>
        <v/>
      </c>
      <c r="BA54" t="str">
        <f t="shared" si="34"/>
        <v/>
      </c>
      <c r="BB54" s="83" t="str">
        <f t="shared" si="35"/>
        <v/>
      </c>
      <c r="BC54" s="84">
        <f t="shared" si="36"/>
        <v>0.22222222222222221</v>
      </c>
      <c r="BD54" s="84">
        <f t="shared" si="37"/>
        <v>0.14285714285714285</v>
      </c>
      <c r="BE54" s="84">
        <f t="shared" si="38"/>
        <v>1</v>
      </c>
      <c r="BF54" s="84">
        <f t="shared" si="39"/>
        <v>0</v>
      </c>
      <c r="BG54" s="78">
        <f>IF(AN54="",0,VLOOKUP(AN54,Tables!$AB$3:$AC$12,2))</f>
        <v>0</v>
      </c>
      <c r="BH54" s="79">
        <f>IF(AO54="",0,VLOOKUP(AO54,Tables!$AB$3:$AC$12,2))</f>
        <v>0</v>
      </c>
      <c r="BI54" s="79">
        <f>IF(AP54="",0,VLOOKUP(AP54,Tables!$AB$3:$AC$12,2))</f>
        <v>3</v>
      </c>
      <c r="BJ54" s="78">
        <f>IF(AQ54="",0,VLOOKUP(AQ54,Tables!$AB$3:$AC$12,2))</f>
        <v>3</v>
      </c>
      <c r="BK54" s="79">
        <f>IF(AR54="",0,VLOOKUP(AR54,Tables!$AB$3:$AC$12,2))</f>
        <v>0</v>
      </c>
      <c r="BL54" s="79">
        <f>IF(AS54="",0,VLOOKUP(AS54,Tables!$AB$3:$AC$12,2))</f>
        <v>0</v>
      </c>
      <c r="BM54" s="79">
        <f>IF(AT54="",0,VLOOKUP(AT54,Tables!$AB$3:$AC$12,2))</f>
        <v>0</v>
      </c>
      <c r="BN54" s="79">
        <f>IF(AU54="",0,VLOOKUP(AU54,Tables!$AB$3:$AC$12,2))</f>
        <v>0</v>
      </c>
      <c r="BO54" s="78">
        <f>IF(AV54="",0,VLOOKUP(AV54,Tables!$AB$3:$AC$12,2))</f>
        <v>3</v>
      </c>
      <c r="BP54" s="79">
        <f>IF(AW54="",0,VLOOKUP(AW54,Tables!$AB$3:$AC$12,2))</f>
        <v>3</v>
      </c>
      <c r="BQ54" s="79">
        <f>IF(AX54="",0,VLOOKUP(AX54,Tables!$AB$3:$AC$12,2))</f>
        <v>3</v>
      </c>
      <c r="BR54" s="78">
        <f>IF(AY54="",0,VLOOKUP(AY54,Tables!$AB$3:$AC$12,2))</f>
        <v>0</v>
      </c>
      <c r="BS54" s="79">
        <f>IF(AZ54="",0,VLOOKUP(AZ54,Tables!$AB$3:$AC$12,2))</f>
        <v>0</v>
      </c>
      <c r="BT54" s="79">
        <f>IF(BA54="",0,VLOOKUP(BA54,Tables!$AB$3:$AC$12,2))</f>
        <v>0</v>
      </c>
      <c r="BU54" s="80">
        <f>IF(BB54="",0,VLOOKUP(BB54,Tables!$AB$3:$AC$12,2))</f>
        <v>0</v>
      </c>
      <c r="BV54" s="85">
        <f>IF(AN54="",0,VLOOKUP(B54,Tables!$B$3:$D$36,2,FALSE())*X$1)</f>
        <v>0</v>
      </c>
      <c r="BW54" s="72">
        <f>IF(AO54="",0,VLOOKUP(C54,Tables!$B$3:$D$36,2,FALSE())*Y$1)</f>
        <v>0</v>
      </c>
      <c r="BX54" s="72">
        <f>IF(AP54="",0,VLOOKUP(D54,Tables!$B$3:$D$36,2,FALSE())*Z$1)</f>
        <v>16</v>
      </c>
      <c r="BY54" s="85">
        <f>IF(AQ54="",0,VLOOKUP(E54,Tables!$B$3:$D$36,2,FALSE())*AA$1)</f>
        <v>24</v>
      </c>
      <c r="BZ54" s="72">
        <f>IF(AR54="",0,VLOOKUP(F54,Tables!$B$3:$D$36,2,FALSE())*AB$1)</f>
        <v>0</v>
      </c>
      <c r="CA54" s="72">
        <f>IF(AS54="",0,VLOOKUP(G54,Tables!$B$3:$D$36,2,FALSE())*AC$1)</f>
        <v>0</v>
      </c>
      <c r="CB54" s="72">
        <f>IF(AT54="",0,VLOOKUP(H54,Tables!$B$3:$D$36,2,FALSE())*AD$1)</f>
        <v>0</v>
      </c>
      <c r="CC54" s="72">
        <f>IF(AU54="",0,VLOOKUP(I54,Tables!$B$3:$D$36,2,FALSE())*AE$1)</f>
        <v>0</v>
      </c>
      <c r="CD54" s="85">
        <f>IF(AV54="",0,VLOOKUP(J54,Tables!$B$3:$D$36,2,FALSE())*AF$1)</f>
        <v>96</v>
      </c>
      <c r="CE54" s="72">
        <f>IF(AW54="",0,VLOOKUP(K54,Tables!$B$3:$D$36,2,FALSE())*AG$1)</f>
        <v>96</v>
      </c>
      <c r="CF54" s="72">
        <f>IF(AX54="",0,VLOOKUP(L54,Tables!$B$3:$D$36,2,FALSE())*AH$1)</f>
        <v>80</v>
      </c>
      <c r="CG54" s="85">
        <f>IF(AY54="",0,VLOOKUP(M54,Tables!$B$3:$D$36,2,FALSE())*AI$1)</f>
        <v>0</v>
      </c>
      <c r="CH54" s="72">
        <f>IF(AZ54="",0,VLOOKUP(N54,Tables!$B$3:$D$36,2,FALSE())*AJ$1)</f>
        <v>0</v>
      </c>
      <c r="CI54" s="72">
        <f>IF(BA54="",0,VLOOKUP(O54,Tables!$B$3:$D$36,2,FALSE())*AK$1)</f>
        <v>0</v>
      </c>
      <c r="CJ54" s="86">
        <f>IF(BB54="",0,VLOOKUP(P54,Tables!$B$3:$D$36,2,FALSE())*AL$1)</f>
        <v>0</v>
      </c>
      <c r="CK54" s="87">
        <f>IF(AN54="",0,VLOOKUP(B54,Tables!$B$3:$D$36,3,FALSE())*X$1)*IF(OR(AN54="K",AN54="P"),2,1)</f>
        <v>0</v>
      </c>
      <c r="CL54" s="73">
        <f>IF(AO54="",0,VLOOKUP(C54,Tables!$B$3:$D$36,3,FALSE())*Y$1)*IF(OR(AO54="K",AO54="P"),2,1)</f>
        <v>0</v>
      </c>
      <c r="CM54" s="73">
        <f>IF(AP54="",0,VLOOKUP(D54,Tables!$B$3:$D$36,3,FALSE())*Z$1)*IF(OR(AP54="K",AP54="P"),2,1)</f>
        <v>0.56000000000000005</v>
      </c>
      <c r="CN54" s="87">
        <f>IF(AQ54="",0,VLOOKUP(E54,Tables!$B$3:$D$36,3,FALSE())*AA$1)</f>
        <v>0.84</v>
      </c>
      <c r="CO54" s="73">
        <f>IF(AR54="",0,VLOOKUP(F54,Tables!$B$3:$D$36,3,FALSE())*AB$1)</f>
        <v>0</v>
      </c>
      <c r="CP54" s="73">
        <f>IF(AS54="",0,VLOOKUP(G54,Tables!$B$3:$D$36,3,FALSE())*AC$1)</f>
        <v>0</v>
      </c>
      <c r="CQ54" s="73">
        <f>IF(AT54="",0,VLOOKUP(H54,Tables!$B$3:$D$36,3,FALSE())*AD$1)</f>
        <v>0</v>
      </c>
      <c r="CR54" s="73">
        <f>IF(AU54="",0,VLOOKUP(I54,Tables!$B$3:$D$36,3,FALSE())*AE$1)</f>
        <v>0</v>
      </c>
      <c r="CS54" s="87">
        <f>IF(AV54="",0,VLOOKUP(J54,Tables!$B$3:$D$36,3,FALSE())*AF$1)</f>
        <v>3.36</v>
      </c>
      <c r="CT54" s="73">
        <f>IF(AW54="",0,VLOOKUP(K54,Tables!$B$3:$D$36,3,FALSE())*AG$1)</f>
        <v>3.36</v>
      </c>
      <c r="CU54" s="73">
        <f>IF(AX54="",0,VLOOKUP(L54,Tables!$B$3:$D$36,3,FALSE())*AH$1)</f>
        <v>2.8000000000000003</v>
      </c>
      <c r="CV54" s="87">
        <f>IF(AY54="",0,VLOOKUP(M54,Tables!$B$3:$D$36,3,FALSE())*AI$1)</f>
        <v>0</v>
      </c>
      <c r="CW54" s="73">
        <f>IF(AZ54="",0,VLOOKUP(N54,Tables!$B$3:$D$36,3,FALSE())*AJ$1)</f>
        <v>0</v>
      </c>
      <c r="CX54" s="73">
        <f>IF(BA54="",0,VLOOKUP(O54,Tables!$B$3:$D$36,3,FALSE())*AK$1)</f>
        <v>0</v>
      </c>
      <c r="CY54" s="88">
        <f>IF(BB54="",0,VLOOKUP(P54,Tables!$B$3:$D$36,3,FALSE())*AL$1)</f>
        <v>0</v>
      </c>
      <c r="CZ54" s="89">
        <f t="shared" si="40"/>
        <v>0</v>
      </c>
      <c r="DA54" s="75">
        <f t="shared" si="41"/>
        <v>0</v>
      </c>
      <c r="DB54" s="75">
        <f t="shared" si="42"/>
        <v>1.25</v>
      </c>
      <c r="DC54" s="89">
        <f t="shared" si="43"/>
        <v>1.25</v>
      </c>
      <c r="DD54" s="75">
        <f t="shared" si="44"/>
        <v>0</v>
      </c>
      <c r="DE54" s="75">
        <f t="shared" si="45"/>
        <v>0</v>
      </c>
      <c r="DF54" s="75">
        <f t="shared" si="46"/>
        <v>0</v>
      </c>
      <c r="DG54" s="75">
        <f t="shared" si="47"/>
        <v>0</v>
      </c>
      <c r="DH54" s="89">
        <f t="shared" si="48"/>
        <v>1.25</v>
      </c>
      <c r="DI54" s="75">
        <f t="shared" si="49"/>
        <v>1.25</v>
      </c>
      <c r="DJ54" s="75">
        <f t="shared" si="50"/>
        <v>1.25</v>
      </c>
      <c r="DK54" s="89">
        <f t="shared" si="51"/>
        <v>0</v>
      </c>
      <c r="DL54" s="75">
        <f t="shared" si="52"/>
        <v>0</v>
      </c>
      <c r="DM54" s="75">
        <f t="shared" si="53"/>
        <v>0</v>
      </c>
      <c r="DN54" s="90">
        <f t="shared" si="54"/>
        <v>0</v>
      </c>
      <c r="DO54" s="91">
        <f>IF(AN54="",0,VLOOKUP(B54,Tables!$B$3:$M$36,11,FALSE())*X$1)</f>
        <v>0</v>
      </c>
      <c r="DP54" s="92">
        <f>IF(AO54="",0,VLOOKUP(C54,Tables!$B$3:$M$36,11,FALSE())*Y$1)</f>
        <v>0</v>
      </c>
      <c r="DQ54" s="92">
        <f>IF(AP54="",0,VLOOKUP(D54,Tables!$B$3:$M$36,11,FALSE())*Z$1)</f>
        <v>6</v>
      </c>
      <c r="DR54" s="91">
        <f>IF(AQ54="",0,VLOOKUP(E54,Tables!$B$3:$M$36,11,FALSE())*AA$1)</f>
        <v>9</v>
      </c>
      <c r="DS54" s="92">
        <f>IF(AR54="",0,VLOOKUP(F54,Tables!$B$3:$M$36,11,FALSE())*AB$1)</f>
        <v>0</v>
      </c>
      <c r="DT54" s="92">
        <f>IF(AS54="",0,VLOOKUP(G54,Tables!$B$3:$M$36,11,FALSE())*AC$1)</f>
        <v>0</v>
      </c>
      <c r="DU54" s="92">
        <f>IF(AT54="",0,VLOOKUP(H54,Tables!$B$3:$M$36,11,FALSE())*AD$1)</f>
        <v>0</v>
      </c>
      <c r="DV54" s="92">
        <f>IF(AU54="",0,VLOOKUP(I54,Tables!$B$3:$M$36,11,FALSE())*AE$1)</f>
        <v>0</v>
      </c>
      <c r="DW54" s="91">
        <f>IF(AV54="",0,VLOOKUP(J54,Tables!$B$3:$M$36,11,FALSE())*AF$1)</f>
        <v>36</v>
      </c>
      <c r="DX54" s="92">
        <f>IF(AW54="",0,VLOOKUP(K54,Tables!$B$3:$M$36,11,FALSE())*AG$1)</f>
        <v>36</v>
      </c>
      <c r="DY54" s="92">
        <f>IF(AX54="",0,VLOOKUP(L54,Tables!$B$3:$M$36,11,FALSE())*AH$1)</f>
        <v>30</v>
      </c>
      <c r="DZ54" s="91">
        <f>IF(AY54="",0,VLOOKUP(M54,Tables!$B$3:$M$36,11,FALSE())*AI$1)</f>
        <v>0</v>
      </c>
      <c r="EA54" s="92">
        <f>IF(AZ54="",0,VLOOKUP(N54,Tables!$B$3:$M$36,11,FALSE())*AJ$1)</f>
        <v>0</v>
      </c>
      <c r="EB54" s="92">
        <f>IF(BA54="",0,VLOOKUP(O54,Tables!$B$3:$M$36,11,FALSE())*AK$1)</f>
        <v>0</v>
      </c>
      <c r="EC54" s="93">
        <f>IF(BB54="",0,VLOOKUP(P54,Tables!$B$3:$M$36,11,FALSE())*AL$1)</f>
        <v>0</v>
      </c>
      <c r="ED54" s="91">
        <f>IF(AN54="",0,VLOOKUP(B54,Tables!$B$3:$M$36,12,FALSE())*X$1)</f>
        <v>0</v>
      </c>
      <c r="EE54" s="92">
        <f>IF(AO54="",0,VLOOKUP(C54,Tables!$B$3:$M$36,12,FALSE())*Y$1)</f>
        <v>0</v>
      </c>
      <c r="EF54" s="92">
        <f>IF(AP54="",0,VLOOKUP(D54,Tables!$B$3:$M$36,12,FALSE())*Z$1)</f>
        <v>12</v>
      </c>
      <c r="EG54" s="91">
        <f>IF(AQ54="",0,VLOOKUP(E54,Tables!$B$3:$M$36,12,FALSE())*AA$1)</f>
        <v>18</v>
      </c>
      <c r="EH54" s="92">
        <f>IF(AR54="",0,VLOOKUP(F54,Tables!$B$3:$M$36,12,FALSE())*AB$1)</f>
        <v>0</v>
      </c>
      <c r="EI54" s="92">
        <f>IF(AS54="",0,VLOOKUP(G54,Tables!$B$3:$M$36,12,FALSE())*AC$1)</f>
        <v>0</v>
      </c>
      <c r="EJ54" s="92">
        <f>IF(AT54="",0,VLOOKUP(H54,Tables!$B$3:$M$36,12,FALSE())*AD$1)</f>
        <v>0</v>
      </c>
      <c r="EK54" s="92">
        <f>IF(AU54="",0,VLOOKUP(I54,Tables!$B$3:$M$36,12,FALSE())*AE$1)</f>
        <v>0</v>
      </c>
      <c r="EL54" s="91">
        <f>IF(AV54="",0,VLOOKUP(J54,Tables!$B$3:$M$36,12,FALSE())*AF$1)</f>
        <v>72</v>
      </c>
      <c r="EM54" s="92">
        <f>IF(AW54="",0,VLOOKUP(K54,Tables!$B$3:$M$36,12,FALSE())*AG$1)</f>
        <v>72</v>
      </c>
      <c r="EN54" s="92">
        <f>IF(AX54="",0,VLOOKUP(L54,Tables!$B$3:$M$36,12,FALSE())*AH$1)</f>
        <v>60</v>
      </c>
      <c r="EO54" s="91">
        <f>IF(AY54="",0,VLOOKUP(M54,Tables!$B$3:$M$36,12,FALSE())*AI$1)</f>
        <v>0</v>
      </c>
      <c r="EP54" s="92">
        <f>IF(AZ54="",0,VLOOKUP(N54,Tables!$B$3:$M$36,12,FALSE())*AJ$1)</f>
        <v>0</v>
      </c>
      <c r="EQ54" s="92">
        <f>IF(BA54="",0,VLOOKUP(O54,Tables!$B$3:$M$36,12,FALSE())*AK$1)</f>
        <v>0</v>
      </c>
      <c r="ER54" s="93">
        <f>IF(BB54="",0,VLOOKUP(P54,Tables!$B$3:$M$36,12,FALSE())*AL$1)</f>
        <v>0</v>
      </c>
      <c r="ES54" s="94">
        <f t="shared" si="55"/>
        <v>0</v>
      </c>
      <c r="ET54" s="95">
        <f>IF(AN54="",10,MIN(VLOOKUP(B54,Tables!$B$3:$N$34,13,FALSE()),'Item Builder'!$W54))</f>
        <v>10</v>
      </c>
      <c r="EU54" s="95">
        <f>IF(AO54="",10,MIN(VLOOKUP(C54,Tables!$B$3:$N$34,13,FALSE()),'Item Builder'!$W54))</f>
        <v>10</v>
      </c>
      <c r="EV54" s="95">
        <f>IF(AP54="",10,MIN(VLOOKUP(D54,Tables!$B$3:$N$34,13,FALSE()),'Item Builder'!$W54))</f>
        <v>0</v>
      </c>
      <c r="EW54" s="95">
        <f>IF(AQ54="",10,MIN(VLOOKUP(E54,Tables!$B$3:$N$34,13,FALSE()),'Item Builder'!$W54))</f>
        <v>0</v>
      </c>
      <c r="EX54" s="95">
        <f>IF(AR54="",10,MIN(VLOOKUP(F54,Tables!$B$3:$N$34,13,FALSE()),'Item Builder'!$W54))</f>
        <v>10</v>
      </c>
      <c r="EY54" s="95">
        <f>IF(AS54="",10,MIN(VLOOKUP(G54,Tables!$B$3:$N$34,13,FALSE()),'Item Builder'!$W54))</f>
        <v>10</v>
      </c>
      <c r="EZ54" s="95">
        <f>IF(AT54="",10,MIN(VLOOKUP(H54,Tables!$B$3:$N$34,13,FALSE()),'Item Builder'!$W54))</f>
        <v>10</v>
      </c>
      <c r="FA54" s="95">
        <f>IF(AU54="",10,MIN(VLOOKUP(I54,Tables!$B$3:$N$34,13,FALSE()),'Item Builder'!$W54))</f>
        <v>10</v>
      </c>
      <c r="FB54" s="95">
        <f>IF(AV54="",10,MIN(VLOOKUP(J54,Tables!$B$3:$N$34,13,FALSE()),'Item Builder'!$W54))</f>
        <v>0</v>
      </c>
      <c r="FC54" s="95">
        <f>IF(AW54="",10,MIN(VLOOKUP(K54,Tables!$B$3:$N$34,13,FALSE()),'Item Builder'!$W54))</f>
        <v>0</v>
      </c>
      <c r="FD54" s="95">
        <f>IF(AX54="",10,MIN(VLOOKUP(L54,Tables!$B$3:$N$34,13,FALSE()),'Item Builder'!$W54))</f>
        <v>0</v>
      </c>
      <c r="FE54" s="95">
        <f>IF(AY54="",10,MIN(VLOOKUP(M54,Tables!$B$3:$N$34,13,FALSE()),'Item Builder'!$W54))</f>
        <v>10</v>
      </c>
      <c r="FF54" s="95">
        <f>IF(AZ54="",10,MIN(VLOOKUP(N54,Tables!$B$3:$N$34,13,FALSE()),'Item Builder'!$W54))</f>
        <v>10</v>
      </c>
      <c r="FG54" s="95">
        <f>IF(BA54="",10,MIN(VLOOKUP(O54,Tables!$B$3:$N$34,13,FALSE()),'Item Builder'!$W54))</f>
        <v>10</v>
      </c>
      <c r="FH54" s="98">
        <f>IF(BB54="",10,MIN(VLOOKUP(P54,Tables!$B$3:$N$34,13,FALSE()),'Item Builder'!$W54))</f>
        <v>10</v>
      </c>
    </row>
    <row r="55" spans="1:164" x14ac:dyDescent="0.25">
      <c r="A55" s="67" t="s">
        <v>220</v>
      </c>
      <c r="B55" s="68"/>
      <c r="C55" s="69"/>
      <c r="D55" s="70" t="s">
        <v>104</v>
      </c>
      <c r="E55" s="68" t="s">
        <v>104</v>
      </c>
      <c r="F55" s="69" t="s">
        <v>104</v>
      </c>
      <c r="G55" s="69" t="s">
        <v>104</v>
      </c>
      <c r="H55" s="69"/>
      <c r="I55" s="70"/>
      <c r="J55" s="68" t="s">
        <v>104</v>
      </c>
      <c r="K55" s="69" t="s">
        <v>104</v>
      </c>
      <c r="L55" s="70" t="s">
        <v>104</v>
      </c>
      <c r="M55" s="68"/>
      <c r="N55" s="69"/>
      <c r="O55" s="69"/>
      <c r="P55" s="71"/>
      <c r="Q55" s="72">
        <f>SUM(BV55:CJ55)*VLOOKUP(W55,Tables!$W$3:$Z$8,4)</f>
        <v>376</v>
      </c>
      <c r="R55" s="73">
        <f t="shared" si="0"/>
        <v>13.16</v>
      </c>
      <c r="S55" s="101">
        <f t="shared" si="1"/>
        <v>5</v>
      </c>
      <c r="T55" s="74">
        <f t="shared" si="2"/>
        <v>0</v>
      </c>
      <c r="U55" s="75">
        <f t="shared" si="3"/>
        <v>141</v>
      </c>
      <c r="V55" s="76">
        <f t="shared" si="4"/>
        <v>282</v>
      </c>
      <c r="W55" s="77">
        <v>0</v>
      </c>
      <c r="X55" s="78">
        <f t="shared" si="5"/>
        <v>0</v>
      </c>
      <c r="Y55" s="79">
        <f t="shared" si="6"/>
        <v>0</v>
      </c>
      <c r="Z55" s="79">
        <f t="shared" si="7"/>
        <v>1</v>
      </c>
      <c r="AA55" s="78">
        <f t="shared" si="8"/>
        <v>1</v>
      </c>
      <c r="AB55" s="79">
        <f t="shared" si="9"/>
        <v>1</v>
      </c>
      <c r="AC55" s="79">
        <f t="shared" si="10"/>
        <v>1</v>
      </c>
      <c r="AD55" s="79">
        <f t="shared" si="11"/>
        <v>0</v>
      </c>
      <c r="AE55" s="79">
        <f t="shared" si="12"/>
        <v>0</v>
      </c>
      <c r="AF55" s="78">
        <f t="shared" si="13"/>
        <v>1</v>
      </c>
      <c r="AG55" s="79">
        <f t="shared" si="14"/>
        <v>1</v>
      </c>
      <c r="AH55" s="79">
        <f t="shared" si="15"/>
        <v>1</v>
      </c>
      <c r="AI55" s="78">
        <f t="shared" si="16"/>
        <v>0</v>
      </c>
      <c r="AJ55" s="79">
        <f t="shared" si="17"/>
        <v>0</v>
      </c>
      <c r="AK55" s="79">
        <f t="shared" si="18"/>
        <v>0</v>
      </c>
      <c r="AL55" s="80">
        <f t="shared" si="19"/>
        <v>0</v>
      </c>
      <c r="AM55" s="81">
        <f t="shared" si="20"/>
        <v>0.47</v>
      </c>
      <c r="AN55" s="82" t="str">
        <f t="shared" si="21"/>
        <v/>
      </c>
      <c r="AO55" s="79" t="str">
        <f t="shared" si="22"/>
        <v/>
      </c>
      <c r="AP55" t="str">
        <f t="shared" si="23"/>
        <v>G</v>
      </c>
      <c r="AQ55" s="82" t="str">
        <f t="shared" si="24"/>
        <v>G</v>
      </c>
      <c r="AR55" t="str">
        <f t="shared" si="25"/>
        <v>G</v>
      </c>
      <c r="AS55" t="str">
        <f t="shared" si="26"/>
        <v>G</v>
      </c>
      <c r="AT55" t="str">
        <f t="shared" si="27"/>
        <v/>
      </c>
      <c r="AU55" t="str">
        <f t="shared" si="28"/>
        <v/>
      </c>
      <c r="AV55" s="82" t="str">
        <f t="shared" si="29"/>
        <v>G</v>
      </c>
      <c r="AW55" t="str">
        <f t="shared" si="30"/>
        <v>G</v>
      </c>
      <c r="AX55" t="str">
        <f t="shared" si="31"/>
        <v>G</v>
      </c>
      <c r="AY55" s="82" t="str">
        <f t="shared" si="32"/>
        <v/>
      </c>
      <c r="AZ55" t="str">
        <f t="shared" si="33"/>
        <v/>
      </c>
      <c r="BA55" t="str">
        <f t="shared" si="34"/>
        <v/>
      </c>
      <c r="BB55" s="83" t="str">
        <f t="shared" si="35"/>
        <v/>
      </c>
      <c r="BC55" s="84">
        <f t="shared" si="36"/>
        <v>0.22222222222222221</v>
      </c>
      <c r="BD55" s="84">
        <f t="shared" si="37"/>
        <v>0.52380952380952372</v>
      </c>
      <c r="BE55" s="84">
        <f t="shared" si="38"/>
        <v>1</v>
      </c>
      <c r="BF55" s="84">
        <f t="shared" si="39"/>
        <v>0</v>
      </c>
      <c r="BG55" s="78">
        <f>IF(AN55="",0,VLOOKUP(AN55,Tables!$AB$3:$AC$12,2))</f>
        <v>0</v>
      </c>
      <c r="BH55" s="79">
        <f>IF(AO55="",0,VLOOKUP(AO55,Tables!$AB$3:$AC$12,2))</f>
        <v>0</v>
      </c>
      <c r="BI55" s="79">
        <f>IF(AP55="",0,VLOOKUP(AP55,Tables!$AB$3:$AC$12,2))</f>
        <v>3</v>
      </c>
      <c r="BJ55" s="78">
        <f>IF(AQ55="",0,VLOOKUP(AQ55,Tables!$AB$3:$AC$12,2))</f>
        <v>3</v>
      </c>
      <c r="BK55" s="79">
        <f>IF(AR55="",0,VLOOKUP(AR55,Tables!$AB$3:$AC$12,2))</f>
        <v>3</v>
      </c>
      <c r="BL55" s="79">
        <f>IF(AS55="",0,VLOOKUP(AS55,Tables!$AB$3:$AC$12,2))</f>
        <v>3</v>
      </c>
      <c r="BM55" s="79">
        <f>IF(AT55="",0,VLOOKUP(AT55,Tables!$AB$3:$AC$12,2))</f>
        <v>0</v>
      </c>
      <c r="BN55" s="79">
        <f>IF(AU55="",0,VLOOKUP(AU55,Tables!$AB$3:$AC$12,2))</f>
        <v>0</v>
      </c>
      <c r="BO55" s="78">
        <f>IF(AV55="",0,VLOOKUP(AV55,Tables!$AB$3:$AC$12,2))</f>
        <v>3</v>
      </c>
      <c r="BP55" s="79">
        <f>IF(AW55="",0,VLOOKUP(AW55,Tables!$AB$3:$AC$12,2))</f>
        <v>3</v>
      </c>
      <c r="BQ55" s="79">
        <f>IF(AX55="",0,VLOOKUP(AX55,Tables!$AB$3:$AC$12,2))</f>
        <v>3</v>
      </c>
      <c r="BR55" s="78">
        <f>IF(AY55="",0,VLOOKUP(AY55,Tables!$AB$3:$AC$12,2))</f>
        <v>0</v>
      </c>
      <c r="BS55" s="79">
        <f>IF(AZ55="",0,VLOOKUP(AZ55,Tables!$AB$3:$AC$12,2))</f>
        <v>0</v>
      </c>
      <c r="BT55" s="79">
        <f>IF(BA55="",0,VLOOKUP(BA55,Tables!$AB$3:$AC$12,2))</f>
        <v>0</v>
      </c>
      <c r="BU55" s="80">
        <f>IF(BB55="",0,VLOOKUP(BB55,Tables!$AB$3:$AC$12,2))</f>
        <v>0</v>
      </c>
      <c r="BV55" s="85">
        <f>IF(AN55="",0,VLOOKUP(B55,Tables!$B$3:$D$36,2,FALSE())*X$1)</f>
        <v>0</v>
      </c>
      <c r="BW55" s="72">
        <f>IF(AO55="",0,VLOOKUP(C55,Tables!$B$3:$D$36,2,FALSE())*Y$1)</f>
        <v>0</v>
      </c>
      <c r="BX55" s="72">
        <f>IF(AP55="",0,VLOOKUP(D55,Tables!$B$3:$D$36,2,FALSE())*Z$1)</f>
        <v>16</v>
      </c>
      <c r="BY55" s="85">
        <f>IF(AQ55="",0,VLOOKUP(E55,Tables!$B$3:$D$36,2,FALSE())*AA$1)</f>
        <v>24</v>
      </c>
      <c r="BZ55" s="72">
        <f>IF(AR55="",0,VLOOKUP(F55,Tables!$B$3:$D$36,2,FALSE())*AB$1)</f>
        <v>48</v>
      </c>
      <c r="CA55" s="72">
        <f>IF(AS55="",0,VLOOKUP(G55,Tables!$B$3:$D$36,2,FALSE())*AC$1)</f>
        <v>16</v>
      </c>
      <c r="CB55" s="72">
        <f>IF(AT55="",0,VLOOKUP(H55,Tables!$B$3:$D$36,2,FALSE())*AD$1)</f>
        <v>0</v>
      </c>
      <c r="CC55" s="72">
        <f>IF(AU55="",0,VLOOKUP(I55,Tables!$B$3:$D$36,2,FALSE())*AE$1)</f>
        <v>0</v>
      </c>
      <c r="CD55" s="85">
        <f>IF(AV55="",0,VLOOKUP(J55,Tables!$B$3:$D$36,2,FALSE())*AF$1)</f>
        <v>96</v>
      </c>
      <c r="CE55" s="72">
        <f>IF(AW55="",0,VLOOKUP(K55,Tables!$B$3:$D$36,2,FALSE())*AG$1)</f>
        <v>96</v>
      </c>
      <c r="CF55" s="72">
        <f>IF(AX55="",0,VLOOKUP(L55,Tables!$B$3:$D$36,2,FALSE())*AH$1)</f>
        <v>80</v>
      </c>
      <c r="CG55" s="85">
        <f>IF(AY55="",0,VLOOKUP(M55,Tables!$B$3:$D$36,2,FALSE())*AI$1)</f>
        <v>0</v>
      </c>
      <c r="CH55" s="72">
        <f>IF(AZ55="",0,VLOOKUP(N55,Tables!$B$3:$D$36,2,FALSE())*AJ$1)</f>
        <v>0</v>
      </c>
      <c r="CI55" s="72">
        <f>IF(BA55="",0,VLOOKUP(O55,Tables!$B$3:$D$36,2,FALSE())*AK$1)</f>
        <v>0</v>
      </c>
      <c r="CJ55" s="86">
        <f>IF(BB55="",0,VLOOKUP(P55,Tables!$B$3:$D$36,2,FALSE())*AL$1)</f>
        <v>0</v>
      </c>
      <c r="CK55" s="87">
        <f>IF(AN55="",0,VLOOKUP(B55,Tables!$B$3:$D$36,3,FALSE())*X$1)*IF(OR(AN55="K",AN55="P"),2,1)</f>
        <v>0</v>
      </c>
      <c r="CL55" s="73">
        <f>IF(AO55="",0,VLOOKUP(C55,Tables!$B$3:$D$36,3,FALSE())*Y$1)*IF(OR(AO55="K",AO55="P"),2,1)</f>
        <v>0</v>
      </c>
      <c r="CM55" s="73">
        <f>IF(AP55="",0,VLOOKUP(D55,Tables!$B$3:$D$36,3,FALSE())*Z$1)*IF(OR(AP55="K",AP55="P"),2,1)</f>
        <v>0.56000000000000005</v>
      </c>
      <c r="CN55" s="87">
        <f>IF(AQ55="",0,VLOOKUP(E55,Tables!$B$3:$D$36,3,FALSE())*AA$1)</f>
        <v>0.84</v>
      </c>
      <c r="CO55" s="73">
        <f>IF(AR55="",0,VLOOKUP(F55,Tables!$B$3:$D$36,3,FALSE())*AB$1)</f>
        <v>1.68</v>
      </c>
      <c r="CP55" s="73">
        <f>IF(AS55="",0,VLOOKUP(G55,Tables!$B$3:$D$36,3,FALSE())*AC$1)</f>
        <v>0.56000000000000005</v>
      </c>
      <c r="CQ55" s="73">
        <f>IF(AT55="",0,VLOOKUP(H55,Tables!$B$3:$D$36,3,FALSE())*AD$1)</f>
        <v>0</v>
      </c>
      <c r="CR55" s="73">
        <f>IF(AU55="",0,VLOOKUP(I55,Tables!$B$3:$D$36,3,FALSE())*AE$1)</f>
        <v>0</v>
      </c>
      <c r="CS55" s="87">
        <f>IF(AV55="",0,VLOOKUP(J55,Tables!$B$3:$D$36,3,FALSE())*AF$1)</f>
        <v>3.36</v>
      </c>
      <c r="CT55" s="73">
        <f>IF(AW55="",0,VLOOKUP(K55,Tables!$B$3:$D$36,3,FALSE())*AG$1)</f>
        <v>3.36</v>
      </c>
      <c r="CU55" s="73">
        <f>IF(AX55="",0,VLOOKUP(L55,Tables!$B$3:$D$36,3,FALSE())*AH$1)</f>
        <v>2.8000000000000003</v>
      </c>
      <c r="CV55" s="87">
        <f>IF(AY55="",0,VLOOKUP(M55,Tables!$B$3:$D$36,3,FALSE())*AI$1)</f>
        <v>0</v>
      </c>
      <c r="CW55" s="73">
        <f>IF(AZ55="",0,VLOOKUP(N55,Tables!$B$3:$D$36,3,FALSE())*AJ$1)</f>
        <v>0</v>
      </c>
      <c r="CX55" s="73">
        <f>IF(BA55="",0,VLOOKUP(O55,Tables!$B$3:$D$36,3,FALSE())*AK$1)</f>
        <v>0</v>
      </c>
      <c r="CY55" s="88">
        <f>IF(BB55="",0,VLOOKUP(P55,Tables!$B$3:$D$36,3,FALSE())*AL$1)</f>
        <v>0</v>
      </c>
      <c r="CZ55" s="89">
        <f t="shared" si="40"/>
        <v>0</v>
      </c>
      <c r="DA55" s="75">
        <f t="shared" si="41"/>
        <v>0</v>
      </c>
      <c r="DB55" s="75">
        <f t="shared" si="42"/>
        <v>1.25</v>
      </c>
      <c r="DC55" s="89">
        <f t="shared" si="43"/>
        <v>1.25</v>
      </c>
      <c r="DD55" s="75">
        <f t="shared" si="44"/>
        <v>1.25</v>
      </c>
      <c r="DE55" s="75">
        <f t="shared" si="45"/>
        <v>1.25</v>
      </c>
      <c r="DF55" s="75">
        <f t="shared" si="46"/>
        <v>0</v>
      </c>
      <c r="DG55" s="75">
        <f t="shared" si="47"/>
        <v>0</v>
      </c>
      <c r="DH55" s="89">
        <f t="shared" si="48"/>
        <v>1.25</v>
      </c>
      <c r="DI55" s="75">
        <f t="shared" si="49"/>
        <v>1.25</v>
      </c>
      <c r="DJ55" s="75">
        <f t="shared" si="50"/>
        <v>1.25</v>
      </c>
      <c r="DK55" s="89">
        <f t="shared" si="51"/>
        <v>0</v>
      </c>
      <c r="DL55" s="75">
        <f t="shared" si="52"/>
        <v>0</v>
      </c>
      <c r="DM55" s="75">
        <f t="shared" si="53"/>
        <v>0</v>
      </c>
      <c r="DN55" s="90">
        <f t="shared" si="54"/>
        <v>0</v>
      </c>
      <c r="DO55" s="91">
        <f>IF(AN55="",0,VLOOKUP(B55,Tables!$B$3:$M$36,11,FALSE())*X$1)</f>
        <v>0</v>
      </c>
      <c r="DP55" s="92">
        <f>IF(AO55="",0,VLOOKUP(C55,Tables!$B$3:$M$36,11,FALSE())*Y$1)</f>
        <v>0</v>
      </c>
      <c r="DQ55" s="92">
        <f>IF(AP55="",0,VLOOKUP(D55,Tables!$B$3:$M$36,11,FALSE())*Z$1)</f>
        <v>6</v>
      </c>
      <c r="DR55" s="91">
        <f>IF(AQ55="",0,VLOOKUP(E55,Tables!$B$3:$M$36,11,FALSE())*AA$1)</f>
        <v>9</v>
      </c>
      <c r="DS55" s="92">
        <f>IF(AR55="",0,VLOOKUP(F55,Tables!$B$3:$M$36,11,FALSE())*AB$1)</f>
        <v>18</v>
      </c>
      <c r="DT55" s="92">
        <f>IF(AS55="",0,VLOOKUP(G55,Tables!$B$3:$M$36,11,FALSE())*AC$1)</f>
        <v>6</v>
      </c>
      <c r="DU55" s="92">
        <f>IF(AT55="",0,VLOOKUP(H55,Tables!$B$3:$M$36,11,FALSE())*AD$1)</f>
        <v>0</v>
      </c>
      <c r="DV55" s="92">
        <f>IF(AU55="",0,VLOOKUP(I55,Tables!$B$3:$M$36,11,FALSE())*AE$1)</f>
        <v>0</v>
      </c>
      <c r="DW55" s="91">
        <f>IF(AV55="",0,VLOOKUP(J55,Tables!$B$3:$M$36,11,FALSE())*AF$1)</f>
        <v>36</v>
      </c>
      <c r="DX55" s="92">
        <f>IF(AW55="",0,VLOOKUP(K55,Tables!$B$3:$M$36,11,FALSE())*AG$1)</f>
        <v>36</v>
      </c>
      <c r="DY55" s="92">
        <f>IF(AX55="",0,VLOOKUP(L55,Tables!$B$3:$M$36,11,FALSE())*AH$1)</f>
        <v>30</v>
      </c>
      <c r="DZ55" s="91">
        <f>IF(AY55="",0,VLOOKUP(M55,Tables!$B$3:$M$36,11,FALSE())*AI$1)</f>
        <v>0</v>
      </c>
      <c r="EA55" s="92">
        <f>IF(AZ55="",0,VLOOKUP(N55,Tables!$B$3:$M$36,11,FALSE())*AJ$1)</f>
        <v>0</v>
      </c>
      <c r="EB55" s="92">
        <f>IF(BA55="",0,VLOOKUP(O55,Tables!$B$3:$M$36,11,FALSE())*AK$1)</f>
        <v>0</v>
      </c>
      <c r="EC55" s="93">
        <f>IF(BB55="",0,VLOOKUP(P55,Tables!$B$3:$M$36,11,FALSE())*AL$1)</f>
        <v>0</v>
      </c>
      <c r="ED55" s="91">
        <f>IF(AN55="",0,VLOOKUP(B55,Tables!$B$3:$M$36,12,FALSE())*X$1)</f>
        <v>0</v>
      </c>
      <c r="EE55" s="92">
        <f>IF(AO55="",0,VLOOKUP(C55,Tables!$B$3:$M$36,12,FALSE())*Y$1)</f>
        <v>0</v>
      </c>
      <c r="EF55" s="92">
        <f>IF(AP55="",0,VLOOKUP(D55,Tables!$B$3:$M$36,12,FALSE())*Z$1)</f>
        <v>12</v>
      </c>
      <c r="EG55" s="91">
        <f>IF(AQ55="",0,VLOOKUP(E55,Tables!$B$3:$M$36,12,FALSE())*AA$1)</f>
        <v>18</v>
      </c>
      <c r="EH55" s="92">
        <f>IF(AR55="",0,VLOOKUP(F55,Tables!$B$3:$M$36,12,FALSE())*AB$1)</f>
        <v>36</v>
      </c>
      <c r="EI55" s="92">
        <f>IF(AS55="",0,VLOOKUP(G55,Tables!$B$3:$M$36,12,FALSE())*AC$1)</f>
        <v>12</v>
      </c>
      <c r="EJ55" s="92">
        <f>IF(AT55="",0,VLOOKUP(H55,Tables!$B$3:$M$36,12,FALSE())*AD$1)</f>
        <v>0</v>
      </c>
      <c r="EK55" s="92">
        <f>IF(AU55="",0,VLOOKUP(I55,Tables!$B$3:$M$36,12,FALSE())*AE$1)</f>
        <v>0</v>
      </c>
      <c r="EL55" s="91">
        <f>IF(AV55="",0,VLOOKUP(J55,Tables!$B$3:$M$36,12,FALSE())*AF$1)</f>
        <v>72</v>
      </c>
      <c r="EM55" s="92">
        <f>IF(AW55="",0,VLOOKUP(K55,Tables!$B$3:$M$36,12,FALSE())*AG$1)</f>
        <v>72</v>
      </c>
      <c r="EN55" s="92">
        <f>IF(AX55="",0,VLOOKUP(L55,Tables!$B$3:$M$36,12,FALSE())*AH$1)</f>
        <v>60</v>
      </c>
      <c r="EO55" s="91">
        <f>IF(AY55="",0,VLOOKUP(M55,Tables!$B$3:$M$36,12,FALSE())*AI$1)</f>
        <v>0</v>
      </c>
      <c r="EP55" s="92">
        <f>IF(AZ55="",0,VLOOKUP(N55,Tables!$B$3:$M$36,12,FALSE())*AJ$1)</f>
        <v>0</v>
      </c>
      <c r="EQ55" s="92">
        <f>IF(BA55="",0,VLOOKUP(O55,Tables!$B$3:$M$36,12,FALSE())*AK$1)</f>
        <v>0</v>
      </c>
      <c r="ER55" s="93">
        <f>IF(BB55="",0,VLOOKUP(P55,Tables!$B$3:$M$36,12,FALSE())*AL$1)</f>
        <v>0</v>
      </c>
      <c r="ES55" s="94">
        <f t="shared" si="55"/>
        <v>0</v>
      </c>
      <c r="ET55" s="95">
        <f>IF(AN55="",10,MIN(VLOOKUP(B55,Tables!$B$3:$N$34,13,FALSE()),'Item Builder'!$W55))</f>
        <v>10</v>
      </c>
      <c r="EU55" s="95">
        <f>IF(AO55="",10,MIN(VLOOKUP(C55,Tables!$B$3:$N$34,13,FALSE()),'Item Builder'!$W55))</f>
        <v>10</v>
      </c>
      <c r="EV55" s="95">
        <f>IF(AP55="",10,MIN(VLOOKUP(D55,Tables!$B$3:$N$34,13,FALSE()),'Item Builder'!$W55))</f>
        <v>0</v>
      </c>
      <c r="EW55" s="95">
        <f>IF(AQ55="",10,MIN(VLOOKUP(E55,Tables!$B$3:$N$34,13,FALSE()),'Item Builder'!$W55))</f>
        <v>0</v>
      </c>
      <c r="EX55" s="95">
        <f>IF(AR55="",10,MIN(VLOOKUP(F55,Tables!$B$3:$N$34,13,FALSE()),'Item Builder'!$W55))</f>
        <v>0</v>
      </c>
      <c r="EY55" s="95">
        <f>IF(AS55="",10,MIN(VLOOKUP(G55,Tables!$B$3:$N$34,13,FALSE()),'Item Builder'!$W55))</f>
        <v>0</v>
      </c>
      <c r="EZ55" s="95">
        <f>IF(AT55="",10,MIN(VLOOKUP(H55,Tables!$B$3:$N$34,13,FALSE()),'Item Builder'!$W55))</f>
        <v>10</v>
      </c>
      <c r="FA55" s="95">
        <f>IF(AU55="",10,MIN(VLOOKUP(I55,Tables!$B$3:$N$34,13,FALSE()),'Item Builder'!$W55))</f>
        <v>10</v>
      </c>
      <c r="FB55" s="95">
        <f>IF(AV55="",10,MIN(VLOOKUP(J55,Tables!$B$3:$N$34,13,FALSE()),'Item Builder'!$W55))</f>
        <v>0</v>
      </c>
      <c r="FC55" s="95">
        <f>IF(AW55="",10,MIN(VLOOKUP(K55,Tables!$B$3:$N$34,13,FALSE()),'Item Builder'!$W55))</f>
        <v>0</v>
      </c>
      <c r="FD55" s="95">
        <f>IF(AX55="",10,MIN(VLOOKUP(L55,Tables!$B$3:$N$34,13,FALSE()),'Item Builder'!$W55))</f>
        <v>0</v>
      </c>
      <c r="FE55" s="95">
        <f>IF(AY55="",10,MIN(VLOOKUP(M55,Tables!$B$3:$N$34,13,FALSE()),'Item Builder'!$W55))</f>
        <v>10</v>
      </c>
      <c r="FF55" s="95">
        <f>IF(AZ55="",10,MIN(VLOOKUP(N55,Tables!$B$3:$N$34,13,FALSE()),'Item Builder'!$W55))</f>
        <v>10</v>
      </c>
      <c r="FG55" s="95">
        <f>IF(BA55="",10,MIN(VLOOKUP(O55,Tables!$B$3:$N$34,13,FALSE()),'Item Builder'!$W55))</f>
        <v>10</v>
      </c>
      <c r="FH55" s="98">
        <f>IF(BB55="",10,MIN(VLOOKUP(P55,Tables!$B$3:$N$34,13,FALSE()),'Item Builder'!$W55))</f>
        <v>10</v>
      </c>
    </row>
    <row r="56" spans="1:164" x14ac:dyDescent="0.25">
      <c r="A56" s="67" t="s">
        <v>221</v>
      </c>
      <c r="B56" s="68"/>
      <c r="C56" s="69"/>
      <c r="D56" s="70" t="s">
        <v>104</v>
      </c>
      <c r="E56" s="68" t="s">
        <v>104</v>
      </c>
      <c r="F56" s="69" t="s">
        <v>104</v>
      </c>
      <c r="G56" s="69" t="s">
        <v>104</v>
      </c>
      <c r="H56" s="69" t="s">
        <v>104</v>
      </c>
      <c r="I56" s="70"/>
      <c r="J56" s="68" t="s">
        <v>104</v>
      </c>
      <c r="K56" s="69" t="s">
        <v>104</v>
      </c>
      <c r="L56" s="70" t="s">
        <v>104</v>
      </c>
      <c r="M56" s="68"/>
      <c r="N56" s="69"/>
      <c r="O56" s="69"/>
      <c r="P56" s="71"/>
      <c r="Q56" s="72">
        <f>SUM(BV56:CJ56)*VLOOKUP(W56,Tables!$W$3:$Z$8,4)</f>
        <v>416</v>
      </c>
      <c r="R56" s="73">
        <f t="shared" si="0"/>
        <v>14.56</v>
      </c>
      <c r="S56" s="102">
        <f t="shared" si="1"/>
        <v>10</v>
      </c>
      <c r="T56" s="74">
        <f t="shared" si="2"/>
        <v>0</v>
      </c>
      <c r="U56" s="75">
        <f t="shared" si="3"/>
        <v>156</v>
      </c>
      <c r="V56" s="76">
        <f t="shared" si="4"/>
        <v>312</v>
      </c>
      <c r="W56" s="77">
        <v>0</v>
      </c>
      <c r="X56" s="78">
        <f t="shared" si="5"/>
        <v>0</v>
      </c>
      <c r="Y56" s="79">
        <f t="shared" si="6"/>
        <v>0</v>
      </c>
      <c r="Z56" s="79">
        <f t="shared" si="7"/>
        <v>1</v>
      </c>
      <c r="AA56" s="78">
        <f t="shared" si="8"/>
        <v>1</v>
      </c>
      <c r="AB56" s="79">
        <f t="shared" si="9"/>
        <v>1</v>
      </c>
      <c r="AC56" s="79">
        <f t="shared" si="10"/>
        <v>1</v>
      </c>
      <c r="AD56" s="79">
        <f t="shared" si="11"/>
        <v>1</v>
      </c>
      <c r="AE56" s="79">
        <f t="shared" si="12"/>
        <v>0</v>
      </c>
      <c r="AF56" s="78">
        <f t="shared" si="13"/>
        <v>1</v>
      </c>
      <c r="AG56" s="79">
        <f t="shared" si="14"/>
        <v>1</v>
      </c>
      <c r="AH56" s="79">
        <f t="shared" si="15"/>
        <v>1</v>
      </c>
      <c r="AI56" s="78">
        <f t="shared" si="16"/>
        <v>0</v>
      </c>
      <c r="AJ56" s="79">
        <f t="shared" si="17"/>
        <v>0</v>
      </c>
      <c r="AK56" s="79">
        <f t="shared" si="18"/>
        <v>0</v>
      </c>
      <c r="AL56" s="80">
        <f t="shared" si="19"/>
        <v>0</v>
      </c>
      <c r="AM56" s="81">
        <f t="shared" si="20"/>
        <v>0.52</v>
      </c>
      <c r="AN56" s="82" t="str">
        <f t="shared" si="21"/>
        <v/>
      </c>
      <c r="AO56" s="79" t="str">
        <f t="shared" si="22"/>
        <v/>
      </c>
      <c r="AP56" t="str">
        <f t="shared" si="23"/>
        <v>G</v>
      </c>
      <c r="AQ56" s="82" t="str">
        <f t="shared" si="24"/>
        <v>G</v>
      </c>
      <c r="AR56" t="str">
        <f t="shared" si="25"/>
        <v>G</v>
      </c>
      <c r="AS56" t="str">
        <f t="shared" si="26"/>
        <v>G</v>
      </c>
      <c r="AT56" t="str">
        <f t="shared" si="27"/>
        <v>G</v>
      </c>
      <c r="AU56" t="str">
        <f t="shared" si="28"/>
        <v/>
      </c>
      <c r="AV56" s="82" t="str">
        <f t="shared" si="29"/>
        <v>G</v>
      </c>
      <c r="AW56" t="str">
        <f t="shared" si="30"/>
        <v>G</v>
      </c>
      <c r="AX56" t="str">
        <f t="shared" si="31"/>
        <v>G</v>
      </c>
      <c r="AY56" s="82" t="str">
        <f t="shared" si="32"/>
        <v/>
      </c>
      <c r="AZ56" t="str">
        <f t="shared" si="33"/>
        <v/>
      </c>
      <c r="BA56" t="str">
        <f t="shared" si="34"/>
        <v/>
      </c>
      <c r="BB56" s="83" t="str">
        <f t="shared" si="35"/>
        <v/>
      </c>
      <c r="BC56" s="84">
        <f t="shared" si="36"/>
        <v>0.22222222222222221</v>
      </c>
      <c r="BD56" s="84">
        <f t="shared" si="37"/>
        <v>0.76190476190476186</v>
      </c>
      <c r="BE56" s="84">
        <f t="shared" si="38"/>
        <v>1</v>
      </c>
      <c r="BF56" s="84">
        <f t="shared" si="39"/>
        <v>0</v>
      </c>
      <c r="BG56" s="78">
        <f>IF(AN56="",0,VLOOKUP(AN56,Tables!$AB$3:$AC$12,2))</f>
        <v>0</v>
      </c>
      <c r="BH56" s="79">
        <f>IF(AO56="",0,VLOOKUP(AO56,Tables!$AB$3:$AC$12,2))</f>
        <v>0</v>
      </c>
      <c r="BI56" s="79">
        <f>IF(AP56="",0,VLOOKUP(AP56,Tables!$AB$3:$AC$12,2))</f>
        <v>3</v>
      </c>
      <c r="BJ56" s="78">
        <f>IF(AQ56="",0,VLOOKUP(AQ56,Tables!$AB$3:$AC$12,2))</f>
        <v>3</v>
      </c>
      <c r="BK56" s="79">
        <f>IF(AR56="",0,VLOOKUP(AR56,Tables!$AB$3:$AC$12,2))</f>
        <v>3</v>
      </c>
      <c r="BL56" s="79">
        <f>IF(AS56="",0,VLOOKUP(AS56,Tables!$AB$3:$AC$12,2))</f>
        <v>3</v>
      </c>
      <c r="BM56" s="79">
        <f>IF(AT56="",0,VLOOKUP(AT56,Tables!$AB$3:$AC$12,2))</f>
        <v>3</v>
      </c>
      <c r="BN56" s="79">
        <f>IF(AU56="",0,VLOOKUP(AU56,Tables!$AB$3:$AC$12,2))</f>
        <v>0</v>
      </c>
      <c r="BO56" s="78">
        <f>IF(AV56="",0,VLOOKUP(AV56,Tables!$AB$3:$AC$12,2))</f>
        <v>3</v>
      </c>
      <c r="BP56" s="79">
        <f>IF(AW56="",0,VLOOKUP(AW56,Tables!$AB$3:$AC$12,2))</f>
        <v>3</v>
      </c>
      <c r="BQ56" s="79">
        <f>IF(AX56="",0,VLOOKUP(AX56,Tables!$AB$3:$AC$12,2))</f>
        <v>3</v>
      </c>
      <c r="BR56" s="78">
        <f>IF(AY56="",0,VLOOKUP(AY56,Tables!$AB$3:$AC$12,2))</f>
        <v>0</v>
      </c>
      <c r="BS56" s="79">
        <f>IF(AZ56="",0,VLOOKUP(AZ56,Tables!$AB$3:$AC$12,2))</f>
        <v>0</v>
      </c>
      <c r="BT56" s="79">
        <f>IF(BA56="",0,VLOOKUP(BA56,Tables!$AB$3:$AC$12,2))</f>
        <v>0</v>
      </c>
      <c r="BU56" s="80">
        <f>IF(BB56="",0,VLOOKUP(BB56,Tables!$AB$3:$AC$12,2))</f>
        <v>0</v>
      </c>
      <c r="BV56" s="85">
        <f>IF(AN56="",0,VLOOKUP(B56,Tables!$B$3:$D$36,2,FALSE())*X$1)</f>
        <v>0</v>
      </c>
      <c r="BW56" s="72">
        <f>IF(AO56="",0,VLOOKUP(C56,Tables!$B$3:$D$36,2,FALSE())*Y$1)</f>
        <v>0</v>
      </c>
      <c r="BX56" s="72">
        <f>IF(AP56="",0,VLOOKUP(D56,Tables!$B$3:$D$36,2,FALSE())*Z$1)</f>
        <v>16</v>
      </c>
      <c r="BY56" s="85">
        <f>IF(AQ56="",0,VLOOKUP(E56,Tables!$B$3:$D$36,2,FALSE())*AA$1)</f>
        <v>24</v>
      </c>
      <c r="BZ56" s="72">
        <f>IF(AR56="",0,VLOOKUP(F56,Tables!$B$3:$D$36,2,FALSE())*AB$1)</f>
        <v>48</v>
      </c>
      <c r="CA56" s="72">
        <f>IF(AS56="",0,VLOOKUP(G56,Tables!$B$3:$D$36,2,FALSE())*AC$1)</f>
        <v>16</v>
      </c>
      <c r="CB56" s="72">
        <f>IF(AT56="",0,VLOOKUP(H56,Tables!$B$3:$D$36,2,FALSE())*AD$1)</f>
        <v>40</v>
      </c>
      <c r="CC56" s="72">
        <f>IF(AU56="",0,VLOOKUP(I56,Tables!$B$3:$D$36,2,FALSE())*AE$1)</f>
        <v>0</v>
      </c>
      <c r="CD56" s="85">
        <f>IF(AV56="",0,VLOOKUP(J56,Tables!$B$3:$D$36,2,FALSE())*AF$1)</f>
        <v>96</v>
      </c>
      <c r="CE56" s="72">
        <f>IF(AW56="",0,VLOOKUP(K56,Tables!$B$3:$D$36,2,FALSE())*AG$1)</f>
        <v>96</v>
      </c>
      <c r="CF56" s="72">
        <f>IF(AX56="",0,VLOOKUP(L56,Tables!$B$3:$D$36,2,FALSE())*AH$1)</f>
        <v>80</v>
      </c>
      <c r="CG56" s="85">
        <f>IF(AY56="",0,VLOOKUP(M56,Tables!$B$3:$D$36,2,FALSE())*AI$1)</f>
        <v>0</v>
      </c>
      <c r="CH56" s="72">
        <f>IF(AZ56="",0,VLOOKUP(N56,Tables!$B$3:$D$36,2,FALSE())*AJ$1)</f>
        <v>0</v>
      </c>
      <c r="CI56" s="72">
        <f>IF(BA56="",0,VLOOKUP(O56,Tables!$B$3:$D$36,2,FALSE())*AK$1)</f>
        <v>0</v>
      </c>
      <c r="CJ56" s="86">
        <f>IF(BB56="",0,VLOOKUP(P56,Tables!$B$3:$D$36,2,FALSE())*AL$1)</f>
        <v>0</v>
      </c>
      <c r="CK56" s="87">
        <f>IF(AN56="",0,VLOOKUP(B56,Tables!$B$3:$D$36,3,FALSE())*X$1)*IF(OR(AN56="K",AN56="P"),2,1)</f>
        <v>0</v>
      </c>
      <c r="CL56" s="73">
        <f>IF(AO56="",0,VLOOKUP(C56,Tables!$B$3:$D$36,3,FALSE())*Y$1)*IF(OR(AO56="K",AO56="P"),2,1)</f>
        <v>0</v>
      </c>
      <c r="CM56" s="73">
        <f>IF(AP56="",0,VLOOKUP(D56,Tables!$B$3:$D$36,3,FALSE())*Z$1)*IF(OR(AP56="K",AP56="P"),2,1)</f>
        <v>0.56000000000000005</v>
      </c>
      <c r="CN56" s="87">
        <f>IF(AQ56="",0,VLOOKUP(E56,Tables!$B$3:$D$36,3,FALSE())*AA$1)</f>
        <v>0.84</v>
      </c>
      <c r="CO56" s="73">
        <f>IF(AR56="",0,VLOOKUP(F56,Tables!$B$3:$D$36,3,FALSE())*AB$1)</f>
        <v>1.68</v>
      </c>
      <c r="CP56" s="73">
        <f>IF(AS56="",0,VLOOKUP(G56,Tables!$B$3:$D$36,3,FALSE())*AC$1)</f>
        <v>0.56000000000000005</v>
      </c>
      <c r="CQ56" s="73">
        <f>IF(AT56="",0,VLOOKUP(H56,Tables!$B$3:$D$36,3,FALSE())*AD$1)</f>
        <v>1.4000000000000001</v>
      </c>
      <c r="CR56" s="73">
        <f>IF(AU56="",0,VLOOKUP(I56,Tables!$B$3:$D$36,3,FALSE())*AE$1)</f>
        <v>0</v>
      </c>
      <c r="CS56" s="87">
        <f>IF(AV56="",0,VLOOKUP(J56,Tables!$B$3:$D$36,3,FALSE())*AF$1)</f>
        <v>3.36</v>
      </c>
      <c r="CT56" s="73">
        <f>IF(AW56="",0,VLOOKUP(K56,Tables!$B$3:$D$36,3,FALSE())*AG$1)</f>
        <v>3.36</v>
      </c>
      <c r="CU56" s="73">
        <f>IF(AX56="",0,VLOOKUP(L56,Tables!$B$3:$D$36,3,FALSE())*AH$1)</f>
        <v>2.8000000000000003</v>
      </c>
      <c r="CV56" s="87">
        <f>IF(AY56="",0,VLOOKUP(M56,Tables!$B$3:$D$36,3,FALSE())*AI$1)</f>
        <v>0</v>
      </c>
      <c r="CW56" s="73">
        <f>IF(AZ56="",0,VLOOKUP(N56,Tables!$B$3:$D$36,3,FALSE())*AJ$1)</f>
        <v>0</v>
      </c>
      <c r="CX56" s="73">
        <f>IF(BA56="",0,VLOOKUP(O56,Tables!$B$3:$D$36,3,FALSE())*AK$1)</f>
        <v>0</v>
      </c>
      <c r="CY56" s="88">
        <f>IF(BB56="",0,VLOOKUP(P56,Tables!$B$3:$D$36,3,FALSE())*AL$1)</f>
        <v>0</v>
      </c>
      <c r="CZ56" s="89">
        <f t="shared" si="40"/>
        <v>0</v>
      </c>
      <c r="DA56" s="75">
        <f t="shared" si="41"/>
        <v>0</v>
      </c>
      <c r="DB56" s="75">
        <f t="shared" si="42"/>
        <v>1.25</v>
      </c>
      <c r="DC56" s="89">
        <f t="shared" si="43"/>
        <v>1.25</v>
      </c>
      <c r="DD56" s="75">
        <f t="shared" si="44"/>
        <v>1.25</v>
      </c>
      <c r="DE56" s="75">
        <f t="shared" si="45"/>
        <v>1.25</v>
      </c>
      <c r="DF56" s="75">
        <f t="shared" si="46"/>
        <v>1.25</v>
      </c>
      <c r="DG56" s="75">
        <f t="shared" si="47"/>
        <v>0</v>
      </c>
      <c r="DH56" s="89">
        <f t="shared" si="48"/>
        <v>1.25</v>
      </c>
      <c r="DI56" s="75">
        <f t="shared" si="49"/>
        <v>1.25</v>
      </c>
      <c r="DJ56" s="75">
        <f t="shared" si="50"/>
        <v>1.25</v>
      </c>
      <c r="DK56" s="89">
        <f t="shared" si="51"/>
        <v>0</v>
      </c>
      <c r="DL56" s="75">
        <f t="shared" si="52"/>
        <v>0</v>
      </c>
      <c r="DM56" s="75">
        <f t="shared" si="53"/>
        <v>0</v>
      </c>
      <c r="DN56" s="90">
        <f t="shared" si="54"/>
        <v>0</v>
      </c>
      <c r="DO56" s="91">
        <f>IF(AN56="",0,VLOOKUP(B56,Tables!$B$3:$M$36,11,FALSE())*X$1)</f>
        <v>0</v>
      </c>
      <c r="DP56" s="92">
        <f>IF(AO56="",0,VLOOKUP(C56,Tables!$B$3:$M$36,11,FALSE())*Y$1)</f>
        <v>0</v>
      </c>
      <c r="DQ56" s="92">
        <f>IF(AP56="",0,VLOOKUP(D56,Tables!$B$3:$M$36,11,FALSE())*Z$1)</f>
        <v>6</v>
      </c>
      <c r="DR56" s="91">
        <f>IF(AQ56="",0,VLOOKUP(E56,Tables!$B$3:$M$36,11,FALSE())*AA$1)</f>
        <v>9</v>
      </c>
      <c r="DS56" s="92">
        <f>IF(AR56="",0,VLOOKUP(F56,Tables!$B$3:$M$36,11,FALSE())*AB$1)</f>
        <v>18</v>
      </c>
      <c r="DT56" s="92">
        <f>IF(AS56="",0,VLOOKUP(G56,Tables!$B$3:$M$36,11,FALSE())*AC$1)</f>
        <v>6</v>
      </c>
      <c r="DU56" s="92">
        <f>IF(AT56="",0,VLOOKUP(H56,Tables!$B$3:$M$36,11,FALSE())*AD$1)</f>
        <v>15</v>
      </c>
      <c r="DV56" s="92">
        <f>IF(AU56="",0,VLOOKUP(I56,Tables!$B$3:$M$36,11,FALSE())*AE$1)</f>
        <v>0</v>
      </c>
      <c r="DW56" s="91">
        <f>IF(AV56="",0,VLOOKUP(J56,Tables!$B$3:$M$36,11,FALSE())*AF$1)</f>
        <v>36</v>
      </c>
      <c r="DX56" s="92">
        <f>IF(AW56="",0,VLOOKUP(K56,Tables!$B$3:$M$36,11,FALSE())*AG$1)</f>
        <v>36</v>
      </c>
      <c r="DY56" s="92">
        <f>IF(AX56="",0,VLOOKUP(L56,Tables!$B$3:$M$36,11,FALSE())*AH$1)</f>
        <v>30</v>
      </c>
      <c r="DZ56" s="91">
        <f>IF(AY56="",0,VLOOKUP(M56,Tables!$B$3:$M$36,11,FALSE())*AI$1)</f>
        <v>0</v>
      </c>
      <c r="EA56" s="92">
        <f>IF(AZ56="",0,VLOOKUP(N56,Tables!$B$3:$M$36,11,FALSE())*AJ$1)</f>
        <v>0</v>
      </c>
      <c r="EB56" s="92">
        <f>IF(BA56="",0,VLOOKUP(O56,Tables!$B$3:$M$36,11,FALSE())*AK$1)</f>
        <v>0</v>
      </c>
      <c r="EC56" s="93">
        <f>IF(BB56="",0,VLOOKUP(P56,Tables!$B$3:$M$36,11,FALSE())*AL$1)</f>
        <v>0</v>
      </c>
      <c r="ED56" s="91">
        <f>IF(AN56="",0,VLOOKUP(B56,Tables!$B$3:$M$36,12,FALSE())*X$1)</f>
        <v>0</v>
      </c>
      <c r="EE56" s="92">
        <f>IF(AO56="",0,VLOOKUP(C56,Tables!$B$3:$M$36,12,FALSE())*Y$1)</f>
        <v>0</v>
      </c>
      <c r="EF56" s="92">
        <f>IF(AP56="",0,VLOOKUP(D56,Tables!$B$3:$M$36,12,FALSE())*Z$1)</f>
        <v>12</v>
      </c>
      <c r="EG56" s="91">
        <f>IF(AQ56="",0,VLOOKUP(E56,Tables!$B$3:$M$36,12,FALSE())*AA$1)</f>
        <v>18</v>
      </c>
      <c r="EH56" s="92">
        <f>IF(AR56="",0,VLOOKUP(F56,Tables!$B$3:$M$36,12,FALSE())*AB$1)</f>
        <v>36</v>
      </c>
      <c r="EI56" s="92">
        <f>IF(AS56="",0,VLOOKUP(G56,Tables!$B$3:$M$36,12,FALSE())*AC$1)</f>
        <v>12</v>
      </c>
      <c r="EJ56" s="92">
        <f>IF(AT56="",0,VLOOKUP(H56,Tables!$B$3:$M$36,12,FALSE())*AD$1)</f>
        <v>30</v>
      </c>
      <c r="EK56" s="92">
        <f>IF(AU56="",0,VLOOKUP(I56,Tables!$B$3:$M$36,12,FALSE())*AE$1)</f>
        <v>0</v>
      </c>
      <c r="EL56" s="91">
        <f>IF(AV56="",0,VLOOKUP(J56,Tables!$B$3:$M$36,12,FALSE())*AF$1)</f>
        <v>72</v>
      </c>
      <c r="EM56" s="92">
        <f>IF(AW56="",0,VLOOKUP(K56,Tables!$B$3:$M$36,12,FALSE())*AG$1)</f>
        <v>72</v>
      </c>
      <c r="EN56" s="92">
        <f>IF(AX56="",0,VLOOKUP(L56,Tables!$B$3:$M$36,12,FALSE())*AH$1)</f>
        <v>60</v>
      </c>
      <c r="EO56" s="91">
        <f>IF(AY56="",0,VLOOKUP(M56,Tables!$B$3:$M$36,12,FALSE())*AI$1)</f>
        <v>0</v>
      </c>
      <c r="EP56" s="92">
        <f>IF(AZ56="",0,VLOOKUP(N56,Tables!$B$3:$M$36,12,FALSE())*AJ$1)</f>
        <v>0</v>
      </c>
      <c r="EQ56" s="92">
        <f>IF(BA56="",0,VLOOKUP(O56,Tables!$B$3:$M$36,12,FALSE())*AK$1)</f>
        <v>0</v>
      </c>
      <c r="ER56" s="93">
        <f>IF(BB56="",0,VLOOKUP(P56,Tables!$B$3:$M$36,12,FALSE())*AL$1)</f>
        <v>0</v>
      </c>
      <c r="ES56" s="94">
        <f t="shared" si="55"/>
        <v>0</v>
      </c>
      <c r="ET56" s="95">
        <f>IF(AN56="",10,MIN(VLOOKUP(B56,Tables!$B$3:$N$34,13,FALSE()),'Item Builder'!$W56))</f>
        <v>10</v>
      </c>
      <c r="EU56" s="95">
        <f>IF(AO56="",10,MIN(VLOOKUP(C56,Tables!$B$3:$N$34,13,FALSE()),'Item Builder'!$W56))</f>
        <v>10</v>
      </c>
      <c r="EV56" s="95">
        <f>IF(AP56="",10,MIN(VLOOKUP(D56,Tables!$B$3:$N$34,13,FALSE()),'Item Builder'!$W56))</f>
        <v>0</v>
      </c>
      <c r="EW56" s="95">
        <f>IF(AQ56="",10,MIN(VLOOKUP(E56,Tables!$B$3:$N$34,13,FALSE()),'Item Builder'!$W56))</f>
        <v>0</v>
      </c>
      <c r="EX56" s="95">
        <f>IF(AR56="",10,MIN(VLOOKUP(F56,Tables!$B$3:$N$34,13,FALSE()),'Item Builder'!$W56))</f>
        <v>0</v>
      </c>
      <c r="EY56" s="95">
        <f>IF(AS56="",10,MIN(VLOOKUP(G56,Tables!$B$3:$N$34,13,FALSE()),'Item Builder'!$W56))</f>
        <v>0</v>
      </c>
      <c r="EZ56" s="95">
        <f>IF(AT56="",10,MIN(VLOOKUP(H56,Tables!$B$3:$N$34,13,FALSE()),'Item Builder'!$W56))</f>
        <v>0</v>
      </c>
      <c r="FA56" s="95">
        <f>IF(AU56="",10,MIN(VLOOKUP(I56,Tables!$B$3:$N$34,13,FALSE()),'Item Builder'!$W56))</f>
        <v>10</v>
      </c>
      <c r="FB56" s="95">
        <f>IF(AV56="",10,MIN(VLOOKUP(J56,Tables!$B$3:$N$34,13,FALSE()),'Item Builder'!$W56))</f>
        <v>0</v>
      </c>
      <c r="FC56" s="95">
        <f>IF(AW56="",10,MIN(VLOOKUP(K56,Tables!$B$3:$N$34,13,FALSE()),'Item Builder'!$W56))</f>
        <v>0</v>
      </c>
      <c r="FD56" s="95">
        <f>IF(AX56="",10,MIN(VLOOKUP(L56,Tables!$B$3:$N$34,13,FALSE()),'Item Builder'!$W56))</f>
        <v>0</v>
      </c>
      <c r="FE56" s="95">
        <f>IF(AY56="",10,MIN(VLOOKUP(M56,Tables!$B$3:$N$34,13,FALSE()),'Item Builder'!$W56))</f>
        <v>10</v>
      </c>
      <c r="FF56" s="95">
        <f>IF(AZ56="",10,MIN(VLOOKUP(N56,Tables!$B$3:$N$34,13,FALSE()),'Item Builder'!$W56))</f>
        <v>10</v>
      </c>
      <c r="FG56" s="95">
        <f>IF(BA56="",10,MIN(VLOOKUP(O56,Tables!$B$3:$N$34,13,FALSE()),'Item Builder'!$W56))</f>
        <v>10</v>
      </c>
      <c r="FH56" s="98">
        <f>IF(BB56="",10,MIN(VLOOKUP(P56,Tables!$B$3:$N$34,13,FALSE()),'Item Builder'!$W56))</f>
        <v>10</v>
      </c>
    </row>
    <row r="57" spans="1:164" x14ac:dyDescent="0.25">
      <c r="A57" s="67" t="s">
        <v>24</v>
      </c>
      <c r="B57" s="68"/>
      <c r="C57" s="69"/>
      <c r="D57" s="70" t="s">
        <v>104</v>
      </c>
      <c r="E57" s="68" t="s">
        <v>104</v>
      </c>
      <c r="F57" s="69" t="s">
        <v>104</v>
      </c>
      <c r="G57" s="69" t="s">
        <v>104</v>
      </c>
      <c r="H57" s="69" t="s">
        <v>104</v>
      </c>
      <c r="I57" s="70"/>
      <c r="J57" s="68" t="s">
        <v>104</v>
      </c>
      <c r="K57" s="69" t="s">
        <v>104</v>
      </c>
      <c r="L57" s="70" t="s">
        <v>104</v>
      </c>
      <c r="M57" s="68" t="s">
        <v>104</v>
      </c>
      <c r="N57" s="69"/>
      <c r="O57" s="69"/>
      <c r="P57" s="71"/>
      <c r="Q57" s="72">
        <f>SUM(BV57:CJ57)*VLOOKUP(W57,Tables!$W$3:$Z$8,4)</f>
        <v>528</v>
      </c>
      <c r="R57" s="73">
        <f t="shared" si="0"/>
        <v>18.48</v>
      </c>
      <c r="S57" s="102">
        <f t="shared" si="1"/>
        <v>10</v>
      </c>
      <c r="T57" s="74">
        <f t="shared" si="2"/>
        <v>0</v>
      </c>
      <c r="U57" s="75">
        <f t="shared" si="3"/>
        <v>198</v>
      </c>
      <c r="V57" s="76">
        <f t="shared" si="4"/>
        <v>396</v>
      </c>
      <c r="W57" s="77">
        <v>0</v>
      </c>
      <c r="X57" s="78">
        <f t="shared" si="5"/>
        <v>0</v>
      </c>
      <c r="Y57" s="79">
        <f t="shared" si="6"/>
        <v>0</v>
      </c>
      <c r="Z57" s="79">
        <f t="shared" si="7"/>
        <v>1</v>
      </c>
      <c r="AA57" s="78">
        <f t="shared" si="8"/>
        <v>1</v>
      </c>
      <c r="AB57" s="79">
        <f t="shared" si="9"/>
        <v>1</v>
      </c>
      <c r="AC57" s="79">
        <f t="shared" si="10"/>
        <v>1</v>
      </c>
      <c r="AD57" s="79">
        <f t="shared" si="11"/>
        <v>1</v>
      </c>
      <c r="AE57" s="79">
        <f t="shared" si="12"/>
        <v>0</v>
      </c>
      <c r="AF57" s="78">
        <f t="shared" si="13"/>
        <v>1</v>
      </c>
      <c r="AG57" s="79">
        <f t="shared" si="14"/>
        <v>1</v>
      </c>
      <c r="AH57" s="79">
        <f t="shared" si="15"/>
        <v>1</v>
      </c>
      <c r="AI57" s="78">
        <f t="shared" si="16"/>
        <v>1</v>
      </c>
      <c r="AJ57" s="79">
        <f t="shared" si="17"/>
        <v>0</v>
      </c>
      <c r="AK57" s="79">
        <f t="shared" si="18"/>
        <v>0</v>
      </c>
      <c r="AL57" s="80">
        <f t="shared" si="19"/>
        <v>0</v>
      </c>
      <c r="AM57" s="81">
        <f t="shared" si="20"/>
        <v>0.66</v>
      </c>
      <c r="AN57" s="82" t="str">
        <f t="shared" si="21"/>
        <v/>
      </c>
      <c r="AO57" s="79" t="str">
        <f t="shared" si="22"/>
        <v/>
      </c>
      <c r="AP57" t="str">
        <f t="shared" si="23"/>
        <v>G</v>
      </c>
      <c r="AQ57" s="82" t="str">
        <f t="shared" si="24"/>
        <v>G</v>
      </c>
      <c r="AR57" t="str">
        <f t="shared" si="25"/>
        <v>G</v>
      </c>
      <c r="AS57" t="str">
        <f t="shared" si="26"/>
        <v>G</v>
      </c>
      <c r="AT57" t="str">
        <f t="shared" si="27"/>
        <v>G</v>
      </c>
      <c r="AU57" t="str">
        <f t="shared" si="28"/>
        <v/>
      </c>
      <c r="AV57" s="82" t="str">
        <f t="shared" si="29"/>
        <v>G</v>
      </c>
      <c r="AW57" t="str">
        <f t="shared" si="30"/>
        <v>G</v>
      </c>
      <c r="AX57" t="str">
        <f t="shared" si="31"/>
        <v>G</v>
      </c>
      <c r="AY57" s="82" t="str">
        <f t="shared" si="32"/>
        <v>G</v>
      </c>
      <c r="AZ57" t="str">
        <f t="shared" si="33"/>
        <v/>
      </c>
      <c r="BA57" t="str">
        <f t="shared" si="34"/>
        <v/>
      </c>
      <c r="BB57" s="83" t="str">
        <f t="shared" si="35"/>
        <v/>
      </c>
      <c r="BC57" s="84">
        <f t="shared" si="36"/>
        <v>0.22222222222222221</v>
      </c>
      <c r="BD57" s="84">
        <f t="shared" si="37"/>
        <v>0.76190476190476186</v>
      </c>
      <c r="BE57" s="84">
        <f t="shared" si="38"/>
        <v>1</v>
      </c>
      <c r="BF57" s="84">
        <f t="shared" si="39"/>
        <v>0.3888888888888889</v>
      </c>
      <c r="BG57" s="78">
        <f>IF(AN57="",0,VLOOKUP(AN57,Tables!$AB$3:$AC$12,2))</f>
        <v>0</v>
      </c>
      <c r="BH57" s="79">
        <f>IF(AO57="",0,VLOOKUP(AO57,Tables!$AB$3:$AC$12,2))</f>
        <v>0</v>
      </c>
      <c r="BI57" s="79">
        <f>IF(AP57="",0,VLOOKUP(AP57,Tables!$AB$3:$AC$12,2))</f>
        <v>3</v>
      </c>
      <c r="BJ57" s="78">
        <f>IF(AQ57="",0,VLOOKUP(AQ57,Tables!$AB$3:$AC$12,2))</f>
        <v>3</v>
      </c>
      <c r="BK57" s="79">
        <f>IF(AR57="",0,VLOOKUP(AR57,Tables!$AB$3:$AC$12,2))</f>
        <v>3</v>
      </c>
      <c r="BL57" s="79">
        <f>IF(AS57="",0,VLOOKUP(AS57,Tables!$AB$3:$AC$12,2))</f>
        <v>3</v>
      </c>
      <c r="BM57" s="79">
        <f>IF(AT57="",0,VLOOKUP(AT57,Tables!$AB$3:$AC$12,2))</f>
        <v>3</v>
      </c>
      <c r="BN57" s="79">
        <f>IF(AU57="",0,VLOOKUP(AU57,Tables!$AB$3:$AC$12,2))</f>
        <v>0</v>
      </c>
      <c r="BO57" s="78">
        <f>IF(AV57="",0,VLOOKUP(AV57,Tables!$AB$3:$AC$12,2))</f>
        <v>3</v>
      </c>
      <c r="BP57" s="79">
        <f>IF(AW57="",0,VLOOKUP(AW57,Tables!$AB$3:$AC$12,2))</f>
        <v>3</v>
      </c>
      <c r="BQ57" s="79">
        <f>IF(AX57="",0,VLOOKUP(AX57,Tables!$AB$3:$AC$12,2))</f>
        <v>3</v>
      </c>
      <c r="BR57" s="78">
        <f>IF(AY57="",0,VLOOKUP(AY57,Tables!$AB$3:$AC$12,2))</f>
        <v>3</v>
      </c>
      <c r="BS57" s="79">
        <f>IF(AZ57="",0,VLOOKUP(AZ57,Tables!$AB$3:$AC$12,2))</f>
        <v>0</v>
      </c>
      <c r="BT57" s="79">
        <f>IF(BA57="",0,VLOOKUP(BA57,Tables!$AB$3:$AC$12,2))</f>
        <v>0</v>
      </c>
      <c r="BU57" s="80">
        <f>IF(BB57="",0,VLOOKUP(BB57,Tables!$AB$3:$AC$12,2))</f>
        <v>0</v>
      </c>
      <c r="BV57" s="85">
        <f>IF(AN57="",0,VLOOKUP(B57,Tables!$B$3:$D$36,2,FALSE())*X$1)</f>
        <v>0</v>
      </c>
      <c r="BW57" s="72">
        <f>IF(AO57="",0,VLOOKUP(C57,Tables!$B$3:$D$36,2,FALSE())*Y$1)</f>
        <v>0</v>
      </c>
      <c r="BX57" s="72">
        <f>IF(AP57="",0,VLOOKUP(D57,Tables!$B$3:$D$36,2,FALSE())*Z$1)</f>
        <v>16</v>
      </c>
      <c r="BY57" s="85">
        <f>IF(AQ57="",0,VLOOKUP(E57,Tables!$B$3:$D$36,2,FALSE())*AA$1)</f>
        <v>24</v>
      </c>
      <c r="BZ57" s="72">
        <f>IF(AR57="",0,VLOOKUP(F57,Tables!$B$3:$D$36,2,FALSE())*AB$1)</f>
        <v>48</v>
      </c>
      <c r="CA57" s="72">
        <f>IF(AS57="",0,VLOOKUP(G57,Tables!$B$3:$D$36,2,FALSE())*AC$1)</f>
        <v>16</v>
      </c>
      <c r="CB57" s="72">
        <f>IF(AT57="",0,VLOOKUP(H57,Tables!$B$3:$D$36,2,FALSE())*AD$1)</f>
        <v>40</v>
      </c>
      <c r="CC57" s="72">
        <f>IF(AU57="",0,VLOOKUP(I57,Tables!$B$3:$D$36,2,FALSE())*AE$1)</f>
        <v>0</v>
      </c>
      <c r="CD57" s="85">
        <f>IF(AV57="",0,VLOOKUP(J57,Tables!$B$3:$D$36,2,FALSE())*AF$1)</f>
        <v>96</v>
      </c>
      <c r="CE57" s="72">
        <f>IF(AW57="",0,VLOOKUP(K57,Tables!$B$3:$D$36,2,FALSE())*AG$1)</f>
        <v>96</v>
      </c>
      <c r="CF57" s="72">
        <f>IF(AX57="",0,VLOOKUP(L57,Tables!$B$3:$D$36,2,FALSE())*AH$1)</f>
        <v>80</v>
      </c>
      <c r="CG57" s="85">
        <f>IF(AY57="",0,VLOOKUP(M57,Tables!$B$3:$D$36,2,FALSE())*AI$1)</f>
        <v>112.00000000000001</v>
      </c>
      <c r="CH57" s="72">
        <f>IF(AZ57="",0,VLOOKUP(N57,Tables!$B$3:$D$36,2,FALSE())*AJ$1)</f>
        <v>0</v>
      </c>
      <c r="CI57" s="72">
        <f>IF(BA57="",0,VLOOKUP(O57,Tables!$B$3:$D$36,2,FALSE())*AK$1)</f>
        <v>0</v>
      </c>
      <c r="CJ57" s="86">
        <f>IF(BB57="",0,VLOOKUP(P57,Tables!$B$3:$D$36,2,FALSE())*AL$1)</f>
        <v>0</v>
      </c>
      <c r="CK57" s="87">
        <f>IF(AN57="",0,VLOOKUP(B57,Tables!$B$3:$D$36,3,FALSE())*X$1)*IF(OR(AN57="K",AN57="P"),2,1)</f>
        <v>0</v>
      </c>
      <c r="CL57" s="73">
        <f>IF(AO57="",0,VLOOKUP(C57,Tables!$B$3:$D$36,3,FALSE())*Y$1)*IF(OR(AO57="K",AO57="P"),2,1)</f>
        <v>0</v>
      </c>
      <c r="CM57" s="73">
        <f>IF(AP57="",0,VLOOKUP(D57,Tables!$B$3:$D$36,3,FALSE())*Z$1)*IF(OR(AP57="K",AP57="P"),2,1)</f>
        <v>0.56000000000000005</v>
      </c>
      <c r="CN57" s="87">
        <f>IF(AQ57="",0,VLOOKUP(E57,Tables!$B$3:$D$36,3,FALSE())*AA$1)</f>
        <v>0.84</v>
      </c>
      <c r="CO57" s="73">
        <f>IF(AR57="",0,VLOOKUP(F57,Tables!$B$3:$D$36,3,FALSE())*AB$1)</f>
        <v>1.68</v>
      </c>
      <c r="CP57" s="73">
        <f>IF(AS57="",0,VLOOKUP(G57,Tables!$B$3:$D$36,3,FALSE())*AC$1)</f>
        <v>0.56000000000000005</v>
      </c>
      <c r="CQ57" s="73">
        <f>IF(AT57="",0,VLOOKUP(H57,Tables!$B$3:$D$36,3,FALSE())*AD$1)</f>
        <v>1.4000000000000001</v>
      </c>
      <c r="CR57" s="73">
        <f>IF(AU57="",0,VLOOKUP(I57,Tables!$B$3:$D$36,3,FALSE())*AE$1)</f>
        <v>0</v>
      </c>
      <c r="CS57" s="87">
        <f>IF(AV57="",0,VLOOKUP(J57,Tables!$B$3:$D$36,3,FALSE())*AF$1)</f>
        <v>3.36</v>
      </c>
      <c r="CT57" s="73">
        <f>IF(AW57="",0,VLOOKUP(K57,Tables!$B$3:$D$36,3,FALSE())*AG$1)</f>
        <v>3.36</v>
      </c>
      <c r="CU57" s="73">
        <f>IF(AX57="",0,VLOOKUP(L57,Tables!$B$3:$D$36,3,FALSE())*AH$1)</f>
        <v>2.8000000000000003</v>
      </c>
      <c r="CV57" s="87">
        <f>IF(AY57="",0,VLOOKUP(M57,Tables!$B$3:$D$36,3,FALSE())*AI$1)</f>
        <v>3.9200000000000004</v>
      </c>
      <c r="CW57" s="73">
        <f>IF(AZ57="",0,VLOOKUP(N57,Tables!$B$3:$D$36,3,FALSE())*AJ$1)</f>
        <v>0</v>
      </c>
      <c r="CX57" s="73">
        <f>IF(BA57="",0,VLOOKUP(O57,Tables!$B$3:$D$36,3,FALSE())*AK$1)</f>
        <v>0</v>
      </c>
      <c r="CY57" s="88">
        <f>IF(BB57="",0,VLOOKUP(P57,Tables!$B$3:$D$36,3,FALSE())*AL$1)</f>
        <v>0</v>
      </c>
      <c r="CZ57" s="89">
        <f t="shared" si="40"/>
        <v>0</v>
      </c>
      <c r="DA57" s="75">
        <f t="shared" si="41"/>
        <v>0</v>
      </c>
      <c r="DB57" s="75">
        <f t="shared" si="42"/>
        <v>1.25</v>
      </c>
      <c r="DC57" s="89">
        <f t="shared" si="43"/>
        <v>1.25</v>
      </c>
      <c r="DD57" s="75">
        <f t="shared" si="44"/>
        <v>1.25</v>
      </c>
      <c r="DE57" s="75">
        <f t="shared" si="45"/>
        <v>1.25</v>
      </c>
      <c r="DF57" s="75">
        <f t="shared" si="46"/>
        <v>1.25</v>
      </c>
      <c r="DG57" s="75">
        <f t="shared" si="47"/>
        <v>0</v>
      </c>
      <c r="DH57" s="89">
        <f t="shared" si="48"/>
        <v>1.25</v>
      </c>
      <c r="DI57" s="75">
        <f t="shared" si="49"/>
        <v>1.25</v>
      </c>
      <c r="DJ57" s="75">
        <f t="shared" si="50"/>
        <v>1.25</v>
      </c>
      <c r="DK57" s="89">
        <f t="shared" si="51"/>
        <v>1.25</v>
      </c>
      <c r="DL57" s="75">
        <f t="shared" si="52"/>
        <v>0</v>
      </c>
      <c r="DM57" s="75">
        <f t="shared" si="53"/>
        <v>0</v>
      </c>
      <c r="DN57" s="90">
        <f t="shared" si="54"/>
        <v>0</v>
      </c>
      <c r="DO57" s="91">
        <f>IF(AN57="",0,VLOOKUP(B57,Tables!$B$3:$M$36,11,FALSE())*X$1)</f>
        <v>0</v>
      </c>
      <c r="DP57" s="92">
        <f>IF(AO57="",0,VLOOKUP(C57,Tables!$B$3:$M$36,11,FALSE())*Y$1)</f>
        <v>0</v>
      </c>
      <c r="DQ57" s="92">
        <f>IF(AP57="",0,VLOOKUP(D57,Tables!$B$3:$M$36,11,FALSE())*Z$1)</f>
        <v>6</v>
      </c>
      <c r="DR57" s="91">
        <f>IF(AQ57="",0,VLOOKUP(E57,Tables!$B$3:$M$36,11,FALSE())*AA$1)</f>
        <v>9</v>
      </c>
      <c r="DS57" s="92">
        <f>IF(AR57="",0,VLOOKUP(F57,Tables!$B$3:$M$36,11,FALSE())*AB$1)</f>
        <v>18</v>
      </c>
      <c r="DT57" s="92">
        <f>IF(AS57="",0,VLOOKUP(G57,Tables!$B$3:$M$36,11,FALSE())*AC$1)</f>
        <v>6</v>
      </c>
      <c r="DU57" s="92">
        <f>IF(AT57="",0,VLOOKUP(H57,Tables!$B$3:$M$36,11,FALSE())*AD$1)</f>
        <v>15</v>
      </c>
      <c r="DV57" s="92">
        <f>IF(AU57="",0,VLOOKUP(I57,Tables!$B$3:$M$36,11,FALSE())*AE$1)</f>
        <v>0</v>
      </c>
      <c r="DW57" s="91">
        <f>IF(AV57="",0,VLOOKUP(J57,Tables!$B$3:$M$36,11,FALSE())*AF$1)</f>
        <v>36</v>
      </c>
      <c r="DX57" s="92">
        <f>IF(AW57="",0,VLOOKUP(K57,Tables!$B$3:$M$36,11,FALSE())*AG$1)</f>
        <v>36</v>
      </c>
      <c r="DY57" s="92">
        <f>IF(AX57="",0,VLOOKUP(L57,Tables!$B$3:$M$36,11,FALSE())*AH$1)</f>
        <v>30</v>
      </c>
      <c r="DZ57" s="91">
        <f>IF(AY57="",0,VLOOKUP(M57,Tables!$B$3:$M$36,11,FALSE())*AI$1)</f>
        <v>42.000000000000007</v>
      </c>
      <c r="EA57" s="92">
        <f>IF(AZ57="",0,VLOOKUP(N57,Tables!$B$3:$M$36,11,FALSE())*AJ$1)</f>
        <v>0</v>
      </c>
      <c r="EB57" s="92">
        <f>IF(BA57="",0,VLOOKUP(O57,Tables!$B$3:$M$36,11,FALSE())*AK$1)</f>
        <v>0</v>
      </c>
      <c r="EC57" s="93">
        <f>IF(BB57="",0,VLOOKUP(P57,Tables!$B$3:$M$36,11,FALSE())*AL$1)</f>
        <v>0</v>
      </c>
      <c r="ED57" s="91">
        <f>IF(AN57="",0,VLOOKUP(B57,Tables!$B$3:$M$36,12,FALSE())*X$1)</f>
        <v>0</v>
      </c>
      <c r="EE57" s="92">
        <f>IF(AO57="",0,VLOOKUP(C57,Tables!$B$3:$M$36,12,FALSE())*Y$1)</f>
        <v>0</v>
      </c>
      <c r="EF57" s="92">
        <f>IF(AP57="",0,VLOOKUP(D57,Tables!$B$3:$M$36,12,FALSE())*Z$1)</f>
        <v>12</v>
      </c>
      <c r="EG57" s="91">
        <f>IF(AQ57="",0,VLOOKUP(E57,Tables!$B$3:$M$36,12,FALSE())*AA$1)</f>
        <v>18</v>
      </c>
      <c r="EH57" s="92">
        <f>IF(AR57="",0,VLOOKUP(F57,Tables!$B$3:$M$36,12,FALSE())*AB$1)</f>
        <v>36</v>
      </c>
      <c r="EI57" s="92">
        <f>IF(AS57="",0,VLOOKUP(G57,Tables!$B$3:$M$36,12,FALSE())*AC$1)</f>
        <v>12</v>
      </c>
      <c r="EJ57" s="92">
        <f>IF(AT57="",0,VLOOKUP(H57,Tables!$B$3:$M$36,12,FALSE())*AD$1)</f>
        <v>30</v>
      </c>
      <c r="EK57" s="92">
        <f>IF(AU57="",0,VLOOKUP(I57,Tables!$B$3:$M$36,12,FALSE())*AE$1)</f>
        <v>0</v>
      </c>
      <c r="EL57" s="91">
        <f>IF(AV57="",0,VLOOKUP(J57,Tables!$B$3:$M$36,12,FALSE())*AF$1)</f>
        <v>72</v>
      </c>
      <c r="EM57" s="92">
        <f>IF(AW57="",0,VLOOKUP(K57,Tables!$B$3:$M$36,12,FALSE())*AG$1)</f>
        <v>72</v>
      </c>
      <c r="EN57" s="92">
        <f>IF(AX57="",0,VLOOKUP(L57,Tables!$B$3:$M$36,12,FALSE())*AH$1)</f>
        <v>60</v>
      </c>
      <c r="EO57" s="91">
        <f>IF(AY57="",0,VLOOKUP(M57,Tables!$B$3:$M$36,12,FALSE())*AI$1)</f>
        <v>84.000000000000014</v>
      </c>
      <c r="EP57" s="92">
        <f>IF(AZ57="",0,VLOOKUP(N57,Tables!$B$3:$M$36,12,FALSE())*AJ$1)</f>
        <v>0</v>
      </c>
      <c r="EQ57" s="92">
        <f>IF(BA57="",0,VLOOKUP(O57,Tables!$B$3:$M$36,12,FALSE())*AK$1)</f>
        <v>0</v>
      </c>
      <c r="ER57" s="93">
        <f>IF(BB57="",0,VLOOKUP(P57,Tables!$B$3:$M$36,12,FALSE())*AL$1)</f>
        <v>0</v>
      </c>
      <c r="ES57" s="94">
        <f t="shared" si="55"/>
        <v>0</v>
      </c>
      <c r="ET57" s="95">
        <f>IF(AN57="",10,MIN(VLOOKUP(B57,Tables!$B$3:$N$34,13,FALSE()),'Item Builder'!$W57))</f>
        <v>10</v>
      </c>
      <c r="EU57" s="95">
        <f>IF(AO57="",10,MIN(VLOOKUP(C57,Tables!$B$3:$N$34,13,FALSE()),'Item Builder'!$W57))</f>
        <v>10</v>
      </c>
      <c r="EV57" s="95">
        <f>IF(AP57="",10,MIN(VLOOKUP(D57,Tables!$B$3:$N$34,13,FALSE()),'Item Builder'!$W57))</f>
        <v>0</v>
      </c>
      <c r="EW57" s="95">
        <f>IF(AQ57="",10,MIN(VLOOKUP(E57,Tables!$B$3:$N$34,13,FALSE()),'Item Builder'!$W57))</f>
        <v>0</v>
      </c>
      <c r="EX57" s="95">
        <f>IF(AR57="",10,MIN(VLOOKUP(F57,Tables!$B$3:$N$34,13,FALSE()),'Item Builder'!$W57))</f>
        <v>0</v>
      </c>
      <c r="EY57" s="95">
        <f>IF(AS57="",10,MIN(VLOOKUP(G57,Tables!$B$3:$N$34,13,FALSE()),'Item Builder'!$W57))</f>
        <v>0</v>
      </c>
      <c r="EZ57" s="95">
        <f>IF(AT57="",10,MIN(VLOOKUP(H57,Tables!$B$3:$N$34,13,FALSE()),'Item Builder'!$W57))</f>
        <v>0</v>
      </c>
      <c r="FA57" s="95">
        <f>IF(AU57="",10,MIN(VLOOKUP(I57,Tables!$B$3:$N$34,13,FALSE()),'Item Builder'!$W57))</f>
        <v>10</v>
      </c>
      <c r="FB57" s="95">
        <f>IF(AV57="",10,MIN(VLOOKUP(J57,Tables!$B$3:$N$34,13,FALSE()),'Item Builder'!$W57))</f>
        <v>0</v>
      </c>
      <c r="FC57" s="95">
        <f>IF(AW57="",10,MIN(VLOOKUP(K57,Tables!$B$3:$N$34,13,FALSE()),'Item Builder'!$W57))</f>
        <v>0</v>
      </c>
      <c r="FD57" s="95">
        <f>IF(AX57="",10,MIN(VLOOKUP(L57,Tables!$B$3:$N$34,13,FALSE()),'Item Builder'!$W57))</f>
        <v>0</v>
      </c>
      <c r="FE57" s="95">
        <f>IF(AY57="",10,MIN(VLOOKUP(M57,Tables!$B$3:$N$34,13,FALSE()),'Item Builder'!$W57))</f>
        <v>0</v>
      </c>
      <c r="FF57" s="95">
        <f>IF(AZ57="",10,MIN(VLOOKUP(N57,Tables!$B$3:$N$34,13,FALSE()),'Item Builder'!$W57))</f>
        <v>10</v>
      </c>
      <c r="FG57" s="95">
        <f>IF(BA57="",10,MIN(VLOOKUP(O57,Tables!$B$3:$N$34,13,FALSE()),'Item Builder'!$W57))</f>
        <v>10</v>
      </c>
      <c r="FH57" s="98">
        <f>IF(BB57="",10,MIN(VLOOKUP(P57,Tables!$B$3:$N$34,13,FALSE()),'Item Builder'!$W57))</f>
        <v>10</v>
      </c>
    </row>
    <row r="58" spans="1:164" x14ac:dyDescent="0.25">
      <c r="A58" s="67" t="s">
        <v>81</v>
      </c>
      <c r="B58" s="68" t="s">
        <v>106</v>
      </c>
      <c r="C58" s="69"/>
      <c r="D58" s="70"/>
      <c r="E58" s="68"/>
      <c r="F58" s="69"/>
      <c r="G58" s="69"/>
      <c r="H58" s="69"/>
      <c r="I58" s="70"/>
      <c r="J58" s="68"/>
      <c r="K58" s="69"/>
      <c r="L58" s="70"/>
      <c r="M58" s="68"/>
      <c r="N58" s="69"/>
      <c r="O58" s="69"/>
      <c r="P58" s="71"/>
      <c r="Q58" s="72">
        <f>SUM(BV58:CJ58)*VLOOKUP(W58,Tables!$W$3:$Z$8,4)</f>
        <v>20</v>
      </c>
      <c r="R58" s="73">
        <f t="shared" si="0"/>
        <v>3.04</v>
      </c>
      <c r="S58" s="74">
        <f t="shared" si="1"/>
        <v>0</v>
      </c>
      <c r="T58" s="74">
        <f t="shared" si="2"/>
        <v>0</v>
      </c>
      <c r="U58" s="75">
        <f t="shared" si="3"/>
        <v>32</v>
      </c>
      <c r="V58" s="76">
        <f t="shared" si="4"/>
        <v>8</v>
      </c>
      <c r="W58" s="77">
        <v>0</v>
      </c>
      <c r="X58" s="78">
        <f t="shared" si="5"/>
        <v>1</v>
      </c>
      <c r="Y58" s="79">
        <f t="shared" si="6"/>
        <v>0</v>
      </c>
      <c r="Z58" s="79">
        <f t="shared" si="7"/>
        <v>0</v>
      </c>
      <c r="AA58" s="78">
        <f t="shared" si="8"/>
        <v>0</v>
      </c>
      <c r="AB58" s="79">
        <f t="shared" si="9"/>
        <v>0</v>
      </c>
      <c r="AC58" s="79">
        <f t="shared" si="10"/>
        <v>0</v>
      </c>
      <c r="AD58" s="79">
        <f t="shared" si="11"/>
        <v>0</v>
      </c>
      <c r="AE58" s="79">
        <f t="shared" si="12"/>
        <v>0</v>
      </c>
      <c r="AF58" s="78">
        <f t="shared" si="13"/>
        <v>0</v>
      </c>
      <c r="AG58" s="79">
        <f t="shared" si="14"/>
        <v>0</v>
      </c>
      <c r="AH58" s="79">
        <f t="shared" si="15"/>
        <v>0</v>
      </c>
      <c r="AI58" s="78">
        <f t="shared" si="16"/>
        <v>0</v>
      </c>
      <c r="AJ58" s="79">
        <f t="shared" si="17"/>
        <v>0</v>
      </c>
      <c r="AK58" s="79">
        <f t="shared" si="18"/>
        <v>0</v>
      </c>
      <c r="AL58" s="80">
        <f t="shared" si="19"/>
        <v>0</v>
      </c>
      <c r="AM58" s="81">
        <f t="shared" si="20"/>
        <v>0.04</v>
      </c>
      <c r="AN58" s="82" t="str">
        <f t="shared" si="21"/>
        <v>K</v>
      </c>
      <c r="AO58" s="79" t="str">
        <f t="shared" si="22"/>
        <v/>
      </c>
      <c r="AP58" t="str">
        <f t="shared" si="23"/>
        <v/>
      </c>
      <c r="AQ58" s="82" t="str">
        <f t="shared" si="24"/>
        <v/>
      </c>
      <c r="AR58" t="str">
        <f t="shared" si="25"/>
        <v/>
      </c>
      <c r="AS58" t="str">
        <f t="shared" si="26"/>
        <v/>
      </c>
      <c r="AT58" t="str">
        <f t="shared" si="27"/>
        <v/>
      </c>
      <c r="AU58" t="str">
        <f t="shared" si="28"/>
        <v/>
      </c>
      <c r="AV58" s="82" t="str">
        <f t="shared" si="29"/>
        <v/>
      </c>
      <c r="AW58" t="str">
        <f t="shared" si="30"/>
        <v/>
      </c>
      <c r="AX58" t="str">
        <f t="shared" si="31"/>
        <v/>
      </c>
      <c r="AY58" s="82" t="str">
        <f t="shared" si="32"/>
        <v/>
      </c>
      <c r="AZ58" t="str">
        <f t="shared" si="33"/>
        <v/>
      </c>
      <c r="BA58" t="str">
        <f t="shared" si="34"/>
        <v/>
      </c>
      <c r="BB58" s="83" t="str">
        <f t="shared" si="35"/>
        <v/>
      </c>
      <c r="BC58" s="84">
        <f t="shared" si="36"/>
        <v>0.44444444444444442</v>
      </c>
      <c r="BD58" s="84">
        <f t="shared" si="37"/>
        <v>0</v>
      </c>
      <c r="BE58" s="84">
        <f t="shared" si="38"/>
        <v>0</v>
      </c>
      <c r="BF58" s="84">
        <f t="shared" si="39"/>
        <v>0</v>
      </c>
      <c r="BG58" s="78">
        <f>IF(AN58="",0,VLOOKUP(AN58,Tables!$AB$3:$AC$12,2))</f>
        <v>1</v>
      </c>
      <c r="BH58" s="79">
        <f>IF(AO58="",0,VLOOKUP(AO58,Tables!$AB$3:$AC$12,2))</f>
        <v>0</v>
      </c>
      <c r="BI58" s="79">
        <f>IF(AP58="",0,VLOOKUP(AP58,Tables!$AB$3:$AC$12,2))</f>
        <v>0</v>
      </c>
      <c r="BJ58" s="78">
        <f>IF(AQ58="",0,VLOOKUP(AQ58,Tables!$AB$3:$AC$12,2))</f>
        <v>0</v>
      </c>
      <c r="BK58" s="79">
        <f>IF(AR58="",0,VLOOKUP(AR58,Tables!$AB$3:$AC$12,2))</f>
        <v>0</v>
      </c>
      <c r="BL58" s="79">
        <f>IF(AS58="",0,VLOOKUP(AS58,Tables!$AB$3:$AC$12,2))</f>
        <v>0</v>
      </c>
      <c r="BM58" s="79">
        <f>IF(AT58="",0,VLOOKUP(AT58,Tables!$AB$3:$AC$12,2))</f>
        <v>0</v>
      </c>
      <c r="BN58" s="79">
        <f>IF(AU58="",0,VLOOKUP(AU58,Tables!$AB$3:$AC$12,2))</f>
        <v>0</v>
      </c>
      <c r="BO58" s="78">
        <f>IF(AV58="",0,VLOOKUP(AV58,Tables!$AB$3:$AC$12,2))</f>
        <v>0</v>
      </c>
      <c r="BP58" s="79">
        <f>IF(AW58="",0,VLOOKUP(AW58,Tables!$AB$3:$AC$12,2))</f>
        <v>0</v>
      </c>
      <c r="BQ58" s="79">
        <f>IF(AX58="",0,VLOOKUP(AX58,Tables!$AB$3:$AC$12,2))</f>
        <v>0</v>
      </c>
      <c r="BR58" s="78">
        <f>IF(AY58="",0,VLOOKUP(AY58,Tables!$AB$3:$AC$12,2))</f>
        <v>0</v>
      </c>
      <c r="BS58" s="79">
        <f>IF(AZ58="",0,VLOOKUP(AZ58,Tables!$AB$3:$AC$12,2))</f>
        <v>0</v>
      </c>
      <c r="BT58" s="79">
        <f>IF(BA58="",0,VLOOKUP(BA58,Tables!$AB$3:$AC$12,2))</f>
        <v>0</v>
      </c>
      <c r="BU58" s="80">
        <f>IF(BB58="",0,VLOOKUP(BB58,Tables!$AB$3:$AC$12,2))</f>
        <v>0</v>
      </c>
      <c r="BV58" s="85">
        <f>IF(AN58="",0,VLOOKUP(B58,Tables!$B$3:$D$36,2,FALSE())*X$1)</f>
        <v>20</v>
      </c>
      <c r="BW58" s="72">
        <f>IF(AO58="",0,VLOOKUP(C58,Tables!$B$3:$D$36,2,FALSE())*Y$1)</f>
        <v>0</v>
      </c>
      <c r="BX58" s="72">
        <f>IF(AP58="",0,VLOOKUP(D58,Tables!$B$3:$D$36,2,FALSE())*Z$1)</f>
        <v>0</v>
      </c>
      <c r="BY58" s="85">
        <f>IF(AQ58="",0,VLOOKUP(E58,Tables!$B$3:$D$36,2,FALSE())*AA$1)</f>
        <v>0</v>
      </c>
      <c r="BZ58" s="72">
        <f>IF(AR58="",0,VLOOKUP(F58,Tables!$B$3:$D$36,2,FALSE())*AB$1)</f>
        <v>0</v>
      </c>
      <c r="CA58" s="72">
        <f>IF(AS58="",0,VLOOKUP(G58,Tables!$B$3:$D$36,2,FALSE())*AC$1)</f>
        <v>0</v>
      </c>
      <c r="CB58" s="72">
        <f>IF(AT58="",0,VLOOKUP(H58,Tables!$B$3:$D$36,2,FALSE())*AD$1)</f>
        <v>0</v>
      </c>
      <c r="CC58" s="72">
        <f>IF(AU58="",0,VLOOKUP(I58,Tables!$B$3:$D$36,2,FALSE())*AE$1)</f>
        <v>0</v>
      </c>
      <c r="CD58" s="85">
        <f>IF(AV58="",0,VLOOKUP(J58,Tables!$B$3:$D$36,2,FALSE())*AF$1)</f>
        <v>0</v>
      </c>
      <c r="CE58" s="72">
        <f>IF(AW58="",0,VLOOKUP(K58,Tables!$B$3:$D$36,2,FALSE())*AG$1)</f>
        <v>0</v>
      </c>
      <c r="CF58" s="72">
        <f>IF(AX58="",0,VLOOKUP(L58,Tables!$B$3:$D$36,2,FALSE())*AH$1)</f>
        <v>0</v>
      </c>
      <c r="CG58" s="85">
        <f>IF(AY58="",0,VLOOKUP(M58,Tables!$B$3:$D$36,2,FALSE())*AI$1)</f>
        <v>0</v>
      </c>
      <c r="CH58" s="72">
        <f>IF(AZ58="",0,VLOOKUP(N58,Tables!$B$3:$D$36,2,FALSE())*AJ$1)</f>
        <v>0</v>
      </c>
      <c r="CI58" s="72">
        <f>IF(BA58="",0,VLOOKUP(O58,Tables!$B$3:$D$36,2,FALSE())*AK$1)</f>
        <v>0</v>
      </c>
      <c r="CJ58" s="86">
        <f>IF(BB58="",0,VLOOKUP(P58,Tables!$B$3:$D$36,2,FALSE())*AL$1)</f>
        <v>0</v>
      </c>
      <c r="CK58" s="87">
        <f>IF(AN58="",0,VLOOKUP(B58,Tables!$B$3:$D$36,3,FALSE())*X$1)*IF(OR(AN58="K",AN58="P"),2,1)</f>
        <v>3.04</v>
      </c>
      <c r="CL58" s="73">
        <f>IF(AO58="",0,VLOOKUP(C58,Tables!$B$3:$D$36,3,FALSE())*Y$1)*IF(OR(AO58="K",AO58="P"),2,1)</f>
        <v>0</v>
      </c>
      <c r="CM58" s="73">
        <f>IF(AP58="",0,VLOOKUP(D58,Tables!$B$3:$D$36,3,FALSE())*Z$1)*IF(OR(AP58="K",AP58="P"),2,1)</f>
        <v>0</v>
      </c>
      <c r="CN58" s="87">
        <f>IF(AQ58="",0,VLOOKUP(E58,Tables!$B$3:$D$36,3,FALSE())*AA$1)</f>
        <v>0</v>
      </c>
      <c r="CO58" s="73">
        <f>IF(AR58="",0,VLOOKUP(F58,Tables!$B$3:$D$36,3,FALSE())*AB$1)</f>
        <v>0</v>
      </c>
      <c r="CP58" s="73">
        <f>IF(AS58="",0,VLOOKUP(G58,Tables!$B$3:$D$36,3,FALSE())*AC$1)</f>
        <v>0</v>
      </c>
      <c r="CQ58" s="73">
        <f>IF(AT58="",0,VLOOKUP(H58,Tables!$B$3:$D$36,3,FALSE())*AD$1)</f>
        <v>0</v>
      </c>
      <c r="CR58" s="73">
        <f>IF(AU58="",0,VLOOKUP(I58,Tables!$B$3:$D$36,3,FALSE())*AE$1)</f>
        <v>0</v>
      </c>
      <c r="CS58" s="87">
        <f>IF(AV58="",0,VLOOKUP(J58,Tables!$B$3:$D$36,3,FALSE())*AF$1)</f>
        <v>0</v>
      </c>
      <c r="CT58" s="73">
        <f>IF(AW58="",0,VLOOKUP(K58,Tables!$B$3:$D$36,3,FALSE())*AG$1)</f>
        <v>0</v>
      </c>
      <c r="CU58" s="73">
        <f>IF(AX58="",0,VLOOKUP(L58,Tables!$B$3:$D$36,3,FALSE())*AH$1)</f>
        <v>0</v>
      </c>
      <c r="CV58" s="87">
        <f>IF(AY58="",0,VLOOKUP(M58,Tables!$B$3:$D$36,3,FALSE())*AI$1)</f>
        <v>0</v>
      </c>
      <c r="CW58" s="73">
        <f>IF(AZ58="",0,VLOOKUP(N58,Tables!$B$3:$D$36,3,FALSE())*AJ$1)</f>
        <v>0</v>
      </c>
      <c r="CX58" s="73">
        <f>IF(BA58="",0,VLOOKUP(O58,Tables!$B$3:$D$36,3,FALSE())*AK$1)</f>
        <v>0</v>
      </c>
      <c r="CY58" s="88">
        <f>IF(BB58="",0,VLOOKUP(P58,Tables!$B$3:$D$36,3,FALSE())*AL$1)</f>
        <v>0</v>
      </c>
      <c r="CZ58" s="89">
        <f t="shared" si="40"/>
        <v>1.5</v>
      </c>
      <c r="DA58" s="75">
        <f t="shared" si="41"/>
        <v>0</v>
      </c>
      <c r="DB58" s="75">
        <f t="shared" si="42"/>
        <v>0</v>
      </c>
      <c r="DC58" s="89">
        <f t="shared" si="43"/>
        <v>0</v>
      </c>
      <c r="DD58" s="75">
        <f t="shared" si="44"/>
        <v>0</v>
      </c>
      <c r="DE58" s="75">
        <f t="shared" si="45"/>
        <v>0</v>
      </c>
      <c r="DF58" s="75">
        <f t="shared" si="46"/>
        <v>0</v>
      </c>
      <c r="DG58" s="75">
        <f t="shared" si="47"/>
        <v>0</v>
      </c>
      <c r="DH58" s="89">
        <f t="shared" si="48"/>
        <v>0</v>
      </c>
      <c r="DI58" s="75">
        <f t="shared" si="49"/>
        <v>0</v>
      </c>
      <c r="DJ58" s="75">
        <f t="shared" si="50"/>
        <v>0</v>
      </c>
      <c r="DK58" s="89">
        <f t="shared" si="51"/>
        <v>0</v>
      </c>
      <c r="DL58" s="75">
        <f t="shared" si="52"/>
        <v>0</v>
      </c>
      <c r="DM58" s="75">
        <f t="shared" si="53"/>
        <v>0</v>
      </c>
      <c r="DN58" s="90">
        <f t="shared" si="54"/>
        <v>0</v>
      </c>
      <c r="DO58" s="91">
        <f>IF(AN58="",0,VLOOKUP(B58,Tables!$B$3:$M$36,11,FALSE())*X$1)</f>
        <v>32</v>
      </c>
      <c r="DP58" s="92">
        <f>IF(AO58="",0,VLOOKUP(C58,Tables!$B$3:$M$36,11,FALSE())*Y$1)</f>
        <v>0</v>
      </c>
      <c r="DQ58" s="92">
        <f>IF(AP58="",0,VLOOKUP(D58,Tables!$B$3:$M$36,11,FALSE())*Z$1)</f>
        <v>0</v>
      </c>
      <c r="DR58" s="91">
        <f>IF(AQ58="",0,VLOOKUP(E58,Tables!$B$3:$M$36,11,FALSE())*AA$1)</f>
        <v>0</v>
      </c>
      <c r="DS58" s="92">
        <f>IF(AR58="",0,VLOOKUP(F58,Tables!$B$3:$M$36,11,FALSE())*AB$1)</f>
        <v>0</v>
      </c>
      <c r="DT58" s="92">
        <f>IF(AS58="",0,VLOOKUP(G58,Tables!$B$3:$M$36,11,FALSE())*AC$1)</f>
        <v>0</v>
      </c>
      <c r="DU58" s="92">
        <f>IF(AT58="",0,VLOOKUP(H58,Tables!$B$3:$M$36,11,FALSE())*AD$1)</f>
        <v>0</v>
      </c>
      <c r="DV58" s="92">
        <f>IF(AU58="",0,VLOOKUP(I58,Tables!$B$3:$M$36,11,FALSE())*AE$1)</f>
        <v>0</v>
      </c>
      <c r="DW58" s="91">
        <f>IF(AV58="",0,VLOOKUP(J58,Tables!$B$3:$M$36,11,FALSE())*AF$1)</f>
        <v>0</v>
      </c>
      <c r="DX58" s="92">
        <f>IF(AW58="",0,VLOOKUP(K58,Tables!$B$3:$M$36,11,FALSE())*AG$1)</f>
        <v>0</v>
      </c>
      <c r="DY58" s="92">
        <f>IF(AX58="",0,VLOOKUP(L58,Tables!$B$3:$M$36,11,FALSE())*AH$1)</f>
        <v>0</v>
      </c>
      <c r="DZ58" s="91">
        <f>IF(AY58="",0,VLOOKUP(M58,Tables!$B$3:$M$36,11,FALSE())*AI$1)</f>
        <v>0</v>
      </c>
      <c r="EA58" s="92">
        <f>IF(AZ58="",0,VLOOKUP(N58,Tables!$B$3:$M$36,11,FALSE())*AJ$1)</f>
        <v>0</v>
      </c>
      <c r="EB58" s="92">
        <f>IF(BA58="",0,VLOOKUP(O58,Tables!$B$3:$M$36,11,FALSE())*AK$1)</f>
        <v>0</v>
      </c>
      <c r="EC58" s="93">
        <f>IF(BB58="",0,VLOOKUP(P58,Tables!$B$3:$M$36,11,FALSE())*AL$1)</f>
        <v>0</v>
      </c>
      <c r="ED58" s="91">
        <f>IF(AN58="",0,VLOOKUP(B58,Tables!$B$3:$M$36,12,FALSE())*X$1)</f>
        <v>8</v>
      </c>
      <c r="EE58" s="92">
        <f>IF(AO58="",0,VLOOKUP(C58,Tables!$B$3:$M$36,12,FALSE())*Y$1)</f>
        <v>0</v>
      </c>
      <c r="EF58" s="92">
        <f>IF(AP58="",0,VLOOKUP(D58,Tables!$B$3:$M$36,12,FALSE())*Z$1)</f>
        <v>0</v>
      </c>
      <c r="EG58" s="91">
        <f>IF(AQ58="",0,VLOOKUP(E58,Tables!$B$3:$M$36,12,FALSE())*AA$1)</f>
        <v>0</v>
      </c>
      <c r="EH58" s="92">
        <f>IF(AR58="",0,VLOOKUP(F58,Tables!$B$3:$M$36,12,FALSE())*AB$1)</f>
        <v>0</v>
      </c>
      <c r="EI58" s="92">
        <f>IF(AS58="",0,VLOOKUP(G58,Tables!$B$3:$M$36,12,FALSE())*AC$1)</f>
        <v>0</v>
      </c>
      <c r="EJ58" s="92">
        <f>IF(AT58="",0,VLOOKUP(H58,Tables!$B$3:$M$36,12,FALSE())*AD$1)</f>
        <v>0</v>
      </c>
      <c r="EK58" s="92">
        <f>IF(AU58="",0,VLOOKUP(I58,Tables!$B$3:$M$36,12,FALSE())*AE$1)</f>
        <v>0</v>
      </c>
      <c r="EL58" s="91">
        <f>IF(AV58="",0,VLOOKUP(J58,Tables!$B$3:$M$36,12,FALSE())*AF$1)</f>
        <v>0</v>
      </c>
      <c r="EM58" s="92">
        <f>IF(AW58="",0,VLOOKUP(K58,Tables!$B$3:$M$36,12,FALSE())*AG$1)</f>
        <v>0</v>
      </c>
      <c r="EN58" s="92">
        <f>IF(AX58="",0,VLOOKUP(L58,Tables!$B$3:$M$36,12,FALSE())*AH$1)</f>
        <v>0</v>
      </c>
      <c r="EO58" s="91">
        <f>IF(AY58="",0,VLOOKUP(M58,Tables!$B$3:$M$36,12,FALSE())*AI$1)</f>
        <v>0</v>
      </c>
      <c r="EP58" s="92">
        <f>IF(AZ58="",0,VLOOKUP(N58,Tables!$B$3:$M$36,12,FALSE())*AJ$1)</f>
        <v>0</v>
      </c>
      <c r="EQ58" s="92">
        <f>IF(BA58="",0,VLOOKUP(O58,Tables!$B$3:$M$36,12,FALSE())*AK$1)</f>
        <v>0</v>
      </c>
      <c r="ER58" s="93">
        <f>IF(BB58="",0,VLOOKUP(P58,Tables!$B$3:$M$36,12,FALSE())*AL$1)</f>
        <v>0</v>
      </c>
      <c r="ES58" s="94">
        <f t="shared" si="55"/>
        <v>0</v>
      </c>
      <c r="ET58" s="95">
        <f>IF(AN58="",10,MIN(VLOOKUP(B58,Tables!$B$3:$N$34,13,FALSE()),'Item Builder'!$W58))</f>
        <v>0</v>
      </c>
      <c r="EU58" s="95">
        <f>IF(AO58="",10,MIN(VLOOKUP(C58,Tables!$B$3:$N$34,13,FALSE()),'Item Builder'!$W58))</f>
        <v>10</v>
      </c>
      <c r="EV58" s="95">
        <f>IF(AP58="",10,MIN(VLOOKUP(D58,Tables!$B$3:$N$34,13,FALSE()),'Item Builder'!$W58))</f>
        <v>10</v>
      </c>
      <c r="EW58" s="95">
        <f>IF(AQ58="",10,MIN(VLOOKUP(E58,Tables!$B$3:$N$34,13,FALSE()),'Item Builder'!$W58))</f>
        <v>10</v>
      </c>
      <c r="EX58" s="95">
        <f>IF(AR58="",10,MIN(VLOOKUP(F58,Tables!$B$3:$N$34,13,FALSE()),'Item Builder'!$W58))</f>
        <v>10</v>
      </c>
      <c r="EY58" s="95">
        <f>IF(AS58="",10,MIN(VLOOKUP(G58,Tables!$B$3:$N$34,13,FALSE()),'Item Builder'!$W58))</f>
        <v>10</v>
      </c>
      <c r="EZ58" s="95">
        <f>IF(AT58="",10,MIN(VLOOKUP(H58,Tables!$B$3:$N$34,13,FALSE()),'Item Builder'!$W58))</f>
        <v>10</v>
      </c>
      <c r="FA58" s="95">
        <f>IF(AU58="",10,MIN(VLOOKUP(I58,Tables!$B$3:$N$34,13,FALSE()),'Item Builder'!$W58))</f>
        <v>10</v>
      </c>
      <c r="FB58" s="95">
        <f>IF(AV58="",10,MIN(VLOOKUP(J58,Tables!$B$3:$N$34,13,FALSE()),'Item Builder'!$W58))</f>
        <v>10</v>
      </c>
      <c r="FC58" s="95">
        <f>IF(AW58="",10,MIN(VLOOKUP(K58,Tables!$B$3:$N$34,13,FALSE()),'Item Builder'!$W58))</f>
        <v>10</v>
      </c>
      <c r="FD58" s="95">
        <f>IF(AX58="",10,MIN(VLOOKUP(L58,Tables!$B$3:$N$34,13,FALSE()),'Item Builder'!$W58))</f>
        <v>10</v>
      </c>
      <c r="FE58" s="95">
        <f>IF(AY58="",10,MIN(VLOOKUP(M58,Tables!$B$3:$N$34,13,FALSE()),'Item Builder'!$W58))</f>
        <v>10</v>
      </c>
      <c r="FF58" s="95">
        <f>IF(AZ58="",10,MIN(VLOOKUP(N58,Tables!$B$3:$N$34,13,FALSE()),'Item Builder'!$W58))</f>
        <v>10</v>
      </c>
      <c r="FG58" s="95">
        <f>IF(BA58="",10,MIN(VLOOKUP(O58,Tables!$B$3:$N$34,13,FALSE()),'Item Builder'!$W58))</f>
        <v>10</v>
      </c>
      <c r="FH58" s="98">
        <f>IF(BB58="",10,MIN(VLOOKUP(P58,Tables!$B$3:$N$34,13,FALSE()),'Item Builder'!$W58))</f>
        <v>10</v>
      </c>
    </row>
    <row r="59" spans="1:164" x14ac:dyDescent="0.25">
      <c r="A59" s="67" t="s">
        <v>222</v>
      </c>
      <c r="B59" s="68" t="s">
        <v>106</v>
      </c>
      <c r="C59" s="69" t="s">
        <v>106</v>
      </c>
      <c r="D59" s="70"/>
      <c r="E59" s="68"/>
      <c r="F59" s="69"/>
      <c r="G59" s="69"/>
      <c r="H59" s="69"/>
      <c r="I59" s="70"/>
      <c r="J59" s="68"/>
      <c r="K59" s="69"/>
      <c r="L59" s="70"/>
      <c r="M59" s="68"/>
      <c r="N59" s="69"/>
      <c r="O59" s="69"/>
      <c r="P59" s="71"/>
      <c r="Q59" s="72">
        <f>SUM(BV59:CJ59)*VLOOKUP(W59,Tables!$W$3:$Z$8,4)</f>
        <v>35</v>
      </c>
      <c r="R59" s="73">
        <f t="shared" si="0"/>
        <v>5.32</v>
      </c>
      <c r="S59" s="74">
        <f t="shared" si="1"/>
        <v>0</v>
      </c>
      <c r="T59" s="74">
        <f t="shared" si="2"/>
        <v>5</v>
      </c>
      <c r="U59" s="75">
        <f t="shared" si="3"/>
        <v>56</v>
      </c>
      <c r="V59" s="76">
        <f t="shared" si="4"/>
        <v>14</v>
      </c>
      <c r="W59" s="77">
        <v>0</v>
      </c>
      <c r="X59" s="78">
        <f t="shared" si="5"/>
        <v>1</v>
      </c>
      <c r="Y59" s="79">
        <f t="shared" si="6"/>
        <v>1</v>
      </c>
      <c r="Z59" s="79">
        <f t="shared" si="7"/>
        <v>0</v>
      </c>
      <c r="AA59" s="78">
        <f t="shared" si="8"/>
        <v>0</v>
      </c>
      <c r="AB59" s="79">
        <f t="shared" si="9"/>
        <v>0</v>
      </c>
      <c r="AC59" s="79">
        <f t="shared" si="10"/>
        <v>0</v>
      </c>
      <c r="AD59" s="79">
        <f t="shared" si="11"/>
        <v>0</v>
      </c>
      <c r="AE59" s="79">
        <f t="shared" si="12"/>
        <v>0</v>
      </c>
      <c r="AF59" s="78">
        <f t="shared" si="13"/>
        <v>0</v>
      </c>
      <c r="AG59" s="79">
        <f t="shared" si="14"/>
        <v>0</v>
      </c>
      <c r="AH59" s="79">
        <f t="shared" si="15"/>
        <v>0</v>
      </c>
      <c r="AI59" s="78">
        <f t="shared" si="16"/>
        <v>0</v>
      </c>
      <c r="AJ59" s="79">
        <f t="shared" si="17"/>
        <v>0</v>
      </c>
      <c r="AK59" s="79">
        <f t="shared" si="18"/>
        <v>0</v>
      </c>
      <c r="AL59" s="80">
        <f t="shared" si="19"/>
        <v>0</v>
      </c>
      <c r="AM59" s="81">
        <f t="shared" si="20"/>
        <v>7.0000000000000007E-2</v>
      </c>
      <c r="AN59" s="82" t="str">
        <f t="shared" si="21"/>
        <v>K</v>
      </c>
      <c r="AO59" s="79" t="str">
        <f t="shared" si="22"/>
        <v>K</v>
      </c>
      <c r="AP59" t="str">
        <f t="shared" si="23"/>
        <v/>
      </c>
      <c r="AQ59" s="82" t="str">
        <f t="shared" si="24"/>
        <v/>
      </c>
      <c r="AR59" t="str">
        <f t="shared" si="25"/>
        <v/>
      </c>
      <c r="AS59" t="str">
        <f t="shared" si="26"/>
        <v/>
      </c>
      <c r="AT59" t="str">
        <f t="shared" si="27"/>
        <v/>
      </c>
      <c r="AU59" t="str">
        <f t="shared" si="28"/>
        <v/>
      </c>
      <c r="AV59" s="82" t="str">
        <f t="shared" si="29"/>
        <v/>
      </c>
      <c r="AW59" t="str">
        <f t="shared" si="30"/>
        <v/>
      </c>
      <c r="AX59" t="str">
        <f t="shared" si="31"/>
        <v/>
      </c>
      <c r="AY59" s="82" t="str">
        <f t="shared" si="32"/>
        <v/>
      </c>
      <c r="AZ59" t="str">
        <f t="shared" si="33"/>
        <v/>
      </c>
      <c r="BA59" t="str">
        <f t="shared" si="34"/>
        <v/>
      </c>
      <c r="BB59" s="83" t="str">
        <f t="shared" si="35"/>
        <v/>
      </c>
      <c r="BC59" s="84">
        <f t="shared" si="36"/>
        <v>0.77777777777777779</v>
      </c>
      <c r="BD59" s="84">
        <f t="shared" si="37"/>
        <v>0</v>
      </c>
      <c r="BE59" s="84">
        <f t="shared" si="38"/>
        <v>0</v>
      </c>
      <c r="BF59" s="84">
        <f t="shared" si="39"/>
        <v>0</v>
      </c>
      <c r="BG59" s="78">
        <f>IF(AN59="",0,VLOOKUP(AN59,Tables!$AB$3:$AC$12,2))</f>
        <v>1</v>
      </c>
      <c r="BH59" s="79">
        <f>IF(AO59="",0,VLOOKUP(AO59,Tables!$AB$3:$AC$12,2))</f>
        <v>1</v>
      </c>
      <c r="BI59" s="79">
        <f>IF(AP59="",0,VLOOKUP(AP59,Tables!$AB$3:$AC$12,2))</f>
        <v>0</v>
      </c>
      <c r="BJ59" s="78">
        <f>IF(AQ59="",0,VLOOKUP(AQ59,Tables!$AB$3:$AC$12,2))</f>
        <v>0</v>
      </c>
      <c r="BK59" s="79">
        <f>IF(AR59="",0,VLOOKUP(AR59,Tables!$AB$3:$AC$12,2))</f>
        <v>0</v>
      </c>
      <c r="BL59" s="79">
        <f>IF(AS59="",0,VLOOKUP(AS59,Tables!$AB$3:$AC$12,2))</f>
        <v>0</v>
      </c>
      <c r="BM59" s="79">
        <f>IF(AT59="",0,VLOOKUP(AT59,Tables!$AB$3:$AC$12,2))</f>
        <v>0</v>
      </c>
      <c r="BN59" s="79">
        <f>IF(AU59="",0,VLOOKUP(AU59,Tables!$AB$3:$AC$12,2))</f>
        <v>0</v>
      </c>
      <c r="BO59" s="78">
        <f>IF(AV59="",0,VLOOKUP(AV59,Tables!$AB$3:$AC$12,2))</f>
        <v>0</v>
      </c>
      <c r="BP59" s="79">
        <f>IF(AW59="",0,VLOOKUP(AW59,Tables!$AB$3:$AC$12,2))</f>
        <v>0</v>
      </c>
      <c r="BQ59" s="79">
        <f>IF(AX59="",0,VLOOKUP(AX59,Tables!$AB$3:$AC$12,2))</f>
        <v>0</v>
      </c>
      <c r="BR59" s="78">
        <f>IF(AY59="",0,VLOOKUP(AY59,Tables!$AB$3:$AC$12,2))</f>
        <v>0</v>
      </c>
      <c r="BS59" s="79">
        <f>IF(AZ59="",0,VLOOKUP(AZ59,Tables!$AB$3:$AC$12,2))</f>
        <v>0</v>
      </c>
      <c r="BT59" s="79">
        <f>IF(BA59="",0,VLOOKUP(BA59,Tables!$AB$3:$AC$12,2))</f>
        <v>0</v>
      </c>
      <c r="BU59" s="80">
        <f>IF(BB59="",0,VLOOKUP(BB59,Tables!$AB$3:$AC$12,2))</f>
        <v>0</v>
      </c>
      <c r="BV59" s="85">
        <f>IF(AN59="",0,VLOOKUP(B59,Tables!$B$3:$D$36,2,FALSE())*X$1)</f>
        <v>20</v>
      </c>
      <c r="BW59" s="72">
        <f>IF(AO59="",0,VLOOKUP(C59,Tables!$B$3:$D$36,2,FALSE())*Y$1)</f>
        <v>15</v>
      </c>
      <c r="BX59" s="72">
        <f>IF(AP59="",0,VLOOKUP(D59,Tables!$B$3:$D$36,2,FALSE())*Z$1)</f>
        <v>0</v>
      </c>
      <c r="BY59" s="85">
        <f>IF(AQ59="",0,VLOOKUP(E59,Tables!$B$3:$D$36,2,FALSE())*AA$1)</f>
        <v>0</v>
      </c>
      <c r="BZ59" s="72">
        <f>IF(AR59="",0,VLOOKUP(F59,Tables!$B$3:$D$36,2,FALSE())*AB$1)</f>
        <v>0</v>
      </c>
      <c r="CA59" s="72">
        <f>IF(AS59="",0,VLOOKUP(G59,Tables!$B$3:$D$36,2,FALSE())*AC$1)</f>
        <v>0</v>
      </c>
      <c r="CB59" s="72">
        <f>IF(AT59="",0,VLOOKUP(H59,Tables!$B$3:$D$36,2,FALSE())*AD$1)</f>
        <v>0</v>
      </c>
      <c r="CC59" s="72">
        <f>IF(AU59="",0,VLOOKUP(I59,Tables!$B$3:$D$36,2,FALSE())*AE$1)</f>
        <v>0</v>
      </c>
      <c r="CD59" s="85">
        <f>IF(AV59="",0,VLOOKUP(J59,Tables!$B$3:$D$36,2,FALSE())*AF$1)</f>
        <v>0</v>
      </c>
      <c r="CE59" s="72">
        <f>IF(AW59="",0,VLOOKUP(K59,Tables!$B$3:$D$36,2,FALSE())*AG$1)</f>
        <v>0</v>
      </c>
      <c r="CF59" s="72">
        <f>IF(AX59="",0,VLOOKUP(L59,Tables!$B$3:$D$36,2,FALSE())*AH$1)</f>
        <v>0</v>
      </c>
      <c r="CG59" s="85">
        <f>IF(AY59="",0,VLOOKUP(M59,Tables!$B$3:$D$36,2,FALSE())*AI$1)</f>
        <v>0</v>
      </c>
      <c r="CH59" s="72">
        <f>IF(AZ59="",0,VLOOKUP(N59,Tables!$B$3:$D$36,2,FALSE())*AJ$1)</f>
        <v>0</v>
      </c>
      <c r="CI59" s="72">
        <f>IF(BA59="",0,VLOOKUP(O59,Tables!$B$3:$D$36,2,FALSE())*AK$1)</f>
        <v>0</v>
      </c>
      <c r="CJ59" s="86">
        <f>IF(BB59="",0,VLOOKUP(P59,Tables!$B$3:$D$36,2,FALSE())*AL$1)</f>
        <v>0</v>
      </c>
      <c r="CK59" s="87">
        <f>IF(AN59="",0,VLOOKUP(B59,Tables!$B$3:$D$36,3,FALSE())*X$1)*IF(OR(AN59="K",AN59="P"),2,1)</f>
        <v>3.04</v>
      </c>
      <c r="CL59" s="73">
        <f>IF(AO59="",0,VLOOKUP(C59,Tables!$B$3:$D$36,3,FALSE())*Y$1)*IF(OR(AO59="K",AO59="P"),2,1)</f>
        <v>2.2799999999999998</v>
      </c>
      <c r="CM59" s="73">
        <f>IF(AP59="",0,VLOOKUP(D59,Tables!$B$3:$D$36,3,FALSE())*Z$1)*IF(OR(AP59="K",AP59="P"),2,1)</f>
        <v>0</v>
      </c>
      <c r="CN59" s="87">
        <f>IF(AQ59="",0,VLOOKUP(E59,Tables!$B$3:$D$36,3,FALSE())*AA$1)</f>
        <v>0</v>
      </c>
      <c r="CO59" s="73">
        <f>IF(AR59="",0,VLOOKUP(F59,Tables!$B$3:$D$36,3,FALSE())*AB$1)</f>
        <v>0</v>
      </c>
      <c r="CP59" s="73">
        <f>IF(AS59="",0,VLOOKUP(G59,Tables!$B$3:$D$36,3,FALSE())*AC$1)</f>
        <v>0</v>
      </c>
      <c r="CQ59" s="73">
        <f>IF(AT59="",0,VLOOKUP(H59,Tables!$B$3:$D$36,3,FALSE())*AD$1)</f>
        <v>0</v>
      </c>
      <c r="CR59" s="73">
        <f>IF(AU59="",0,VLOOKUP(I59,Tables!$B$3:$D$36,3,FALSE())*AE$1)</f>
        <v>0</v>
      </c>
      <c r="CS59" s="87">
        <f>IF(AV59="",0,VLOOKUP(J59,Tables!$B$3:$D$36,3,FALSE())*AF$1)</f>
        <v>0</v>
      </c>
      <c r="CT59" s="73">
        <f>IF(AW59="",0,VLOOKUP(K59,Tables!$B$3:$D$36,3,FALSE())*AG$1)</f>
        <v>0</v>
      </c>
      <c r="CU59" s="73">
        <f>IF(AX59="",0,VLOOKUP(L59,Tables!$B$3:$D$36,3,FALSE())*AH$1)</f>
        <v>0</v>
      </c>
      <c r="CV59" s="87">
        <f>IF(AY59="",0,VLOOKUP(M59,Tables!$B$3:$D$36,3,FALSE())*AI$1)</f>
        <v>0</v>
      </c>
      <c r="CW59" s="73">
        <f>IF(AZ59="",0,VLOOKUP(N59,Tables!$B$3:$D$36,3,FALSE())*AJ$1)</f>
        <v>0</v>
      </c>
      <c r="CX59" s="73">
        <f>IF(BA59="",0,VLOOKUP(O59,Tables!$B$3:$D$36,3,FALSE())*AK$1)</f>
        <v>0</v>
      </c>
      <c r="CY59" s="88">
        <f>IF(BB59="",0,VLOOKUP(P59,Tables!$B$3:$D$36,3,FALSE())*AL$1)</f>
        <v>0</v>
      </c>
      <c r="CZ59" s="89">
        <f t="shared" si="40"/>
        <v>1.5</v>
      </c>
      <c r="DA59" s="75">
        <f t="shared" si="41"/>
        <v>1.5</v>
      </c>
      <c r="DB59" s="75">
        <f t="shared" si="42"/>
        <v>0</v>
      </c>
      <c r="DC59" s="89">
        <f t="shared" si="43"/>
        <v>0</v>
      </c>
      <c r="DD59" s="75">
        <f t="shared" si="44"/>
        <v>0</v>
      </c>
      <c r="DE59" s="75">
        <f t="shared" si="45"/>
        <v>0</v>
      </c>
      <c r="DF59" s="75">
        <f t="shared" si="46"/>
        <v>0</v>
      </c>
      <c r="DG59" s="75">
        <f t="shared" si="47"/>
        <v>0</v>
      </c>
      <c r="DH59" s="89">
        <f t="shared" si="48"/>
        <v>0</v>
      </c>
      <c r="DI59" s="75">
        <f t="shared" si="49"/>
        <v>0</v>
      </c>
      <c r="DJ59" s="75">
        <f t="shared" si="50"/>
        <v>0</v>
      </c>
      <c r="DK59" s="89">
        <f t="shared" si="51"/>
        <v>0</v>
      </c>
      <c r="DL59" s="75">
        <f t="shared" si="52"/>
        <v>0</v>
      </c>
      <c r="DM59" s="75">
        <f t="shared" si="53"/>
        <v>0</v>
      </c>
      <c r="DN59" s="90">
        <f t="shared" si="54"/>
        <v>0</v>
      </c>
      <c r="DO59" s="91">
        <f>IF(AN59="",0,VLOOKUP(B59,Tables!$B$3:$M$36,11,FALSE())*X$1)</f>
        <v>32</v>
      </c>
      <c r="DP59" s="92">
        <f>IF(AO59="",0,VLOOKUP(C59,Tables!$B$3:$M$36,11,FALSE())*Y$1)</f>
        <v>24</v>
      </c>
      <c r="DQ59" s="92">
        <f>IF(AP59="",0,VLOOKUP(D59,Tables!$B$3:$M$36,11,FALSE())*Z$1)</f>
        <v>0</v>
      </c>
      <c r="DR59" s="91">
        <f>IF(AQ59="",0,VLOOKUP(E59,Tables!$B$3:$M$36,11,FALSE())*AA$1)</f>
        <v>0</v>
      </c>
      <c r="DS59" s="92">
        <f>IF(AR59="",0,VLOOKUP(F59,Tables!$B$3:$M$36,11,FALSE())*AB$1)</f>
        <v>0</v>
      </c>
      <c r="DT59" s="92">
        <f>IF(AS59="",0,VLOOKUP(G59,Tables!$B$3:$M$36,11,FALSE())*AC$1)</f>
        <v>0</v>
      </c>
      <c r="DU59" s="92">
        <f>IF(AT59="",0,VLOOKUP(H59,Tables!$B$3:$M$36,11,FALSE())*AD$1)</f>
        <v>0</v>
      </c>
      <c r="DV59" s="92">
        <f>IF(AU59="",0,VLOOKUP(I59,Tables!$B$3:$M$36,11,FALSE())*AE$1)</f>
        <v>0</v>
      </c>
      <c r="DW59" s="91">
        <f>IF(AV59="",0,VLOOKUP(J59,Tables!$B$3:$M$36,11,FALSE())*AF$1)</f>
        <v>0</v>
      </c>
      <c r="DX59" s="92">
        <f>IF(AW59="",0,VLOOKUP(K59,Tables!$B$3:$M$36,11,FALSE())*AG$1)</f>
        <v>0</v>
      </c>
      <c r="DY59" s="92">
        <f>IF(AX59="",0,VLOOKUP(L59,Tables!$B$3:$M$36,11,FALSE())*AH$1)</f>
        <v>0</v>
      </c>
      <c r="DZ59" s="91">
        <f>IF(AY59="",0,VLOOKUP(M59,Tables!$B$3:$M$36,11,FALSE())*AI$1)</f>
        <v>0</v>
      </c>
      <c r="EA59" s="92">
        <f>IF(AZ59="",0,VLOOKUP(N59,Tables!$B$3:$M$36,11,FALSE())*AJ$1)</f>
        <v>0</v>
      </c>
      <c r="EB59" s="92">
        <f>IF(BA59="",0,VLOOKUP(O59,Tables!$B$3:$M$36,11,FALSE())*AK$1)</f>
        <v>0</v>
      </c>
      <c r="EC59" s="93">
        <f>IF(BB59="",0,VLOOKUP(P59,Tables!$B$3:$M$36,11,FALSE())*AL$1)</f>
        <v>0</v>
      </c>
      <c r="ED59" s="91">
        <f>IF(AN59="",0,VLOOKUP(B59,Tables!$B$3:$M$36,12,FALSE())*X$1)</f>
        <v>8</v>
      </c>
      <c r="EE59" s="92">
        <f>IF(AO59="",0,VLOOKUP(C59,Tables!$B$3:$M$36,12,FALSE())*Y$1)</f>
        <v>6</v>
      </c>
      <c r="EF59" s="92">
        <f>IF(AP59="",0,VLOOKUP(D59,Tables!$B$3:$M$36,12,FALSE())*Z$1)</f>
        <v>0</v>
      </c>
      <c r="EG59" s="91">
        <f>IF(AQ59="",0,VLOOKUP(E59,Tables!$B$3:$M$36,12,FALSE())*AA$1)</f>
        <v>0</v>
      </c>
      <c r="EH59" s="92">
        <f>IF(AR59="",0,VLOOKUP(F59,Tables!$B$3:$M$36,12,FALSE())*AB$1)</f>
        <v>0</v>
      </c>
      <c r="EI59" s="92">
        <f>IF(AS59="",0,VLOOKUP(G59,Tables!$B$3:$M$36,12,FALSE())*AC$1)</f>
        <v>0</v>
      </c>
      <c r="EJ59" s="92">
        <f>IF(AT59="",0,VLOOKUP(H59,Tables!$B$3:$M$36,12,FALSE())*AD$1)</f>
        <v>0</v>
      </c>
      <c r="EK59" s="92">
        <f>IF(AU59="",0,VLOOKUP(I59,Tables!$B$3:$M$36,12,FALSE())*AE$1)</f>
        <v>0</v>
      </c>
      <c r="EL59" s="91">
        <f>IF(AV59="",0,VLOOKUP(J59,Tables!$B$3:$M$36,12,FALSE())*AF$1)</f>
        <v>0</v>
      </c>
      <c r="EM59" s="92">
        <f>IF(AW59="",0,VLOOKUP(K59,Tables!$B$3:$M$36,12,FALSE())*AG$1)</f>
        <v>0</v>
      </c>
      <c r="EN59" s="92">
        <f>IF(AX59="",0,VLOOKUP(L59,Tables!$B$3:$M$36,12,FALSE())*AH$1)</f>
        <v>0</v>
      </c>
      <c r="EO59" s="91">
        <f>IF(AY59="",0,VLOOKUP(M59,Tables!$B$3:$M$36,12,FALSE())*AI$1)</f>
        <v>0</v>
      </c>
      <c r="EP59" s="92">
        <f>IF(AZ59="",0,VLOOKUP(N59,Tables!$B$3:$M$36,12,FALSE())*AJ$1)</f>
        <v>0</v>
      </c>
      <c r="EQ59" s="92">
        <f>IF(BA59="",0,VLOOKUP(O59,Tables!$B$3:$M$36,12,FALSE())*AK$1)</f>
        <v>0</v>
      </c>
      <c r="ER59" s="93">
        <f>IF(BB59="",0,VLOOKUP(P59,Tables!$B$3:$M$36,12,FALSE())*AL$1)</f>
        <v>0</v>
      </c>
      <c r="ES59" s="94">
        <f t="shared" si="55"/>
        <v>0</v>
      </c>
      <c r="ET59" s="95">
        <f>IF(AN59="",10,MIN(VLOOKUP(B59,Tables!$B$3:$N$34,13,FALSE()),'Item Builder'!$W59))</f>
        <v>0</v>
      </c>
      <c r="EU59" s="95">
        <f>IF(AO59="",10,MIN(VLOOKUP(C59,Tables!$B$3:$N$34,13,FALSE()),'Item Builder'!$W59))</f>
        <v>0</v>
      </c>
      <c r="EV59" s="95">
        <f>IF(AP59="",10,MIN(VLOOKUP(D59,Tables!$B$3:$N$34,13,FALSE()),'Item Builder'!$W59))</f>
        <v>10</v>
      </c>
      <c r="EW59" s="95">
        <f>IF(AQ59="",10,MIN(VLOOKUP(E59,Tables!$B$3:$N$34,13,FALSE()),'Item Builder'!$W59))</f>
        <v>10</v>
      </c>
      <c r="EX59" s="95">
        <f>IF(AR59="",10,MIN(VLOOKUP(F59,Tables!$B$3:$N$34,13,FALSE()),'Item Builder'!$W59))</f>
        <v>10</v>
      </c>
      <c r="EY59" s="95">
        <f>IF(AS59="",10,MIN(VLOOKUP(G59,Tables!$B$3:$N$34,13,FALSE()),'Item Builder'!$W59))</f>
        <v>10</v>
      </c>
      <c r="EZ59" s="95">
        <f>IF(AT59="",10,MIN(VLOOKUP(H59,Tables!$B$3:$N$34,13,FALSE()),'Item Builder'!$W59))</f>
        <v>10</v>
      </c>
      <c r="FA59" s="95">
        <f>IF(AU59="",10,MIN(VLOOKUP(I59,Tables!$B$3:$N$34,13,FALSE()),'Item Builder'!$W59))</f>
        <v>10</v>
      </c>
      <c r="FB59" s="95">
        <f>IF(AV59="",10,MIN(VLOOKUP(J59,Tables!$B$3:$N$34,13,FALSE()),'Item Builder'!$W59))</f>
        <v>10</v>
      </c>
      <c r="FC59" s="95">
        <f>IF(AW59="",10,MIN(VLOOKUP(K59,Tables!$B$3:$N$34,13,FALSE()),'Item Builder'!$W59))</f>
        <v>10</v>
      </c>
      <c r="FD59" s="95">
        <f>IF(AX59="",10,MIN(VLOOKUP(L59,Tables!$B$3:$N$34,13,FALSE()),'Item Builder'!$W59))</f>
        <v>10</v>
      </c>
      <c r="FE59" s="95">
        <f>IF(AY59="",10,MIN(VLOOKUP(M59,Tables!$B$3:$N$34,13,FALSE()),'Item Builder'!$W59))</f>
        <v>10</v>
      </c>
      <c r="FF59" s="95">
        <f>IF(AZ59="",10,MIN(VLOOKUP(N59,Tables!$B$3:$N$34,13,FALSE()),'Item Builder'!$W59))</f>
        <v>10</v>
      </c>
      <c r="FG59" s="95">
        <f>IF(BA59="",10,MIN(VLOOKUP(O59,Tables!$B$3:$N$34,13,FALSE()),'Item Builder'!$W59))</f>
        <v>10</v>
      </c>
      <c r="FH59" s="98">
        <f>IF(BB59="",10,MIN(VLOOKUP(P59,Tables!$B$3:$N$34,13,FALSE()),'Item Builder'!$W59))</f>
        <v>10</v>
      </c>
    </row>
    <row r="60" spans="1:164" x14ac:dyDescent="0.25">
      <c r="A60" s="67" t="s">
        <v>23</v>
      </c>
      <c r="B60" s="68"/>
      <c r="C60" s="69"/>
      <c r="D60" s="70"/>
      <c r="E60" s="68" t="s">
        <v>106</v>
      </c>
      <c r="F60" s="69"/>
      <c r="G60" s="69"/>
      <c r="H60" s="69"/>
      <c r="I60" s="70"/>
      <c r="J60" s="68"/>
      <c r="K60" s="69"/>
      <c r="L60" s="70"/>
      <c r="M60" s="68"/>
      <c r="N60" s="69"/>
      <c r="O60" s="69"/>
      <c r="P60" s="71"/>
      <c r="Q60" s="72">
        <f>SUM(BV60:CJ60)*VLOOKUP(W60,Tables!$W$3:$Z$8,4)</f>
        <v>15</v>
      </c>
      <c r="R60" s="73">
        <f t="shared" si="0"/>
        <v>1.1399999999999999</v>
      </c>
      <c r="S60" s="74">
        <f t="shared" si="1"/>
        <v>0</v>
      </c>
      <c r="T60" s="74">
        <f t="shared" si="2"/>
        <v>0</v>
      </c>
      <c r="U60" s="75">
        <f t="shared" si="3"/>
        <v>24</v>
      </c>
      <c r="V60" s="76">
        <f t="shared" si="4"/>
        <v>6</v>
      </c>
      <c r="W60" s="77">
        <v>0</v>
      </c>
      <c r="X60" s="78">
        <f t="shared" si="5"/>
        <v>0</v>
      </c>
      <c r="Y60" s="79">
        <f t="shared" si="6"/>
        <v>0</v>
      </c>
      <c r="Z60" s="79">
        <f t="shared" si="7"/>
        <v>0</v>
      </c>
      <c r="AA60" s="78">
        <f t="shared" si="8"/>
        <v>1</v>
      </c>
      <c r="AB60" s="79">
        <f t="shared" si="9"/>
        <v>0</v>
      </c>
      <c r="AC60" s="79">
        <f t="shared" si="10"/>
        <v>0</v>
      </c>
      <c r="AD60" s="79">
        <f t="shared" si="11"/>
        <v>0</v>
      </c>
      <c r="AE60" s="79">
        <f t="shared" si="12"/>
        <v>0</v>
      </c>
      <c r="AF60" s="78">
        <f t="shared" si="13"/>
        <v>0</v>
      </c>
      <c r="AG60" s="79">
        <f t="shared" si="14"/>
        <v>0</v>
      </c>
      <c r="AH60" s="79">
        <f t="shared" si="15"/>
        <v>0</v>
      </c>
      <c r="AI60" s="78">
        <f t="shared" si="16"/>
        <v>0</v>
      </c>
      <c r="AJ60" s="79">
        <f t="shared" si="17"/>
        <v>0</v>
      </c>
      <c r="AK60" s="79">
        <f t="shared" si="18"/>
        <v>0</v>
      </c>
      <c r="AL60" s="80">
        <f t="shared" si="19"/>
        <v>0</v>
      </c>
      <c r="AM60" s="81">
        <f t="shared" si="20"/>
        <v>0.03</v>
      </c>
      <c r="AN60" s="82" t="str">
        <f t="shared" si="21"/>
        <v/>
      </c>
      <c r="AO60" s="79" t="str">
        <f t="shared" si="22"/>
        <v/>
      </c>
      <c r="AP60" t="str">
        <f t="shared" si="23"/>
        <v/>
      </c>
      <c r="AQ60" s="82" t="str">
        <f t="shared" si="24"/>
        <v>K</v>
      </c>
      <c r="AR60" t="str">
        <f t="shared" si="25"/>
        <v/>
      </c>
      <c r="AS60" t="str">
        <f t="shared" si="26"/>
        <v/>
      </c>
      <c r="AT60" t="str">
        <f t="shared" si="27"/>
        <v/>
      </c>
      <c r="AU60" t="str">
        <f t="shared" si="28"/>
        <v/>
      </c>
      <c r="AV60" s="82" t="str">
        <f t="shared" si="29"/>
        <v/>
      </c>
      <c r="AW60" t="str">
        <f t="shared" si="30"/>
        <v/>
      </c>
      <c r="AX60" t="str">
        <f t="shared" si="31"/>
        <v/>
      </c>
      <c r="AY60" s="82" t="str">
        <f t="shared" si="32"/>
        <v/>
      </c>
      <c r="AZ60" t="str">
        <f t="shared" si="33"/>
        <v/>
      </c>
      <c r="BA60" t="str">
        <f t="shared" si="34"/>
        <v/>
      </c>
      <c r="BB60" s="83" t="str">
        <f t="shared" si="35"/>
        <v/>
      </c>
      <c r="BC60" s="84">
        <f t="shared" si="36"/>
        <v>0</v>
      </c>
      <c r="BD60" s="84">
        <f t="shared" si="37"/>
        <v>0.14285714285714285</v>
      </c>
      <c r="BE60" s="84">
        <f t="shared" si="38"/>
        <v>0</v>
      </c>
      <c r="BF60" s="84">
        <f t="shared" si="39"/>
        <v>0</v>
      </c>
      <c r="BG60" s="78">
        <f>IF(AN60="",0,VLOOKUP(AN60,Tables!$AB$3:$AC$12,2))</f>
        <v>0</v>
      </c>
      <c r="BH60" s="79">
        <f>IF(AO60="",0,VLOOKUP(AO60,Tables!$AB$3:$AC$12,2))</f>
        <v>0</v>
      </c>
      <c r="BI60" s="79">
        <f>IF(AP60="",0,VLOOKUP(AP60,Tables!$AB$3:$AC$12,2))</f>
        <v>0</v>
      </c>
      <c r="BJ60" s="78">
        <f>IF(AQ60="",0,VLOOKUP(AQ60,Tables!$AB$3:$AC$12,2))</f>
        <v>1</v>
      </c>
      <c r="BK60" s="79">
        <f>IF(AR60="",0,VLOOKUP(AR60,Tables!$AB$3:$AC$12,2))</f>
        <v>0</v>
      </c>
      <c r="BL60" s="79">
        <f>IF(AS60="",0,VLOOKUP(AS60,Tables!$AB$3:$AC$12,2))</f>
        <v>0</v>
      </c>
      <c r="BM60" s="79">
        <f>IF(AT60="",0,VLOOKUP(AT60,Tables!$AB$3:$AC$12,2))</f>
        <v>0</v>
      </c>
      <c r="BN60" s="79">
        <f>IF(AU60="",0,VLOOKUP(AU60,Tables!$AB$3:$AC$12,2))</f>
        <v>0</v>
      </c>
      <c r="BO60" s="78">
        <f>IF(AV60="",0,VLOOKUP(AV60,Tables!$AB$3:$AC$12,2))</f>
        <v>0</v>
      </c>
      <c r="BP60" s="79">
        <f>IF(AW60="",0,VLOOKUP(AW60,Tables!$AB$3:$AC$12,2))</f>
        <v>0</v>
      </c>
      <c r="BQ60" s="79">
        <f>IF(AX60="",0,VLOOKUP(AX60,Tables!$AB$3:$AC$12,2))</f>
        <v>0</v>
      </c>
      <c r="BR60" s="78">
        <f>IF(AY60="",0,VLOOKUP(AY60,Tables!$AB$3:$AC$12,2))</f>
        <v>0</v>
      </c>
      <c r="BS60" s="79">
        <f>IF(AZ60="",0,VLOOKUP(AZ60,Tables!$AB$3:$AC$12,2))</f>
        <v>0</v>
      </c>
      <c r="BT60" s="79">
        <f>IF(BA60="",0,VLOOKUP(BA60,Tables!$AB$3:$AC$12,2))</f>
        <v>0</v>
      </c>
      <c r="BU60" s="80">
        <f>IF(BB60="",0,VLOOKUP(BB60,Tables!$AB$3:$AC$12,2))</f>
        <v>0</v>
      </c>
      <c r="BV60" s="85">
        <f>IF(AN60="",0,VLOOKUP(B60,Tables!$B$3:$D$36,2,FALSE())*X$1)</f>
        <v>0</v>
      </c>
      <c r="BW60" s="72">
        <f>IF(AO60="",0,VLOOKUP(C60,Tables!$B$3:$D$36,2,FALSE())*Y$1)</f>
        <v>0</v>
      </c>
      <c r="BX60" s="72">
        <f>IF(AP60="",0,VLOOKUP(D60,Tables!$B$3:$D$36,2,FALSE())*Z$1)</f>
        <v>0</v>
      </c>
      <c r="BY60" s="85">
        <f>IF(AQ60="",0,VLOOKUP(E60,Tables!$B$3:$D$36,2,FALSE())*AA$1)</f>
        <v>15</v>
      </c>
      <c r="BZ60" s="72">
        <f>IF(AR60="",0,VLOOKUP(F60,Tables!$B$3:$D$36,2,FALSE())*AB$1)</f>
        <v>0</v>
      </c>
      <c r="CA60" s="72">
        <f>IF(AS60="",0,VLOOKUP(G60,Tables!$B$3:$D$36,2,FALSE())*AC$1)</f>
        <v>0</v>
      </c>
      <c r="CB60" s="72">
        <f>IF(AT60="",0,VLOOKUP(H60,Tables!$B$3:$D$36,2,FALSE())*AD$1)</f>
        <v>0</v>
      </c>
      <c r="CC60" s="72">
        <f>IF(AU60="",0,VLOOKUP(I60,Tables!$B$3:$D$36,2,FALSE())*AE$1)</f>
        <v>0</v>
      </c>
      <c r="CD60" s="85">
        <f>IF(AV60="",0,VLOOKUP(J60,Tables!$B$3:$D$36,2,FALSE())*AF$1)</f>
        <v>0</v>
      </c>
      <c r="CE60" s="72">
        <f>IF(AW60="",0,VLOOKUP(K60,Tables!$B$3:$D$36,2,FALSE())*AG$1)</f>
        <v>0</v>
      </c>
      <c r="CF60" s="72">
        <f>IF(AX60="",0,VLOOKUP(L60,Tables!$B$3:$D$36,2,FALSE())*AH$1)</f>
        <v>0</v>
      </c>
      <c r="CG60" s="85">
        <f>IF(AY60="",0,VLOOKUP(M60,Tables!$B$3:$D$36,2,FALSE())*AI$1)</f>
        <v>0</v>
      </c>
      <c r="CH60" s="72">
        <f>IF(AZ60="",0,VLOOKUP(N60,Tables!$B$3:$D$36,2,FALSE())*AJ$1)</f>
        <v>0</v>
      </c>
      <c r="CI60" s="72">
        <f>IF(BA60="",0,VLOOKUP(O60,Tables!$B$3:$D$36,2,FALSE())*AK$1)</f>
        <v>0</v>
      </c>
      <c r="CJ60" s="86">
        <f>IF(BB60="",0,VLOOKUP(P60,Tables!$B$3:$D$36,2,FALSE())*AL$1)</f>
        <v>0</v>
      </c>
      <c r="CK60" s="87">
        <f>IF(AN60="",0,VLOOKUP(B60,Tables!$B$3:$D$36,3,FALSE())*X$1)*IF(OR(AN60="K",AN60="P"),2,1)</f>
        <v>0</v>
      </c>
      <c r="CL60" s="73">
        <f>IF(AO60="",0,VLOOKUP(C60,Tables!$B$3:$D$36,3,FALSE())*Y$1)*IF(OR(AO60="K",AO60="P"),2,1)</f>
        <v>0</v>
      </c>
      <c r="CM60" s="73">
        <f>IF(AP60="",0,VLOOKUP(D60,Tables!$B$3:$D$36,3,FALSE())*Z$1)*IF(OR(AP60="K",AP60="P"),2,1)</f>
        <v>0</v>
      </c>
      <c r="CN60" s="87">
        <f>IF(AQ60="",0,VLOOKUP(E60,Tables!$B$3:$D$36,3,FALSE())*AA$1)</f>
        <v>1.1399999999999999</v>
      </c>
      <c r="CO60" s="73">
        <f>IF(AR60="",0,VLOOKUP(F60,Tables!$B$3:$D$36,3,FALSE())*AB$1)</f>
        <v>0</v>
      </c>
      <c r="CP60" s="73">
        <f>IF(AS60="",0,VLOOKUP(G60,Tables!$B$3:$D$36,3,FALSE())*AC$1)</f>
        <v>0</v>
      </c>
      <c r="CQ60" s="73">
        <f>IF(AT60="",0,VLOOKUP(H60,Tables!$B$3:$D$36,3,FALSE())*AD$1)</f>
        <v>0</v>
      </c>
      <c r="CR60" s="73">
        <f>IF(AU60="",0,VLOOKUP(I60,Tables!$B$3:$D$36,3,FALSE())*AE$1)</f>
        <v>0</v>
      </c>
      <c r="CS60" s="87">
        <f>IF(AV60="",0,VLOOKUP(J60,Tables!$B$3:$D$36,3,FALSE())*AF$1)</f>
        <v>0</v>
      </c>
      <c r="CT60" s="73">
        <f>IF(AW60="",0,VLOOKUP(K60,Tables!$B$3:$D$36,3,FALSE())*AG$1)</f>
        <v>0</v>
      </c>
      <c r="CU60" s="73">
        <f>IF(AX60="",0,VLOOKUP(L60,Tables!$B$3:$D$36,3,FALSE())*AH$1)</f>
        <v>0</v>
      </c>
      <c r="CV60" s="87">
        <f>IF(AY60="",0,VLOOKUP(M60,Tables!$B$3:$D$36,3,FALSE())*AI$1)</f>
        <v>0</v>
      </c>
      <c r="CW60" s="73">
        <f>IF(AZ60="",0,VLOOKUP(N60,Tables!$B$3:$D$36,3,FALSE())*AJ$1)</f>
        <v>0</v>
      </c>
      <c r="CX60" s="73">
        <f>IF(BA60="",0,VLOOKUP(O60,Tables!$B$3:$D$36,3,FALSE())*AK$1)</f>
        <v>0</v>
      </c>
      <c r="CY60" s="88">
        <f>IF(BB60="",0,VLOOKUP(P60,Tables!$B$3:$D$36,3,FALSE())*AL$1)</f>
        <v>0</v>
      </c>
      <c r="CZ60" s="89">
        <f t="shared" si="40"/>
        <v>0</v>
      </c>
      <c r="DA60" s="75">
        <f t="shared" si="41"/>
        <v>0</v>
      </c>
      <c r="DB60" s="75">
        <f t="shared" si="42"/>
        <v>0</v>
      </c>
      <c r="DC60" s="89">
        <f t="shared" si="43"/>
        <v>1.5</v>
      </c>
      <c r="DD60" s="75">
        <f t="shared" si="44"/>
        <v>0</v>
      </c>
      <c r="DE60" s="75">
        <f t="shared" si="45"/>
        <v>0</v>
      </c>
      <c r="DF60" s="75">
        <f t="shared" si="46"/>
        <v>0</v>
      </c>
      <c r="DG60" s="75">
        <f t="shared" si="47"/>
        <v>0</v>
      </c>
      <c r="DH60" s="89">
        <f t="shared" si="48"/>
        <v>0</v>
      </c>
      <c r="DI60" s="75">
        <f t="shared" si="49"/>
        <v>0</v>
      </c>
      <c r="DJ60" s="75">
        <f t="shared" si="50"/>
        <v>0</v>
      </c>
      <c r="DK60" s="89">
        <f t="shared" si="51"/>
        <v>0</v>
      </c>
      <c r="DL60" s="75">
        <f t="shared" si="52"/>
        <v>0</v>
      </c>
      <c r="DM60" s="75">
        <f t="shared" si="53"/>
        <v>0</v>
      </c>
      <c r="DN60" s="90">
        <f t="shared" si="54"/>
        <v>0</v>
      </c>
      <c r="DO60" s="91">
        <f>IF(AN60="",0,VLOOKUP(B60,Tables!$B$3:$M$36,11,FALSE())*X$1)</f>
        <v>0</v>
      </c>
      <c r="DP60" s="92">
        <f>IF(AO60="",0,VLOOKUP(C60,Tables!$B$3:$M$36,11,FALSE())*Y$1)</f>
        <v>0</v>
      </c>
      <c r="DQ60" s="92">
        <f>IF(AP60="",0,VLOOKUP(D60,Tables!$B$3:$M$36,11,FALSE())*Z$1)</f>
        <v>0</v>
      </c>
      <c r="DR60" s="91">
        <f>IF(AQ60="",0,VLOOKUP(E60,Tables!$B$3:$M$36,11,FALSE())*AA$1)</f>
        <v>24</v>
      </c>
      <c r="DS60" s="92">
        <f>IF(AR60="",0,VLOOKUP(F60,Tables!$B$3:$M$36,11,FALSE())*AB$1)</f>
        <v>0</v>
      </c>
      <c r="DT60" s="92">
        <f>IF(AS60="",0,VLOOKUP(G60,Tables!$B$3:$M$36,11,FALSE())*AC$1)</f>
        <v>0</v>
      </c>
      <c r="DU60" s="92">
        <f>IF(AT60="",0,VLOOKUP(H60,Tables!$B$3:$M$36,11,FALSE())*AD$1)</f>
        <v>0</v>
      </c>
      <c r="DV60" s="92">
        <f>IF(AU60="",0,VLOOKUP(I60,Tables!$B$3:$M$36,11,FALSE())*AE$1)</f>
        <v>0</v>
      </c>
      <c r="DW60" s="91">
        <f>IF(AV60="",0,VLOOKUP(J60,Tables!$B$3:$M$36,11,FALSE())*AF$1)</f>
        <v>0</v>
      </c>
      <c r="DX60" s="92">
        <f>IF(AW60="",0,VLOOKUP(K60,Tables!$B$3:$M$36,11,FALSE())*AG$1)</f>
        <v>0</v>
      </c>
      <c r="DY60" s="92">
        <f>IF(AX60="",0,VLOOKUP(L60,Tables!$B$3:$M$36,11,FALSE())*AH$1)</f>
        <v>0</v>
      </c>
      <c r="DZ60" s="91">
        <f>IF(AY60="",0,VLOOKUP(M60,Tables!$B$3:$M$36,11,FALSE())*AI$1)</f>
        <v>0</v>
      </c>
      <c r="EA60" s="92">
        <f>IF(AZ60="",0,VLOOKUP(N60,Tables!$B$3:$M$36,11,FALSE())*AJ$1)</f>
        <v>0</v>
      </c>
      <c r="EB60" s="92">
        <f>IF(BA60="",0,VLOOKUP(O60,Tables!$B$3:$M$36,11,FALSE())*AK$1)</f>
        <v>0</v>
      </c>
      <c r="EC60" s="93">
        <f>IF(BB60="",0,VLOOKUP(P60,Tables!$B$3:$M$36,11,FALSE())*AL$1)</f>
        <v>0</v>
      </c>
      <c r="ED60" s="91">
        <f>IF(AN60="",0,VLOOKUP(B60,Tables!$B$3:$M$36,12,FALSE())*X$1)</f>
        <v>0</v>
      </c>
      <c r="EE60" s="92">
        <f>IF(AO60="",0,VLOOKUP(C60,Tables!$B$3:$M$36,12,FALSE())*Y$1)</f>
        <v>0</v>
      </c>
      <c r="EF60" s="92">
        <f>IF(AP60="",0,VLOOKUP(D60,Tables!$B$3:$M$36,12,FALSE())*Z$1)</f>
        <v>0</v>
      </c>
      <c r="EG60" s="91">
        <f>IF(AQ60="",0,VLOOKUP(E60,Tables!$B$3:$M$36,12,FALSE())*AA$1)</f>
        <v>6</v>
      </c>
      <c r="EH60" s="92">
        <f>IF(AR60="",0,VLOOKUP(F60,Tables!$B$3:$M$36,12,FALSE())*AB$1)</f>
        <v>0</v>
      </c>
      <c r="EI60" s="92">
        <f>IF(AS60="",0,VLOOKUP(G60,Tables!$B$3:$M$36,12,FALSE())*AC$1)</f>
        <v>0</v>
      </c>
      <c r="EJ60" s="92">
        <f>IF(AT60="",0,VLOOKUP(H60,Tables!$B$3:$M$36,12,FALSE())*AD$1)</f>
        <v>0</v>
      </c>
      <c r="EK60" s="92">
        <f>IF(AU60="",0,VLOOKUP(I60,Tables!$B$3:$M$36,12,FALSE())*AE$1)</f>
        <v>0</v>
      </c>
      <c r="EL60" s="91">
        <f>IF(AV60="",0,VLOOKUP(J60,Tables!$B$3:$M$36,12,FALSE())*AF$1)</f>
        <v>0</v>
      </c>
      <c r="EM60" s="92">
        <f>IF(AW60="",0,VLOOKUP(K60,Tables!$B$3:$M$36,12,FALSE())*AG$1)</f>
        <v>0</v>
      </c>
      <c r="EN60" s="92">
        <f>IF(AX60="",0,VLOOKUP(L60,Tables!$B$3:$M$36,12,FALSE())*AH$1)</f>
        <v>0</v>
      </c>
      <c r="EO60" s="91">
        <f>IF(AY60="",0,VLOOKUP(M60,Tables!$B$3:$M$36,12,FALSE())*AI$1)</f>
        <v>0</v>
      </c>
      <c r="EP60" s="92">
        <f>IF(AZ60="",0,VLOOKUP(N60,Tables!$B$3:$M$36,12,FALSE())*AJ$1)</f>
        <v>0</v>
      </c>
      <c r="EQ60" s="92">
        <f>IF(BA60="",0,VLOOKUP(O60,Tables!$B$3:$M$36,12,FALSE())*AK$1)</f>
        <v>0</v>
      </c>
      <c r="ER60" s="93">
        <f>IF(BB60="",0,VLOOKUP(P60,Tables!$B$3:$M$36,12,FALSE())*AL$1)</f>
        <v>0</v>
      </c>
      <c r="ES60" s="94">
        <f t="shared" si="55"/>
        <v>0</v>
      </c>
      <c r="ET60" s="95">
        <f>IF(AN60="",10,MIN(VLOOKUP(B60,Tables!$B$3:$N$34,13,FALSE()),'Item Builder'!$W60))</f>
        <v>10</v>
      </c>
      <c r="EU60" s="95">
        <f>IF(AO60="",10,MIN(VLOOKUP(C60,Tables!$B$3:$N$34,13,FALSE()),'Item Builder'!$W60))</f>
        <v>10</v>
      </c>
      <c r="EV60" s="95">
        <f>IF(AP60="",10,MIN(VLOOKUP(D60,Tables!$B$3:$N$34,13,FALSE()),'Item Builder'!$W60))</f>
        <v>10</v>
      </c>
      <c r="EW60" s="95">
        <f>IF(AQ60="",10,MIN(VLOOKUP(E60,Tables!$B$3:$N$34,13,FALSE()),'Item Builder'!$W60))</f>
        <v>0</v>
      </c>
      <c r="EX60" s="95">
        <f>IF(AR60="",10,MIN(VLOOKUP(F60,Tables!$B$3:$N$34,13,FALSE()),'Item Builder'!$W60))</f>
        <v>10</v>
      </c>
      <c r="EY60" s="95">
        <f>IF(AS60="",10,MIN(VLOOKUP(G60,Tables!$B$3:$N$34,13,FALSE()),'Item Builder'!$W60))</f>
        <v>10</v>
      </c>
      <c r="EZ60" s="95">
        <f>IF(AT60="",10,MIN(VLOOKUP(H60,Tables!$B$3:$N$34,13,FALSE()),'Item Builder'!$W60))</f>
        <v>10</v>
      </c>
      <c r="FA60" s="95">
        <f>IF(AU60="",10,MIN(VLOOKUP(I60,Tables!$B$3:$N$34,13,FALSE()),'Item Builder'!$W60))</f>
        <v>10</v>
      </c>
      <c r="FB60" s="95">
        <f>IF(AV60="",10,MIN(VLOOKUP(J60,Tables!$B$3:$N$34,13,FALSE()),'Item Builder'!$W60))</f>
        <v>10</v>
      </c>
      <c r="FC60" s="95">
        <f>IF(AW60="",10,MIN(VLOOKUP(K60,Tables!$B$3:$N$34,13,FALSE()),'Item Builder'!$W60))</f>
        <v>10</v>
      </c>
      <c r="FD60" s="95">
        <f>IF(AX60="",10,MIN(VLOOKUP(L60,Tables!$B$3:$N$34,13,FALSE()),'Item Builder'!$W60))</f>
        <v>10</v>
      </c>
      <c r="FE60" s="95">
        <f>IF(AY60="",10,MIN(VLOOKUP(M60,Tables!$B$3:$N$34,13,FALSE()),'Item Builder'!$W60))</f>
        <v>10</v>
      </c>
      <c r="FF60" s="95">
        <f>IF(AZ60="",10,MIN(VLOOKUP(N60,Tables!$B$3:$N$34,13,FALSE()),'Item Builder'!$W60))</f>
        <v>10</v>
      </c>
      <c r="FG60" s="95">
        <f>IF(BA60="",10,MIN(VLOOKUP(O60,Tables!$B$3:$N$34,13,FALSE()),'Item Builder'!$W60))</f>
        <v>10</v>
      </c>
      <c r="FH60" s="98">
        <f>IF(BB60="",10,MIN(VLOOKUP(P60,Tables!$B$3:$N$34,13,FALSE()),'Item Builder'!$W60))</f>
        <v>10</v>
      </c>
    </row>
    <row r="61" spans="1:164" x14ac:dyDescent="0.25">
      <c r="A61" s="67" t="s">
        <v>32</v>
      </c>
      <c r="B61" s="68"/>
      <c r="C61" s="69"/>
      <c r="D61" s="70"/>
      <c r="E61" s="68"/>
      <c r="F61" s="69" t="s">
        <v>106</v>
      </c>
      <c r="G61" s="69"/>
      <c r="H61" s="69"/>
      <c r="I61" s="70"/>
      <c r="J61" s="68"/>
      <c r="K61" s="69"/>
      <c r="L61" s="70"/>
      <c r="M61" s="68"/>
      <c r="N61" s="69"/>
      <c r="O61" s="69"/>
      <c r="P61" s="71"/>
      <c r="Q61" s="72">
        <f>SUM(BV61:CJ61)*VLOOKUP(W61,Tables!$W$3:$Z$8,4)</f>
        <v>30</v>
      </c>
      <c r="R61" s="73">
        <f t="shared" si="0"/>
        <v>2.2799999999999998</v>
      </c>
      <c r="S61" s="74">
        <f t="shared" si="1"/>
        <v>0</v>
      </c>
      <c r="T61" s="74">
        <f t="shared" si="2"/>
        <v>0</v>
      </c>
      <c r="U61" s="75">
        <f t="shared" si="3"/>
        <v>48</v>
      </c>
      <c r="V61" s="76">
        <f t="shared" si="4"/>
        <v>12</v>
      </c>
      <c r="W61" s="77">
        <v>0</v>
      </c>
      <c r="X61" s="78">
        <f t="shared" si="5"/>
        <v>0</v>
      </c>
      <c r="Y61" s="79">
        <f t="shared" si="6"/>
        <v>0</v>
      </c>
      <c r="Z61" s="79">
        <f t="shared" si="7"/>
        <v>0</v>
      </c>
      <c r="AA61" s="78">
        <f t="shared" si="8"/>
        <v>0</v>
      </c>
      <c r="AB61" s="79">
        <f t="shared" si="9"/>
        <v>1</v>
      </c>
      <c r="AC61" s="79">
        <f t="shared" si="10"/>
        <v>0</v>
      </c>
      <c r="AD61" s="79">
        <f t="shared" si="11"/>
        <v>0</v>
      </c>
      <c r="AE61" s="79">
        <f t="shared" si="12"/>
        <v>0</v>
      </c>
      <c r="AF61" s="78">
        <f t="shared" si="13"/>
        <v>0</v>
      </c>
      <c r="AG61" s="79">
        <f t="shared" si="14"/>
        <v>0</v>
      </c>
      <c r="AH61" s="79">
        <f t="shared" si="15"/>
        <v>0</v>
      </c>
      <c r="AI61" s="78">
        <f t="shared" si="16"/>
        <v>0</v>
      </c>
      <c r="AJ61" s="79">
        <f t="shared" si="17"/>
        <v>0</v>
      </c>
      <c r="AK61" s="79">
        <f t="shared" si="18"/>
        <v>0</v>
      </c>
      <c r="AL61" s="80">
        <f t="shared" si="19"/>
        <v>0</v>
      </c>
      <c r="AM61" s="81">
        <f t="shared" si="20"/>
        <v>0.06</v>
      </c>
      <c r="AN61" s="82" t="str">
        <f t="shared" si="21"/>
        <v/>
      </c>
      <c r="AO61" s="79" t="str">
        <f t="shared" si="22"/>
        <v/>
      </c>
      <c r="AP61" t="str">
        <f t="shared" si="23"/>
        <v/>
      </c>
      <c r="AQ61" s="82" t="str">
        <f t="shared" si="24"/>
        <v/>
      </c>
      <c r="AR61" t="str">
        <f t="shared" si="25"/>
        <v>K</v>
      </c>
      <c r="AS61" t="str">
        <f t="shared" si="26"/>
        <v/>
      </c>
      <c r="AT61" t="str">
        <f t="shared" si="27"/>
        <v/>
      </c>
      <c r="AU61" t="str">
        <f t="shared" si="28"/>
        <v/>
      </c>
      <c r="AV61" s="82" t="str">
        <f t="shared" si="29"/>
        <v/>
      </c>
      <c r="AW61" t="str">
        <f t="shared" si="30"/>
        <v/>
      </c>
      <c r="AX61" t="str">
        <f t="shared" si="31"/>
        <v/>
      </c>
      <c r="AY61" s="82" t="str">
        <f t="shared" si="32"/>
        <v/>
      </c>
      <c r="AZ61" t="str">
        <f t="shared" si="33"/>
        <v/>
      </c>
      <c r="BA61" t="str">
        <f t="shared" si="34"/>
        <v/>
      </c>
      <c r="BB61" s="83" t="str">
        <f t="shared" si="35"/>
        <v/>
      </c>
      <c r="BC61" s="84">
        <f t="shared" si="36"/>
        <v>0</v>
      </c>
      <c r="BD61" s="84">
        <f t="shared" si="37"/>
        <v>0.2857142857142857</v>
      </c>
      <c r="BE61" s="84">
        <f t="shared" si="38"/>
        <v>0</v>
      </c>
      <c r="BF61" s="84">
        <f t="shared" si="39"/>
        <v>0</v>
      </c>
      <c r="BG61" s="78">
        <f>IF(AN61="",0,VLOOKUP(AN61,Tables!$AB$3:$AC$12,2))</f>
        <v>0</v>
      </c>
      <c r="BH61" s="79">
        <f>IF(AO61="",0,VLOOKUP(AO61,Tables!$AB$3:$AC$12,2))</f>
        <v>0</v>
      </c>
      <c r="BI61" s="79">
        <f>IF(AP61="",0,VLOOKUP(AP61,Tables!$AB$3:$AC$12,2))</f>
        <v>0</v>
      </c>
      <c r="BJ61" s="78">
        <f>IF(AQ61="",0,VLOOKUP(AQ61,Tables!$AB$3:$AC$12,2))</f>
        <v>0</v>
      </c>
      <c r="BK61" s="79">
        <f>IF(AR61="",0,VLOOKUP(AR61,Tables!$AB$3:$AC$12,2))</f>
        <v>1</v>
      </c>
      <c r="BL61" s="79">
        <f>IF(AS61="",0,VLOOKUP(AS61,Tables!$AB$3:$AC$12,2))</f>
        <v>0</v>
      </c>
      <c r="BM61" s="79">
        <f>IF(AT61="",0,VLOOKUP(AT61,Tables!$AB$3:$AC$12,2))</f>
        <v>0</v>
      </c>
      <c r="BN61" s="79">
        <f>IF(AU61="",0,VLOOKUP(AU61,Tables!$AB$3:$AC$12,2))</f>
        <v>0</v>
      </c>
      <c r="BO61" s="78">
        <f>IF(AV61="",0,VLOOKUP(AV61,Tables!$AB$3:$AC$12,2))</f>
        <v>0</v>
      </c>
      <c r="BP61" s="79">
        <f>IF(AW61="",0,VLOOKUP(AW61,Tables!$AB$3:$AC$12,2))</f>
        <v>0</v>
      </c>
      <c r="BQ61" s="79">
        <f>IF(AX61="",0,VLOOKUP(AX61,Tables!$AB$3:$AC$12,2))</f>
        <v>0</v>
      </c>
      <c r="BR61" s="78">
        <f>IF(AY61="",0,VLOOKUP(AY61,Tables!$AB$3:$AC$12,2))</f>
        <v>0</v>
      </c>
      <c r="BS61" s="79">
        <f>IF(AZ61="",0,VLOOKUP(AZ61,Tables!$AB$3:$AC$12,2))</f>
        <v>0</v>
      </c>
      <c r="BT61" s="79">
        <f>IF(BA61="",0,VLOOKUP(BA61,Tables!$AB$3:$AC$12,2))</f>
        <v>0</v>
      </c>
      <c r="BU61" s="80">
        <f>IF(BB61="",0,VLOOKUP(BB61,Tables!$AB$3:$AC$12,2))</f>
        <v>0</v>
      </c>
      <c r="BV61" s="85">
        <f>IF(AN61="",0,VLOOKUP(B61,Tables!$B$3:$D$36,2,FALSE())*X$1)</f>
        <v>0</v>
      </c>
      <c r="BW61" s="72">
        <f>IF(AO61="",0,VLOOKUP(C61,Tables!$B$3:$D$36,2,FALSE())*Y$1)</f>
        <v>0</v>
      </c>
      <c r="BX61" s="72">
        <f>IF(AP61="",0,VLOOKUP(D61,Tables!$B$3:$D$36,2,FALSE())*Z$1)</f>
        <v>0</v>
      </c>
      <c r="BY61" s="85">
        <f>IF(AQ61="",0,VLOOKUP(E61,Tables!$B$3:$D$36,2,FALSE())*AA$1)</f>
        <v>0</v>
      </c>
      <c r="BZ61" s="72">
        <f>IF(AR61="",0,VLOOKUP(F61,Tables!$B$3:$D$36,2,FALSE())*AB$1)</f>
        <v>30</v>
      </c>
      <c r="CA61" s="72">
        <f>IF(AS61="",0,VLOOKUP(G61,Tables!$B$3:$D$36,2,FALSE())*AC$1)</f>
        <v>0</v>
      </c>
      <c r="CB61" s="72">
        <f>IF(AT61="",0,VLOOKUP(H61,Tables!$B$3:$D$36,2,FALSE())*AD$1)</f>
        <v>0</v>
      </c>
      <c r="CC61" s="72">
        <f>IF(AU61="",0,VLOOKUP(I61,Tables!$B$3:$D$36,2,FALSE())*AE$1)</f>
        <v>0</v>
      </c>
      <c r="CD61" s="85">
        <f>IF(AV61="",0,VLOOKUP(J61,Tables!$B$3:$D$36,2,FALSE())*AF$1)</f>
        <v>0</v>
      </c>
      <c r="CE61" s="72">
        <f>IF(AW61="",0,VLOOKUP(K61,Tables!$B$3:$D$36,2,FALSE())*AG$1)</f>
        <v>0</v>
      </c>
      <c r="CF61" s="72">
        <f>IF(AX61="",0,VLOOKUP(L61,Tables!$B$3:$D$36,2,FALSE())*AH$1)</f>
        <v>0</v>
      </c>
      <c r="CG61" s="85">
        <f>IF(AY61="",0,VLOOKUP(M61,Tables!$B$3:$D$36,2,FALSE())*AI$1)</f>
        <v>0</v>
      </c>
      <c r="CH61" s="72">
        <f>IF(AZ61="",0,VLOOKUP(N61,Tables!$B$3:$D$36,2,FALSE())*AJ$1)</f>
        <v>0</v>
      </c>
      <c r="CI61" s="72">
        <f>IF(BA61="",0,VLOOKUP(O61,Tables!$B$3:$D$36,2,FALSE())*AK$1)</f>
        <v>0</v>
      </c>
      <c r="CJ61" s="86">
        <f>IF(BB61="",0,VLOOKUP(P61,Tables!$B$3:$D$36,2,FALSE())*AL$1)</f>
        <v>0</v>
      </c>
      <c r="CK61" s="87">
        <f>IF(AN61="",0,VLOOKUP(B61,Tables!$B$3:$D$36,3,FALSE())*X$1)*IF(OR(AN61="K",AN61="P"),2,1)</f>
        <v>0</v>
      </c>
      <c r="CL61" s="73">
        <f>IF(AO61="",0,VLOOKUP(C61,Tables!$B$3:$D$36,3,FALSE())*Y$1)*IF(OR(AO61="K",AO61="P"),2,1)</f>
        <v>0</v>
      </c>
      <c r="CM61" s="73">
        <f>IF(AP61="",0,VLOOKUP(D61,Tables!$B$3:$D$36,3,FALSE())*Z$1)*IF(OR(AP61="K",AP61="P"),2,1)</f>
        <v>0</v>
      </c>
      <c r="CN61" s="87">
        <f>IF(AQ61="",0,VLOOKUP(E61,Tables!$B$3:$D$36,3,FALSE())*AA$1)</f>
        <v>0</v>
      </c>
      <c r="CO61" s="73">
        <f>IF(AR61="",0,VLOOKUP(F61,Tables!$B$3:$D$36,3,FALSE())*AB$1)</f>
        <v>2.2799999999999998</v>
      </c>
      <c r="CP61" s="73">
        <f>IF(AS61="",0,VLOOKUP(G61,Tables!$B$3:$D$36,3,FALSE())*AC$1)</f>
        <v>0</v>
      </c>
      <c r="CQ61" s="73">
        <f>IF(AT61="",0,VLOOKUP(H61,Tables!$B$3:$D$36,3,FALSE())*AD$1)</f>
        <v>0</v>
      </c>
      <c r="CR61" s="73">
        <f>IF(AU61="",0,VLOOKUP(I61,Tables!$B$3:$D$36,3,FALSE())*AE$1)</f>
        <v>0</v>
      </c>
      <c r="CS61" s="87">
        <f>IF(AV61="",0,VLOOKUP(J61,Tables!$B$3:$D$36,3,FALSE())*AF$1)</f>
        <v>0</v>
      </c>
      <c r="CT61" s="73">
        <f>IF(AW61="",0,VLOOKUP(K61,Tables!$B$3:$D$36,3,FALSE())*AG$1)</f>
        <v>0</v>
      </c>
      <c r="CU61" s="73">
        <f>IF(AX61="",0,VLOOKUP(L61,Tables!$B$3:$D$36,3,FALSE())*AH$1)</f>
        <v>0</v>
      </c>
      <c r="CV61" s="87">
        <f>IF(AY61="",0,VLOOKUP(M61,Tables!$B$3:$D$36,3,FALSE())*AI$1)</f>
        <v>0</v>
      </c>
      <c r="CW61" s="73">
        <f>IF(AZ61="",0,VLOOKUP(N61,Tables!$B$3:$D$36,3,FALSE())*AJ$1)</f>
        <v>0</v>
      </c>
      <c r="CX61" s="73">
        <f>IF(BA61="",0,VLOOKUP(O61,Tables!$B$3:$D$36,3,FALSE())*AK$1)</f>
        <v>0</v>
      </c>
      <c r="CY61" s="88">
        <f>IF(BB61="",0,VLOOKUP(P61,Tables!$B$3:$D$36,3,FALSE())*AL$1)</f>
        <v>0</v>
      </c>
      <c r="CZ61" s="89">
        <f t="shared" si="40"/>
        <v>0</v>
      </c>
      <c r="DA61" s="75">
        <f t="shared" si="41"/>
        <v>0</v>
      </c>
      <c r="DB61" s="75">
        <f t="shared" si="42"/>
        <v>0</v>
      </c>
      <c r="DC61" s="89">
        <f t="shared" si="43"/>
        <v>0</v>
      </c>
      <c r="DD61" s="75">
        <f t="shared" si="44"/>
        <v>1.5</v>
      </c>
      <c r="DE61" s="75">
        <f t="shared" si="45"/>
        <v>0</v>
      </c>
      <c r="DF61" s="75">
        <f t="shared" si="46"/>
        <v>0</v>
      </c>
      <c r="DG61" s="75">
        <f t="shared" si="47"/>
        <v>0</v>
      </c>
      <c r="DH61" s="89">
        <f t="shared" si="48"/>
        <v>0</v>
      </c>
      <c r="DI61" s="75">
        <f t="shared" si="49"/>
        <v>0</v>
      </c>
      <c r="DJ61" s="75">
        <f t="shared" si="50"/>
        <v>0</v>
      </c>
      <c r="DK61" s="89">
        <f t="shared" si="51"/>
        <v>0</v>
      </c>
      <c r="DL61" s="75">
        <f t="shared" si="52"/>
        <v>0</v>
      </c>
      <c r="DM61" s="75">
        <f t="shared" si="53"/>
        <v>0</v>
      </c>
      <c r="DN61" s="90">
        <f t="shared" si="54"/>
        <v>0</v>
      </c>
      <c r="DO61" s="91">
        <f>IF(AN61="",0,VLOOKUP(B61,Tables!$B$3:$M$36,11,FALSE())*X$1)</f>
        <v>0</v>
      </c>
      <c r="DP61" s="92">
        <f>IF(AO61="",0,VLOOKUP(C61,Tables!$B$3:$M$36,11,FALSE())*Y$1)</f>
        <v>0</v>
      </c>
      <c r="DQ61" s="92">
        <f>IF(AP61="",0,VLOOKUP(D61,Tables!$B$3:$M$36,11,FALSE())*Z$1)</f>
        <v>0</v>
      </c>
      <c r="DR61" s="91">
        <f>IF(AQ61="",0,VLOOKUP(E61,Tables!$B$3:$M$36,11,FALSE())*AA$1)</f>
        <v>0</v>
      </c>
      <c r="DS61" s="92">
        <f>IF(AR61="",0,VLOOKUP(F61,Tables!$B$3:$M$36,11,FALSE())*AB$1)</f>
        <v>48</v>
      </c>
      <c r="DT61" s="92">
        <f>IF(AS61="",0,VLOOKUP(G61,Tables!$B$3:$M$36,11,FALSE())*AC$1)</f>
        <v>0</v>
      </c>
      <c r="DU61" s="92">
        <f>IF(AT61="",0,VLOOKUP(H61,Tables!$B$3:$M$36,11,FALSE())*AD$1)</f>
        <v>0</v>
      </c>
      <c r="DV61" s="92">
        <f>IF(AU61="",0,VLOOKUP(I61,Tables!$B$3:$M$36,11,FALSE())*AE$1)</f>
        <v>0</v>
      </c>
      <c r="DW61" s="91">
        <f>IF(AV61="",0,VLOOKUP(J61,Tables!$B$3:$M$36,11,FALSE())*AF$1)</f>
        <v>0</v>
      </c>
      <c r="DX61" s="92">
        <f>IF(AW61="",0,VLOOKUP(K61,Tables!$B$3:$M$36,11,FALSE())*AG$1)</f>
        <v>0</v>
      </c>
      <c r="DY61" s="92">
        <f>IF(AX61="",0,VLOOKUP(L61,Tables!$B$3:$M$36,11,FALSE())*AH$1)</f>
        <v>0</v>
      </c>
      <c r="DZ61" s="91">
        <f>IF(AY61="",0,VLOOKUP(M61,Tables!$B$3:$M$36,11,FALSE())*AI$1)</f>
        <v>0</v>
      </c>
      <c r="EA61" s="92">
        <f>IF(AZ61="",0,VLOOKUP(N61,Tables!$B$3:$M$36,11,FALSE())*AJ$1)</f>
        <v>0</v>
      </c>
      <c r="EB61" s="92">
        <f>IF(BA61="",0,VLOOKUP(O61,Tables!$B$3:$M$36,11,FALSE())*AK$1)</f>
        <v>0</v>
      </c>
      <c r="EC61" s="93">
        <f>IF(BB61="",0,VLOOKUP(P61,Tables!$B$3:$M$36,11,FALSE())*AL$1)</f>
        <v>0</v>
      </c>
      <c r="ED61" s="91">
        <f>IF(AN61="",0,VLOOKUP(B61,Tables!$B$3:$M$36,12,FALSE())*X$1)</f>
        <v>0</v>
      </c>
      <c r="EE61" s="92">
        <f>IF(AO61="",0,VLOOKUP(C61,Tables!$B$3:$M$36,12,FALSE())*Y$1)</f>
        <v>0</v>
      </c>
      <c r="EF61" s="92">
        <f>IF(AP61="",0,VLOOKUP(D61,Tables!$B$3:$M$36,12,FALSE())*Z$1)</f>
        <v>0</v>
      </c>
      <c r="EG61" s="91">
        <f>IF(AQ61="",0,VLOOKUP(E61,Tables!$B$3:$M$36,12,FALSE())*AA$1)</f>
        <v>0</v>
      </c>
      <c r="EH61" s="92">
        <f>IF(AR61="",0,VLOOKUP(F61,Tables!$B$3:$M$36,12,FALSE())*AB$1)</f>
        <v>12</v>
      </c>
      <c r="EI61" s="92">
        <f>IF(AS61="",0,VLOOKUP(G61,Tables!$B$3:$M$36,12,FALSE())*AC$1)</f>
        <v>0</v>
      </c>
      <c r="EJ61" s="92">
        <f>IF(AT61="",0,VLOOKUP(H61,Tables!$B$3:$M$36,12,FALSE())*AD$1)</f>
        <v>0</v>
      </c>
      <c r="EK61" s="92">
        <f>IF(AU61="",0,VLOOKUP(I61,Tables!$B$3:$M$36,12,FALSE())*AE$1)</f>
        <v>0</v>
      </c>
      <c r="EL61" s="91">
        <f>IF(AV61="",0,VLOOKUP(J61,Tables!$B$3:$M$36,12,FALSE())*AF$1)</f>
        <v>0</v>
      </c>
      <c r="EM61" s="92">
        <f>IF(AW61="",0,VLOOKUP(K61,Tables!$B$3:$M$36,12,FALSE())*AG$1)</f>
        <v>0</v>
      </c>
      <c r="EN61" s="92">
        <f>IF(AX61="",0,VLOOKUP(L61,Tables!$B$3:$M$36,12,FALSE())*AH$1)</f>
        <v>0</v>
      </c>
      <c r="EO61" s="91">
        <f>IF(AY61="",0,VLOOKUP(M61,Tables!$B$3:$M$36,12,FALSE())*AI$1)</f>
        <v>0</v>
      </c>
      <c r="EP61" s="92">
        <f>IF(AZ61="",0,VLOOKUP(N61,Tables!$B$3:$M$36,12,FALSE())*AJ$1)</f>
        <v>0</v>
      </c>
      <c r="EQ61" s="92">
        <f>IF(BA61="",0,VLOOKUP(O61,Tables!$B$3:$M$36,12,FALSE())*AK$1)</f>
        <v>0</v>
      </c>
      <c r="ER61" s="93">
        <f>IF(BB61="",0,VLOOKUP(P61,Tables!$B$3:$M$36,12,FALSE())*AL$1)</f>
        <v>0</v>
      </c>
      <c r="ES61" s="94">
        <f t="shared" si="55"/>
        <v>0</v>
      </c>
      <c r="ET61" s="95">
        <f>IF(AN61="",10,MIN(VLOOKUP(B61,Tables!$B$3:$N$34,13,FALSE()),'Item Builder'!$W61))</f>
        <v>10</v>
      </c>
      <c r="EU61" s="95">
        <f>IF(AO61="",10,MIN(VLOOKUP(C61,Tables!$B$3:$N$34,13,FALSE()),'Item Builder'!$W61))</f>
        <v>10</v>
      </c>
      <c r="EV61" s="95">
        <f>IF(AP61="",10,MIN(VLOOKUP(D61,Tables!$B$3:$N$34,13,FALSE()),'Item Builder'!$W61))</f>
        <v>10</v>
      </c>
      <c r="EW61" s="95">
        <f>IF(AQ61="",10,MIN(VLOOKUP(E61,Tables!$B$3:$N$34,13,FALSE()),'Item Builder'!$W61))</f>
        <v>10</v>
      </c>
      <c r="EX61" s="95">
        <f>IF(AR61="",10,MIN(VLOOKUP(F61,Tables!$B$3:$N$34,13,FALSE()),'Item Builder'!$W61))</f>
        <v>0</v>
      </c>
      <c r="EY61" s="95">
        <f>IF(AS61="",10,MIN(VLOOKUP(G61,Tables!$B$3:$N$34,13,FALSE()),'Item Builder'!$W61))</f>
        <v>10</v>
      </c>
      <c r="EZ61" s="95">
        <f>IF(AT61="",10,MIN(VLOOKUP(H61,Tables!$B$3:$N$34,13,FALSE()),'Item Builder'!$W61))</f>
        <v>10</v>
      </c>
      <c r="FA61" s="95">
        <f>IF(AU61="",10,MIN(VLOOKUP(I61,Tables!$B$3:$N$34,13,FALSE()),'Item Builder'!$W61))</f>
        <v>10</v>
      </c>
      <c r="FB61" s="95">
        <f>IF(AV61="",10,MIN(VLOOKUP(J61,Tables!$B$3:$N$34,13,FALSE()),'Item Builder'!$W61))</f>
        <v>10</v>
      </c>
      <c r="FC61" s="95">
        <f>IF(AW61="",10,MIN(VLOOKUP(K61,Tables!$B$3:$N$34,13,FALSE()),'Item Builder'!$W61))</f>
        <v>10</v>
      </c>
      <c r="FD61" s="95">
        <f>IF(AX61="",10,MIN(VLOOKUP(L61,Tables!$B$3:$N$34,13,FALSE()),'Item Builder'!$W61))</f>
        <v>10</v>
      </c>
      <c r="FE61" s="95">
        <f>IF(AY61="",10,MIN(VLOOKUP(M61,Tables!$B$3:$N$34,13,FALSE()),'Item Builder'!$W61))</f>
        <v>10</v>
      </c>
      <c r="FF61" s="95">
        <f>IF(AZ61="",10,MIN(VLOOKUP(N61,Tables!$B$3:$N$34,13,FALSE()),'Item Builder'!$W61))</f>
        <v>10</v>
      </c>
      <c r="FG61" s="95">
        <f>IF(BA61="",10,MIN(VLOOKUP(O61,Tables!$B$3:$N$34,13,FALSE()),'Item Builder'!$W61))</f>
        <v>10</v>
      </c>
      <c r="FH61" s="98">
        <f>IF(BB61="",10,MIN(VLOOKUP(P61,Tables!$B$3:$N$34,13,FALSE()),'Item Builder'!$W61))</f>
        <v>10</v>
      </c>
    </row>
    <row r="62" spans="1:164" x14ac:dyDescent="0.25">
      <c r="A62" s="67" t="s">
        <v>73</v>
      </c>
      <c r="B62" s="68"/>
      <c r="C62" s="69"/>
      <c r="D62" s="70"/>
      <c r="E62" s="68"/>
      <c r="F62" s="69"/>
      <c r="G62" s="69" t="s">
        <v>106</v>
      </c>
      <c r="H62" s="69"/>
      <c r="I62" s="70"/>
      <c r="J62" s="68"/>
      <c r="K62" s="69"/>
      <c r="L62" s="70"/>
      <c r="M62" s="68"/>
      <c r="N62" s="69"/>
      <c r="O62" s="69"/>
      <c r="P62" s="71"/>
      <c r="Q62" s="72">
        <f>SUM(BV62:CJ62)*VLOOKUP(W62,Tables!$W$3:$Z$8,4)</f>
        <v>10</v>
      </c>
      <c r="R62" s="73">
        <f t="shared" si="0"/>
        <v>0.76</v>
      </c>
      <c r="S62" s="74">
        <f t="shared" si="1"/>
        <v>0</v>
      </c>
      <c r="T62" s="74">
        <f t="shared" si="2"/>
        <v>0</v>
      </c>
      <c r="U62" s="75">
        <f t="shared" si="3"/>
        <v>16</v>
      </c>
      <c r="V62" s="76">
        <f t="shared" si="4"/>
        <v>4</v>
      </c>
      <c r="W62" s="77">
        <v>0</v>
      </c>
      <c r="X62" s="78">
        <f t="shared" si="5"/>
        <v>0</v>
      </c>
      <c r="Y62" s="79">
        <f t="shared" si="6"/>
        <v>0</v>
      </c>
      <c r="Z62" s="79">
        <f t="shared" si="7"/>
        <v>0</v>
      </c>
      <c r="AA62" s="78">
        <f t="shared" si="8"/>
        <v>0</v>
      </c>
      <c r="AB62" s="79">
        <f t="shared" si="9"/>
        <v>0</v>
      </c>
      <c r="AC62" s="79">
        <f t="shared" si="10"/>
        <v>1</v>
      </c>
      <c r="AD62" s="79">
        <f t="shared" si="11"/>
        <v>0</v>
      </c>
      <c r="AE62" s="79">
        <f t="shared" si="12"/>
        <v>0</v>
      </c>
      <c r="AF62" s="78">
        <f t="shared" si="13"/>
        <v>0</v>
      </c>
      <c r="AG62" s="79">
        <f t="shared" si="14"/>
        <v>0</v>
      </c>
      <c r="AH62" s="79">
        <f t="shared" si="15"/>
        <v>0</v>
      </c>
      <c r="AI62" s="78">
        <f t="shared" si="16"/>
        <v>0</v>
      </c>
      <c r="AJ62" s="79">
        <f t="shared" si="17"/>
        <v>0</v>
      </c>
      <c r="AK62" s="79">
        <f t="shared" si="18"/>
        <v>0</v>
      </c>
      <c r="AL62" s="80">
        <f t="shared" si="19"/>
        <v>0</v>
      </c>
      <c r="AM62" s="81">
        <f t="shared" si="20"/>
        <v>0.02</v>
      </c>
      <c r="AN62" s="82" t="str">
        <f t="shared" si="21"/>
        <v/>
      </c>
      <c r="AO62" s="79" t="str">
        <f t="shared" si="22"/>
        <v/>
      </c>
      <c r="AP62" t="str">
        <f t="shared" si="23"/>
        <v/>
      </c>
      <c r="AQ62" s="82" t="str">
        <f t="shared" si="24"/>
        <v/>
      </c>
      <c r="AR62" t="str">
        <f t="shared" si="25"/>
        <v/>
      </c>
      <c r="AS62" t="str">
        <f t="shared" si="26"/>
        <v>K</v>
      </c>
      <c r="AT62" t="str">
        <f t="shared" si="27"/>
        <v/>
      </c>
      <c r="AU62" t="str">
        <f t="shared" si="28"/>
        <v/>
      </c>
      <c r="AV62" s="82" t="str">
        <f t="shared" si="29"/>
        <v/>
      </c>
      <c r="AW62" t="str">
        <f t="shared" si="30"/>
        <v/>
      </c>
      <c r="AX62" t="str">
        <f t="shared" si="31"/>
        <v/>
      </c>
      <c r="AY62" s="82" t="str">
        <f t="shared" si="32"/>
        <v/>
      </c>
      <c r="AZ62" t="str">
        <f t="shared" si="33"/>
        <v/>
      </c>
      <c r="BA62" t="str">
        <f t="shared" si="34"/>
        <v/>
      </c>
      <c r="BB62" s="83" t="str">
        <f t="shared" si="35"/>
        <v/>
      </c>
      <c r="BC62" s="84">
        <f t="shared" si="36"/>
        <v>0</v>
      </c>
      <c r="BD62" s="84">
        <f t="shared" si="37"/>
        <v>9.5238095238095233E-2</v>
      </c>
      <c r="BE62" s="84">
        <f t="shared" si="38"/>
        <v>0</v>
      </c>
      <c r="BF62" s="84">
        <f t="shared" si="39"/>
        <v>0</v>
      </c>
      <c r="BG62" s="78">
        <f>IF(AN62="",0,VLOOKUP(AN62,Tables!$AB$3:$AC$12,2))</f>
        <v>0</v>
      </c>
      <c r="BH62" s="79">
        <f>IF(AO62="",0,VLOOKUP(AO62,Tables!$AB$3:$AC$12,2))</f>
        <v>0</v>
      </c>
      <c r="BI62" s="79">
        <f>IF(AP62="",0,VLOOKUP(AP62,Tables!$AB$3:$AC$12,2))</f>
        <v>0</v>
      </c>
      <c r="BJ62" s="78">
        <f>IF(AQ62="",0,VLOOKUP(AQ62,Tables!$AB$3:$AC$12,2))</f>
        <v>0</v>
      </c>
      <c r="BK62" s="79">
        <f>IF(AR62="",0,VLOOKUP(AR62,Tables!$AB$3:$AC$12,2))</f>
        <v>0</v>
      </c>
      <c r="BL62" s="79">
        <f>IF(AS62="",0,VLOOKUP(AS62,Tables!$AB$3:$AC$12,2))</f>
        <v>1</v>
      </c>
      <c r="BM62" s="79">
        <f>IF(AT62="",0,VLOOKUP(AT62,Tables!$AB$3:$AC$12,2))</f>
        <v>0</v>
      </c>
      <c r="BN62" s="79">
        <f>IF(AU62="",0,VLOOKUP(AU62,Tables!$AB$3:$AC$12,2))</f>
        <v>0</v>
      </c>
      <c r="BO62" s="78">
        <f>IF(AV62="",0,VLOOKUP(AV62,Tables!$AB$3:$AC$12,2))</f>
        <v>0</v>
      </c>
      <c r="BP62" s="79">
        <f>IF(AW62="",0,VLOOKUP(AW62,Tables!$AB$3:$AC$12,2))</f>
        <v>0</v>
      </c>
      <c r="BQ62" s="79">
        <f>IF(AX62="",0,VLOOKUP(AX62,Tables!$AB$3:$AC$12,2))</f>
        <v>0</v>
      </c>
      <c r="BR62" s="78">
        <f>IF(AY62="",0,VLOOKUP(AY62,Tables!$AB$3:$AC$12,2))</f>
        <v>0</v>
      </c>
      <c r="BS62" s="79">
        <f>IF(AZ62="",0,VLOOKUP(AZ62,Tables!$AB$3:$AC$12,2))</f>
        <v>0</v>
      </c>
      <c r="BT62" s="79">
        <f>IF(BA62="",0,VLOOKUP(BA62,Tables!$AB$3:$AC$12,2))</f>
        <v>0</v>
      </c>
      <c r="BU62" s="80">
        <f>IF(BB62="",0,VLOOKUP(BB62,Tables!$AB$3:$AC$12,2))</f>
        <v>0</v>
      </c>
      <c r="BV62" s="85">
        <f>IF(AN62="",0,VLOOKUP(B62,Tables!$B$3:$D$36,2,FALSE())*X$1)</f>
        <v>0</v>
      </c>
      <c r="BW62" s="72">
        <f>IF(AO62="",0,VLOOKUP(C62,Tables!$B$3:$D$36,2,FALSE())*Y$1)</f>
        <v>0</v>
      </c>
      <c r="BX62" s="72">
        <f>IF(AP62="",0,VLOOKUP(D62,Tables!$B$3:$D$36,2,FALSE())*Z$1)</f>
        <v>0</v>
      </c>
      <c r="BY62" s="85">
        <f>IF(AQ62="",0,VLOOKUP(E62,Tables!$B$3:$D$36,2,FALSE())*AA$1)</f>
        <v>0</v>
      </c>
      <c r="BZ62" s="72">
        <f>IF(AR62="",0,VLOOKUP(F62,Tables!$B$3:$D$36,2,FALSE())*AB$1)</f>
        <v>0</v>
      </c>
      <c r="CA62" s="72">
        <f>IF(AS62="",0,VLOOKUP(G62,Tables!$B$3:$D$36,2,FALSE())*AC$1)</f>
        <v>10</v>
      </c>
      <c r="CB62" s="72">
        <f>IF(AT62="",0,VLOOKUP(H62,Tables!$B$3:$D$36,2,FALSE())*AD$1)</f>
        <v>0</v>
      </c>
      <c r="CC62" s="72">
        <f>IF(AU62="",0,VLOOKUP(I62,Tables!$B$3:$D$36,2,FALSE())*AE$1)</f>
        <v>0</v>
      </c>
      <c r="CD62" s="85">
        <f>IF(AV62="",0,VLOOKUP(J62,Tables!$B$3:$D$36,2,FALSE())*AF$1)</f>
        <v>0</v>
      </c>
      <c r="CE62" s="72">
        <f>IF(AW62="",0,VLOOKUP(K62,Tables!$B$3:$D$36,2,FALSE())*AG$1)</f>
        <v>0</v>
      </c>
      <c r="CF62" s="72">
        <f>IF(AX62="",0,VLOOKUP(L62,Tables!$B$3:$D$36,2,FALSE())*AH$1)</f>
        <v>0</v>
      </c>
      <c r="CG62" s="85">
        <f>IF(AY62="",0,VLOOKUP(M62,Tables!$B$3:$D$36,2,FALSE())*AI$1)</f>
        <v>0</v>
      </c>
      <c r="CH62" s="72">
        <f>IF(AZ62="",0,VLOOKUP(N62,Tables!$B$3:$D$36,2,FALSE())*AJ$1)</f>
        <v>0</v>
      </c>
      <c r="CI62" s="72">
        <f>IF(BA62="",0,VLOOKUP(O62,Tables!$B$3:$D$36,2,FALSE())*AK$1)</f>
        <v>0</v>
      </c>
      <c r="CJ62" s="86">
        <f>IF(BB62="",0,VLOOKUP(P62,Tables!$B$3:$D$36,2,FALSE())*AL$1)</f>
        <v>0</v>
      </c>
      <c r="CK62" s="87">
        <f>IF(AN62="",0,VLOOKUP(B62,Tables!$B$3:$D$36,3,FALSE())*X$1)*IF(OR(AN62="K",AN62="P"),2,1)</f>
        <v>0</v>
      </c>
      <c r="CL62" s="73">
        <f>IF(AO62="",0,VLOOKUP(C62,Tables!$B$3:$D$36,3,FALSE())*Y$1)*IF(OR(AO62="K",AO62="P"),2,1)</f>
        <v>0</v>
      </c>
      <c r="CM62" s="73">
        <f>IF(AP62="",0,VLOOKUP(D62,Tables!$B$3:$D$36,3,FALSE())*Z$1)*IF(OR(AP62="K",AP62="P"),2,1)</f>
        <v>0</v>
      </c>
      <c r="CN62" s="87">
        <f>IF(AQ62="",0,VLOOKUP(E62,Tables!$B$3:$D$36,3,FALSE())*AA$1)</f>
        <v>0</v>
      </c>
      <c r="CO62" s="73">
        <f>IF(AR62="",0,VLOOKUP(F62,Tables!$B$3:$D$36,3,FALSE())*AB$1)</f>
        <v>0</v>
      </c>
      <c r="CP62" s="73">
        <f>IF(AS62="",0,VLOOKUP(G62,Tables!$B$3:$D$36,3,FALSE())*AC$1)</f>
        <v>0.76</v>
      </c>
      <c r="CQ62" s="73">
        <f>IF(AT62="",0,VLOOKUP(H62,Tables!$B$3:$D$36,3,FALSE())*AD$1)</f>
        <v>0</v>
      </c>
      <c r="CR62" s="73">
        <f>IF(AU62="",0,VLOOKUP(I62,Tables!$B$3:$D$36,3,FALSE())*AE$1)</f>
        <v>0</v>
      </c>
      <c r="CS62" s="87">
        <f>IF(AV62="",0,VLOOKUP(J62,Tables!$B$3:$D$36,3,FALSE())*AF$1)</f>
        <v>0</v>
      </c>
      <c r="CT62" s="73">
        <f>IF(AW62="",0,VLOOKUP(K62,Tables!$B$3:$D$36,3,FALSE())*AG$1)</f>
        <v>0</v>
      </c>
      <c r="CU62" s="73">
        <f>IF(AX62="",0,VLOOKUP(L62,Tables!$B$3:$D$36,3,FALSE())*AH$1)</f>
        <v>0</v>
      </c>
      <c r="CV62" s="87">
        <f>IF(AY62="",0,VLOOKUP(M62,Tables!$B$3:$D$36,3,FALSE())*AI$1)</f>
        <v>0</v>
      </c>
      <c r="CW62" s="73">
        <f>IF(AZ62="",0,VLOOKUP(N62,Tables!$B$3:$D$36,3,FALSE())*AJ$1)</f>
        <v>0</v>
      </c>
      <c r="CX62" s="73">
        <f>IF(BA62="",0,VLOOKUP(O62,Tables!$B$3:$D$36,3,FALSE())*AK$1)</f>
        <v>0</v>
      </c>
      <c r="CY62" s="88">
        <f>IF(BB62="",0,VLOOKUP(P62,Tables!$B$3:$D$36,3,FALSE())*AL$1)</f>
        <v>0</v>
      </c>
      <c r="CZ62" s="89">
        <f t="shared" si="40"/>
        <v>0</v>
      </c>
      <c r="DA62" s="75">
        <f t="shared" si="41"/>
        <v>0</v>
      </c>
      <c r="DB62" s="75">
        <f t="shared" si="42"/>
        <v>0</v>
      </c>
      <c r="DC62" s="89">
        <f t="shared" si="43"/>
        <v>0</v>
      </c>
      <c r="DD62" s="75">
        <f t="shared" si="44"/>
        <v>0</v>
      </c>
      <c r="DE62" s="75">
        <f t="shared" si="45"/>
        <v>1.5</v>
      </c>
      <c r="DF62" s="75">
        <f t="shared" si="46"/>
        <v>0</v>
      </c>
      <c r="DG62" s="75">
        <f t="shared" si="47"/>
        <v>0</v>
      </c>
      <c r="DH62" s="89">
        <f t="shared" si="48"/>
        <v>0</v>
      </c>
      <c r="DI62" s="75">
        <f t="shared" si="49"/>
        <v>0</v>
      </c>
      <c r="DJ62" s="75">
        <f t="shared" si="50"/>
        <v>0</v>
      </c>
      <c r="DK62" s="89">
        <f t="shared" si="51"/>
        <v>0</v>
      </c>
      <c r="DL62" s="75">
        <f t="shared" si="52"/>
        <v>0</v>
      </c>
      <c r="DM62" s="75">
        <f t="shared" si="53"/>
        <v>0</v>
      </c>
      <c r="DN62" s="90">
        <f t="shared" si="54"/>
        <v>0</v>
      </c>
      <c r="DO62" s="91">
        <f>IF(AN62="",0,VLOOKUP(B62,Tables!$B$3:$M$36,11,FALSE())*X$1)</f>
        <v>0</v>
      </c>
      <c r="DP62" s="92">
        <f>IF(AO62="",0,VLOOKUP(C62,Tables!$B$3:$M$36,11,FALSE())*Y$1)</f>
        <v>0</v>
      </c>
      <c r="DQ62" s="92">
        <f>IF(AP62="",0,VLOOKUP(D62,Tables!$B$3:$M$36,11,FALSE())*Z$1)</f>
        <v>0</v>
      </c>
      <c r="DR62" s="91">
        <f>IF(AQ62="",0,VLOOKUP(E62,Tables!$B$3:$M$36,11,FALSE())*AA$1)</f>
        <v>0</v>
      </c>
      <c r="DS62" s="92">
        <f>IF(AR62="",0,VLOOKUP(F62,Tables!$B$3:$M$36,11,FALSE())*AB$1)</f>
        <v>0</v>
      </c>
      <c r="DT62" s="92">
        <f>IF(AS62="",0,VLOOKUP(G62,Tables!$B$3:$M$36,11,FALSE())*AC$1)</f>
        <v>16</v>
      </c>
      <c r="DU62" s="92">
        <f>IF(AT62="",0,VLOOKUP(H62,Tables!$B$3:$M$36,11,FALSE())*AD$1)</f>
        <v>0</v>
      </c>
      <c r="DV62" s="92">
        <f>IF(AU62="",0,VLOOKUP(I62,Tables!$B$3:$M$36,11,FALSE())*AE$1)</f>
        <v>0</v>
      </c>
      <c r="DW62" s="91">
        <f>IF(AV62="",0,VLOOKUP(J62,Tables!$B$3:$M$36,11,FALSE())*AF$1)</f>
        <v>0</v>
      </c>
      <c r="DX62" s="92">
        <f>IF(AW62="",0,VLOOKUP(K62,Tables!$B$3:$M$36,11,FALSE())*AG$1)</f>
        <v>0</v>
      </c>
      <c r="DY62" s="92">
        <f>IF(AX62="",0,VLOOKUP(L62,Tables!$B$3:$M$36,11,FALSE())*AH$1)</f>
        <v>0</v>
      </c>
      <c r="DZ62" s="91">
        <f>IF(AY62="",0,VLOOKUP(M62,Tables!$B$3:$M$36,11,FALSE())*AI$1)</f>
        <v>0</v>
      </c>
      <c r="EA62" s="92">
        <f>IF(AZ62="",0,VLOOKUP(N62,Tables!$B$3:$M$36,11,FALSE())*AJ$1)</f>
        <v>0</v>
      </c>
      <c r="EB62" s="92">
        <f>IF(BA62="",0,VLOOKUP(O62,Tables!$B$3:$M$36,11,FALSE())*AK$1)</f>
        <v>0</v>
      </c>
      <c r="EC62" s="93">
        <f>IF(BB62="",0,VLOOKUP(P62,Tables!$B$3:$M$36,11,FALSE())*AL$1)</f>
        <v>0</v>
      </c>
      <c r="ED62" s="91">
        <f>IF(AN62="",0,VLOOKUP(B62,Tables!$B$3:$M$36,12,FALSE())*X$1)</f>
        <v>0</v>
      </c>
      <c r="EE62" s="92">
        <f>IF(AO62="",0,VLOOKUP(C62,Tables!$B$3:$M$36,12,FALSE())*Y$1)</f>
        <v>0</v>
      </c>
      <c r="EF62" s="92">
        <f>IF(AP62="",0,VLOOKUP(D62,Tables!$B$3:$M$36,12,FALSE())*Z$1)</f>
        <v>0</v>
      </c>
      <c r="EG62" s="91">
        <f>IF(AQ62="",0,VLOOKUP(E62,Tables!$B$3:$M$36,12,FALSE())*AA$1)</f>
        <v>0</v>
      </c>
      <c r="EH62" s="92">
        <f>IF(AR62="",0,VLOOKUP(F62,Tables!$B$3:$M$36,12,FALSE())*AB$1)</f>
        <v>0</v>
      </c>
      <c r="EI62" s="92">
        <f>IF(AS62="",0,VLOOKUP(G62,Tables!$B$3:$M$36,12,FALSE())*AC$1)</f>
        <v>4</v>
      </c>
      <c r="EJ62" s="92">
        <f>IF(AT62="",0,VLOOKUP(H62,Tables!$B$3:$M$36,12,FALSE())*AD$1)</f>
        <v>0</v>
      </c>
      <c r="EK62" s="92">
        <f>IF(AU62="",0,VLOOKUP(I62,Tables!$B$3:$M$36,12,FALSE())*AE$1)</f>
        <v>0</v>
      </c>
      <c r="EL62" s="91">
        <f>IF(AV62="",0,VLOOKUP(J62,Tables!$B$3:$M$36,12,FALSE())*AF$1)</f>
        <v>0</v>
      </c>
      <c r="EM62" s="92">
        <f>IF(AW62="",0,VLOOKUP(K62,Tables!$B$3:$M$36,12,FALSE())*AG$1)</f>
        <v>0</v>
      </c>
      <c r="EN62" s="92">
        <f>IF(AX62="",0,VLOOKUP(L62,Tables!$B$3:$M$36,12,FALSE())*AH$1)</f>
        <v>0</v>
      </c>
      <c r="EO62" s="91">
        <f>IF(AY62="",0,VLOOKUP(M62,Tables!$B$3:$M$36,12,FALSE())*AI$1)</f>
        <v>0</v>
      </c>
      <c r="EP62" s="92">
        <f>IF(AZ62="",0,VLOOKUP(N62,Tables!$B$3:$M$36,12,FALSE())*AJ$1)</f>
        <v>0</v>
      </c>
      <c r="EQ62" s="92">
        <f>IF(BA62="",0,VLOOKUP(O62,Tables!$B$3:$M$36,12,FALSE())*AK$1)</f>
        <v>0</v>
      </c>
      <c r="ER62" s="93">
        <f>IF(BB62="",0,VLOOKUP(P62,Tables!$B$3:$M$36,12,FALSE())*AL$1)</f>
        <v>0</v>
      </c>
      <c r="ES62" s="94">
        <f t="shared" si="55"/>
        <v>0</v>
      </c>
      <c r="ET62" s="95">
        <f>IF(AN62="",10,MIN(VLOOKUP(B62,Tables!$B$3:$N$34,13,FALSE()),'Item Builder'!$W62))</f>
        <v>10</v>
      </c>
      <c r="EU62" s="95">
        <f>IF(AO62="",10,MIN(VLOOKUP(C62,Tables!$B$3:$N$34,13,FALSE()),'Item Builder'!$W62))</f>
        <v>10</v>
      </c>
      <c r="EV62" s="95">
        <f>IF(AP62="",10,MIN(VLOOKUP(D62,Tables!$B$3:$N$34,13,FALSE()),'Item Builder'!$W62))</f>
        <v>10</v>
      </c>
      <c r="EW62" s="95">
        <f>IF(AQ62="",10,MIN(VLOOKUP(E62,Tables!$B$3:$N$34,13,FALSE()),'Item Builder'!$W62))</f>
        <v>10</v>
      </c>
      <c r="EX62" s="95">
        <f>IF(AR62="",10,MIN(VLOOKUP(F62,Tables!$B$3:$N$34,13,FALSE()),'Item Builder'!$W62))</f>
        <v>10</v>
      </c>
      <c r="EY62" s="95">
        <f>IF(AS62="",10,MIN(VLOOKUP(G62,Tables!$B$3:$N$34,13,FALSE()),'Item Builder'!$W62))</f>
        <v>0</v>
      </c>
      <c r="EZ62" s="95">
        <f>IF(AT62="",10,MIN(VLOOKUP(H62,Tables!$B$3:$N$34,13,FALSE()),'Item Builder'!$W62))</f>
        <v>10</v>
      </c>
      <c r="FA62" s="95">
        <f>IF(AU62="",10,MIN(VLOOKUP(I62,Tables!$B$3:$N$34,13,FALSE()),'Item Builder'!$W62))</f>
        <v>10</v>
      </c>
      <c r="FB62" s="95">
        <f>IF(AV62="",10,MIN(VLOOKUP(J62,Tables!$B$3:$N$34,13,FALSE()),'Item Builder'!$W62))</f>
        <v>10</v>
      </c>
      <c r="FC62" s="95">
        <f>IF(AW62="",10,MIN(VLOOKUP(K62,Tables!$B$3:$N$34,13,FALSE()),'Item Builder'!$W62))</f>
        <v>10</v>
      </c>
      <c r="FD62" s="95">
        <f>IF(AX62="",10,MIN(VLOOKUP(L62,Tables!$B$3:$N$34,13,FALSE()),'Item Builder'!$W62))</f>
        <v>10</v>
      </c>
      <c r="FE62" s="95">
        <f>IF(AY62="",10,MIN(VLOOKUP(M62,Tables!$B$3:$N$34,13,FALSE()),'Item Builder'!$W62))</f>
        <v>10</v>
      </c>
      <c r="FF62" s="95">
        <f>IF(AZ62="",10,MIN(VLOOKUP(N62,Tables!$B$3:$N$34,13,FALSE()),'Item Builder'!$W62))</f>
        <v>10</v>
      </c>
      <c r="FG62" s="95">
        <f>IF(BA62="",10,MIN(VLOOKUP(O62,Tables!$B$3:$N$34,13,FALSE()),'Item Builder'!$W62))</f>
        <v>10</v>
      </c>
      <c r="FH62" s="98">
        <f>IF(BB62="",10,MIN(VLOOKUP(P62,Tables!$B$3:$N$34,13,FALSE()),'Item Builder'!$W62))</f>
        <v>10</v>
      </c>
    </row>
    <row r="63" spans="1:164" x14ac:dyDescent="0.25">
      <c r="A63" s="67" t="s">
        <v>223</v>
      </c>
      <c r="B63" s="68"/>
      <c r="C63" s="69"/>
      <c r="D63" s="70"/>
      <c r="E63" s="68"/>
      <c r="F63" s="69"/>
      <c r="G63" s="69"/>
      <c r="H63" s="69" t="s">
        <v>106</v>
      </c>
      <c r="I63" s="70"/>
      <c r="J63" s="68"/>
      <c r="K63" s="69"/>
      <c r="L63" s="70"/>
      <c r="M63" s="68"/>
      <c r="N63" s="69"/>
      <c r="O63" s="69"/>
      <c r="P63" s="71"/>
      <c r="Q63" s="72">
        <f>SUM(BV63:CJ63)*VLOOKUP(W63,Tables!$W$3:$Z$8,4)</f>
        <v>25</v>
      </c>
      <c r="R63" s="73">
        <f t="shared" si="0"/>
        <v>1.9000000000000001</v>
      </c>
      <c r="S63" s="74">
        <f t="shared" si="1"/>
        <v>0</v>
      </c>
      <c r="T63" s="74">
        <f t="shared" si="2"/>
        <v>0</v>
      </c>
      <c r="U63" s="75">
        <f t="shared" si="3"/>
        <v>40</v>
      </c>
      <c r="V63" s="76">
        <f t="shared" si="4"/>
        <v>10</v>
      </c>
      <c r="W63" s="77">
        <v>0</v>
      </c>
      <c r="X63" s="78">
        <f t="shared" si="5"/>
        <v>0</v>
      </c>
      <c r="Y63" s="79">
        <f t="shared" si="6"/>
        <v>0</v>
      </c>
      <c r="Z63" s="79">
        <f t="shared" si="7"/>
        <v>0</v>
      </c>
      <c r="AA63" s="78">
        <f t="shared" si="8"/>
        <v>0</v>
      </c>
      <c r="AB63" s="79">
        <f t="shared" si="9"/>
        <v>0</v>
      </c>
      <c r="AC63" s="79">
        <f t="shared" si="10"/>
        <v>0</v>
      </c>
      <c r="AD63" s="79">
        <f t="shared" si="11"/>
        <v>1</v>
      </c>
      <c r="AE63" s="79">
        <f t="shared" si="12"/>
        <v>0</v>
      </c>
      <c r="AF63" s="78">
        <f t="shared" si="13"/>
        <v>0</v>
      </c>
      <c r="AG63" s="79">
        <f t="shared" si="14"/>
        <v>0</v>
      </c>
      <c r="AH63" s="79">
        <f t="shared" si="15"/>
        <v>0</v>
      </c>
      <c r="AI63" s="78">
        <f t="shared" si="16"/>
        <v>0</v>
      </c>
      <c r="AJ63" s="79">
        <f t="shared" si="17"/>
        <v>0</v>
      </c>
      <c r="AK63" s="79">
        <f t="shared" si="18"/>
        <v>0</v>
      </c>
      <c r="AL63" s="80">
        <f t="shared" si="19"/>
        <v>0</v>
      </c>
      <c r="AM63" s="81">
        <f t="shared" si="20"/>
        <v>0.05</v>
      </c>
      <c r="AN63" s="82" t="str">
        <f t="shared" si="21"/>
        <v/>
      </c>
      <c r="AO63" s="79" t="str">
        <f t="shared" si="22"/>
        <v/>
      </c>
      <c r="AP63" t="str">
        <f t="shared" si="23"/>
        <v/>
      </c>
      <c r="AQ63" s="82" t="str">
        <f t="shared" si="24"/>
        <v/>
      </c>
      <c r="AR63" t="str">
        <f t="shared" si="25"/>
        <v/>
      </c>
      <c r="AS63" t="str">
        <f t="shared" si="26"/>
        <v/>
      </c>
      <c r="AT63" t="str">
        <f t="shared" si="27"/>
        <v>K</v>
      </c>
      <c r="AU63" t="str">
        <f t="shared" si="28"/>
        <v/>
      </c>
      <c r="AV63" s="82" t="str">
        <f t="shared" si="29"/>
        <v/>
      </c>
      <c r="AW63" t="str">
        <f t="shared" si="30"/>
        <v/>
      </c>
      <c r="AX63" t="str">
        <f t="shared" si="31"/>
        <v/>
      </c>
      <c r="AY63" s="82" t="str">
        <f t="shared" si="32"/>
        <v/>
      </c>
      <c r="AZ63" t="str">
        <f t="shared" si="33"/>
        <v/>
      </c>
      <c r="BA63" t="str">
        <f t="shared" si="34"/>
        <v/>
      </c>
      <c r="BB63" s="83" t="str">
        <f t="shared" si="35"/>
        <v/>
      </c>
      <c r="BC63" s="84">
        <f t="shared" si="36"/>
        <v>0</v>
      </c>
      <c r="BD63" s="84">
        <f t="shared" si="37"/>
        <v>0.23809523809523808</v>
      </c>
      <c r="BE63" s="84">
        <f t="shared" si="38"/>
        <v>0</v>
      </c>
      <c r="BF63" s="84">
        <f t="shared" si="39"/>
        <v>0</v>
      </c>
      <c r="BG63" s="78">
        <f>IF(AN63="",0,VLOOKUP(AN63,Tables!$AB$3:$AC$12,2))</f>
        <v>0</v>
      </c>
      <c r="BH63" s="79">
        <f>IF(AO63="",0,VLOOKUP(AO63,Tables!$AB$3:$AC$12,2))</f>
        <v>0</v>
      </c>
      <c r="BI63" s="79">
        <f>IF(AP63="",0,VLOOKUP(AP63,Tables!$AB$3:$AC$12,2))</f>
        <v>0</v>
      </c>
      <c r="BJ63" s="78">
        <f>IF(AQ63="",0,VLOOKUP(AQ63,Tables!$AB$3:$AC$12,2))</f>
        <v>0</v>
      </c>
      <c r="BK63" s="79">
        <f>IF(AR63="",0,VLOOKUP(AR63,Tables!$AB$3:$AC$12,2))</f>
        <v>0</v>
      </c>
      <c r="BL63" s="79">
        <f>IF(AS63="",0,VLOOKUP(AS63,Tables!$AB$3:$AC$12,2))</f>
        <v>0</v>
      </c>
      <c r="BM63" s="79">
        <f>IF(AT63="",0,VLOOKUP(AT63,Tables!$AB$3:$AC$12,2))</f>
        <v>1</v>
      </c>
      <c r="BN63" s="79">
        <f>IF(AU63="",0,VLOOKUP(AU63,Tables!$AB$3:$AC$12,2))</f>
        <v>0</v>
      </c>
      <c r="BO63" s="78">
        <f>IF(AV63="",0,VLOOKUP(AV63,Tables!$AB$3:$AC$12,2))</f>
        <v>0</v>
      </c>
      <c r="BP63" s="79">
        <f>IF(AW63="",0,VLOOKUP(AW63,Tables!$AB$3:$AC$12,2))</f>
        <v>0</v>
      </c>
      <c r="BQ63" s="79">
        <f>IF(AX63="",0,VLOOKUP(AX63,Tables!$AB$3:$AC$12,2))</f>
        <v>0</v>
      </c>
      <c r="BR63" s="78">
        <f>IF(AY63="",0,VLOOKUP(AY63,Tables!$AB$3:$AC$12,2))</f>
        <v>0</v>
      </c>
      <c r="BS63" s="79">
        <f>IF(AZ63="",0,VLOOKUP(AZ63,Tables!$AB$3:$AC$12,2))</f>
        <v>0</v>
      </c>
      <c r="BT63" s="79">
        <f>IF(BA63="",0,VLOOKUP(BA63,Tables!$AB$3:$AC$12,2))</f>
        <v>0</v>
      </c>
      <c r="BU63" s="80">
        <f>IF(BB63="",0,VLOOKUP(BB63,Tables!$AB$3:$AC$12,2))</f>
        <v>0</v>
      </c>
      <c r="BV63" s="85">
        <f>IF(AN63="",0,VLOOKUP(B63,Tables!$B$3:$D$36,2,FALSE())*X$1)</f>
        <v>0</v>
      </c>
      <c r="BW63" s="72">
        <f>IF(AO63="",0,VLOOKUP(C63,Tables!$B$3:$D$36,2,FALSE())*Y$1)</f>
        <v>0</v>
      </c>
      <c r="BX63" s="72">
        <f>IF(AP63="",0,VLOOKUP(D63,Tables!$B$3:$D$36,2,FALSE())*Z$1)</f>
        <v>0</v>
      </c>
      <c r="BY63" s="85">
        <f>IF(AQ63="",0,VLOOKUP(E63,Tables!$B$3:$D$36,2,FALSE())*AA$1)</f>
        <v>0</v>
      </c>
      <c r="BZ63" s="72">
        <f>IF(AR63="",0,VLOOKUP(F63,Tables!$B$3:$D$36,2,FALSE())*AB$1)</f>
        <v>0</v>
      </c>
      <c r="CA63" s="72">
        <f>IF(AS63="",0,VLOOKUP(G63,Tables!$B$3:$D$36,2,FALSE())*AC$1)</f>
        <v>0</v>
      </c>
      <c r="CB63" s="72">
        <f>IF(AT63="",0,VLOOKUP(H63,Tables!$B$3:$D$36,2,FALSE())*AD$1)</f>
        <v>25</v>
      </c>
      <c r="CC63" s="72">
        <f>IF(AU63="",0,VLOOKUP(I63,Tables!$B$3:$D$36,2,FALSE())*AE$1)</f>
        <v>0</v>
      </c>
      <c r="CD63" s="85">
        <f>IF(AV63="",0,VLOOKUP(J63,Tables!$B$3:$D$36,2,FALSE())*AF$1)</f>
        <v>0</v>
      </c>
      <c r="CE63" s="72">
        <f>IF(AW63="",0,VLOOKUP(K63,Tables!$B$3:$D$36,2,FALSE())*AG$1)</f>
        <v>0</v>
      </c>
      <c r="CF63" s="72">
        <f>IF(AX63="",0,VLOOKUP(L63,Tables!$B$3:$D$36,2,FALSE())*AH$1)</f>
        <v>0</v>
      </c>
      <c r="CG63" s="85">
        <f>IF(AY63="",0,VLOOKUP(M63,Tables!$B$3:$D$36,2,FALSE())*AI$1)</f>
        <v>0</v>
      </c>
      <c r="CH63" s="72">
        <f>IF(AZ63="",0,VLOOKUP(N63,Tables!$B$3:$D$36,2,FALSE())*AJ$1)</f>
        <v>0</v>
      </c>
      <c r="CI63" s="72">
        <f>IF(BA63="",0,VLOOKUP(O63,Tables!$B$3:$D$36,2,FALSE())*AK$1)</f>
        <v>0</v>
      </c>
      <c r="CJ63" s="86">
        <f>IF(BB63="",0,VLOOKUP(P63,Tables!$B$3:$D$36,2,FALSE())*AL$1)</f>
        <v>0</v>
      </c>
      <c r="CK63" s="87">
        <f>IF(AN63="",0,VLOOKUP(B63,Tables!$B$3:$D$36,3,FALSE())*X$1)*IF(OR(AN63="K",AN63="P"),2,1)</f>
        <v>0</v>
      </c>
      <c r="CL63" s="73">
        <f>IF(AO63="",0,VLOOKUP(C63,Tables!$B$3:$D$36,3,FALSE())*Y$1)*IF(OR(AO63="K",AO63="P"),2,1)</f>
        <v>0</v>
      </c>
      <c r="CM63" s="73">
        <f>IF(AP63="",0,VLOOKUP(D63,Tables!$B$3:$D$36,3,FALSE())*Z$1)*IF(OR(AP63="K",AP63="P"),2,1)</f>
        <v>0</v>
      </c>
      <c r="CN63" s="87">
        <f>IF(AQ63="",0,VLOOKUP(E63,Tables!$B$3:$D$36,3,FALSE())*AA$1)</f>
        <v>0</v>
      </c>
      <c r="CO63" s="73">
        <f>IF(AR63="",0,VLOOKUP(F63,Tables!$B$3:$D$36,3,FALSE())*AB$1)</f>
        <v>0</v>
      </c>
      <c r="CP63" s="73">
        <f>IF(AS63="",0,VLOOKUP(G63,Tables!$B$3:$D$36,3,FALSE())*AC$1)</f>
        <v>0</v>
      </c>
      <c r="CQ63" s="73">
        <f>IF(AT63="",0,VLOOKUP(H63,Tables!$B$3:$D$36,3,FALSE())*AD$1)</f>
        <v>1.9000000000000001</v>
      </c>
      <c r="CR63" s="73">
        <f>IF(AU63="",0,VLOOKUP(I63,Tables!$B$3:$D$36,3,FALSE())*AE$1)</f>
        <v>0</v>
      </c>
      <c r="CS63" s="87">
        <f>IF(AV63="",0,VLOOKUP(J63,Tables!$B$3:$D$36,3,FALSE())*AF$1)</f>
        <v>0</v>
      </c>
      <c r="CT63" s="73">
        <f>IF(AW63="",0,VLOOKUP(K63,Tables!$B$3:$D$36,3,FALSE())*AG$1)</f>
        <v>0</v>
      </c>
      <c r="CU63" s="73">
        <f>IF(AX63="",0,VLOOKUP(L63,Tables!$B$3:$D$36,3,FALSE())*AH$1)</f>
        <v>0</v>
      </c>
      <c r="CV63" s="87">
        <f>IF(AY63="",0,VLOOKUP(M63,Tables!$B$3:$D$36,3,FALSE())*AI$1)</f>
        <v>0</v>
      </c>
      <c r="CW63" s="73">
        <f>IF(AZ63="",0,VLOOKUP(N63,Tables!$B$3:$D$36,3,FALSE())*AJ$1)</f>
        <v>0</v>
      </c>
      <c r="CX63" s="73">
        <f>IF(BA63="",0,VLOOKUP(O63,Tables!$B$3:$D$36,3,FALSE())*AK$1)</f>
        <v>0</v>
      </c>
      <c r="CY63" s="88">
        <f>IF(BB63="",0,VLOOKUP(P63,Tables!$B$3:$D$36,3,FALSE())*AL$1)</f>
        <v>0</v>
      </c>
      <c r="CZ63" s="89">
        <f t="shared" si="40"/>
        <v>0</v>
      </c>
      <c r="DA63" s="75">
        <f t="shared" si="41"/>
        <v>0</v>
      </c>
      <c r="DB63" s="75">
        <f t="shared" si="42"/>
        <v>0</v>
      </c>
      <c r="DC63" s="89">
        <f t="shared" si="43"/>
        <v>0</v>
      </c>
      <c r="DD63" s="75">
        <f t="shared" si="44"/>
        <v>0</v>
      </c>
      <c r="DE63" s="75">
        <f t="shared" si="45"/>
        <v>0</v>
      </c>
      <c r="DF63" s="75">
        <f t="shared" si="46"/>
        <v>1.5</v>
      </c>
      <c r="DG63" s="75">
        <f t="shared" si="47"/>
        <v>0</v>
      </c>
      <c r="DH63" s="89">
        <f t="shared" si="48"/>
        <v>0</v>
      </c>
      <c r="DI63" s="75">
        <f t="shared" si="49"/>
        <v>0</v>
      </c>
      <c r="DJ63" s="75">
        <f t="shared" si="50"/>
        <v>0</v>
      </c>
      <c r="DK63" s="89">
        <f t="shared" si="51"/>
        <v>0</v>
      </c>
      <c r="DL63" s="75">
        <f t="shared" si="52"/>
        <v>0</v>
      </c>
      <c r="DM63" s="75">
        <f t="shared" si="53"/>
        <v>0</v>
      </c>
      <c r="DN63" s="90">
        <f t="shared" si="54"/>
        <v>0</v>
      </c>
      <c r="DO63" s="91">
        <f>IF(AN63="",0,VLOOKUP(B63,Tables!$B$3:$M$36,11,FALSE())*X$1)</f>
        <v>0</v>
      </c>
      <c r="DP63" s="92">
        <f>IF(AO63="",0,VLOOKUP(C63,Tables!$B$3:$M$36,11,FALSE())*Y$1)</f>
        <v>0</v>
      </c>
      <c r="DQ63" s="92">
        <f>IF(AP63="",0,VLOOKUP(D63,Tables!$B$3:$M$36,11,FALSE())*Z$1)</f>
        <v>0</v>
      </c>
      <c r="DR63" s="91">
        <f>IF(AQ63="",0,VLOOKUP(E63,Tables!$B$3:$M$36,11,FALSE())*AA$1)</f>
        <v>0</v>
      </c>
      <c r="DS63" s="92">
        <f>IF(AR63="",0,VLOOKUP(F63,Tables!$B$3:$M$36,11,FALSE())*AB$1)</f>
        <v>0</v>
      </c>
      <c r="DT63" s="92">
        <f>IF(AS63="",0,VLOOKUP(G63,Tables!$B$3:$M$36,11,FALSE())*AC$1)</f>
        <v>0</v>
      </c>
      <c r="DU63" s="92">
        <f>IF(AT63="",0,VLOOKUP(H63,Tables!$B$3:$M$36,11,FALSE())*AD$1)</f>
        <v>40</v>
      </c>
      <c r="DV63" s="92">
        <f>IF(AU63="",0,VLOOKUP(I63,Tables!$B$3:$M$36,11,FALSE())*AE$1)</f>
        <v>0</v>
      </c>
      <c r="DW63" s="91">
        <f>IF(AV63="",0,VLOOKUP(J63,Tables!$B$3:$M$36,11,FALSE())*AF$1)</f>
        <v>0</v>
      </c>
      <c r="DX63" s="92">
        <f>IF(AW63="",0,VLOOKUP(K63,Tables!$B$3:$M$36,11,FALSE())*AG$1)</f>
        <v>0</v>
      </c>
      <c r="DY63" s="92">
        <f>IF(AX63="",0,VLOOKUP(L63,Tables!$B$3:$M$36,11,FALSE())*AH$1)</f>
        <v>0</v>
      </c>
      <c r="DZ63" s="91">
        <f>IF(AY63="",0,VLOOKUP(M63,Tables!$B$3:$M$36,11,FALSE())*AI$1)</f>
        <v>0</v>
      </c>
      <c r="EA63" s="92">
        <f>IF(AZ63="",0,VLOOKUP(N63,Tables!$B$3:$M$36,11,FALSE())*AJ$1)</f>
        <v>0</v>
      </c>
      <c r="EB63" s="92">
        <f>IF(BA63="",0,VLOOKUP(O63,Tables!$B$3:$M$36,11,FALSE())*AK$1)</f>
        <v>0</v>
      </c>
      <c r="EC63" s="93">
        <f>IF(BB63="",0,VLOOKUP(P63,Tables!$B$3:$M$36,11,FALSE())*AL$1)</f>
        <v>0</v>
      </c>
      <c r="ED63" s="91">
        <f>IF(AN63="",0,VLOOKUP(B63,Tables!$B$3:$M$36,12,FALSE())*X$1)</f>
        <v>0</v>
      </c>
      <c r="EE63" s="92">
        <f>IF(AO63="",0,VLOOKUP(C63,Tables!$B$3:$M$36,12,FALSE())*Y$1)</f>
        <v>0</v>
      </c>
      <c r="EF63" s="92">
        <f>IF(AP63="",0,VLOOKUP(D63,Tables!$B$3:$M$36,12,FALSE())*Z$1)</f>
        <v>0</v>
      </c>
      <c r="EG63" s="91">
        <f>IF(AQ63="",0,VLOOKUP(E63,Tables!$B$3:$M$36,12,FALSE())*AA$1)</f>
        <v>0</v>
      </c>
      <c r="EH63" s="92">
        <f>IF(AR63="",0,VLOOKUP(F63,Tables!$B$3:$M$36,12,FALSE())*AB$1)</f>
        <v>0</v>
      </c>
      <c r="EI63" s="92">
        <f>IF(AS63="",0,VLOOKUP(G63,Tables!$B$3:$M$36,12,FALSE())*AC$1)</f>
        <v>0</v>
      </c>
      <c r="EJ63" s="92">
        <f>IF(AT63="",0,VLOOKUP(H63,Tables!$B$3:$M$36,12,FALSE())*AD$1)</f>
        <v>10</v>
      </c>
      <c r="EK63" s="92">
        <f>IF(AU63="",0,VLOOKUP(I63,Tables!$B$3:$M$36,12,FALSE())*AE$1)</f>
        <v>0</v>
      </c>
      <c r="EL63" s="91">
        <f>IF(AV63="",0,VLOOKUP(J63,Tables!$B$3:$M$36,12,FALSE())*AF$1)</f>
        <v>0</v>
      </c>
      <c r="EM63" s="92">
        <f>IF(AW63="",0,VLOOKUP(K63,Tables!$B$3:$M$36,12,FALSE())*AG$1)</f>
        <v>0</v>
      </c>
      <c r="EN63" s="92">
        <f>IF(AX63="",0,VLOOKUP(L63,Tables!$B$3:$M$36,12,FALSE())*AH$1)</f>
        <v>0</v>
      </c>
      <c r="EO63" s="91">
        <f>IF(AY63="",0,VLOOKUP(M63,Tables!$B$3:$M$36,12,FALSE())*AI$1)</f>
        <v>0</v>
      </c>
      <c r="EP63" s="92">
        <f>IF(AZ63="",0,VLOOKUP(N63,Tables!$B$3:$M$36,12,FALSE())*AJ$1)</f>
        <v>0</v>
      </c>
      <c r="EQ63" s="92">
        <f>IF(BA63="",0,VLOOKUP(O63,Tables!$B$3:$M$36,12,FALSE())*AK$1)</f>
        <v>0</v>
      </c>
      <c r="ER63" s="93">
        <f>IF(BB63="",0,VLOOKUP(P63,Tables!$B$3:$M$36,12,FALSE())*AL$1)</f>
        <v>0</v>
      </c>
      <c r="ES63" s="94">
        <f t="shared" si="55"/>
        <v>0</v>
      </c>
      <c r="ET63" s="95">
        <f>IF(AN63="",10,MIN(VLOOKUP(B63,Tables!$B$3:$N$34,13,FALSE()),'Item Builder'!$W63))</f>
        <v>10</v>
      </c>
      <c r="EU63" s="95">
        <f>IF(AO63="",10,MIN(VLOOKUP(C63,Tables!$B$3:$N$34,13,FALSE()),'Item Builder'!$W63))</f>
        <v>10</v>
      </c>
      <c r="EV63" s="95">
        <f>IF(AP63="",10,MIN(VLOOKUP(D63,Tables!$B$3:$N$34,13,FALSE()),'Item Builder'!$W63))</f>
        <v>10</v>
      </c>
      <c r="EW63" s="95">
        <f>IF(AQ63="",10,MIN(VLOOKUP(E63,Tables!$B$3:$N$34,13,FALSE()),'Item Builder'!$W63))</f>
        <v>10</v>
      </c>
      <c r="EX63" s="95">
        <f>IF(AR63="",10,MIN(VLOOKUP(F63,Tables!$B$3:$N$34,13,FALSE()),'Item Builder'!$W63))</f>
        <v>10</v>
      </c>
      <c r="EY63" s="95">
        <f>IF(AS63="",10,MIN(VLOOKUP(G63,Tables!$B$3:$N$34,13,FALSE()),'Item Builder'!$W63))</f>
        <v>10</v>
      </c>
      <c r="EZ63" s="95">
        <f>IF(AT63="",10,MIN(VLOOKUP(H63,Tables!$B$3:$N$34,13,FALSE()),'Item Builder'!$W63))</f>
        <v>0</v>
      </c>
      <c r="FA63" s="95">
        <f>IF(AU63="",10,MIN(VLOOKUP(I63,Tables!$B$3:$N$34,13,FALSE()),'Item Builder'!$W63))</f>
        <v>10</v>
      </c>
      <c r="FB63" s="95">
        <f>IF(AV63="",10,MIN(VLOOKUP(J63,Tables!$B$3:$N$34,13,FALSE()),'Item Builder'!$W63))</f>
        <v>10</v>
      </c>
      <c r="FC63" s="95">
        <f>IF(AW63="",10,MIN(VLOOKUP(K63,Tables!$B$3:$N$34,13,FALSE()),'Item Builder'!$W63))</f>
        <v>10</v>
      </c>
      <c r="FD63" s="95">
        <f>IF(AX63="",10,MIN(VLOOKUP(L63,Tables!$B$3:$N$34,13,FALSE()),'Item Builder'!$W63))</f>
        <v>10</v>
      </c>
      <c r="FE63" s="95">
        <f>IF(AY63="",10,MIN(VLOOKUP(M63,Tables!$B$3:$N$34,13,FALSE()),'Item Builder'!$W63))</f>
        <v>10</v>
      </c>
      <c r="FF63" s="95">
        <f>IF(AZ63="",10,MIN(VLOOKUP(N63,Tables!$B$3:$N$34,13,FALSE()),'Item Builder'!$W63))</f>
        <v>10</v>
      </c>
      <c r="FG63" s="95">
        <f>IF(BA63="",10,MIN(VLOOKUP(O63,Tables!$B$3:$N$34,13,FALSE()),'Item Builder'!$W63))</f>
        <v>10</v>
      </c>
      <c r="FH63" s="98">
        <f>IF(BB63="",10,MIN(VLOOKUP(P63,Tables!$B$3:$N$34,13,FALSE()),'Item Builder'!$W63))</f>
        <v>10</v>
      </c>
    </row>
    <row r="64" spans="1:164" x14ac:dyDescent="0.25">
      <c r="A64" s="67" t="s">
        <v>6</v>
      </c>
      <c r="B64" s="68"/>
      <c r="C64" s="69"/>
      <c r="D64" s="70"/>
      <c r="E64" s="68"/>
      <c r="F64" s="69"/>
      <c r="G64" s="69"/>
      <c r="H64" s="69"/>
      <c r="I64" s="70"/>
      <c r="J64" s="68" t="s">
        <v>106</v>
      </c>
      <c r="K64" s="69" t="s">
        <v>106</v>
      </c>
      <c r="L64" s="70"/>
      <c r="M64" s="68"/>
      <c r="N64" s="69"/>
      <c r="O64" s="69"/>
      <c r="P64" s="71"/>
      <c r="Q64" s="72">
        <f>SUM(BV64:CJ64)*VLOOKUP(W64,Tables!$W$3:$Z$8,4)</f>
        <v>120</v>
      </c>
      <c r="R64" s="73">
        <f t="shared" si="0"/>
        <v>9.1199999999999992</v>
      </c>
      <c r="S64" s="101">
        <f t="shared" si="1"/>
        <v>5</v>
      </c>
      <c r="T64" s="74">
        <f t="shared" si="2"/>
        <v>0</v>
      </c>
      <c r="U64" s="75">
        <f t="shared" si="3"/>
        <v>192</v>
      </c>
      <c r="V64" s="76">
        <f t="shared" si="4"/>
        <v>48</v>
      </c>
      <c r="W64" s="77">
        <v>0</v>
      </c>
      <c r="X64" s="78">
        <f t="shared" si="5"/>
        <v>0</v>
      </c>
      <c r="Y64" s="79">
        <f t="shared" si="6"/>
        <v>0</v>
      </c>
      <c r="Z64" s="79">
        <f t="shared" si="7"/>
        <v>0</v>
      </c>
      <c r="AA64" s="78">
        <f t="shared" si="8"/>
        <v>0</v>
      </c>
      <c r="AB64" s="79">
        <f t="shared" si="9"/>
        <v>0</v>
      </c>
      <c r="AC64" s="79">
        <f t="shared" si="10"/>
        <v>0</v>
      </c>
      <c r="AD64" s="79">
        <f t="shared" si="11"/>
        <v>0</v>
      </c>
      <c r="AE64" s="79">
        <f t="shared" si="12"/>
        <v>0</v>
      </c>
      <c r="AF64" s="78">
        <f t="shared" si="13"/>
        <v>1</v>
      </c>
      <c r="AG64" s="79">
        <f t="shared" si="14"/>
        <v>1</v>
      </c>
      <c r="AH64" s="79">
        <f t="shared" si="15"/>
        <v>0</v>
      </c>
      <c r="AI64" s="78">
        <f t="shared" si="16"/>
        <v>0</v>
      </c>
      <c r="AJ64" s="79">
        <f t="shared" si="17"/>
        <v>0</v>
      </c>
      <c r="AK64" s="79">
        <f t="shared" si="18"/>
        <v>0</v>
      </c>
      <c r="AL64" s="80">
        <f t="shared" si="19"/>
        <v>0</v>
      </c>
      <c r="AM64" s="81">
        <f t="shared" si="20"/>
        <v>0.24</v>
      </c>
      <c r="AN64" s="82" t="str">
        <f t="shared" si="21"/>
        <v/>
      </c>
      <c r="AO64" s="79" t="str">
        <f t="shared" si="22"/>
        <v/>
      </c>
      <c r="AP64" t="str">
        <f t="shared" si="23"/>
        <v/>
      </c>
      <c r="AQ64" s="82" t="str">
        <f t="shared" si="24"/>
        <v/>
      </c>
      <c r="AR64" t="str">
        <f t="shared" si="25"/>
        <v/>
      </c>
      <c r="AS64" t="str">
        <f t="shared" si="26"/>
        <v/>
      </c>
      <c r="AT64" t="str">
        <f t="shared" si="27"/>
        <v/>
      </c>
      <c r="AU64" t="str">
        <f t="shared" si="28"/>
        <v/>
      </c>
      <c r="AV64" s="82" t="str">
        <f t="shared" si="29"/>
        <v>K</v>
      </c>
      <c r="AW64" t="str">
        <f t="shared" si="30"/>
        <v>K</v>
      </c>
      <c r="AX64" t="str">
        <f t="shared" si="31"/>
        <v/>
      </c>
      <c r="AY64" s="82" t="str">
        <f t="shared" si="32"/>
        <v/>
      </c>
      <c r="AZ64" t="str">
        <f t="shared" si="33"/>
        <v/>
      </c>
      <c r="BA64" t="str">
        <f t="shared" si="34"/>
        <v/>
      </c>
      <c r="BB64" s="83" t="str">
        <f t="shared" si="35"/>
        <v/>
      </c>
      <c r="BC64" s="84">
        <f t="shared" si="36"/>
        <v>0</v>
      </c>
      <c r="BD64" s="84">
        <f t="shared" si="37"/>
        <v>0</v>
      </c>
      <c r="BE64" s="84">
        <f t="shared" si="38"/>
        <v>0.70588235294117652</v>
      </c>
      <c r="BF64" s="84">
        <f t="shared" si="39"/>
        <v>0</v>
      </c>
      <c r="BG64" s="78">
        <f>IF(AN64="",0,VLOOKUP(AN64,Tables!$AB$3:$AC$12,2))</f>
        <v>0</v>
      </c>
      <c r="BH64" s="79">
        <f>IF(AO64="",0,VLOOKUP(AO64,Tables!$AB$3:$AC$12,2))</f>
        <v>0</v>
      </c>
      <c r="BI64" s="79">
        <f>IF(AP64="",0,VLOOKUP(AP64,Tables!$AB$3:$AC$12,2))</f>
        <v>0</v>
      </c>
      <c r="BJ64" s="78">
        <f>IF(AQ64="",0,VLOOKUP(AQ64,Tables!$AB$3:$AC$12,2))</f>
        <v>0</v>
      </c>
      <c r="BK64" s="79">
        <f>IF(AR64="",0,VLOOKUP(AR64,Tables!$AB$3:$AC$12,2))</f>
        <v>0</v>
      </c>
      <c r="BL64" s="79">
        <f>IF(AS64="",0,VLOOKUP(AS64,Tables!$AB$3:$AC$12,2))</f>
        <v>0</v>
      </c>
      <c r="BM64" s="79">
        <f>IF(AT64="",0,VLOOKUP(AT64,Tables!$AB$3:$AC$12,2))</f>
        <v>0</v>
      </c>
      <c r="BN64" s="79">
        <f>IF(AU64="",0,VLOOKUP(AU64,Tables!$AB$3:$AC$12,2))</f>
        <v>0</v>
      </c>
      <c r="BO64" s="78">
        <f>IF(AV64="",0,VLOOKUP(AV64,Tables!$AB$3:$AC$12,2))</f>
        <v>1</v>
      </c>
      <c r="BP64" s="79">
        <f>IF(AW64="",0,VLOOKUP(AW64,Tables!$AB$3:$AC$12,2))</f>
        <v>1</v>
      </c>
      <c r="BQ64" s="79">
        <f>IF(AX64="",0,VLOOKUP(AX64,Tables!$AB$3:$AC$12,2))</f>
        <v>0</v>
      </c>
      <c r="BR64" s="78">
        <f>IF(AY64="",0,VLOOKUP(AY64,Tables!$AB$3:$AC$12,2))</f>
        <v>0</v>
      </c>
      <c r="BS64" s="79">
        <f>IF(AZ64="",0,VLOOKUP(AZ64,Tables!$AB$3:$AC$12,2))</f>
        <v>0</v>
      </c>
      <c r="BT64" s="79">
        <f>IF(BA64="",0,VLOOKUP(BA64,Tables!$AB$3:$AC$12,2))</f>
        <v>0</v>
      </c>
      <c r="BU64" s="80">
        <f>IF(BB64="",0,VLOOKUP(BB64,Tables!$AB$3:$AC$12,2))</f>
        <v>0</v>
      </c>
      <c r="BV64" s="85">
        <f>IF(AN64="",0,VLOOKUP(B64,Tables!$B$3:$D$36,2,FALSE())*X$1)</f>
        <v>0</v>
      </c>
      <c r="BW64" s="72">
        <f>IF(AO64="",0,VLOOKUP(C64,Tables!$B$3:$D$36,2,FALSE())*Y$1)</f>
        <v>0</v>
      </c>
      <c r="BX64" s="72">
        <f>IF(AP64="",0,VLOOKUP(D64,Tables!$B$3:$D$36,2,FALSE())*Z$1)</f>
        <v>0</v>
      </c>
      <c r="BY64" s="85">
        <f>IF(AQ64="",0,VLOOKUP(E64,Tables!$B$3:$D$36,2,FALSE())*AA$1)</f>
        <v>0</v>
      </c>
      <c r="BZ64" s="72">
        <f>IF(AR64="",0,VLOOKUP(F64,Tables!$B$3:$D$36,2,FALSE())*AB$1)</f>
        <v>0</v>
      </c>
      <c r="CA64" s="72">
        <f>IF(AS64="",0,VLOOKUP(G64,Tables!$B$3:$D$36,2,FALSE())*AC$1)</f>
        <v>0</v>
      </c>
      <c r="CB64" s="72">
        <f>IF(AT64="",0,VLOOKUP(H64,Tables!$B$3:$D$36,2,FALSE())*AD$1)</f>
        <v>0</v>
      </c>
      <c r="CC64" s="72">
        <f>IF(AU64="",0,VLOOKUP(I64,Tables!$B$3:$D$36,2,FALSE())*AE$1)</f>
        <v>0</v>
      </c>
      <c r="CD64" s="85">
        <f>IF(AV64="",0,VLOOKUP(J64,Tables!$B$3:$D$36,2,FALSE())*AF$1)</f>
        <v>60</v>
      </c>
      <c r="CE64" s="72">
        <f>IF(AW64="",0,VLOOKUP(K64,Tables!$B$3:$D$36,2,FALSE())*AG$1)</f>
        <v>60</v>
      </c>
      <c r="CF64" s="72">
        <f>IF(AX64="",0,VLOOKUP(L64,Tables!$B$3:$D$36,2,FALSE())*AH$1)</f>
        <v>0</v>
      </c>
      <c r="CG64" s="85">
        <f>IF(AY64="",0,VLOOKUP(M64,Tables!$B$3:$D$36,2,FALSE())*AI$1)</f>
        <v>0</v>
      </c>
      <c r="CH64" s="72">
        <f>IF(AZ64="",0,VLOOKUP(N64,Tables!$B$3:$D$36,2,FALSE())*AJ$1)</f>
        <v>0</v>
      </c>
      <c r="CI64" s="72">
        <f>IF(BA64="",0,VLOOKUP(O64,Tables!$B$3:$D$36,2,FALSE())*AK$1)</f>
        <v>0</v>
      </c>
      <c r="CJ64" s="86">
        <f>IF(BB64="",0,VLOOKUP(P64,Tables!$B$3:$D$36,2,FALSE())*AL$1)</f>
        <v>0</v>
      </c>
      <c r="CK64" s="87">
        <f>IF(AN64="",0,VLOOKUP(B64,Tables!$B$3:$D$36,3,FALSE())*X$1)*IF(OR(AN64="K",AN64="P"),2,1)</f>
        <v>0</v>
      </c>
      <c r="CL64" s="73">
        <f>IF(AO64="",0,VLOOKUP(C64,Tables!$B$3:$D$36,3,FALSE())*Y$1)*IF(OR(AO64="K",AO64="P"),2,1)</f>
        <v>0</v>
      </c>
      <c r="CM64" s="73">
        <f>IF(AP64="",0,VLOOKUP(D64,Tables!$B$3:$D$36,3,FALSE())*Z$1)*IF(OR(AP64="K",AP64="P"),2,1)</f>
        <v>0</v>
      </c>
      <c r="CN64" s="87">
        <f>IF(AQ64="",0,VLOOKUP(E64,Tables!$B$3:$D$36,3,FALSE())*AA$1)</f>
        <v>0</v>
      </c>
      <c r="CO64" s="73">
        <f>IF(AR64="",0,VLOOKUP(F64,Tables!$B$3:$D$36,3,FALSE())*AB$1)</f>
        <v>0</v>
      </c>
      <c r="CP64" s="73">
        <f>IF(AS64="",0,VLOOKUP(G64,Tables!$B$3:$D$36,3,FALSE())*AC$1)</f>
        <v>0</v>
      </c>
      <c r="CQ64" s="73">
        <f>IF(AT64="",0,VLOOKUP(H64,Tables!$B$3:$D$36,3,FALSE())*AD$1)</f>
        <v>0</v>
      </c>
      <c r="CR64" s="73">
        <f>IF(AU64="",0,VLOOKUP(I64,Tables!$B$3:$D$36,3,FALSE())*AE$1)</f>
        <v>0</v>
      </c>
      <c r="CS64" s="87">
        <f>IF(AV64="",0,VLOOKUP(J64,Tables!$B$3:$D$36,3,FALSE())*AF$1)</f>
        <v>4.5599999999999996</v>
      </c>
      <c r="CT64" s="73">
        <f>IF(AW64="",0,VLOOKUP(K64,Tables!$B$3:$D$36,3,FALSE())*AG$1)</f>
        <v>4.5599999999999996</v>
      </c>
      <c r="CU64" s="73">
        <f>IF(AX64="",0,VLOOKUP(L64,Tables!$B$3:$D$36,3,FALSE())*AH$1)</f>
        <v>0</v>
      </c>
      <c r="CV64" s="87">
        <f>IF(AY64="",0,VLOOKUP(M64,Tables!$B$3:$D$36,3,FALSE())*AI$1)</f>
        <v>0</v>
      </c>
      <c r="CW64" s="73">
        <f>IF(AZ64="",0,VLOOKUP(N64,Tables!$B$3:$D$36,3,FALSE())*AJ$1)</f>
        <v>0</v>
      </c>
      <c r="CX64" s="73">
        <f>IF(BA64="",0,VLOOKUP(O64,Tables!$B$3:$D$36,3,FALSE())*AK$1)</f>
        <v>0</v>
      </c>
      <c r="CY64" s="88">
        <f>IF(BB64="",0,VLOOKUP(P64,Tables!$B$3:$D$36,3,FALSE())*AL$1)</f>
        <v>0</v>
      </c>
      <c r="CZ64" s="89">
        <f t="shared" si="40"/>
        <v>0</v>
      </c>
      <c r="DA64" s="75">
        <f t="shared" si="41"/>
        <v>0</v>
      </c>
      <c r="DB64" s="75">
        <f t="shared" si="42"/>
        <v>0</v>
      </c>
      <c r="DC64" s="89">
        <f t="shared" si="43"/>
        <v>0</v>
      </c>
      <c r="DD64" s="75">
        <f t="shared" si="44"/>
        <v>0</v>
      </c>
      <c r="DE64" s="75">
        <f t="shared" si="45"/>
        <v>0</v>
      </c>
      <c r="DF64" s="75">
        <f t="shared" si="46"/>
        <v>0</v>
      </c>
      <c r="DG64" s="75">
        <f t="shared" si="47"/>
        <v>0</v>
      </c>
      <c r="DH64" s="89">
        <f t="shared" si="48"/>
        <v>1.5</v>
      </c>
      <c r="DI64" s="75">
        <f t="shared" si="49"/>
        <v>1.5</v>
      </c>
      <c r="DJ64" s="75">
        <f t="shared" si="50"/>
        <v>0</v>
      </c>
      <c r="DK64" s="89">
        <f t="shared" si="51"/>
        <v>0</v>
      </c>
      <c r="DL64" s="75">
        <f t="shared" si="52"/>
        <v>0</v>
      </c>
      <c r="DM64" s="75">
        <f t="shared" si="53"/>
        <v>0</v>
      </c>
      <c r="DN64" s="90">
        <f t="shared" si="54"/>
        <v>0</v>
      </c>
      <c r="DO64" s="91">
        <f>IF(AN64="",0,VLOOKUP(B64,Tables!$B$3:$M$36,11,FALSE())*X$1)</f>
        <v>0</v>
      </c>
      <c r="DP64" s="92">
        <f>IF(AO64="",0,VLOOKUP(C64,Tables!$B$3:$M$36,11,FALSE())*Y$1)</f>
        <v>0</v>
      </c>
      <c r="DQ64" s="92">
        <f>IF(AP64="",0,VLOOKUP(D64,Tables!$B$3:$M$36,11,FALSE())*Z$1)</f>
        <v>0</v>
      </c>
      <c r="DR64" s="91">
        <f>IF(AQ64="",0,VLOOKUP(E64,Tables!$B$3:$M$36,11,FALSE())*AA$1)</f>
        <v>0</v>
      </c>
      <c r="DS64" s="92">
        <f>IF(AR64="",0,VLOOKUP(F64,Tables!$B$3:$M$36,11,FALSE())*AB$1)</f>
        <v>0</v>
      </c>
      <c r="DT64" s="92">
        <f>IF(AS64="",0,VLOOKUP(G64,Tables!$B$3:$M$36,11,FALSE())*AC$1)</f>
        <v>0</v>
      </c>
      <c r="DU64" s="92">
        <f>IF(AT64="",0,VLOOKUP(H64,Tables!$B$3:$M$36,11,FALSE())*AD$1)</f>
        <v>0</v>
      </c>
      <c r="DV64" s="92">
        <f>IF(AU64="",0,VLOOKUP(I64,Tables!$B$3:$M$36,11,FALSE())*AE$1)</f>
        <v>0</v>
      </c>
      <c r="DW64" s="91">
        <f>IF(AV64="",0,VLOOKUP(J64,Tables!$B$3:$M$36,11,FALSE())*AF$1)</f>
        <v>96</v>
      </c>
      <c r="DX64" s="92">
        <f>IF(AW64="",0,VLOOKUP(K64,Tables!$B$3:$M$36,11,FALSE())*AG$1)</f>
        <v>96</v>
      </c>
      <c r="DY64" s="92">
        <f>IF(AX64="",0,VLOOKUP(L64,Tables!$B$3:$M$36,11,FALSE())*AH$1)</f>
        <v>0</v>
      </c>
      <c r="DZ64" s="91">
        <f>IF(AY64="",0,VLOOKUP(M64,Tables!$B$3:$M$36,11,FALSE())*AI$1)</f>
        <v>0</v>
      </c>
      <c r="EA64" s="92">
        <f>IF(AZ64="",0,VLOOKUP(N64,Tables!$B$3:$M$36,11,FALSE())*AJ$1)</f>
        <v>0</v>
      </c>
      <c r="EB64" s="92">
        <f>IF(BA64="",0,VLOOKUP(O64,Tables!$B$3:$M$36,11,FALSE())*AK$1)</f>
        <v>0</v>
      </c>
      <c r="EC64" s="93">
        <f>IF(BB64="",0,VLOOKUP(P64,Tables!$B$3:$M$36,11,FALSE())*AL$1)</f>
        <v>0</v>
      </c>
      <c r="ED64" s="91">
        <f>IF(AN64="",0,VLOOKUP(B64,Tables!$B$3:$M$36,12,FALSE())*X$1)</f>
        <v>0</v>
      </c>
      <c r="EE64" s="92">
        <f>IF(AO64="",0,VLOOKUP(C64,Tables!$B$3:$M$36,12,FALSE())*Y$1)</f>
        <v>0</v>
      </c>
      <c r="EF64" s="92">
        <f>IF(AP64="",0,VLOOKUP(D64,Tables!$B$3:$M$36,12,FALSE())*Z$1)</f>
        <v>0</v>
      </c>
      <c r="EG64" s="91">
        <f>IF(AQ64="",0,VLOOKUP(E64,Tables!$B$3:$M$36,12,FALSE())*AA$1)</f>
        <v>0</v>
      </c>
      <c r="EH64" s="92">
        <f>IF(AR64="",0,VLOOKUP(F64,Tables!$B$3:$M$36,12,FALSE())*AB$1)</f>
        <v>0</v>
      </c>
      <c r="EI64" s="92">
        <f>IF(AS64="",0,VLOOKUP(G64,Tables!$B$3:$M$36,12,FALSE())*AC$1)</f>
        <v>0</v>
      </c>
      <c r="EJ64" s="92">
        <f>IF(AT64="",0,VLOOKUP(H64,Tables!$B$3:$M$36,12,FALSE())*AD$1)</f>
        <v>0</v>
      </c>
      <c r="EK64" s="92">
        <f>IF(AU64="",0,VLOOKUP(I64,Tables!$B$3:$M$36,12,FALSE())*AE$1)</f>
        <v>0</v>
      </c>
      <c r="EL64" s="91">
        <f>IF(AV64="",0,VLOOKUP(J64,Tables!$B$3:$M$36,12,FALSE())*AF$1)</f>
        <v>24</v>
      </c>
      <c r="EM64" s="92">
        <f>IF(AW64="",0,VLOOKUP(K64,Tables!$B$3:$M$36,12,FALSE())*AG$1)</f>
        <v>24</v>
      </c>
      <c r="EN64" s="92">
        <f>IF(AX64="",0,VLOOKUP(L64,Tables!$B$3:$M$36,12,FALSE())*AH$1)</f>
        <v>0</v>
      </c>
      <c r="EO64" s="91">
        <f>IF(AY64="",0,VLOOKUP(M64,Tables!$B$3:$M$36,12,FALSE())*AI$1)</f>
        <v>0</v>
      </c>
      <c r="EP64" s="92">
        <f>IF(AZ64="",0,VLOOKUP(N64,Tables!$B$3:$M$36,12,FALSE())*AJ$1)</f>
        <v>0</v>
      </c>
      <c r="EQ64" s="92">
        <f>IF(BA64="",0,VLOOKUP(O64,Tables!$B$3:$M$36,12,FALSE())*AK$1)</f>
        <v>0</v>
      </c>
      <c r="ER64" s="93">
        <f>IF(BB64="",0,VLOOKUP(P64,Tables!$B$3:$M$36,12,FALSE())*AL$1)</f>
        <v>0</v>
      </c>
      <c r="ES64" s="94">
        <f t="shared" si="55"/>
        <v>0</v>
      </c>
      <c r="ET64" s="95">
        <f>IF(AN64="",10,MIN(VLOOKUP(B64,Tables!$B$3:$N$34,13,FALSE()),'Item Builder'!$W64))</f>
        <v>10</v>
      </c>
      <c r="EU64" s="95">
        <f>IF(AO64="",10,MIN(VLOOKUP(C64,Tables!$B$3:$N$34,13,FALSE()),'Item Builder'!$W64))</f>
        <v>10</v>
      </c>
      <c r="EV64" s="95">
        <f>IF(AP64="",10,MIN(VLOOKUP(D64,Tables!$B$3:$N$34,13,FALSE()),'Item Builder'!$W64))</f>
        <v>10</v>
      </c>
      <c r="EW64" s="95">
        <f>IF(AQ64="",10,MIN(VLOOKUP(E64,Tables!$B$3:$N$34,13,FALSE()),'Item Builder'!$W64))</f>
        <v>10</v>
      </c>
      <c r="EX64" s="95">
        <f>IF(AR64="",10,MIN(VLOOKUP(F64,Tables!$B$3:$N$34,13,FALSE()),'Item Builder'!$W64))</f>
        <v>10</v>
      </c>
      <c r="EY64" s="95">
        <f>IF(AS64="",10,MIN(VLOOKUP(G64,Tables!$B$3:$N$34,13,FALSE()),'Item Builder'!$W64))</f>
        <v>10</v>
      </c>
      <c r="EZ64" s="95">
        <f>IF(AT64="",10,MIN(VLOOKUP(H64,Tables!$B$3:$N$34,13,FALSE()),'Item Builder'!$W64))</f>
        <v>10</v>
      </c>
      <c r="FA64" s="95">
        <f>IF(AU64="",10,MIN(VLOOKUP(I64,Tables!$B$3:$N$34,13,FALSE()),'Item Builder'!$W64))</f>
        <v>10</v>
      </c>
      <c r="FB64" s="95">
        <f>IF(AV64="",10,MIN(VLOOKUP(J64,Tables!$B$3:$N$34,13,FALSE()),'Item Builder'!$W64))</f>
        <v>0</v>
      </c>
      <c r="FC64" s="95">
        <f>IF(AW64="",10,MIN(VLOOKUP(K64,Tables!$B$3:$N$34,13,FALSE()),'Item Builder'!$W64))</f>
        <v>0</v>
      </c>
      <c r="FD64" s="95">
        <f>IF(AX64="",10,MIN(VLOOKUP(L64,Tables!$B$3:$N$34,13,FALSE()),'Item Builder'!$W64))</f>
        <v>10</v>
      </c>
      <c r="FE64" s="95">
        <f>IF(AY64="",10,MIN(VLOOKUP(M64,Tables!$B$3:$N$34,13,FALSE()),'Item Builder'!$W64))</f>
        <v>10</v>
      </c>
      <c r="FF64" s="95">
        <f>IF(AZ64="",10,MIN(VLOOKUP(N64,Tables!$B$3:$N$34,13,FALSE()),'Item Builder'!$W64))</f>
        <v>10</v>
      </c>
      <c r="FG64" s="95">
        <f>IF(BA64="",10,MIN(VLOOKUP(O64,Tables!$B$3:$N$34,13,FALSE()),'Item Builder'!$W64))</f>
        <v>10</v>
      </c>
      <c r="FH64" s="98">
        <f>IF(BB64="",10,MIN(VLOOKUP(P64,Tables!$B$3:$N$34,13,FALSE()),'Item Builder'!$W64))</f>
        <v>10</v>
      </c>
    </row>
    <row r="65" spans="1:164" x14ac:dyDescent="0.25">
      <c r="A65" s="67" t="s">
        <v>224</v>
      </c>
      <c r="B65" s="68"/>
      <c r="C65" s="69"/>
      <c r="D65" s="70"/>
      <c r="E65" s="68"/>
      <c r="F65" s="69"/>
      <c r="G65" s="69"/>
      <c r="H65" s="69"/>
      <c r="I65" s="70"/>
      <c r="J65" s="68" t="s">
        <v>191</v>
      </c>
      <c r="K65" s="69"/>
      <c r="L65" s="70"/>
      <c r="M65" s="68"/>
      <c r="N65" s="69"/>
      <c r="O65" s="69"/>
      <c r="P65" s="71"/>
      <c r="Q65" s="72">
        <f>SUM(BV65:CJ65)*VLOOKUP(W65,Tables!$W$3:$Z$8,4)</f>
        <v>30</v>
      </c>
      <c r="R65" s="73">
        <f t="shared" si="0"/>
        <v>2.2799999999999998</v>
      </c>
      <c r="S65" s="74">
        <f t="shared" si="1"/>
        <v>0</v>
      </c>
      <c r="T65" s="74">
        <f t="shared" si="2"/>
        <v>0</v>
      </c>
      <c r="U65" s="75">
        <f t="shared" si="3"/>
        <v>48</v>
      </c>
      <c r="V65" s="76">
        <f t="shared" si="4"/>
        <v>12</v>
      </c>
      <c r="W65" s="77">
        <v>0</v>
      </c>
      <c r="X65" s="78">
        <f t="shared" si="5"/>
        <v>0</v>
      </c>
      <c r="Y65" s="79">
        <f t="shared" si="6"/>
        <v>0</v>
      </c>
      <c r="Z65" s="79">
        <f t="shared" si="7"/>
        <v>0</v>
      </c>
      <c r="AA65" s="78">
        <f t="shared" si="8"/>
        <v>0</v>
      </c>
      <c r="AB65" s="79">
        <f t="shared" si="9"/>
        <v>0</v>
      </c>
      <c r="AC65" s="79">
        <f t="shared" si="10"/>
        <v>0</v>
      </c>
      <c r="AD65" s="79">
        <f t="shared" si="11"/>
        <v>0</v>
      </c>
      <c r="AE65" s="79">
        <f t="shared" si="12"/>
        <v>0</v>
      </c>
      <c r="AF65" s="78">
        <f t="shared" si="13"/>
        <v>1</v>
      </c>
      <c r="AG65" s="79">
        <f t="shared" si="14"/>
        <v>0</v>
      </c>
      <c r="AH65" s="79">
        <f t="shared" si="15"/>
        <v>0</v>
      </c>
      <c r="AI65" s="78">
        <f t="shared" si="16"/>
        <v>0</v>
      </c>
      <c r="AJ65" s="79">
        <f t="shared" si="17"/>
        <v>0</v>
      </c>
      <c r="AK65" s="79">
        <f t="shared" si="18"/>
        <v>0</v>
      </c>
      <c r="AL65" s="80">
        <f t="shared" si="19"/>
        <v>0</v>
      </c>
      <c r="AM65" s="81">
        <f t="shared" si="20"/>
        <v>0.12</v>
      </c>
      <c r="AN65" s="82" t="str">
        <f t="shared" si="21"/>
        <v/>
      </c>
      <c r="AO65" s="79" t="str">
        <f t="shared" si="22"/>
        <v/>
      </c>
      <c r="AP65" t="str">
        <f t="shared" si="23"/>
        <v/>
      </c>
      <c r="AQ65" s="82" t="str">
        <f t="shared" si="24"/>
        <v/>
      </c>
      <c r="AR65" t="str">
        <f t="shared" si="25"/>
        <v/>
      </c>
      <c r="AS65" t="str">
        <f t="shared" si="26"/>
        <v/>
      </c>
      <c r="AT65" t="str">
        <f t="shared" si="27"/>
        <v/>
      </c>
      <c r="AU65" t="str">
        <f t="shared" si="28"/>
        <v/>
      </c>
      <c r="AV65" s="82" t="str">
        <f t="shared" si="29"/>
        <v>K</v>
      </c>
      <c r="AW65" t="str">
        <f t="shared" si="30"/>
        <v/>
      </c>
      <c r="AX65" t="str">
        <f t="shared" si="31"/>
        <v/>
      </c>
      <c r="AY65" s="82" t="str">
        <f t="shared" si="32"/>
        <v/>
      </c>
      <c r="AZ65" t="str">
        <f t="shared" si="33"/>
        <v/>
      </c>
      <c r="BA65" t="str">
        <f t="shared" si="34"/>
        <v/>
      </c>
      <c r="BB65" s="83" t="str">
        <f t="shared" si="35"/>
        <v/>
      </c>
      <c r="BC65" s="84">
        <f t="shared" si="36"/>
        <v>0</v>
      </c>
      <c r="BD65" s="84">
        <f t="shared" si="37"/>
        <v>0</v>
      </c>
      <c r="BE65" s="84">
        <f t="shared" si="38"/>
        <v>0.35294117647058826</v>
      </c>
      <c r="BF65" s="84">
        <f t="shared" si="39"/>
        <v>0</v>
      </c>
      <c r="BG65" s="78">
        <f>IF(AN65="",0,VLOOKUP(AN65,Tables!$AB$3:$AC$12,2))</f>
        <v>0</v>
      </c>
      <c r="BH65" s="79">
        <f>IF(AO65="",0,VLOOKUP(AO65,Tables!$AB$3:$AC$12,2))</f>
        <v>0</v>
      </c>
      <c r="BI65" s="79">
        <f>IF(AP65="",0,VLOOKUP(AP65,Tables!$AB$3:$AC$12,2))</f>
        <v>0</v>
      </c>
      <c r="BJ65" s="78">
        <f>IF(AQ65="",0,VLOOKUP(AQ65,Tables!$AB$3:$AC$12,2))</f>
        <v>0</v>
      </c>
      <c r="BK65" s="79">
        <f>IF(AR65="",0,VLOOKUP(AR65,Tables!$AB$3:$AC$12,2))</f>
        <v>0</v>
      </c>
      <c r="BL65" s="79">
        <f>IF(AS65="",0,VLOOKUP(AS65,Tables!$AB$3:$AC$12,2))</f>
        <v>0</v>
      </c>
      <c r="BM65" s="79">
        <f>IF(AT65="",0,VLOOKUP(AT65,Tables!$AB$3:$AC$12,2))</f>
        <v>0</v>
      </c>
      <c r="BN65" s="79">
        <f>IF(AU65="",0,VLOOKUP(AU65,Tables!$AB$3:$AC$12,2))</f>
        <v>0</v>
      </c>
      <c r="BO65" s="78">
        <f>IF(AV65="",0,VLOOKUP(AV65,Tables!$AB$3:$AC$12,2))</f>
        <v>1</v>
      </c>
      <c r="BP65" s="79">
        <f>IF(AW65="",0,VLOOKUP(AW65,Tables!$AB$3:$AC$12,2))</f>
        <v>0</v>
      </c>
      <c r="BQ65" s="79">
        <f>IF(AX65="",0,VLOOKUP(AX65,Tables!$AB$3:$AC$12,2))</f>
        <v>0</v>
      </c>
      <c r="BR65" s="78">
        <f>IF(AY65="",0,VLOOKUP(AY65,Tables!$AB$3:$AC$12,2))</f>
        <v>0</v>
      </c>
      <c r="BS65" s="79">
        <f>IF(AZ65="",0,VLOOKUP(AZ65,Tables!$AB$3:$AC$12,2))</f>
        <v>0</v>
      </c>
      <c r="BT65" s="79">
        <f>IF(BA65="",0,VLOOKUP(BA65,Tables!$AB$3:$AC$12,2))</f>
        <v>0</v>
      </c>
      <c r="BU65" s="80">
        <f>IF(BB65="",0,VLOOKUP(BB65,Tables!$AB$3:$AC$12,2))</f>
        <v>0</v>
      </c>
      <c r="BV65" s="85">
        <f>IF(AN65="",0,VLOOKUP(B65,Tables!$B$3:$D$36,2,FALSE())*X$1)</f>
        <v>0</v>
      </c>
      <c r="BW65" s="72">
        <f>IF(AO65="",0,VLOOKUP(C65,Tables!$B$3:$D$36,2,FALSE())*Y$1)</f>
        <v>0</v>
      </c>
      <c r="BX65" s="72">
        <f>IF(AP65="",0,VLOOKUP(D65,Tables!$B$3:$D$36,2,FALSE())*Z$1)</f>
        <v>0</v>
      </c>
      <c r="BY65" s="85">
        <f>IF(AQ65="",0,VLOOKUP(E65,Tables!$B$3:$D$36,2,FALSE())*AA$1)</f>
        <v>0</v>
      </c>
      <c r="BZ65" s="72">
        <f>IF(AR65="",0,VLOOKUP(F65,Tables!$B$3:$D$36,2,FALSE())*AB$1)</f>
        <v>0</v>
      </c>
      <c r="CA65" s="72">
        <f>IF(AS65="",0,VLOOKUP(G65,Tables!$B$3:$D$36,2,FALSE())*AC$1)</f>
        <v>0</v>
      </c>
      <c r="CB65" s="72">
        <f>IF(AT65="",0,VLOOKUP(H65,Tables!$B$3:$D$36,2,FALSE())*AD$1)</f>
        <v>0</v>
      </c>
      <c r="CC65" s="72">
        <f>IF(AU65="",0,VLOOKUP(I65,Tables!$B$3:$D$36,2,FALSE())*AE$1)</f>
        <v>0</v>
      </c>
      <c r="CD65" s="85">
        <f>IF(AV65="",0,VLOOKUP(J65,Tables!$B$3:$D$36,2,FALSE())*AF$1)</f>
        <v>30</v>
      </c>
      <c r="CE65" s="72">
        <f>IF(AW65="",0,VLOOKUP(K65,Tables!$B$3:$D$36,2,FALSE())*AG$1)</f>
        <v>0</v>
      </c>
      <c r="CF65" s="72">
        <f>IF(AX65="",0,VLOOKUP(L65,Tables!$B$3:$D$36,2,FALSE())*AH$1)</f>
        <v>0</v>
      </c>
      <c r="CG65" s="85">
        <f>IF(AY65="",0,VLOOKUP(M65,Tables!$B$3:$D$36,2,FALSE())*AI$1)</f>
        <v>0</v>
      </c>
      <c r="CH65" s="72">
        <f>IF(AZ65="",0,VLOOKUP(N65,Tables!$B$3:$D$36,2,FALSE())*AJ$1)</f>
        <v>0</v>
      </c>
      <c r="CI65" s="72">
        <f>IF(BA65="",0,VLOOKUP(O65,Tables!$B$3:$D$36,2,FALSE())*AK$1)</f>
        <v>0</v>
      </c>
      <c r="CJ65" s="86">
        <f>IF(BB65="",0,VLOOKUP(P65,Tables!$B$3:$D$36,2,FALSE())*AL$1)</f>
        <v>0</v>
      </c>
      <c r="CK65" s="87">
        <f>IF(AN65="",0,VLOOKUP(B65,Tables!$B$3:$D$36,3,FALSE())*X$1)*IF(OR(AN65="K",AN65="P"),2,1)</f>
        <v>0</v>
      </c>
      <c r="CL65" s="73">
        <f>IF(AO65="",0,VLOOKUP(C65,Tables!$B$3:$D$36,3,FALSE())*Y$1)*IF(OR(AO65="K",AO65="P"),2,1)</f>
        <v>0</v>
      </c>
      <c r="CM65" s="73">
        <f>IF(AP65="",0,VLOOKUP(D65,Tables!$B$3:$D$36,3,FALSE())*Z$1)*IF(OR(AP65="K",AP65="P"),2,1)</f>
        <v>0</v>
      </c>
      <c r="CN65" s="87">
        <f>IF(AQ65="",0,VLOOKUP(E65,Tables!$B$3:$D$36,3,FALSE())*AA$1)</f>
        <v>0</v>
      </c>
      <c r="CO65" s="73">
        <f>IF(AR65="",0,VLOOKUP(F65,Tables!$B$3:$D$36,3,FALSE())*AB$1)</f>
        <v>0</v>
      </c>
      <c r="CP65" s="73">
        <f>IF(AS65="",0,VLOOKUP(G65,Tables!$B$3:$D$36,3,FALSE())*AC$1)</f>
        <v>0</v>
      </c>
      <c r="CQ65" s="73">
        <f>IF(AT65="",0,VLOOKUP(H65,Tables!$B$3:$D$36,3,FALSE())*AD$1)</f>
        <v>0</v>
      </c>
      <c r="CR65" s="73">
        <f>IF(AU65="",0,VLOOKUP(I65,Tables!$B$3:$D$36,3,FALSE())*AE$1)</f>
        <v>0</v>
      </c>
      <c r="CS65" s="87">
        <f>IF(AV65="",0,VLOOKUP(J65,Tables!$B$3:$D$36,3,FALSE())*AF$1)</f>
        <v>2.2799999999999998</v>
      </c>
      <c r="CT65" s="73">
        <f>IF(AW65="",0,VLOOKUP(K65,Tables!$B$3:$D$36,3,FALSE())*AG$1)</f>
        <v>0</v>
      </c>
      <c r="CU65" s="73">
        <f>IF(AX65="",0,VLOOKUP(L65,Tables!$B$3:$D$36,3,FALSE())*AH$1)</f>
        <v>0</v>
      </c>
      <c r="CV65" s="87">
        <f>IF(AY65="",0,VLOOKUP(M65,Tables!$B$3:$D$36,3,FALSE())*AI$1)</f>
        <v>0</v>
      </c>
      <c r="CW65" s="73">
        <f>IF(AZ65="",0,VLOOKUP(N65,Tables!$B$3:$D$36,3,FALSE())*AJ$1)</f>
        <v>0</v>
      </c>
      <c r="CX65" s="73">
        <f>IF(BA65="",0,VLOOKUP(O65,Tables!$B$3:$D$36,3,FALSE())*AK$1)</f>
        <v>0</v>
      </c>
      <c r="CY65" s="88">
        <f>IF(BB65="",0,VLOOKUP(P65,Tables!$B$3:$D$36,3,FALSE())*AL$1)</f>
        <v>0</v>
      </c>
      <c r="CZ65" s="89">
        <f t="shared" si="40"/>
        <v>0</v>
      </c>
      <c r="DA65" s="75">
        <f t="shared" si="41"/>
        <v>0</v>
      </c>
      <c r="DB65" s="75">
        <f t="shared" si="42"/>
        <v>0</v>
      </c>
      <c r="DC65" s="89">
        <f t="shared" si="43"/>
        <v>0</v>
      </c>
      <c r="DD65" s="75">
        <f t="shared" si="44"/>
        <v>0</v>
      </c>
      <c r="DE65" s="75">
        <f t="shared" si="45"/>
        <v>0</v>
      </c>
      <c r="DF65" s="75">
        <f t="shared" si="46"/>
        <v>0</v>
      </c>
      <c r="DG65" s="75">
        <f t="shared" si="47"/>
        <v>0</v>
      </c>
      <c r="DH65" s="89">
        <f t="shared" si="48"/>
        <v>1.5</v>
      </c>
      <c r="DI65" s="75">
        <f t="shared" si="49"/>
        <v>0</v>
      </c>
      <c r="DJ65" s="75">
        <f t="shared" si="50"/>
        <v>0</v>
      </c>
      <c r="DK65" s="89">
        <f t="shared" si="51"/>
        <v>0</v>
      </c>
      <c r="DL65" s="75">
        <f t="shared" si="52"/>
        <v>0</v>
      </c>
      <c r="DM65" s="75">
        <f t="shared" si="53"/>
        <v>0</v>
      </c>
      <c r="DN65" s="90">
        <f t="shared" si="54"/>
        <v>0</v>
      </c>
      <c r="DO65" s="91">
        <f>IF(AN65="",0,VLOOKUP(B65,Tables!$B$3:$M$36,11,FALSE())*X$1)</f>
        <v>0</v>
      </c>
      <c r="DP65" s="92">
        <f>IF(AO65="",0,VLOOKUP(C65,Tables!$B$3:$M$36,11,FALSE())*Y$1)</f>
        <v>0</v>
      </c>
      <c r="DQ65" s="92">
        <f>IF(AP65="",0,VLOOKUP(D65,Tables!$B$3:$M$36,11,FALSE())*Z$1)</f>
        <v>0</v>
      </c>
      <c r="DR65" s="91">
        <f>IF(AQ65="",0,VLOOKUP(E65,Tables!$B$3:$M$36,11,FALSE())*AA$1)</f>
        <v>0</v>
      </c>
      <c r="DS65" s="92">
        <f>IF(AR65="",0,VLOOKUP(F65,Tables!$B$3:$M$36,11,FALSE())*AB$1)</f>
        <v>0</v>
      </c>
      <c r="DT65" s="92">
        <f>IF(AS65="",0,VLOOKUP(G65,Tables!$B$3:$M$36,11,FALSE())*AC$1)</f>
        <v>0</v>
      </c>
      <c r="DU65" s="92">
        <f>IF(AT65="",0,VLOOKUP(H65,Tables!$B$3:$M$36,11,FALSE())*AD$1)</f>
        <v>0</v>
      </c>
      <c r="DV65" s="92">
        <f>IF(AU65="",0,VLOOKUP(I65,Tables!$B$3:$M$36,11,FALSE())*AE$1)</f>
        <v>0</v>
      </c>
      <c r="DW65" s="91">
        <f>IF(AV65="",0,VLOOKUP(J65,Tables!$B$3:$M$36,11,FALSE())*AF$1)</f>
        <v>48</v>
      </c>
      <c r="DX65" s="92">
        <f>IF(AW65="",0,VLOOKUP(K65,Tables!$B$3:$M$36,11,FALSE())*AG$1)</f>
        <v>0</v>
      </c>
      <c r="DY65" s="92">
        <f>IF(AX65="",0,VLOOKUP(L65,Tables!$B$3:$M$36,11,FALSE())*AH$1)</f>
        <v>0</v>
      </c>
      <c r="DZ65" s="91">
        <f>IF(AY65="",0,VLOOKUP(M65,Tables!$B$3:$M$36,11,FALSE())*AI$1)</f>
        <v>0</v>
      </c>
      <c r="EA65" s="92">
        <f>IF(AZ65="",0,VLOOKUP(N65,Tables!$B$3:$M$36,11,FALSE())*AJ$1)</f>
        <v>0</v>
      </c>
      <c r="EB65" s="92">
        <f>IF(BA65="",0,VLOOKUP(O65,Tables!$B$3:$M$36,11,FALSE())*AK$1)</f>
        <v>0</v>
      </c>
      <c r="EC65" s="93">
        <f>IF(BB65="",0,VLOOKUP(P65,Tables!$B$3:$M$36,11,FALSE())*AL$1)</f>
        <v>0</v>
      </c>
      <c r="ED65" s="91">
        <f>IF(AN65="",0,VLOOKUP(B65,Tables!$B$3:$M$36,12,FALSE())*X$1)</f>
        <v>0</v>
      </c>
      <c r="EE65" s="92">
        <f>IF(AO65="",0,VLOOKUP(C65,Tables!$B$3:$M$36,12,FALSE())*Y$1)</f>
        <v>0</v>
      </c>
      <c r="EF65" s="92">
        <f>IF(AP65="",0,VLOOKUP(D65,Tables!$B$3:$M$36,12,FALSE())*Z$1)</f>
        <v>0</v>
      </c>
      <c r="EG65" s="91">
        <f>IF(AQ65="",0,VLOOKUP(E65,Tables!$B$3:$M$36,12,FALSE())*AA$1)</f>
        <v>0</v>
      </c>
      <c r="EH65" s="92">
        <f>IF(AR65="",0,VLOOKUP(F65,Tables!$B$3:$M$36,12,FALSE())*AB$1)</f>
        <v>0</v>
      </c>
      <c r="EI65" s="92">
        <f>IF(AS65="",0,VLOOKUP(G65,Tables!$B$3:$M$36,12,FALSE())*AC$1)</f>
        <v>0</v>
      </c>
      <c r="EJ65" s="92">
        <f>IF(AT65="",0,VLOOKUP(H65,Tables!$B$3:$M$36,12,FALSE())*AD$1)</f>
        <v>0</v>
      </c>
      <c r="EK65" s="92">
        <f>IF(AU65="",0,VLOOKUP(I65,Tables!$B$3:$M$36,12,FALSE())*AE$1)</f>
        <v>0</v>
      </c>
      <c r="EL65" s="91">
        <f>IF(AV65="",0,VLOOKUP(J65,Tables!$B$3:$M$36,12,FALSE())*AF$1)</f>
        <v>12</v>
      </c>
      <c r="EM65" s="92">
        <f>IF(AW65="",0,VLOOKUP(K65,Tables!$B$3:$M$36,12,FALSE())*AG$1)</f>
        <v>0</v>
      </c>
      <c r="EN65" s="92">
        <f>IF(AX65="",0,VLOOKUP(L65,Tables!$B$3:$M$36,12,FALSE())*AH$1)</f>
        <v>0</v>
      </c>
      <c r="EO65" s="91">
        <f>IF(AY65="",0,VLOOKUP(M65,Tables!$B$3:$M$36,12,FALSE())*AI$1)</f>
        <v>0</v>
      </c>
      <c r="EP65" s="92">
        <f>IF(AZ65="",0,VLOOKUP(N65,Tables!$B$3:$M$36,12,FALSE())*AJ$1)</f>
        <v>0</v>
      </c>
      <c r="EQ65" s="92">
        <f>IF(BA65="",0,VLOOKUP(O65,Tables!$B$3:$M$36,12,FALSE())*AK$1)</f>
        <v>0</v>
      </c>
      <c r="ER65" s="93">
        <f>IF(BB65="",0,VLOOKUP(P65,Tables!$B$3:$M$36,12,FALSE())*AL$1)</f>
        <v>0</v>
      </c>
      <c r="ES65" s="94">
        <f t="shared" si="55"/>
        <v>0</v>
      </c>
      <c r="ET65" s="95">
        <f>IF(AN65="",10,MIN(VLOOKUP(B65,Tables!$B$3:$N$34,13,FALSE()),'Item Builder'!$W65))</f>
        <v>10</v>
      </c>
      <c r="EU65" s="95">
        <f>IF(AO65="",10,MIN(VLOOKUP(C65,Tables!$B$3:$N$34,13,FALSE()),'Item Builder'!$W65))</f>
        <v>10</v>
      </c>
      <c r="EV65" s="95">
        <f>IF(AP65="",10,MIN(VLOOKUP(D65,Tables!$B$3:$N$34,13,FALSE()),'Item Builder'!$W65))</f>
        <v>10</v>
      </c>
      <c r="EW65" s="95">
        <f>IF(AQ65="",10,MIN(VLOOKUP(E65,Tables!$B$3:$N$34,13,FALSE()),'Item Builder'!$W65))</f>
        <v>10</v>
      </c>
      <c r="EX65" s="95">
        <f>IF(AR65="",10,MIN(VLOOKUP(F65,Tables!$B$3:$N$34,13,FALSE()),'Item Builder'!$W65))</f>
        <v>10</v>
      </c>
      <c r="EY65" s="95">
        <f>IF(AS65="",10,MIN(VLOOKUP(G65,Tables!$B$3:$N$34,13,FALSE()),'Item Builder'!$W65))</f>
        <v>10</v>
      </c>
      <c r="EZ65" s="95">
        <f>IF(AT65="",10,MIN(VLOOKUP(H65,Tables!$B$3:$N$34,13,FALSE()),'Item Builder'!$W65))</f>
        <v>10</v>
      </c>
      <c r="FA65" s="95">
        <f>IF(AU65="",10,MIN(VLOOKUP(I65,Tables!$B$3:$N$34,13,FALSE()),'Item Builder'!$W65))</f>
        <v>10</v>
      </c>
      <c r="FB65" s="95">
        <f>IF(AV65="",10,MIN(VLOOKUP(J65,Tables!$B$3:$N$34,13,FALSE()),'Item Builder'!$W65))</f>
        <v>0</v>
      </c>
      <c r="FC65" s="95">
        <f>IF(AW65="",10,MIN(VLOOKUP(K65,Tables!$B$3:$N$34,13,FALSE()),'Item Builder'!$W65))</f>
        <v>10</v>
      </c>
      <c r="FD65" s="95">
        <f>IF(AX65="",10,MIN(VLOOKUP(L65,Tables!$B$3:$N$34,13,FALSE()),'Item Builder'!$W65))</f>
        <v>10</v>
      </c>
      <c r="FE65" s="95">
        <f>IF(AY65="",10,MIN(VLOOKUP(M65,Tables!$B$3:$N$34,13,FALSE()),'Item Builder'!$W65))</f>
        <v>10</v>
      </c>
      <c r="FF65" s="95">
        <f>IF(AZ65="",10,MIN(VLOOKUP(N65,Tables!$B$3:$N$34,13,FALSE()),'Item Builder'!$W65))</f>
        <v>10</v>
      </c>
      <c r="FG65" s="95">
        <f>IF(BA65="",10,MIN(VLOOKUP(O65,Tables!$B$3:$N$34,13,FALSE()),'Item Builder'!$W65))</f>
        <v>10</v>
      </c>
      <c r="FH65" s="98">
        <f>IF(BB65="",10,MIN(VLOOKUP(P65,Tables!$B$3:$N$34,13,FALSE()),'Item Builder'!$W65))</f>
        <v>10</v>
      </c>
    </row>
    <row r="66" spans="1:164" x14ac:dyDescent="0.25">
      <c r="A66" s="67" t="s">
        <v>35</v>
      </c>
      <c r="B66" s="68"/>
      <c r="C66" s="69"/>
      <c r="D66" s="70"/>
      <c r="E66" s="68"/>
      <c r="F66" s="69"/>
      <c r="G66" s="69"/>
      <c r="H66" s="69"/>
      <c r="I66" s="70"/>
      <c r="J66" s="68"/>
      <c r="K66" s="69"/>
      <c r="L66" s="70"/>
      <c r="M66" s="68"/>
      <c r="N66" s="69" t="s">
        <v>106</v>
      </c>
      <c r="O66" s="69"/>
      <c r="P66" s="71"/>
      <c r="Q66" s="72">
        <f>SUM(BV66:CJ66)*VLOOKUP(W66,Tables!$W$3:$Z$8,4)</f>
        <v>15</v>
      </c>
      <c r="R66" s="73">
        <f t="shared" si="0"/>
        <v>1.1399999999999999</v>
      </c>
      <c r="S66" s="74">
        <f t="shared" si="1"/>
        <v>0</v>
      </c>
      <c r="T66" s="74">
        <f t="shared" si="2"/>
        <v>0</v>
      </c>
      <c r="U66" s="75">
        <f t="shared" si="3"/>
        <v>24</v>
      </c>
      <c r="V66" s="76">
        <f t="shared" si="4"/>
        <v>6</v>
      </c>
      <c r="W66" s="77">
        <v>0</v>
      </c>
      <c r="X66" s="78">
        <f t="shared" si="5"/>
        <v>0</v>
      </c>
      <c r="Y66" s="79">
        <f t="shared" si="6"/>
        <v>0</v>
      </c>
      <c r="Z66" s="79">
        <f t="shared" si="7"/>
        <v>0</v>
      </c>
      <c r="AA66" s="78">
        <f t="shared" si="8"/>
        <v>0</v>
      </c>
      <c r="AB66" s="79">
        <f t="shared" si="9"/>
        <v>0</v>
      </c>
      <c r="AC66" s="79">
        <f t="shared" si="10"/>
        <v>0</v>
      </c>
      <c r="AD66" s="79">
        <f t="shared" si="11"/>
        <v>0</v>
      </c>
      <c r="AE66" s="79">
        <f t="shared" si="12"/>
        <v>0</v>
      </c>
      <c r="AF66" s="78">
        <f t="shared" si="13"/>
        <v>0</v>
      </c>
      <c r="AG66" s="79">
        <f t="shared" si="14"/>
        <v>0</v>
      </c>
      <c r="AH66" s="79">
        <f t="shared" si="15"/>
        <v>0</v>
      </c>
      <c r="AI66" s="78">
        <f t="shared" si="16"/>
        <v>0</v>
      </c>
      <c r="AJ66" s="79">
        <f t="shared" si="17"/>
        <v>1</v>
      </c>
      <c r="AK66" s="79">
        <f t="shared" si="18"/>
        <v>0</v>
      </c>
      <c r="AL66" s="80">
        <f t="shared" si="19"/>
        <v>0</v>
      </c>
      <c r="AM66" s="81">
        <f t="shared" si="20"/>
        <v>0.03</v>
      </c>
      <c r="AN66" s="82" t="str">
        <f t="shared" si="21"/>
        <v/>
      </c>
      <c r="AO66" s="79" t="str">
        <f t="shared" si="22"/>
        <v/>
      </c>
      <c r="AP66" t="str">
        <f t="shared" si="23"/>
        <v/>
      </c>
      <c r="AQ66" s="82" t="str">
        <f t="shared" si="24"/>
        <v/>
      </c>
      <c r="AR66" t="str">
        <f t="shared" si="25"/>
        <v/>
      </c>
      <c r="AS66" t="str">
        <f t="shared" si="26"/>
        <v/>
      </c>
      <c r="AT66" t="str">
        <f t="shared" si="27"/>
        <v/>
      </c>
      <c r="AU66" t="str">
        <f t="shared" si="28"/>
        <v/>
      </c>
      <c r="AV66" s="82" t="str">
        <f t="shared" si="29"/>
        <v/>
      </c>
      <c r="AW66" t="str">
        <f t="shared" si="30"/>
        <v/>
      </c>
      <c r="AX66" t="str">
        <f t="shared" si="31"/>
        <v/>
      </c>
      <c r="AY66" s="82" t="str">
        <f t="shared" si="32"/>
        <v/>
      </c>
      <c r="AZ66" t="str">
        <f t="shared" si="33"/>
        <v>K</v>
      </c>
      <c r="BA66" t="str">
        <f t="shared" si="34"/>
        <v/>
      </c>
      <c r="BB66" s="83" t="str">
        <f t="shared" si="35"/>
        <v/>
      </c>
      <c r="BC66" s="84">
        <f t="shared" si="36"/>
        <v>0</v>
      </c>
      <c r="BD66" s="84">
        <f t="shared" si="37"/>
        <v>0</v>
      </c>
      <c r="BE66" s="84">
        <f t="shared" si="38"/>
        <v>0</v>
      </c>
      <c r="BF66" s="84">
        <f t="shared" si="39"/>
        <v>8.3333333333333315E-2</v>
      </c>
      <c r="BG66" s="78">
        <f>IF(AN66="",0,VLOOKUP(AN66,Tables!$AB$3:$AC$12,2))</f>
        <v>0</v>
      </c>
      <c r="BH66" s="79">
        <f>IF(AO66="",0,VLOOKUP(AO66,Tables!$AB$3:$AC$12,2))</f>
        <v>0</v>
      </c>
      <c r="BI66" s="79">
        <f>IF(AP66="",0,VLOOKUP(AP66,Tables!$AB$3:$AC$12,2))</f>
        <v>0</v>
      </c>
      <c r="BJ66" s="78">
        <f>IF(AQ66="",0,VLOOKUP(AQ66,Tables!$AB$3:$AC$12,2))</f>
        <v>0</v>
      </c>
      <c r="BK66" s="79">
        <f>IF(AR66="",0,VLOOKUP(AR66,Tables!$AB$3:$AC$12,2))</f>
        <v>0</v>
      </c>
      <c r="BL66" s="79">
        <f>IF(AS66="",0,VLOOKUP(AS66,Tables!$AB$3:$AC$12,2))</f>
        <v>0</v>
      </c>
      <c r="BM66" s="79">
        <f>IF(AT66="",0,VLOOKUP(AT66,Tables!$AB$3:$AC$12,2))</f>
        <v>0</v>
      </c>
      <c r="BN66" s="79">
        <f>IF(AU66="",0,VLOOKUP(AU66,Tables!$AB$3:$AC$12,2))</f>
        <v>0</v>
      </c>
      <c r="BO66" s="78">
        <f>IF(AV66="",0,VLOOKUP(AV66,Tables!$AB$3:$AC$12,2))</f>
        <v>0</v>
      </c>
      <c r="BP66" s="79">
        <f>IF(AW66="",0,VLOOKUP(AW66,Tables!$AB$3:$AC$12,2))</f>
        <v>0</v>
      </c>
      <c r="BQ66" s="79">
        <f>IF(AX66="",0,VLOOKUP(AX66,Tables!$AB$3:$AC$12,2))</f>
        <v>0</v>
      </c>
      <c r="BR66" s="78">
        <f>IF(AY66="",0,VLOOKUP(AY66,Tables!$AB$3:$AC$12,2))</f>
        <v>0</v>
      </c>
      <c r="BS66" s="79">
        <f>IF(AZ66="",0,VLOOKUP(AZ66,Tables!$AB$3:$AC$12,2))</f>
        <v>1</v>
      </c>
      <c r="BT66" s="79">
        <f>IF(BA66="",0,VLOOKUP(BA66,Tables!$AB$3:$AC$12,2))</f>
        <v>0</v>
      </c>
      <c r="BU66" s="80">
        <f>IF(BB66="",0,VLOOKUP(BB66,Tables!$AB$3:$AC$12,2))</f>
        <v>0</v>
      </c>
      <c r="BV66" s="85">
        <f>IF(AN66="",0,VLOOKUP(B66,Tables!$B$3:$D$36,2,FALSE())*X$1)</f>
        <v>0</v>
      </c>
      <c r="BW66" s="72">
        <f>IF(AO66="",0,VLOOKUP(C66,Tables!$B$3:$D$36,2,FALSE())*Y$1)</f>
        <v>0</v>
      </c>
      <c r="BX66" s="72">
        <f>IF(AP66="",0,VLOOKUP(D66,Tables!$B$3:$D$36,2,FALSE())*Z$1)</f>
        <v>0</v>
      </c>
      <c r="BY66" s="85">
        <f>IF(AQ66="",0,VLOOKUP(E66,Tables!$B$3:$D$36,2,FALSE())*AA$1)</f>
        <v>0</v>
      </c>
      <c r="BZ66" s="72">
        <f>IF(AR66="",0,VLOOKUP(F66,Tables!$B$3:$D$36,2,FALSE())*AB$1)</f>
        <v>0</v>
      </c>
      <c r="CA66" s="72">
        <f>IF(AS66="",0,VLOOKUP(G66,Tables!$B$3:$D$36,2,FALSE())*AC$1)</f>
        <v>0</v>
      </c>
      <c r="CB66" s="72">
        <f>IF(AT66="",0,VLOOKUP(H66,Tables!$B$3:$D$36,2,FALSE())*AD$1)</f>
        <v>0</v>
      </c>
      <c r="CC66" s="72">
        <f>IF(AU66="",0,VLOOKUP(I66,Tables!$B$3:$D$36,2,FALSE())*AE$1)</f>
        <v>0</v>
      </c>
      <c r="CD66" s="85">
        <f>IF(AV66="",0,VLOOKUP(J66,Tables!$B$3:$D$36,2,FALSE())*AF$1)</f>
        <v>0</v>
      </c>
      <c r="CE66" s="72">
        <f>IF(AW66="",0,VLOOKUP(K66,Tables!$B$3:$D$36,2,FALSE())*AG$1)</f>
        <v>0</v>
      </c>
      <c r="CF66" s="72">
        <f>IF(AX66="",0,VLOOKUP(L66,Tables!$B$3:$D$36,2,FALSE())*AH$1)</f>
        <v>0</v>
      </c>
      <c r="CG66" s="85">
        <f>IF(AY66="",0,VLOOKUP(M66,Tables!$B$3:$D$36,2,FALSE())*AI$1)</f>
        <v>0</v>
      </c>
      <c r="CH66" s="72">
        <f>IF(AZ66="",0,VLOOKUP(N66,Tables!$B$3:$D$36,2,FALSE())*AJ$1)</f>
        <v>15</v>
      </c>
      <c r="CI66" s="72">
        <f>IF(BA66="",0,VLOOKUP(O66,Tables!$B$3:$D$36,2,FALSE())*AK$1)</f>
        <v>0</v>
      </c>
      <c r="CJ66" s="86">
        <f>IF(BB66="",0,VLOOKUP(P66,Tables!$B$3:$D$36,2,FALSE())*AL$1)</f>
        <v>0</v>
      </c>
      <c r="CK66" s="87">
        <f>IF(AN66="",0,VLOOKUP(B66,Tables!$B$3:$D$36,3,FALSE())*X$1)*IF(OR(AN66="K",AN66="P"),2,1)</f>
        <v>0</v>
      </c>
      <c r="CL66" s="73">
        <f>IF(AO66="",0,VLOOKUP(C66,Tables!$B$3:$D$36,3,FALSE())*Y$1)*IF(OR(AO66="K",AO66="P"),2,1)</f>
        <v>0</v>
      </c>
      <c r="CM66" s="73">
        <f>IF(AP66="",0,VLOOKUP(D66,Tables!$B$3:$D$36,3,FALSE())*Z$1)*IF(OR(AP66="K",AP66="P"),2,1)</f>
        <v>0</v>
      </c>
      <c r="CN66" s="87">
        <f>IF(AQ66="",0,VLOOKUP(E66,Tables!$B$3:$D$36,3,FALSE())*AA$1)</f>
        <v>0</v>
      </c>
      <c r="CO66" s="73">
        <f>IF(AR66="",0,VLOOKUP(F66,Tables!$B$3:$D$36,3,FALSE())*AB$1)</f>
        <v>0</v>
      </c>
      <c r="CP66" s="73">
        <f>IF(AS66="",0,VLOOKUP(G66,Tables!$B$3:$D$36,3,FALSE())*AC$1)</f>
        <v>0</v>
      </c>
      <c r="CQ66" s="73">
        <f>IF(AT66="",0,VLOOKUP(H66,Tables!$B$3:$D$36,3,FALSE())*AD$1)</f>
        <v>0</v>
      </c>
      <c r="CR66" s="73">
        <f>IF(AU66="",0,VLOOKUP(I66,Tables!$B$3:$D$36,3,FALSE())*AE$1)</f>
        <v>0</v>
      </c>
      <c r="CS66" s="87">
        <f>IF(AV66="",0,VLOOKUP(J66,Tables!$B$3:$D$36,3,FALSE())*AF$1)</f>
        <v>0</v>
      </c>
      <c r="CT66" s="73">
        <f>IF(AW66="",0,VLOOKUP(K66,Tables!$B$3:$D$36,3,FALSE())*AG$1)</f>
        <v>0</v>
      </c>
      <c r="CU66" s="73">
        <f>IF(AX66="",0,VLOOKUP(L66,Tables!$B$3:$D$36,3,FALSE())*AH$1)</f>
        <v>0</v>
      </c>
      <c r="CV66" s="87">
        <f>IF(AY66="",0,VLOOKUP(M66,Tables!$B$3:$D$36,3,FALSE())*AI$1)</f>
        <v>0</v>
      </c>
      <c r="CW66" s="73">
        <f>IF(AZ66="",0,VLOOKUP(N66,Tables!$B$3:$D$36,3,FALSE())*AJ$1)</f>
        <v>1.1399999999999999</v>
      </c>
      <c r="CX66" s="73">
        <f>IF(BA66="",0,VLOOKUP(O66,Tables!$B$3:$D$36,3,FALSE())*AK$1)</f>
        <v>0</v>
      </c>
      <c r="CY66" s="88">
        <f>IF(BB66="",0,VLOOKUP(P66,Tables!$B$3:$D$36,3,FALSE())*AL$1)</f>
        <v>0</v>
      </c>
      <c r="CZ66" s="89">
        <f t="shared" si="40"/>
        <v>0</v>
      </c>
      <c r="DA66" s="75">
        <f t="shared" si="41"/>
        <v>0</v>
      </c>
      <c r="DB66" s="75">
        <f t="shared" si="42"/>
        <v>0</v>
      </c>
      <c r="DC66" s="89">
        <f t="shared" si="43"/>
        <v>0</v>
      </c>
      <c r="DD66" s="75">
        <f t="shared" si="44"/>
        <v>0</v>
      </c>
      <c r="DE66" s="75">
        <f t="shared" si="45"/>
        <v>0</v>
      </c>
      <c r="DF66" s="75">
        <f t="shared" si="46"/>
        <v>0</v>
      </c>
      <c r="DG66" s="75">
        <f t="shared" si="47"/>
        <v>0</v>
      </c>
      <c r="DH66" s="89">
        <f t="shared" si="48"/>
        <v>0</v>
      </c>
      <c r="DI66" s="75">
        <f t="shared" si="49"/>
        <v>0</v>
      </c>
      <c r="DJ66" s="75">
        <f t="shared" si="50"/>
        <v>0</v>
      </c>
      <c r="DK66" s="89">
        <f t="shared" si="51"/>
        <v>0</v>
      </c>
      <c r="DL66" s="75">
        <f t="shared" si="52"/>
        <v>1.5</v>
      </c>
      <c r="DM66" s="75">
        <f t="shared" si="53"/>
        <v>0</v>
      </c>
      <c r="DN66" s="90">
        <f t="shared" si="54"/>
        <v>0</v>
      </c>
      <c r="DO66" s="91">
        <f>IF(AN66="",0,VLOOKUP(B66,Tables!$B$3:$M$36,11,FALSE())*X$1)</f>
        <v>0</v>
      </c>
      <c r="DP66" s="92">
        <f>IF(AO66="",0,VLOOKUP(C66,Tables!$B$3:$M$36,11,FALSE())*Y$1)</f>
        <v>0</v>
      </c>
      <c r="DQ66" s="92">
        <f>IF(AP66="",0,VLOOKUP(D66,Tables!$B$3:$M$36,11,FALSE())*Z$1)</f>
        <v>0</v>
      </c>
      <c r="DR66" s="91">
        <f>IF(AQ66="",0,VLOOKUP(E66,Tables!$B$3:$M$36,11,FALSE())*AA$1)</f>
        <v>0</v>
      </c>
      <c r="DS66" s="92">
        <f>IF(AR66="",0,VLOOKUP(F66,Tables!$B$3:$M$36,11,FALSE())*AB$1)</f>
        <v>0</v>
      </c>
      <c r="DT66" s="92">
        <f>IF(AS66="",0,VLOOKUP(G66,Tables!$B$3:$M$36,11,FALSE())*AC$1)</f>
        <v>0</v>
      </c>
      <c r="DU66" s="92">
        <f>IF(AT66="",0,VLOOKUP(H66,Tables!$B$3:$M$36,11,FALSE())*AD$1)</f>
        <v>0</v>
      </c>
      <c r="DV66" s="92">
        <f>IF(AU66="",0,VLOOKUP(I66,Tables!$B$3:$M$36,11,FALSE())*AE$1)</f>
        <v>0</v>
      </c>
      <c r="DW66" s="91">
        <f>IF(AV66="",0,VLOOKUP(J66,Tables!$B$3:$M$36,11,FALSE())*AF$1)</f>
        <v>0</v>
      </c>
      <c r="DX66" s="92">
        <f>IF(AW66="",0,VLOOKUP(K66,Tables!$B$3:$M$36,11,FALSE())*AG$1)</f>
        <v>0</v>
      </c>
      <c r="DY66" s="92">
        <f>IF(AX66="",0,VLOOKUP(L66,Tables!$B$3:$M$36,11,FALSE())*AH$1)</f>
        <v>0</v>
      </c>
      <c r="DZ66" s="91">
        <f>IF(AY66="",0,VLOOKUP(M66,Tables!$B$3:$M$36,11,FALSE())*AI$1)</f>
        <v>0</v>
      </c>
      <c r="EA66" s="92">
        <f>IF(AZ66="",0,VLOOKUP(N66,Tables!$B$3:$M$36,11,FALSE())*AJ$1)</f>
        <v>24</v>
      </c>
      <c r="EB66" s="92">
        <f>IF(BA66="",0,VLOOKUP(O66,Tables!$B$3:$M$36,11,FALSE())*AK$1)</f>
        <v>0</v>
      </c>
      <c r="EC66" s="93">
        <f>IF(BB66="",0,VLOOKUP(P66,Tables!$B$3:$M$36,11,FALSE())*AL$1)</f>
        <v>0</v>
      </c>
      <c r="ED66" s="91">
        <f>IF(AN66="",0,VLOOKUP(B66,Tables!$B$3:$M$36,12,FALSE())*X$1)</f>
        <v>0</v>
      </c>
      <c r="EE66" s="92">
        <f>IF(AO66="",0,VLOOKUP(C66,Tables!$B$3:$M$36,12,FALSE())*Y$1)</f>
        <v>0</v>
      </c>
      <c r="EF66" s="92">
        <f>IF(AP66="",0,VLOOKUP(D66,Tables!$B$3:$M$36,12,FALSE())*Z$1)</f>
        <v>0</v>
      </c>
      <c r="EG66" s="91">
        <f>IF(AQ66="",0,VLOOKUP(E66,Tables!$B$3:$M$36,12,FALSE())*AA$1)</f>
        <v>0</v>
      </c>
      <c r="EH66" s="92">
        <f>IF(AR66="",0,VLOOKUP(F66,Tables!$B$3:$M$36,12,FALSE())*AB$1)</f>
        <v>0</v>
      </c>
      <c r="EI66" s="92">
        <f>IF(AS66="",0,VLOOKUP(G66,Tables!$B$3:$M$36,12,FALSE())*AC$1)</f>
        <v>0</v>
      </c>
      <c r="EJ66" s="92">
        <f>IF(AT66="",0,VLOOKUP(H66,Tables!$B$3:$M$36,12,FALSE())*AD$1)</f>
        <v>0</v>
      </c>
      <c r="EK66" s="92">
        <f>IF(AU66="",0,VLOOKUP(I66,Tables!$B$3:$M$36,12,FALSE())*AE$1)</f>
        <v>0</v>
      </c>
      <c r="EL66" s="91">
        <f>IF(AV66="",0,VLOOKUP(J66,Tables!$B$3:$M$36,12,FALSE())*AF$1)</f>
        <v>0</v>
      </c>
      <c r="EM66" s="92">
        <f>IF(AW66="",0,VLOOKUP(K66,Tables!$B$3:$M$36,12,FALSE())*AG$1)</f>
        <v>0</v>
      </c>
      <c r="EN66" s="92">
        <f>IF(AX66="",0,VLOOKUP(L66,Tables!$B$3:$M$36,12,FALSE())*AH$1)</f>
        <v>0</v>
      </c>
      <c r="EO66" s="91">
        <f>IF(AY66="",0,VLOOKUP(M66,Tables!$B$3:$M$36,12,FALSE())*AI$1)</f>
        <v>0</v>
      </c>
      <c r="EP66" s="92">
        <f>IF(AZ66="",0,VLOOKUP(N66,Tables!$B$3:$M$36,12,FALSE())*AJ$1)</f>
        <v>6</v>
      </c>
      <c r="EQ66" s="92">
        <f>IF(BA66="",0,VLOOKUP(O66,Tables!$B$3:$M$36,12,FALSE())*AK$1)</f>
        <v>0</v>
      </c>
      <c r="ER66" s="93">
        <f>IF(BB66="",0,VLOOKUP(P66,Tables!$B$3:$M$36,12,FALSE())*AL$1)</f>
        <v>0</v>
      </c>
      <c r="ES66" s="94">
        <f t="shared" si="55"/>
        <v>0</v>
      </c>
      <c r="ET66" s="95">
        <f>IF(AN66="",10,MIN(VLOOKUP(B66,Tables!$B$3:$N$34,13,FALSE()),'Item Builder'!$W66))</f>
        <v>10</v>
      </c>
      <c r="EU66" s="95">
        <f>IF(AO66="",10,MIN(VLOOKUP(C66,Tables!$B$3:$N$34,13,FALSE()),'Item Builder'!$W66))</f>
        <v>10</v>
      </c>
      <c r="EV66" s="95">
        <f>IF(AP66="",10,MIN(VLOOKUP(D66,Tables!$B$3:$N$34,13,FALSE()),'Item Builder'!$W66))</f>
        <v>10</v>
      </c>
      <c r="EW66" s="95">
        <f>IF(AQ66="",10,MIN(VLOOKUP(E66,Tables!$B$3:$N$34,13,FALSE()),'Item Builder'!$W66))</f>
        <v>10</v>
      </c>
      <c r="EX66" s="95">
        <f>IF(AR66="",10,MIN(VLOOKUP(F66,Tables!$B$3:$N$34,13,FALSE()),'Item Builder'!$W66))</f>
        <v>10</v>
      </c>
      <c r="EY66" s="95">
        <f>IF(AS66="",10,MIN(VLOOKUP(G66,Tables!$B$3:$N$34,13,FALSE()),'Item Builder'!$W66))</f>
        <v>10</v>
      </c>
      <c r="EZ66" s="95">
        <f>IF(AT66="",10,MIN(VLOOKUP(H66,Tables!$B$3:$N$34,13,FALSE()),'Item Builder'!$W66))</f>
        <v>10</v>
      </c>
      <c r="FA66" s="95">
        <f>IF(AU66="",10,MIN(VLOOKUP(I66,Tables!$B$3:$N$34,13,FALSE()),'Item Builder'!$W66))</f>
        <v>10</v>
      </c>
      <c r="FB66" s="95">
        <f>IF(AV66="",10,MIN(VLOOKUP(J66,Tables!$B$3:$N$34,13,FALSE()),'Item Builder'!$W66))</f>
        <v>10</v>
      </c>
      <c r="FC66" s="95">
        <f>IF(AW66="",10,MIN(VLOOKUP(K66,Tables!$B$3:$N$34,13,FALSE()),'Item Builder'!$W66))</f>
        <v>10</v>
      </c>
      <c r="FD66" s="95">
        <f>IF(AX66="",10,MIN(VLOOKUP(L66,Tables!$B$3:$N$34,13,FALSE()),'Item Builder'!$W66))</f>
        <v>10</v>
      </c>
      <c r="FE66" s="95">
        <f>IF(AY66="",10,MIN(VLOOKUP(M66,Tables!$B$3:$N$34,13,FALSE()),'Item Builder'!$W66))</f>
        <v>10</v>
      </c>
      <c r="FF66" s="95">
        <f>IF(AZ66="",10,MIN(VLOOKUP(N66,Tables!$B$3:$N$34,13,FALSE()),'Item Builder'!$W66))</f>
        <v>0</v>
      </c>
      <c r="FG66" s="95">
        <f>IF(BA66="",10,MIN(VLOOKUP(O66,Tables!$B$3:$N$34,13,FALSE()),'Item Builder'!$W66))</f>
        <v>10</v>
      </c>
      <c r="FH66" s="98">
        <f>IF(BB66="",10,MIN(VLOOKUP(P66,Tables!$B$3:$N$34,13,FALSE()),'Item Builder'!$W66))</f>
        <v>10</v>
      </c>
    </row>
    <row r="67" spans="1:164" x14ac:dyDescent="0.25">
      <c r="A67" s="67" t="s">
        <v>225</v>
      </c>
      <c r="B67" s="68"/>
      <c r="C67" s="69"/>
      <c r="D67" s="70"/>
      <c r="E67" s="68"/>
      <c r="F67" s="69"/>
      <c r="G67" s="69"/>
      <c r="H67" s="69"/>
      <c r="I67" s="70"/>
      <c r="J67" s="68"/>
      <c r="K67" s="69"/>
      <c r="L67" s="70"/>
      <c r="M67" s="68"/>
      <c r="N67" s="69"/>
      <c r="O67" s="69" t="s">
        <v>106</v>
      </c>
      <c r="P67" s="71"/>
      <c r="Q67" s="72">
        <f>SUM(BV67:CJ67)*VLOOKUP(W67,Tables!$W$3:$Z$8,4)</f>
        <v>60</v>
      </c>
      <c r="R67" s="73">
        <f t="shared" si="0"/>
        <v>4.5599999999999996</v>
      </c>
      <c r="S67" s="101">
        <f t="shared" si="1"/>
        <v>5</v>
      </c>
      <c r="T67" s="74">
        <f t="shared" si="2"/>
        <v>0</v>
      </c>
      <c r="U67" s="75">
        <f t="shared" si="3"/>
        <v>96</v>
      </c>
      <c r="V67" s="76">
        <f t="shared" si="4"/>
        <v>24</v>
      </c>
      <c r="W67" s="77">
        <v>0</v>
      </c>
      <c r="X67" s="78">
        <f t="shared" si="5"/>
        <v>0</v>
      </c>
      <c r="Y67" s="79">
        <f t="shared" si="6"/>
        <v>0</v>
      </c>
      <c r="Z67" s="79">
        <f t="shared" si="7"/>
        <v>0</v>
      </c>
      <c r="AA67" s="78">
        <f t="shared" si="8"/>
        <v>0</v>
      </c>
      <c r="AB67" s="79">
        <f t="shared" si="9"/>
        <v>0</v>
      </c>
      <c r="AC67" s="79">
        <f t="shared" si="10"/>
        <v>0</v>
      </c>
      <c r="AD67" s="79">
        <f t="shared" si="11"/>
        <v>0</v>
      </c>
      <c r="AE67" s="79">
        <f t="shared" si="12"/>
        <v>0</v>
      </c>
      <c r="AF67" s="78">
        <f t="shared" si="13"/>
        <v>0</v>
      </c>
      <c r="AG67" s="79">
        <f t="shared" si="14"/>
        <v>0</v>
      </c>
      <c r="AH67" s="79">
        <f t="shared" si="15"/>
        <v>0</v>
      </c>
      <c r="AI67" s="78">
        <f t="shared" si="16"/>
        <v>0</v>
      </c>
      <c r="AJ67" s="79">
        <f t="shared" si="17"/>
        <v>0</v>
      </c>
      <c r="AK67" s="79">
        <f t="shared" si="18"/>
        <v>1</v>
      </c>
      <c r="AL67" s="80">
        <f t="shared" si="19"/>
        <v>0</v>
      </c>
      <c r="AM67" s="81">
        <f t="shared" si="20"/>
        <v>0.12</v>
      </c>
      <c r="AN67" s="82" t="str">
        <f t="shared" si="21"/>
        <v/>
      </c>
      <c r="AO67" s="79" t="str">
        <f t="shared" si="22"/>
        <v/>
      </c>
      <c r="AP67" t="str">
        <f t="shared" si="23"/>
        <v/>
      </c>
      <c r="AQ67" s="82" t="str">
        <f t="shared" si="24"/>
        <v/>
      </c>
      <c r="AR67" t="str">
        <f t="shared" si="25"/>
        <v/>
      </c>
      <c r="AS67" t="str">
        <f t="shared" si="26"/>
        <v/>
      </c>
      <c r="AT67" t="str">
        <f t="shared" si="27"/>
        <v/>
      </c>
      <c r="AU67" t="str">
        <f t="shared" si="28"/>
        <v/>
      </c>
      <c r="AV67" s="82" t="str">
        <f t="shared" si="29"/>
        <v/>
      </c>
      <c r="AW67" t="str">
        <f t="shared" si="30"/>
        <v/>
      </c>
      <c r="AX67" t="str">
        <f t="shared" si="31"/>
        <v/>
      </c>
      <c r="AY67" s="82" t="str">
        <f t="shared" si="32"/>
        <v/>
      </c>
      <c r="AZ67" t="str">
        <f t="shared" si="33"/>
        <v/>
      </c>
      <c r="BA67" t="str">
        <f t="shared" si="34"/>
        <v>K</v>
      </c>
      <c r="BB67" s="83" t="str">
        <f t="shared" si="35"/>
        <v/>
      </c>
      <c r="BC67" s="84">
        <f t="shared" si="36"/>
        <v>0</v>
      </c>
      <c r="BD67" s="84">
        <f t="shared" si="37"/>
        <v>0</v>
      </c>
      <c r="BE67" s="84">
        <f t="shared" si="38"/>
        <v>0</v>
      </c>
      <c r="BF67" s="84">
        <f t="shared" si="39"/>
        <v>0.33333333333333326</v>
      </c>
      <c r="BG67" s="78">
        <f>IF(AN67="",0,VLOOKUP(AN67,Tables!$AB$3:$AC$12,2))</f>
        <v>0</v>
      </c>
      <c r="BH67" s="79">
        <f>IF(AO67="",0,VLOOKUP(AO67,Tables!$AB$3:$AC$12,2))</f>
        <v>0</v>
      </c>
      <c r="BI67" s="79">
        <f>IF(AP67="",0,VLOOKUP(AP67,Tables!$AB$3:$AC$12,2))</f>
        <v>0</v>
      </c>
      <c r="BJ67" s="78">
        <f>IF(AQ67="",0,VLOOKUP(AQ67,Tables!$AB$3:$AC$12,2))</f>
        <v>0</v>
      </c>
      <c r="BK67" s="79">
        <f>IF(AR67="",0,VLOOKUP(AR67,Tables!$AB$3:$AC$12,2))</f>
        <v>0</v>
      </c>
      <c r="BL67" s="79">
        <f>IF(AS67="",0,VLOOKUP(AS67,Tables!$AB$3:$AC$12,2))</f>
        <v>0</v>
      </c>
      <c r="BM67" s="79">
        <f>IF(AT67="",0,VLOOKUP(AT67,Tables!$AB$3:$AC$12,2))</f>
        <v>0</v>
      </c>
      <c r="BN67" s="79">
        <f>IF(AU67="",0,VLOOKUP(AU67,Tables!$AB$3:$AC$12,2))</f>
        <v>0</v>
      </c>
      <c r="BO67" s="78">
        <f>IF(AV67="",0,VLOOKUP(AV67,Tables!$AB$3:$AC$12,2))</f>
        <v>0</v>
      </c>
      <c r="BP67" s="79">
        <f>IF(AW67="",0,VLOOKUP(AW67,Tables!$AB$3:$AC$12,2))</f>
        <v>0</v>
      </c>
      <c r="BQ67" s="79">
        <f>IF(AX67="",0,VLOOKUP(AX67,Tables!$AB$3:$AC$12,2))</f>
        <v>0</v>
      </c>
      <c r="BR67" s="78">
        <f>IF(AY67="",0,VLOOKUP(AY67,Tables!$AB$3:$AC$12,2))</f>
        <v>0</v>
      </c>
      <c r="BS67" s="79">
        <f>IF(AZ67="",0,VLOOKUP(AZ67,Tables!$AB$3:$AC$12,2))</f>
        <v>0</v>
      </c>
      <c r="BT67" s="79">
        <f>IF(BA67="",0,VLOOKUP(BA67,Tables!$AB$3:$AC$12,2))</f>
        <v>1</v>
      </c>
      <c r="BU67" s="80">
        <f>IF(BB67="",0,VLOOKUP(BB67,Tables!$AB$3:$AC$12,2))</f>
        <v>0</v>
      </c>
      <c r="BV67" s="85">
        <f>IF(AN67="",0,VLOOKUP(B67,Tables!$B$3:$D$36,2,FALSE())*X$1)</f>
        <v>0</v>
      </c>
      <c r="BW67" s="72">
        <f>IF(AO67="",0,VLOOKUP(C67,Tables!$B$3:$D$36,2,FALSE())*Y$1)</f>
        <v>0</v>
      </c>
      <c r="BX67" s="72">
        <f>IF(AP67="",0,VLOOKUP(D67,Tables!$B$3:$D$36,2,FALSE())*Z$1)</f>
        <v>0</v>
      </c>
      <c r="BY67" s="85">
        <f>IF(AQ67="",0,VLOOKUP(E67,Tables!$B$3:$D$36,2,FALSE())*AA$1)</f>
        <v>0</v>
      </c>
      <c r="BZ67" s="72">
        <f>IF(AR67="",0,VLOOKUP(F67,Tables!$B$3:$D$36,2,FALSE())*AB$1)</f>
        <v>0</v>
      </c>
      <c r="CA67" s="72">
        <f>IF(AS67="",0,VLOOKUP(G67,Tables!$B$3:$D$36,2,FALSE())*AC$1)</f>
        <v>0</v>
      </c>
      <c r="CB67" s="72">
        <f>IF(AT67="",0,VLOOKUP(H67,Tables!$B$3:$D$36,2,FALSE())*AD$1)</f>
        <v>0</v>
      </c>
      <c r="CC67" s="72">
        <f>IF(AU67="",0,VLOOKUP(I67,Tables!$B$3:$D$36,2,FALSE())*AE$1)</f>
        <v>0</v>
      </c>
      <c r="CD67" s="85">
        <f>IF(AV67="",0,VLOOKUP(J67,Tables!$B$3:$D$36,2,FALSE())*AF$1)</f>
        <v>0</v>
      </c>
      <c r="CE67" s="72">
        <f>IF(AW67="",0,VLOOKUP(K67,Tables!$B$3:$D$36,2,FALSE())*AG$1)</f>
        <v>0</v>
      </c>
      <c r="CF67" s="72">
        <f>IF(AX67="",0,VLOOKUP(L67,Tables!$B$3:$D$36,2,FALSE())*AH$1)</f>
        <v>0</v>
      </c>
      <c r="CG67" s="85">
        <f>IF(AY67="",0,VLOOKUP(M67,Tables!$B$3:$D$36,2,FALSE())*AI$1)</f>
        <v>0</v>
      </c>
      <c r="CH67" s="72">
        <f>IF(AZ67="",0,VLOOKUP(N67,Tables!$B$3:$D$36,2,FALSE())*AJ$1)</f>
        <v>0</v>
      </c>
      <c r="CI67" s="72">
        <f>IF(BA67="",0,VLOOKUP(O67,Tables!$B$3:$D$36,2,FALSE())*AK$1)</f>
        <v>60</v>
      </c>
      <c r="CJ67" s="86">
        <f>IF(BB67="",0,VLOOKUP(P67,Tables!$B$3:$D$36,2,FALSE())*AL$1)</f>
        <v>0</v>
      </c>
      <c r="CK67" s="87">
        <f>IF(AN67="",0,VLOOKUP(B67,Tables!$B$3:$D$36,3,FALSE())*X$1)*IF(OR(AN67="K",AN67="P"),2,1)</f>
        <v>0</v>
      </c>
      <c r="CL67" s="73">
        <f>IF(AO67="",0,VLOOKUP(C67,Tables!$B$3:$D$36,3,FALSE())*Y$1)*IF(OR(AO67="K",AO67="P"),2,1)</f>
        <v>0</v>
      </c>
      <c r="CM67" s="73">
        <f>IF(AP67="",0,VLOOKUP(D67,Tables!$B$3:$D$36,3,FALSE())*Z$1)*IF(OR(AP67="K",AP67="P"),2,1)</f>
        <v>0</v>
      </c>
      <c r="CN67" s="87">
        <f>IF(AQ67="",0,VLOOKUP(E67,Tables!$B$3:$D$36,3,FALSE())*AA$1)</f>
        <v>0</v>
      </c>
      <c r="CO67" s="73">
        <f>IF(AR67="",0,VLOOKUP(F67,Tables!$B$3:$D$36,3,FALSE())*AB$1)</f>
        <v>0</v>
      </c>
      <c r="CP67" s="73">
        <f>IF(AS67="",0,VLOOKUP(G67,Tables!$B$3:$D$36,3,FALSE())*AC$1)</f>
        <v>0</v>
      </c>
      <c r="CQ67" s="73">
        <f>IF(AT67="",0,VLOOKUP(H67,Tables!$B$3:$D$36,3,FALSE())*AD$1)</f>
        <v>0</v>
      </c>
      <c r="CR67" s="73">
        <f>IF(AU67="",0,VLOOKUP(I67,Tables!$B$3:$D$36,3,FALSE())*AE$1)</f>
        <v>0</v>
      </c>
      <c r="CS67" s="87">
        <f>IF(AV67="",0,VLOOKUP(J67,Tables!$B$3:$D$36,3,FALSE())*AF$1)</f>
        <v>0</v>
      </c>
      <c r="CT67" s="73">
        <f>IF(AW67="",0,VLOOKUP(K67,Tables!$B$3:$D$36,3,FALSE())*AG$1)</f>
        <v>0</v>
      </c>
      <c r="CU67" s="73">
        <f>IF(AX67="",0,VLOOKUP(L67,Tables!$B$3:$D$36,3,FALSE())*AH$1)</f>
        <v>0</v>
      </c>
      <c r="CV67" s="87">
        <f>IF(AY67="",0,VLOOKUP(M67,Tables!$B$3:$D$36,3,FALSE())*AI$1)</f>
        <v>0</v>
      </c>
      <c r="CW67" s="73">
        <f>IF(AZ67="",0,VLOOKUP(N67,Tables!$B$3:$D$36,3,FALSE())*AJ$1)</f>
        <v>0</v>
      </c>
      <c r="CX67" s="73">
        <f>IF(BA67="",0,VLOOKUP(O67,Tables!$B$3:$D$36,3,FALSE())*AK$1)</f>
        <v>4.5599999999999996</v>
      </c>
      <c r="CY67" s="88">
        <f>IF(BB67="",0,VLOOKUP(P67,Tables!$B$3:$D$36,3,FALSE())*AL$1)</f>
        <v>0</v>
      </c>
      <c r="CZ67" s="89">
        <f t="shared" si="40"/>
        <v>0</v>
      </c>
      <c r="DA67" s="75">
        <f t="shared" si="41"/>
        <v>0</v>
      </c>
      <c r="DB67" s="75">
        <f t="shared" si="42"/>
        <v>0</v>
      </c>
      <c r="DC67" s="89">
        <f t="shared" si="43"/>
        <v>0</v>
      </c>
      <c r="DD67" s="75">
        <f t="shared" si="44"/>
        <v>0</v>
      </c>
      <c r="DE67" s="75">
        <f t="shared" si="45"/>
        <v>0</v>
      </c>
      <c r="DF67" s="75">
        <f t="shared" si="46"/>
        <v>0</v>
      </c>
      <c r="DG67" s="75">
        <f t="shared" si="47"/>
        <v>0</v>
      </c>
      <c r="DH67" s="89">
        <f t="shared" si="48"/>
        <v>0</v>
      </c>
      <c r="DI67" s="75">
        <f t="shared" si="49"/>
        <v>0</v>
      </c>
      <c r="DJ67" s="75">
        <f t="shared" si="50"/>
        <v>0</v>
      </c>
      <c r="DK67" s="89">
        <f t="shared" si="51"/>
        <v>0</v>
      </c>
      <c r="DL67" s="75">
        <f t="shared" si="52"/>
        <v>0</v>
      </c>
      <c r="DM67" s="75">
        <f t="shared" si="53"/>
        <v>1.5</v>
      </c>
      <c r="DN67" s="90">
        <f t="shared" si="54"/>
        <v>0</v>
      </c>
      <c r="DO67" s="91">
        <f>IF(AN67="",0,VLOOKUP(B67,Tables!$B$3:$M$36,11,FALSE())*X$1)</f>
        <v>0</v>
      </c>
      <c r="DP67" s="92">
        <f>IF(AO67="",0,VLOOKUP(C67,Tables!$B$3:$M$36,11,FALSE())*Y$1)</f>
        <v>0</v>
      </c>
      <c r="DQ67" s="92">
        <f>IF(AP67="",0,VLOOKUP(D67,Tables!$B$3:$M$36,11,FALSE())*Z$1)</f>
        <v>0</v>
      </c>
      <c r="DR67" s="91">
        <f>IF(AQ67="",0,VLOOKUP(E67,Tables!$B$3:$M$36,11,FALSE())*AA$1)</f>
        <v>0</v>
      </c>
      <c r="DS67" s="92">
        <f>IF(AR67="",0,VLOOKUP(F67,Tables!$B$3:$M$36,11,FALSE())*AB$1)</f>
        <v>0</v>
      </c>
      <c r="DT67" s="92">
        <f>IF(AS67="",0,VLOOKUP(G67,Tables!$B$3:$M$36,11,FALSE())*AC$1)</f>
        <v>0</v>
      </c>
      <c r="DU67" s="92">
        <f>IF(AT67="",0,VLOOKUP(H67,Tables!$B$3:$M$36,11,FALSE())*AD$1)</f>
        <v>0</v>
      </c>
      <c r="DV67" s="92">
        <f>IF(AU67="",0,VLOOKUP(I67,Tables!$B$3:$M$36,11,FALSE())*AE$1)</f>
        <v>0</v>
      </c>
      <c r="DW67" s="91">
        <f>IF(AV67="",0,VLOOKUP(J67,Tables!$B$3:$M$36,11,FALSE())*AF$1)</f>
        <v>0</v>
      </c>
      <c r="DX67" s="92">
        <f>IF(AW67="",0,VLOOKUP(K67,Tables!$B$3:$M$36,11,FALSE())*AG$1)</f>
        <v>0</v>
      </c>
      <c r="DY67" s="92">
        <f>IF(AX67="",0,VLOOKUP(L67,Tables!$B$3:$M$36,11,FALSE())*AH$1)</f>
        <v>0</v>
      </c>
      <c r="DZ67" s="91">
        <f>IF(AY67="",0,VLOOKUP(M67,Tables!$B$3:$M$36,11,FALSE())*AI$1)</f>
        <v>0</v>
      </c>
      <c r="EA67" s="92">
        <f>IF(AZ67="",0,VLOOKUP(N67,Tables!$B$3:$M$36,11,FALSE())*AJ$1)</f>
        <v>0</v>
      </c>
      <c r="EB67" s="92">
        <f>IF(BA67="",0,VLOOKUP(O67,Tables!$B$3:$M$36,11,FALSE())*AK$1)</f>
        <v>96</v>
      </c>
      <c r="EC67" s="93">
        <f>IF(BB67="",0,VLOOKUP(P67,Tables!$B$3:$M$36,11,FALSE())*AL$1)</f>
        <v>0</v>
      </c>
      <c r="ED67" s="91">
        <f>IF(AN67="",0,VLOOKUP(B67,Tables!$B$3:$M$36,12,FALSE())*X$1)</f>
        <v>0</v>
      </c>
      <c r="EE67" s="92">
        <f>IF(AO67="",0,VLOOKUP(C67,Tables!$B$3:$M$36,12,FALSE())*Y$1)</f>
        <v>0</v>
      </c>
      <c r="EF67" s="92">
        <f>IF(AP67="",0,VLOOKUP(D67,Tables!$B$3:$M$36,12,FALSE())*Z$1)</f>
        <v>0</v>
      </c>
      <c r="EG67" s="91">
        <f>IF(AQ67="",0,VLOOKUP(E67,Tables!$B$3:$M$36,12,FALSE())*AA$1)</f>
        <v>0</v>
      </c>
      <c r="EH67" s="92">
        <f>IF(AR67="",0,VLOOKUP(F67,Tables!$B$3:$M$36,12,FALSE())*AB$1)</f>
        <v>0</v>
      </c>
      <c r="EI67" s="92">
        <f>IF(AS67="",0,VLOOKUP(G67,Tables!$B$3:$M$36,12,FALSE())*AC$1)</f>
        <v>0</v>
      </c>
      <c r="EJ67" s="92">
        <f>IF(AT67="",0,VLOOKUP(H67,Tables!$B$3:$M$36,12,FALSE())*AD$1)</f>
        <v>0</v>
      </c>
      <c r="EK67" s="92">
        <f>IF(AU67="",0,VLOOKUP(I67,Tables!$B$3:$M$36,12,FALSE())*AE$1)</f>
        <v>0</v>
      </c>
      <c r="EL67" s="91">
        <f>IF(AV67="",0,VLOOKUP(J67,Tables!$B$3:$M$36,12,FALSE())*AF$1)</f>
        <v>0</v>
      </c>
      <c r="EM67" s="92">
        <f>IF(AW67="",0,VLOOKUP(K67,Tables!$B$3:$M$36,12,FALSE())*AG$1)</f>
        <v>0</v>
      </c>
      <c r="EN67" s="92">
        <f>IF(AX67="",0,VLOOKUP(L67,Tables!$B$3:$M$36,12,FALSE())*AH$1)</f>
        <v>0</v>
      </c>
      <c r="EO67" s="91">
        <f>IF(AY67="",0,VLOOKUP(M67,Tables!$B$3:$M$36,12,FALSE())*AI$1)</f>
        <v>0</v>
      </c>
      <c r="EP67" s="92">
        <f>IF(AZ67="",0,VLOOKUP(N67,Tables!$B$3:$M$36,12,FALSE())*AJ$1)</f>
        <v>0</v>
      </c>
      <c r="EQ67" s="92">
        <f>IF(BA67="",0,VLOOKUP(O67,Tables!$B$3:$M$36,12,FALSE())*AK$1)</f>
        <v>24</v>
      </c>
      <c r="ER67" s="93">
        <f>IF(BB67="",0,VLOOKUP(P67,Tables!$B$3:$M$36,12,FALSE())*AL$1)</f>
        <v>0</v>
      </c>
      <c r="ES67" s="94">
        <f t="shared" si="55"/>
        <v>0</v>
      </c>
      <c r="ET67" s="95">
        <f>IF(AN67="",10,MIN(VLOOKUP(B67,Tables!$B$3:$N$34,13,FALSE()),'Item Builder'!$W67))</f>
        <v>10</v>
      </c>
      <c r="EU67" s="95">
        <f>IF(AO67="",10,MIN(VLOOKUP(C67,Tables!$B$3:$N$34,13,FALSE()),'Item Builder'!$W67))</f>
        <v>10</v>
      </c>
      <c r="EV67" s="95">
        <f>IF(AP67="",10,MIN(VLOOKUP(D67,Tables!$B$3:$N$34,13,FALSE()),'Item Builder'!$W67))</f>
        <v>10</v>
      </c>
      <c r="EW67" s="95">
        <f>IF(AQ67="",10,MIN(VLOOKUP(E67,Tables!$B$3:$N$34,13,FALSE()),'Item Builder'!$W67))</f>
        <v>10</v>
      </c>
      <c r="EX67" s="95">
        <f>IF(AR67="",10,MIN(VLOOKUP(F67,Tables!$B$3:$N$34,13,FALSE()),'Item Builder'!$W67))</f>
        <v>10</v>
      </c>
      <c r="EY67" s="95">
        <f>IF(AS67="",10,MIN(VLOOKUP(G67,Tables!$B$3:$N$34,13,FALSE()),'Item Builder'!$W67))</f>
        <v>10</v>
      </c>
      <c r="EZ67" s="95">
        <f>IF(AT67="",10,MIN(VLOOKUP(H67,Tables!$B$3:$N$34,13,FALSE()),'Item Builder'!$W67))</f>
        <v>10</v>
      </c>
      <c r="FA67" s="95">
        <f>IF(AU67="",10,MIN(VLOOKUP(I67,Tables!$B$3:$N$34,13,FALSE()),'Item Builder'!$W67))</f>
        <v>10</v>
      </c>
      <c r="FB67" s="95">
        <f>IF(AV67="",10,MIN(VLOOKUP(J67,Tables!$B$3:$N$34,13,FALSE()),'Item Builder'!$W67))</f>
        <v>10</v>
      </c>
      <c r="FC67" s="95">
        <f>IF(AW67="",10,MIN(VLOOKUP(K67,Tables!$B$3:$N$34,13,FALSE()),'Item Builder'!$W67))</f>
        <v>10</v>
      </c>
      <c r="FD67" s="95">
        <f>IF(AX67="",10,MIN(VLOOKUP(L67,Tables!$B$3:$N$34,13,FALSE()),'Item Builder'!$W67))</f>
        <v>10</v>
      </c>
      <c r="FE67" s="95">
        <f>IF(AY67="",10,MIN(VLOOKUP(M67,Tables!$B$3:$N$34,13,FALSE()),'Item Builder'!$W67))</f>
        <v>10</v>
      </c>
      <c r="FF67" s="95">
        <f>IF(AZ67="",10,MIN(VLOOKUP(N67,Tables!$B$3:$N$34,13,FALSE()),'Item Builder'!$W67))</f>
        <v>10</v>
      </c>
      <c r="FG67" s="95">
        <f>IF(BA67="",10,MIN(VLOOKUP(O67,Tables!$B$3:$N$34,13,FALSE()),'Item Builder'!$W67))</f>
        <v>0</v>
      </c>
      <c r="FH67" s="98">
        <f>IF(BB67="",10,MIN(VLOOKUP(P67,Tables!$B$3:$N$34,13,FALSE()),'Item Builder'!$W67))</f>
        <v>10</v>
      </c>
    </row>
    <row r="68" spans="1:164" x14ac:dyDescent="0.25">
      <c r="A68" s="67" t="s">
        <v>226</v>
      </c>
      <c r="B68" s="68" t="s">
        <v>107</v>
      </c>
      <c r="C68" s="69"/>
      <c r="D68" s="70" t="s">
        <v>107</v>
      </c>
      <c r="E68" s="68"/>
      <c r="F68" s="69"/>
      <c r="G68" s="69"/>
      <c r="H68" s="69"/>
      <c r="I68" s="70"/>
      <c r="J68" s="68"/>
      <c r="K68" s="69"/>
      <c r="L68" s="70"/>
      <c r="M68" s="68"/>
      <c r="N68" s="69"/>
      <c r="O68" s="69"/>
      <c r="P68" s="71"/>
      <c r="Q68" s="72">
        <f>SUM(BV68:CJ68)*VLOOKUP(W68,Tables!$W$3:$Z$8,4)</f>
        <v>60</v>
      </c>
      <c r="R68" s="73">
        <f t="shared" ref="R68:R131" si="56">SUM(CK68:CY68)</f>
        <v>3.3000000000000003</v>
      </c>
      <c r="S68" s="74">
        <f t="shared" ref="S68:S131" si="57">ROUND(SUMPRODUCT(CK68:CY68,CZ68:DN68,$CK$1:$CY$1)/$S$2,0)*5</f>
        <v>0</v>
      </c>
      <c r="T68" s="74">
        <f t="shared" ref="T68:T131" si="58">IF(OR(B68="",D68=""),0,5)+IF(C68="",0,5)</f>
        <v>5</v>
      </c>
      <c r="U68" s="75">
        <f t="shared" ref="U68:U131" si="59">SUM(DO68:EC68)</f>
        <v>66</v>
      </c>
      <c r="V68" s="76">
        <f t="shared" ref="V68:V131" si="60">SUM(ED68:ER68)</f>
        <v>21</v>
      </c>
      <c r="W68" s="77">
        <v>0</v>
      </c>
      <c r="X68" s="78">
        <f t="shared" ref="X68:X131" si="61">COUNTA(B68)</f>
        <v>1</v>
      </c>
      <c r="Y68" s="79">
        <f t="shared" ref="Y68:Y131" si="62">COUNTA(C68)</f>
        <v>0</v>
      </c>
      <c r="Z68" s="79">
        <f t="shared" ref="Z68:Z131" si="63">COUNTA(D68)</f>
        <v>1</v>
      </c>
      <c r="AA68" s="78">
        <f t="shared" ref="AA68:AA131" si="64">COUNTA(E68)</f>
        <v>0</v>
      </c>
      <c r="AB68" s="79">
        <f t="shared" ref="AB68:AB131" si="65">COUNTA(F68)</f>
        <v>0</v>
      </c>
      <c r="AC68" s="79">
        <f t="shared" ref="AC68:AC131" si="66">COUNTA(G68)</f>
        <v>0</v>
      </c>
      <c r="AD68" s="79">
        <f t="shared" ref="AD68:AD131" si="67">COUNTA(H68)</f>
        <v>0</v>
      </c>
      <c r="AE68" s="79">
        <f t="shared" ref="AE68:AE131" si="68">COUNTA(I68)</f>
        <v>0</v>
      </c>
      <c r="AF68" s="78">
        <f t="shared" ref="AF68:AF131" si="69">COUNTA(J68)</f>
        <v>0</v>
      </c>
      <c r="AG68" s="79">
        <f t="shared" ref="AG68:AG131" si="70">COUNTA(K68)</f>
        <v>0</v>
      </c>
      <c r="AH68" s="79">
        <f t="shared" ref="AH68:AH131" si="71">COUNTA(L68)</f>
        <v>0</v>
      </c>
      <c r="AI68" s="78">
        <f t="shared" ref="AI68:AI131" si="72">COUNTA(M68)</f>
        <v>0</v>
      </c>
      <c r="AJ68" s="79">
        <f t="shared" ref="AJ68:AJ131" si="73">COUNTA(N68)</f>
        <v>0</v>
      </c>
      <c r="AK68" s="79">
        <f t="shared" ref="AK68:AK131" si="74">COUNTA(O68)</f>
        <v>0</v>
      </c>
      <c r="AL68" s="80">
        <f t="shared" ref="AL68:AL131" si="75">COUNTA(P68)</f>
        <v>0</v>
      </c>
      <c r="AM68" s="81">
        <f t="shared" ref="AM68:AM131" si="76">SUMPRODUCT(X68:AL68,$X$1:$AL$1)</f>
        <v>0.06</v>
      </c>
      <c r="AN68" s="82" t="str">
        <f t="shared" ref="AN68:AN131" si="77">LEFT(B68,1)</f>
        <v>S</v>
      </c>
      <c r="AO68" s="79" t="str">
        <f t="shared" ref="AO68:AO131" si="78">LEFT(C68,1)</f>
        <v/>
      </c>
      <c r="AP68" t="str">
        <f t="shared" ref="AP68:AP131" si="79">LEFT(D68,1)</f>
        <v>S</v>
      </c>
      <c r="AQ68" s="82" t="str">
        <f t="shared" ref="AQ68:AQ131" si="80">LEFT(E68,1)</f>
        <v/>
      </c>
      <c r="AR68" t="str">
        <f t="shared" ref="AR68:AR131" si="81">LEFT(F68,1)</f>
        <v/>
      </c>
      <c r="AS68" t="str">
        <f t="shared" ref="AS68:AS131" si="82">LEFT(G68,1)</f>
        <v/>
      </c>
      <c r="AT68" t="str">
        <f t="shared" ref="AT68:AT131" si="83">LEFT(H68,1)</f>
        <v/>
      </c>
      <c r="AU68" t="str">
        <f t="shared" ref="AU68:AU131" si="84">LEFT(I68,1)</f>
        <v/>
      </c>
      <c r="AV68" s="82" t="str">
        <f t="shared" ref="AV68:AV131" si="85">LEFT(J68,1)</f>
        <v/>
      </c>
      <c r="AW68" t="str">
        <f t="shared" ref="AW68:AW131" si="86">LEFT(K68,1)</f>
        <v/>
      </c>
      <c r="AX68" t="str">
        <f t="shared" ref="AX68:AX131" si="87">LEFT(L68,1)</f>
        <v/>
      </c>
      <c r="AY68" s="82" t="str">
        <f t="shared" ref="AY68:AY131" si="88">LEFT(M68,1)</f>
        <v/>
      </c>
      <c r="AZ68" t="str">
        <f t="shared" ref="AZ68:AZ131" si="89">LEFT(N68,1)</f>
        <v/>
      </c>
      <c r="BA68" t="str">
        <f t="shared" ref="BA68:BA131" si="90">LEFT(O68,1)</f>
        <v/>
      </c>
      <c r="BB68" s="83" t="str">
        <f t="shared" ref="BB68:BB131" si="91">LEFT(P68,1)</f>
        <v/>
      </c>
      <c r="BC68" s="84">
        <f t="shared" ref="BC68:BC131" si="92">SUMPRODUCT(X68:Z68,$X$1:$Z$1)/SUM($X$1:$Z$1)</f>
        <v>0.66666666666666652</v>
      </c>
      <c r="BD68" s="84">
        <f t="shared" ref="BD68:BD131" si="93">SUMPRODUCT(AA68:AE68,$AA$1:$AE$1)/SUM($AA$1:$AE$1)</f>
        <v>0</v>
      </c>
      <c r="BE68" s="84">
        <f t="shared" ref="BE68:BE131" si="94">SUMPRODUCT(AF68:AH68,$AF$1:$AH$1)/SUM($AF$1:$AH$1)</f>
        <v>0</v>
      </c>
      <c r="BF68" s="84">
        <f t="shared" ref="BF68:BF131" si="95">SUMPRODUCT(AI68:AL68,$AI$1:$AL$1)/SUM($AI$1:$AL$1)</f>
        <v>0</v>
      </c>
      <c r="BG68" s="78">
        <f>IF(AN68="",0,VLOOKUP(AN68,Tables!$AB$3:$AC$12,2))</f>
        <v>1</v>
      </c>
      <c r="BH68" s="79">
        <f>IF(AO68="",0,VLOOKUP(AO68,Tables!$AB$3:$AC$12,2))</f>
        <v>0</v>
      </c>
      <c r="BI68" s="79">
        <f>IF(AP68="",0,VLOOKUP(AP68,Tables!$AB$3:$AC$12,2))</f>
        <v>1</v>
      </c>
      <c r="BJ68" s="78">
        <f>IF(AQ68="",0,VLOOKUP(AQ68,Tables!$AB$3:$AC$12,2))</f>
        <v>0</v>
      </c>
      <c r="BK68" s="79">
        <f>IF(AR68="",0,VLOOKUP(AR68,Tables!$AB$3:$AC$12,2))</f>
        <v>0</v>
      </c>
      <c r="BL68" s="79">
        <f>IF(AS68="",0,VLOOKUP(AS68,Tables!$AB$3:$AC$12,2))</f>
        <v>0</v>
      </c>
      <c r="BM68" s="79">
        <f>IF(AT68="",0,VLOOKUP(AT68,Tables!$AB$3:$AC$12,2))</f>
        <v>0</v>
      </c>
      <c r="BN68" s="79">
        <f>IF(AU68="",0,VLOOKUP(AU68,Tables!$AB$3:$AC$12,2))</f>
        <v>0</v>
      </c>
      <c r="BO68" s="78">
        <f>IF(AV68="",0,VLOOKUP(AV68,Tables!$AB$3:$AC$12,2))</f>
        <v>0</v>
      </c>
      <c r="BP68" s="79">
        <f>IF(AW68="",0,VLOOKUP(AW68,Tables!$AB$3:$AC$12,2))</f>
        <v>0</v>
      </c>
      <c r="BQ68" s="79">
        <f>IF(AX68="",0,VLOOKUP(AX68,Tables!$AB$3:$AC$12,2))</f>
        <v>0</v>
      </c>
      <c r="BR68" s="78">
        <f>IF(AY68="",0,VLOOKUP(AY68,Tables!$AB$3:$AC$12,2))</f>
        <v>0</v>
      </c>
      <c r="BS68" s="79">
        <f>IF(AZ68="",0,VLOOKUP(AZ68,Tables!$AB$3:$AC$12,2))</f>
        <v>0</v>
      </c>
      <c r="BT68" s="79">
        <f>IF(BA68="",0,VLOOKUP(BA68,Tables!$AB$3:$AC$12,2))</f>
        <v>0</v>
      </c>
      <c r="BU68" s="80">
        <f>IF(BB68="",0,VLOOKUP(BB68,Tables!$AB$3:$AC$12,2))</f>
        <v>0</v>
      </c>
      <c r="BV68" s="85">
        <f>IF(AN68="",0,VLOOKUP(B68,Tables!$B$3:$D$36,2,FALSE())*X$1)</f>
        <v>40</v>
      </c>
      <c r="BW68" s="72">
        <f>IF(AO68="",0,VLOOKUP(C68,Tables!$B$3:$D$36,2,FALSE())*Y$1)</f>
        <v>0</v>
      </c>
      <c r="BX68" s="72">
        <f>IF(AP68="",0,VLOOKUP(D68,Tables!$B$3:$D$36,2,FALSE())*Z$1)</f>
        <v>20</v>
      </c>
      <c r="BY68" s="85">
        <f>IF(AQ68="",0,VLOOKUP(E68,Tables!$B$3:$D$36,2,FALSE())*AA$1)</f>
        <v>0</v>
      </c>
      <c r="BZ68" s="72">
        <f>IF(AR68="",0,VLOOKUP(F68,Tables!$B$3:$D$36,2,FALSE())*AB$1)</f>
        <v>0</v>
      </c>
      <c r="CA68" s="72">
        <f>IF(AS68="",0,VLOOKUP(G68,Tables!$B$3:$D$36,2,FALSE())*AC$1)</f>
        <v>0</v>
      </c>
      <c r="CB68" s="72">
        <f>IF(AT68="",0,VLOOKUP(H68,Tables!$B$3:$D$36,2,FALSE())*AD$1)</f>
        <v>0</v>
      </c>
      <c r="CC68" s="72">
        <f>IF(AU68="",0,VLOOKUP(I68,Tables!$B$3:$D$36,2,FALSE())*AE$1)</f>
        <v>0</v>
      </c>
      <c r="CD68" s="85">
        <f>IF(AV68="",0,VLOOKUP(J68,Tables!$B$3:$D$36,2,FALSE())*AF$1)</f>
        <v>0</v>
      </c>
      <c r="CE68" s="72">
        <f>IF(AW68="",0,VLOOKUP(K68,Tables!$B$3:$D$36,2,FALSE())*AG$1)</f>
        <v>0</v>
      </c>
      <c r="CF68" s="72">
        <f>IF(AX68="",0,VLOOKUP(L68,Tables!$B$3:$D$36,2,FALSE())*AH$1)</f>
        <v>0</v>
      </c>
      <c r="CG68" s="85">
        <f>IF(AY68="",0,VLOOKUP(M68,Tables!$B$3:$D$36,2,FALSE())*AI$1)</f>
        <v>0</v>
      </c>
      <c r="CH68" s="72">
        <f>IF(AZ68="",0,VLOOKUP(N68,Tables!$B$3:$D$36,2,FALSE())*AJ$1)</f>
        <v>0</v>
      </c>
      <c r="CI68" s="72">
        <f>IF(BA68="",0,VLOOKUP(O68,Tables!$B$3:$D$36,2,FALSE())*AK$1)</f>
        <v>0</v>
      </c>
      <c r="CJ68" s="86">
        <f>IF(BB68="",0,VLOOKUP(P68,Tables!$B$3:$D$36,2,FALSE())*AL$1)</f>
        <v>0</v>
      </c>
      <c r="CK68" s="87">
        <f>IF(AN68="",0,VLOOKUP(B68,Tables!$B$3:$D$36,3,FALSE())*X$1)*IF(OR(AN68="K",AN68="P"),2,1)</f>
        <v>2.2000000000000002</v>
      </c>
      <c r="CL68" s="73">
        <f>IF(AO68="",0,VLOOKUP(C68,Tables!$B$3:$D$36,3,FALSE())*Y$1)*IF(OR(AO68="K",AO68="P"),2,1)</f>
        <v>0</v>
      </c>
      <c r="CM68" s="73">
        <f>IF(AP68="",0,VLOOKUP(D68,Tables!$B$3:$D$36,3,FALSE())*Z$1)*IF(OR(AP68="K",AP68="P"),2,1)</f>
        <v>1.1000000000000001</v>
      </c>
      <c r="CN68" s="87">
        <f>IF(AQ68="",0,VLOOKUP(E68,Tables!$B$3:$D$36,3,FALSE())*AA$1)</f>
        <v>0</v>
      </c>
      <c r="CO68" s="73">
        <f>IF(AR68="",0,VLOOKUP(F68,Tables!$B$3:$D$36,3,FALSE())*AB$1)</f>
        <v>0</v>
      </c>
      <c r="CP68" s="73">
        <f>IF(AS68="",0,VLOOKUP(G68,Tables!$B$3:$D$36,3,FALSE())*AC$1)</f>
        <v>0</v>
      </c>
      <c r="CQ68" s="73">
        <f>IF(AT68="",0,VLOOKUP(H68,Tables!$B$3:$D$36,3,FALSE())*AD$1)</f>
        <v>0</v>
      </c>
      <c r="CR68" s="73">
        <f>IF(AU68="",0,VLOOKUP(I68,Tables!$B$3:$D$36,3,FALSE())*AE$1)</f>
        <v>0</v>
      </c>
      <c r="CS68" s="87">
        <f>IF(AV68="",0,VLOOKUP(J68,Tables!$B$3:$D$36,3,FALSE())*AF$1)</f>
        <v>0</v>
      </c>
      <c r="CT68" s="73">
        <f>IF(AW68="",0,VLOOKUP(K68,Tables!$B$3:$D$36,3,FALSE())*AG$1)</f>
        <v>0</v>
      </c>
      <c r="CU68" s="73">
        <f>IF(AX68="",0,VLOOKUP(L68,Tables!$B$3:$D$36,3,FALSE())*AH$1)</f>
        <v>0</v>
      </c>
      <c r="CV68" s="87">
        <f>IF(AY68="",0,VLOOKUP(M68,Tables!$B$3:$D$36,3,FALSE())*AI$1)</f>
        <v>0</v>
      </c>
      <c r="CW68" s="73">
        <f>IF(AZ68="",0,VLOOKUP(N68,Tables!$B$3:$D$36,3,FALSE())*AJ$1)</f>
        <v>0</v>
      </c>
      <c r="CX68" s="73">
        <f>IF(BA68="",0,VLOOKUP(O68,Tables!$B$3:$D$36,3,FALSE())*AK$1)</f>
        <v>0</v>
      </c>
      <c r="CY68" s="88">
        <f>IF(BB68="",0,VLOOKUP(P68,Tables!$B$3:$D$36,3,FALSE())*AL$1)</f>
        <v>0</v>
      </c>
      <c r="CZ68" s="89">
        <f t="shared" ref="CZ68:CZ131" si="96">IF(B68="",0,VLOOKUP(B68,MATERIAL,10,FALSE()))</f>
        <v>1.3</v>
      </c>
      <c r="DA68" s="75">
        <f t="shared" ref="DA68:DA131" si="97">IF(C68="",0,VLOOKUP(C68,MATERIAL,10,FALSE()))</f>
        <v>0</v>
      </c>
      <c r="DB68" s="75">
        <f t="shared" ref="DB68:DB131" si="98">IF(D68="",0,VLOOKUP(D68,MATERIAL,10,FALSE()))</f>
        <v>1.3</v>
      </c>
      <c r="DC68" s="89">
        <f t="shared" ref="DC68:DC131" si="99">IF(E68="",0,VLOOKUP(E68,MATERIAL,10,FALSE()))</f>
        <v>0</v>
      </c>
      <c r="DD68" s="75">
        <f t="shared" ref="DD68:DD131" si="100">IF(F68="",0,VLOOKUP(F68,MATERIAL,10,FALSE()))</f>
        <v>0</v>
      </c>
      <c r="DE68" s="75">
        <f t="shared" ref="DE68:DE131" si="101">IF(G68="",0,VLOOKUP(G68,MATERIAL,10,FALSE()))</f>
        <v>0</v>
      </c>
      <c r="DF68" s="75">
        <f t="shared" ref="DF68:DF131" si="102">IF(H68="",0,VLOOKUP(H68,MATERIAL,10,FALSE()))</f>
        <v>0</v>
      </c>
      <c r="DG68" s="75">
        <f t="shared" ref="DG68:DG131" si="103">IF(I68="",0,VLOOKUP(I68,MATERIAL,10,FALSE()))</f>
        <v>0</v>
      </c>
      <c r="DH68" s="89">
        <f t="shared" ref="DH68:DH131" si="104">IF(J68="",0,VLOOKUP(J68,MATERIAL,10,FALSE()))</f>
        <v>0</v>
      </c>
      <c r="DI68" s="75">
        <f t="shared" ref="DI68:DI131" si="105">IF(K68="",0,VLOOKUP(K68,MATERIAL,10,FALSE()))</f>
        <v>0</v>
      </c>
      <c r="DJ68" s="75">
        <f t="shared" ref="DJ68:DJ131" si="106">IF(L68="",0,VLOOKUP(L68,MATERIAL,10,FALSE()))</f>
        <v>0</v>
      </c>
      <c r="DK68" s="89">
        <f t="shared" ref="DK68:DK131" si="107">IF(M68="",0,VLOOKUP(M68,MATERIAL,10,FALSE()))</f>
        <v>0</v>
      </c>
      <c r="DL68" s="75">
        <f t="shared" ref="DL68:DL131" si="108">IF(N68="",0,VLOOKUP(N68,MATERIAL,10,FALSE()))</f>
        <v>0</v>
      </c>
      <c r="DM68" s="75">
        <f t="shared" ref="DM68:DM131" si="109">IF(O68="",0,VLOOKUP(O68,MATERIAL,10,FALSE()))</f>
        <v>0</v>
      </c>
      <c r="DN68" s="90">
        <f t="shared" ref="DN68:DN131" si="110">IF(P68="",0,VLOOKUP(P68,MATERIAL,10,FALSE()))</f>
        <v>0</v>
      </c>
      <c r="DO68" s="91">
        <f>IF(AN68="",0,VLOOKUP(B68,Tables!$B$3:$M$36,11,FALSE())*X$1)</f>
        <v>44</v>
      </c>
      <c r="DP68" s="92">
        <f>IF(AO68="",0,VLOOKUP(C68,Tables!$B$3:$M$36,11,FALSE())*Y$1)</f>
        <v>0</v>
      </c>
      <c r="DQ68" s="92">
        <f>IF(AP68="",0,VLOOKUP(D68,Tables!$B$3:$M$36,11,FALSE())*Z$1)</f>
        <v>22</v>
      </c>
      <c r="DR68" s="91">
        <f>IF(AQ68="",0,VLOOKUP(E68,Tables!$B$3:$M$36,11,FALSE())*AA$1)</f>
        <v>0</v>
      </c>
      <c r="DS68" s="92">
        <f>IF(AR68="",0,VLOOKUP(F68,Tables!$B$3:$M$36,11,FALSE())*AB$1)</f>
        <v>0</v>
      </c>
      <c r="DT68" s="92">
        <f>IF(AS68="",0,VLOOKUP(G68,Tables!$B$3:$M$36,11,FALSE())*AC$1)</f>
        <v>0</v>
      </c>
      <c r="DU68" s="92">
        <f>IF(AT68="",0,VLOOKUP(H68,Tables!$B$3:$M$36,11,FALSE())*AD$1)</f>
        <v>0</v>
      </c>
      <c r="DV68" s="92">
        <f>IF(AU68="",0,VLOOKUP(I68,Tables!$B$3:$M$36,11,FALSE())*AE$1)</f>
        <v>0</v>
      </c>
      <c r="DW68" s="91">
        <f>IF(AV68="",0,VLOOKUP(J68,Tables!$B$3:$M$36,11,FALSE())*AF$1)</f>
        <v>0</v>
      </c>
      <c r="DX68" s="92">
        <f>IF(AW68="",0,VLOOKUP(K68,Tables!$B$3:$M$36,11,FALSE())*AG$1)</f>
        <v>0</v>
      </c>
      <c r="DY68" s="92">
        <f>IF(AX68="",0,VLOOKUP(L68,Tables!$B$3:$M$36,11,FALSE())*AH$1)</f>
        <v>0</v>
      </c>
      <c r="DZ68" s="91">
        <f>IF(AY68="",0,VLOOKUP(M68,Tables!$B$3:$M$36,11,FALSE())*AI$1)</f>
        <v>0</v>
      </c>
      <c r="EA68" s="92">
        <f>IF(AZ68="",0,VLOOKUP(N68,Tables!$B$3:$M$36,11,FALSE())*AJ$1)</f>
        <v>0</v>
      </c>
      <c r="EB68" s="92">
        <f>IF(BA68="",0,VLOOKUP(O68,Tables!$B$3:$M$36,11,FALSE())*AK$1)</f>
        <v>0</v>
      </c>
      <c r="EC68" s="93">
        <f>IF(BB68="",0,VLOOKUP(P68,Tables!$B$3:$M$36,11,FALSE())*AL$1)</f>
        <v>0</v>
      </c>
      <c r="ED68" s="91">
        <f>IF(AN68="",0,VLOOKUP(B68,Tables!$B$3:$M$36,12,FALSE())*X$1)</f>
        <v>14</v>
      </c>
      <c r="EE68" s="92">
        <f>IF(AO68="",0,VLOOKUP(C68,Tables!$B$3:$M$36,12,FALSE())*Y$1)</f>
        <v>0</v>
      </c>
      <c r="EF68" s="92">
        <f>IF(AP68="",0,VLOOKUP(D68,Tables!$B$3:$M$36,12,FALSE())*Z$1)</f>
        <v>7</v>
      </c>
      <c r="EG68" s="91">
        <f>IF(AQ68="",0,VLOOKUP(E68,Tables!$B$3:$M$36,12,FALSE())*AA$1)</f>
        <v>0</v>
      </c>
      <c r="EH68" s="92">
        <f>IF(AR68="",0,VLOOKUP(F68,Tables!$B$3:$M$36,12,FALSE())*AB$1)</f>
        <v>0</v>
      </c>
      <c r="EI68" s="92">
        <f>IF(AS68="",0,VLOOKUP(G68,Tables!$B$3:$M$36,12,FALSE())*AC$1)</f>
        <v>0</v>
      </c>
      <c r="EJ68" s="92">
        <f>IF(AT68="",0,VLOOKUP(H68,Tables!$B$3:$M$36,12,FALSE())*AD$1)</f>
        <v>0</v>
      </c>
      <c r="EK68" s="92">
        <f>IF(AU68="",0,VLOOKUP(I68,Tables!$B$3:$M$36,12,FALSE())*AE$1)</f>
        <v>0</v>
      </c>
      <c r="EL68" s="91">
        <f>IF(AV68="",0,VLOOKUP(J68,Tables!$B$3:$M$36,12,FALSE())*AF$1)</f>
        <v>0</v>
      </c>
      <c r="EM68" s="92">
        <f>IF(AW68="",0,VLOOKUP(K68,Tables!$B$3:$M$36,12,FALSE())*AG$1)</f>
        <v>0</v>
      </c>
      <c r="EN68" s="92">
        <f>IF(AX68="",0,VLOOKUP(L68,Tables!$B$3:$M$36,12,FALSE())*AH$1)</f>
        <v>0</v>
      </c>
      <c r="EO68" s="91">
        <f>IF(AY68="",0,VLOOKUP(M68,Tables!$B$3:$M$36,12,FALSE())*AI$1)</f>
        <v>0</v>
      </c>
      <c r="EP68" s="92">
        <f>IF(AZ68="",0,VLOOKUP(N68,Tables!$B$3:$M$36,12,FALSE())*AJ$1)</f>
        <v>0</v>
      </c>
      <c r="EQ68" s="92">
        <f>IF(BA68="",0,VLOOKUP(O68,Tables!$B$3:$M$36,12,FALSE())*AK$1)</f>
        <v>0</v>
      </c>
      <c r="ER68" s="93">
        <f>IF(BB68="",0,VLOOKUP(P68,Tables!$B$3:$M$36,12,FALSE())*AL$1)</f>
        <v>0</v>
      </c>
      <c r="ES68" s="94">
        <f t="shared" ref="ES68:ES131" si="111">IF(MIN(ET68:FH68)=10,0,MIN(ET68:FH68))</f>
        <v>0</v>
      </c>
      <c r="ET68" s="95">
        <f>IF(AN68="",10,MIN(VLOOKUP(B68,Tables!$B$3:$N$34,13,FALSE()),'Item Builder'!$W68))</f>
        <v>0</v>
      </c>
      <c r="EU68" s="95">
        <f>IF(AO68="",10,MIN(VLOOKUP(C68,Tables!$B$3:$N$34,13,FALSE()),'Item Builder'!$W68))</f>
        <v>10</v>
      </c>
      <c r="EV68" s="95">
        <f>IF(AP68="",10,MIN(VLOOKUP(D68,Tables!$B$3:$N$34,13,FALSE()),'Item Builder'!$W68))</f>
        <v>0</v>
      </c>
      <c r="EW68" s="95">
        <f>IF(AQ68="",10,MIN(VLOOKUP(E68,Tables!$B$3:$N$34,13,FALSE()),'Item Builder'!$W68))</f>
        <v>10</v>
      </c>
      <c r="EX68" s="95">
        <f>IF(AR68="",10,MIN(VLOOKUP(F68,Tables!$B$3:$N$34,13,FALSE()),'Item Builder'!$W68))</f>
        <v>10</v>
      </c>
      <c r="EY68" s="95">
        <f>IF(AS68="",10,MIN(VLOOKUP(G68,Tables!$B$3:$N$34,13,FALSE()),'Item Builder'!$W68))</f>
        <v>10</v>
      </c>
      <c r="EZ68" s="95">
        <f>IF(AT68="",10,MIN(VLOOKUP(H68,Tables!$B$3:$N$34,13,FALSE()),'Item Builder'!$W68))</f>
        <v>10</v>
      </c>
      <c r="FA68" s="95">
        <f>IF(AU68="",10,MIN(VLOOKUP(I68,Tables!$B$3:$N$34,13,FALSE()),'Item Builder'!$W68))</f>
        <v>10</v>
      </c>
      <c r="FB68" s="95">
        <f>IF(AV68="",10,MIN(VLOOKUP(J68,Tables!$B$3:$N$34,13,FALSE()),'Item Builder'!$W68))</f>
        <v>10</v>
      </c>
      <c r="FC68" s="95">
        <f>IF(AW68="",10,MIN(VLOOKUP(K68,Tables!$B$3:$N$34,13,FALSE()),'Item Builder'!$W68))</f>
        <v>10</v>
      </c>
      <c r="FD68" s="95">
        <f>IF(AX68="",10,MIN(VLOOKUP(L68,Tables!$B$3:$N$34,13,FALSE()),'Item Builder'!$W68))</f>
        <v>10</v>
      </c>
      <c r="FE68" s="95">
        <f>IF(AY68="",10,MIN(VLOOKUP(M68,Tables!$B$3:$N$34,13,FALSE()),'Item Builder'!$W68))</f>
        <v>10</v>
      </c>
      <c r="FF68" s="95">
        <f>IF(AZ68="",10,MIN(VLOOKUP(N68,Tables!$B$3:$N$34,13,FALSE()),'Item Builder'!$W68))</f>
        <v>10</v>
      </c>
      <c r="FG68" s="95">
        <f>IF(BA68="",10,MIN(VLOOKUP(O68,Tables!$B$3:$N$34,13,FALSE()),'Item Builder'!$W68))</f>
        <v>10</v>
      </c>
      <c r="FH68" s="98">
        <f>IF(BB68="",10,MIN(VLOOKUP(P68,Tables!$B$3:$N$34,13,FALSE()),'Item Builder'!$W68))</f>
        <v>10</v>
      </c>
    </row>
    <row r="69" spans="1:164" x14ac:dyDescent="0.25">
      <c r="A69" s="67" t="s">
        <v>227</v>
      </c>
      <c r="B69" s="68"/>
      <c r="C69" s="69"/>
      <c r="D69" s="70"/>
      <c r="E69" s="68"/>
      <c r="F69" s="69"/>
      <c r="G69" s="69"/>
      <c r="H69" s="69"/>
      <c r="I69" s="70" t="s">
        <v>107</v>
      </c>
      <c r="J69" s="68"/>
      <c r="K69" s="69"/>
      <c r="L69" s="70"/>
      <c r="M69" s="68"/>
      <c r="N69" s="69"/>
      <c r="O69" s="69"/>
      <c r="P69" s="71"/>
      <c r="Q69" s="72">
        <f>SUM(BV69:CJ69)*VLOOKUP(W69,Tables!$W$3:$Z$8,4)</f>
        <v>50</v>
      </c>
      <c r="R69" s="73">
        <f t="shared" si="56"/>
        <v>2.75</v>
      </c>
      <c r="S69" s="74">
        <f t="shared" si="57"/>
        <v>0</v>
      </c>
      <c r="T69" s="74">
        <f t="shared" si="58"/>
        <v>0</v>
      </c>
      <c r="U69" s="75">
        <f t="shared" si="59"/>
        <v>55</v>
      </c>
      <c r="V69" s="76">
        <f t="shared" si="60"/>
        <v>17.5</v>
      </c>
      <c r="W69" s="77">
        <v>0</v>
      </c>
      <c r="X69" s="78">
        <f t="shared" si="61"/>
        <v>0</v>
      </c>
      <c r="Y69" s="79">
        <f t="shared" si="62"/>
        <v>0</v>
      </c>
      <c r="Z69" s="79">
        <f t="shared" si="63"/>
        <v>0</v>
      </c>
      <c r="AA69" s="78">
        <f t="shared" si="64"/>
        <v>0</v>
      </c>
      <c r="AB69" s="79">
        <f t="shared" si="65"/>
        <v>0</v>
      </c>
      <c r="AC69" s="79">
        <f t="shared" si="66"/>
        <v>0</v>
      </c>
      <c r="AD69" s="79">
        <f t="shared" si="67"/>
        <v>0</v>
      </c>
      <c r="AE69" s="79">
        <f t="shared" si="68"/>
        <v>1</v>
      </c>
      <c r="AF69" s="78">
        <f t="shared" si="69"/>
        <v>0</v>
      </c>
      <c r="AG69" s="79">
        <f t="shared" si="70"/>
        <v>0</v>
      </c>
      <c r="AH69" s="79">
        <f t="shared" si="71"/>
        <v>0</v>
      </c>
      <c r="AI69" s="78">
        <f t="shared" si="72"/>
        <v>0</v>
      </c>
      <c r="AJ69" s="79">
        <f t="shared" si="73"/>
        <v>0</v>
      </c>
      <c r="AK69" s="79">
        <f t="shared" si="74"/>
        <v>0</v>
      </c>
      <c r="AL69" s="80">
        <f t="shared" si="75"/>
        <v>0</v>
      </c>
      <c r="AM69" s="81">
        <f t="shared" si="76"/>
        <v>0.05</v>
      </c>
      <c r="AN69" s="82" t="str">
        <f t="shared" si="77"/>
        <v/>
      </c>
      <c r="AO69" s="79" t="str">
        <f t="shared" si="78"/>
        <v/>
      </c>
      <c r="AP69" t="str">
        <f t="shared" si="79"/>
        <v/>
      </c>
      <c r="AQ69" s="82" t="str">
        <f t="shared" si="80"/>
        <v/>
      </c>
      <c r="AR69" t="str">
        <f t="shared" si="81"/>
        <v/>
      </c>
      <c r="AS69" t="str">
        <f t="shared" si="82"/>
        <v/>
      </c>
      <c r="AT69" t="str">
        <f t="shared" si="83"/>
        <v/>
      </c>
      <c r="AU69" t="str">
        <f t="shared" si="84"/>
        <v>S</v>
      </c>
      <c r="AV69" s="82" t="str">
        <f t="shared" si="85"/>
        <v/>
      </c>
      <c r="AW69" t="str">
        <f t="shared" si="86"/>
        <v/>
      </c>
      <c r="AX69" t="str">
        <f t="shared" si="87"/>
        <v/>
      </c>
      <c r="AY69" s="82" t="str">
        <f t="shared" si="88"/>
        <v/>
      </c>
      <c r="AZ69" t="str">
        <f t="shared" si="89"/>
        <v/>
      </c>
      <c r="BA69" t="str">
        <f t="shared" si="90"/>
        <v/>
      </c>
      <c r="BB69" s="83" t="str">
        <f t="shared" si="91"/>
        <v/>
      </c>
      <c r="BC69" s="84">
        <f t="shared" si="92"/>
        <v>0</v>
      </c>
      <c r="BD69" s="84">
        <f t="shared" si="93"/>
        <v>0.23809523809523808</v>
      </c>
      <c r="BE69" s="84">
        <f t="shared" si="94"/>
        <v>0</v>
      </c>
      <c r="BF69" s="84">
        <f t="shared" si="95"/>
        <v>0</v>
      </c>
      <c r="BG69" s="78">
        <f>IF(AN69="",0,VLOOKUP(AN69,Tables!$AB$3:$AC$12,2))</f>
        <v>0</v>
      </c>
      <c r="BH69" s="79">
        <f>IF(AO69="",0,VLOOKUP(AO69,Tables!$AB$3:$AC$12,2))</f>
        <v>0</v>
      </c>
      <c r="BI69" s="79">
        <f>IF(AP69="",0,VLOOKUP(AP69,Tables!$AB$3:$AC$12,2))</f>
        <v>0</v>
      </c>
      <c r="BJ69" s="78">
        <f>IF(AQ69="",0,VLOOKUP(AQ69,Tables!$AB$3:$AC$12,2))</f>
        <v>0</v>
      </c>
      <c r="BK69" s="79">
        <f>IF(AR69="",0,VLOOKUP(AR69,Tables!$AB$3:$AC$12,2))</f>
        <v>0</v>
      </c>
      <c r="BL69" s="79">
        <f>IF(AS69="",0,VLOOKUP(AS69,Tables!$AB$3:$AC$12,2))</f>
        <v>0</v>
      </c>
      <c r="BM69" s="79">
        <f>IF(AT69="",0,VLOOKUP(AT69,Tables!$AB$3:$AC$12,2))</f>
        <v>0</v>
      </c>
      <c r="BN69" s="79">
        <f>IF(AU69="",0,VLOOKUP(AU69,Tables!$AB$3:$AC$12,2))</f>
        <v>1</v>
      </c>
      <c r="BO69" s="78">
        <f>IF(AV69="",0,VLOOKUP(AV69,Tables!$AB$3:$AC$12,2))</f>
        <v>0</v>
      </c>
      <c r="BP69" s="79">
        <f>IF(AW69="",0,VLOOKUP(AW69,Tables!$AB$3:$AC$12,2))</f>
        <v>0</v>
      </c>
      <c r="BQ69" s="79">
        <f>IF(AX69="",0,VLOOKUP(AX69,Tables!$AB$3:$AC$12,2))</f>
        <v>0</v>
      </c>
      <c r="BR69" s="78">
        <f>IF(AY69="",0,VLOOKUP(AY69,Tables!$AB$3:$AC$12,2))</f>
        <v>0</v>
      </c>
      <c r="BS69" s="79">
        <f>IF(AZ69="",0,VLOOKUP(AZ69,Tables!$AB$3:$AC$12,2))</f>
        <v>0</v>
      </c>
      <c r="BT69" s="79">
        <f>IF(BA69="",0,VLOOKUP(BA69,Tables!$AB$3:$AC$12,2))</f>
        <v>0</v>
      </c>
      <c r="BU69" s="80">
        <f>IF(BB69="",0,VLOOKUP(BB69,Tables!$AB$3:$AC$12,2))</f>
        <v>0</v>
      </c>
      <c r="BV69" s="85">
        <f>IF(AN69="",0,VLOOKUP(B69,Tables!$B$3:$D$36,2,FALSE())*X$1)</f>
        <v>0</v>
      </c>
      <c r="BW69" s="72">
        <f>IF(AO69="",0,VLOOKUP(C69,Tables!$B$3:$D$36,2,FALSE())*Y$1)</f>
        <v>0</v>
      </c>
      <c r="BX69" s="72">
        <f>IF(AP69="",0,VLOOKUP(D69,Tables!$B$3:$D$36,2,FALSE())*Z$1)</f>
        <v>0</v>
      </c>
      <c r="BY69" s="85">
        <f>IF(AQ69="",0,VLOOKUP(E69,Tables!$B$3:$D$36,2,FALSE())*AA$1)</f>
        <v>0</v>
      </c>
      <c r="BZ69" s="72">
        <f>IF(AR69="",0,VLOOKUP(F69,Tables!$B$3:$D$36,2,FALSE())*AB$1)</f>
        <v>0</v>
      </c>
      <c r="CA69" s="72">
        <f>IF(AS69="",0,VLOOKUP(G69,Tables!$B$3:$D$36,2,FALSE())*AC$1)</f>
        <v>0</v>
      </c>
      <c r="CB69" s="72">
        <f>IF(AT69="",0,VLOOKUP(H69,Tables!$B$3:$D$36,2,FALSE())*AD$1)</f>
        <v>0</v>
      </c>
      <c r="CC69" s="72">
        <f>IF(AU69="",0,VLOOKUP(I69,Tables!$B$3:$D$36,2,FALSE())*AE$1)</f>
        <v>50</v>
      </c>
      <c r="CD69" s="85">
        <f>IF(AV69="",0,VLOOKUP(J69,Tables!$B$3:$D$36,2,FALSE())*AF$1)</f>
        <v>0</v>
      </c>
      <c r="CE69" s="72">
        <f>IF(AW69="",0,VLOOKUP(K69,Tables!$B$3:$D$36,2,FALSE())*AG$1)</f>
        <v>0</v>
      </c>
      <c r="CF69" s="72">
        <f>IF(AX69="",0,VLOOKUP(L69,Tables!$B$3:$D$36,2,FALSE())*AH$1)</f>
        <v>0</v>
      </c>
      <c r="CG69" s="85">
        <f>IF(AY69="",0,VLOOKUP(M69,Tables!$B$3:$D$36,2,FALSE())*AI$1)</f>
        <v>0</v>
      </c>
      <c r="CH69" s="72">
        <f>IF(AZ69="",0,VLOOKUP(N69,Tables!$B$3:$D$36,2,FALSE())*AJ$1)</f>
        <v>0</v>
      </c>
      <c r="CI69" s="72">
        <f>IF(BA69="",0,VLOOKUP(O69,Tables!$B$3:$D$36,2,FALSE())*AK$1)</f>
        <v>0</v>
      </c>
      <c r="CJ69" s="86">
        <f>IF(BB69="",0,VLOOKUP(P69,Tables!$B$3:$D$36,2,FALSE())*AL$1)</f>
        <v>0</v>
      </c>
      <c r="CK69" s="87">
        <f>IF(AN69="",0,VLOOKUP(B69,Tables!$B$3:$D$36,3,FALSE())*X$1)*IF(OR(AN69="K",AN69="P"),2,1)</f>
        <v>0</v>
      </c>
      <c r="CL69" s="73">
        <f>IF(AO69="",0,VLOOKUP(C69,Tables!$B$3:$D$36,3,FALSE())*Y$1)*IF(OR(AO69="K",AO69="P"),2,1)</f>
        <v>0</v>
      </c>
      <c r="CM69" s="73">
        <f>IF(AP69="",0,VLOOKUP(D69,Tables!$B$3:$D$36,3,FALSE())*Z$1)*IF(OR(AP69="K",AP69="P"),2,1)</f>
        <v>0</v>
      </c>
      <c r="CN69" s="87">
        <f>IF(AQ69="",0,VLOOKUP(E69,Tables!$B$3:$D$36,3,FALSE())*AA$1)</f>
        <v>0</v>
      </c>
      <c r="CO69" s="73">
        <f>IF(AR69="",0,VLOOKUP(F69,Tables!$B$3:$D$36,3,FALSE())*AB$1)</f>
        <v>0</v>
      </c>
      <c r="CP69" s="73">
        <f>IF(AS69="",0,VLOOKUP(G69,Tables!$B$3:$D$36,3,FALSE())*AC$1)</f>
        <v>0</v>
      </c>
      <c r="CQ69" s="73">
        <f>IF(AT69="",0,VLOOKUP(H69,Tables!$B$3:$D$36,3,FALSE())*AD$1)</f>
        <v>0</v>
      </c>
      <c r="CR69" s="73">
        <f>IF(AU69="",0,VLOOKUP(I69,Tables!$B$3:$D$36,3,FALSE())*AE$1)</f>
        <v>2.75</v>
      </c>
      <c r="CS69" s="87">
        <f>IF(AV69="",0,VLOOKUP(J69,Tables!$B$3:$D$36,3,FALSE())*AF$1)</f>
        <v>0</v>
      </c>
      <c r="CT69" s="73">
        <f>IF(AW69="",0,VLOOKUP(K69,Tables!$B$3:$D$36,3,FALSE())*AG$1)</f>
        <v>0</v>
      </c>
      <c r="CU69" s="73">
        <f>IF(AX69="",0,VLOOKUP(L69,Tables!$B$3:$D$36,3,FALSE())*AH$1)</f>
        <v>0</v>
      </c>
      <c r="CV69" s="87">
        <f>IF(AY69="",0,VLOOKUP(M69,Tables!$B$3:$D$36,3,FALSE())*AI$1)</f>
        <v>0</v>
      </c>
      <c r="CW69" s="73">
        <f>IF(AZ69="",0,VLOOKUP(N69,Tables!$B$3:$D$36,3,FALSE())*AJ$1)</f>
        <v>0</v>
      </c>
      <c r="CX69" s="73">
        <f>IF(BA69="",0,VLOOKUP(O69,Tables!$B$3:$D$36,3,FALSE())*AK$1)</f>
        <v>0</v>
      </c>
      <c r="CY69" s="88">
        <f>IF(BB69="",0,VLOOKUP(P69,Tables!$B$3:$D$36,3,FALSE())*AL$1)</f>
        <v>0</v>
      </c>
      <c r="CZ69" s="89">
        <f t="shared" si="96"/>
        <v>0</v>
      </c>
      <c r="DA69" s="75">
        <f t="shared" si="97"/>
        <v>0</v>
      </c>
      <c r="DB69" s="75">
        <f t="shared" si="98"/>
        <v>0</v>
      </c>
      <c r="DC69" s="89">
        <f t="shared" si="99"/>
        <v>0</v>
      </c>
      <c r="DD69" s="75">
        <f t="shared" si="100"/>
        <v>0</v>
      </c>
      <c r="DE69" s="75">
        <f t="shared" si="101"/>
        <v>0</v>
      </c>
      <c r="DF69" s="75">
        <f t="shared" si="102"/>
        <v>0</v>
      </c>
      <c r="DG69" s="75">
        <f t="shared" si="103"/>
        <v>1.3</v>
      </c>
      <c r="DH69" s="89">
        <f t="shared" si="104"/>
        <v>0</v>
      </c>
      <c r="DI69" s="75">
        <f t="shared" si="105"/>
        <v>0</v>
      </c>
      <c r="DJ69" s="75">
        <f t="shared" si="106"/>
        <v>0</v>
      </c>
      <c r="DK69" s="89">
        <f t="shared" si="107"/>
        <v>0</v>
      </c>
      <c r="DL69" s="75">
        <f t="shared" si="108"/>
        <v>0</v>
      </c>
      <c r="DM69" s="75">
        <f t="shared" si="109"/>
        <v>0</v>
      </c>
      <c r="DN69" s="90">
        <f t="shared" si="110"/>
        <v>0</v>
      </c>
      <c r="DO69" s="91">
        <f>IF(AN69="",0,VLOOKUP(B69,Tables!$B$3:$M$36,11,FALSE())*X$1)</f>
        <v>0</v>
      </c>
      <c r="DP69" s="92">
        <f>IF(AO69="",0,VLOOKUP(C69,Tables!$B$3:$M$36,11,FALSE())*Y$1)</f>
        <v>0</v>
      </c>
      <c r="DQ69" s="92">
        <f>IF(AP69="",0,VLOOKUP(D69,Tables!$B$3:$M$36,11,FALSE())*Z$1)</f>
        <v>0</v>
      </c>
      <c r="DR69" s="91">
        <f>IF(AQ69="",0,VLOOKUP(E69,Tables!$B$3:$M$36,11,FALSE())*AA$1)</f>
        <v>0</v>
      </c>
      <c r="DS69" s="92">
        <f>IF(AR69="",0,VLOOKUP(F69,Tables!$B$3:$M$36,11,FALSE())*AB$1)</f>
        <v>0</v>
      </c>
      <c r="DT69" s="92">
        <f>IF(AS69="",0,VLOOKUP(G69,Tables!$B$3:$M$36,11,FALSE())*AC$1)</f>
        <v>0</v>
      </c>
      <c r="DU69" s="92">
        <f>IF(AT69="",0,VLOOKUP(H69,Tables!$B$3:$M$36,11,FALSE())*AD$1)</f>
        <v>0</v>
      </c>
      <c r="DV69" s="92">
        <f>IF(AU69="",0,VLOOKUP(I69,Tables!$B$3:$M$36,11,FALSE())*AE$1)</f>
        <v>55</v>
      </c>
      <c r="DW69" s="91">
        <f>IF(AV69="",0,VLOOKUP(J69,Tables!$B$3:$M$36,11,FALSE())*AF$1)</f>
        <v>0</v>
      </c>
      <c r="DX69" s="92">
        <f>IF(AW69="",0,VLOOKUP(K69,Tables!$B$3:$M$36,11,FALSE())*AG$1)</f>
        <v>0</v>
      </c>
      <c r="DY69" s="92">
        <f>IF(AX69="",0,VLOOKUP(L69,Tables!$B$3:$M$36,11,FALSE())*AH$1)</f>
        <v>0</v>
      </c>
      <c r="DZ69" s="91">
        <f>IF(AY69="",0,VLOOKUP(M69,Tables!$B$3:$M$36,11,FALSE())*AI$1)</f>
        <v>0</v>
      </c>
      <c r="EA69" s="92">
        <f>IF(AZ69="",0,VLOOKUP(N69,Tables!$B$3:$M$36,11,FALSE())*AJ$1)</f>
        <v>0</v>
      </c>
      <c r="EB69" s="92">
        <f>IF(BA69="",0,VLOOKUP(O69,Tables!$B$3:$M$36,11,FALSE())*AK$1)</f>
        <v>0</v>
      </c>
      <c r="EC69" s="93">
        <f>IF(BB69="",0,VLOOKUP(P69,Tables!$B$3:$M$36,11,FALSE())*AL$1)</f>
        <v>0</v>
      </c>
      <c r="ED69" s="91">
        <f>IF(AN69="",0,VLOOKUP(B69,Tables!$B$3:$M$36,12,FALSE())*X$1)</f>
        <v>0</v>
      </c>
      <c r="EE69" s="92">
        <f>IF(AO69="",0,VLOOKUP(C69,Tables!$B$3:$M$36,12,FALSE())*Y$1)</f>
        <v>0</v>
      </c>
      <c r="EF69" s="92">
        <f>IF(AP69="",0,VLOOKUP(D69,Tables!$B$3:$M$36,12,FALSE())*Z$1)</f>
        <v>0</v>
      </c>
      <c r="EG69" s="91">
        <f>IF(AQ69="",0,VLOOKUP(E69,Tables!$B$3:$M$36,12,FALSE())*AA$1)</f>
        <v>0</v>
      </c>
      <c r="EH69" s="92">
        <f>IF(AR69="",0,VLOOKUP(F69,Tables!$B$3:$M$36,12,FALSE())*AB$1)</f>
        <v>0</v>
      </c>
      <c r="EI69" s="92">
        <f>IF(AS69="",0,VLOOKUP(G69,Tables!$B$3:$M$36,12,FALSE())*AC$1)</f>
        <v>0</v>
      </c>
      <c r="EJ69" s="92">
        <f>IF(AT69="",0,VLOOKUP(H69,Tables!$B$3:$M$36,12,FALSE())*AD$1)</f>
        <v>0</v>
      </c>
      <c r="EK69" s="92">
        <f>IF(AU69="",0,VLOOKUP(I69,Tables!$B$3:$M$36,12,FALSE())*AE$1)</f>
        <v>17.5</v>
      </c>
      <c r="EL69" s="91">
        <f>IF(AV69="",0,VLOOKUP(J69,Tables!$B$3:$M$36,12,FALSE())*AF$1)</f>
        <v>0</v>
      </c>
      <c r="EM69" s="92">
        <f>IF(AW69="",0,VLOOKUP(K69,Tables!$B$3:$M$36,12,FALSE())*AG$1)</f>
        <v>0</v>
      </c>
      <c r="EN69" s="92">
        <f>IF(AX69="",0,VLOOKUP(L69,Tables!$B$3:$M$36,12,FALSE())*AH$1)</f>
        <v>0</v>
      </c>
      <c r="EO69" s="91">
        <f>IF(AY69="",0,VLOOKUP(M69,Tables!$B$3:$M$36,12,FALSE())*AI$1)</f>
        <v>0</v>
      </c>
      <c r="EP69" s="92">
        <f>IF(AZ69="",0,VLOOKUP(N69,Tables!$B$3:$M$36,12,FALSE())*AJ$1)</f>
        <v>0</v>
      </c>
      <c r="EQ69" s="92">
        <f>IF(BA69="",0,VLOOKUP(O69,Tables!$B$3:$M$36,12,FALSE())*AK$1)</f>
        <v>0</v>
      </c>
      <c r="ER69" s="93">
        <f>IF(BB69="",0,VLOOKUP(P69,Tables!$B$3:$M$36,12,FALSE())*AL$1)</f>
        <v>0</v>
      </c>
      <c r="ES69" s="94">
        <f t="shared" si="111"/>
        <v>0</v>
      </c>
      <c r="ET69" s="95">
        <f>IF(AN69="",10,MIN(VLOOKUP(B69,Tables!$B$3:$N$34,13,FALSE()),'Item Builder'!$W69))</f>
        <v>10</v>
      </c>
      <c r="EU69" s="95">
        <f>IF(AO69="",10,MIN(VLOOKUP(C69,Tables!$B$3:$N$34,13,FALSE()),'Item Builder'!$W69))</f>
        <v>10</v>
      </c>
      <c r="EV69" s="95">
        <f>IF(AP69="",10,MIN(VLOOKUP(D69,Tables!$B$3:$N$34,13,FALSE()),'Item Builder'!$W69))</f>
        <v>10</v>
      </c>
      <c r="EW69" s="95">
        <f>IF(AQ69="",10,MIN(VLOOKUP(E69,Tables!$B$3:$N$34,13,FALSE()),'Item Builder'!$W69))</f>
        <v>10</v>
      </c>
      <c r="EX69" s="95">
        <f>IF(AR69="",10,MIN(VLOOKUP(F69,Tables!$B$3:$N$34,13,FALSE()),'Item Builder'!$W69))</f>
        <v>10</v>
      </c>
      <c r="EY69" s="95">
        <f>IF(AS69="",10,MIN(VLOOKUP(G69,Tables!$B$3:$N$34,13,FALSE()),'Item Builder'!$W69))</f>
        <v>10</v>
      </c>
      <c r="EZ69" s="95">
        <f>IF(AT69="",10,MIN(VLOOKUP(H69,Tables!$B$3:$N$34,13,FALSE()),'Item Builder'!$W69))</f>
        <v>10</v>
      </c>
      <c r="FA69" s="95">
        <f>IF(AU69="",10,MIN(VLOOKUP(I69,Tables!$B$3:$N$34,13,FALSE()),'Item Builder'!$W69))</f>
        <v>0</v>
      </c>
      <c r="FB69" s="95">
        <f>IF(AV69="",10,MIN(VLOOKUP(J69,Tables!$B$3:$N$34,13,FALSE()),'Item Builder'!$W69))</f>
        <v>10</v>
      </c>
      <c r="FC69" s="95">
        <f>IF(AW69="",10,MIN(VLOOKUP(K69,Tables!$B$3:$N$34,13,FALSE()),'Item Builder'!$W69))</f>
        <v>10</v>
      </c>
      <c r="FD69" s="95">
        <f>IF(AX69="",10,MIN(VLOOKUP(L69,Tables!$B$3:$N$34,13,FALSE()),'Item Builder'!$W69))</f>
        <v>10</v>
      </c>
      <c r="FE69" s="95">
        <f>IF(AY69="",10,MIN(VLOOKUP(M69,Tables!$B$3:$N$34,13,FALSE()),'Item Builder'!$W69))</f>
        <v>10</v>
      </c>
      <c r="FF69" s="95">
        <f>IF(AZ69="",10,MIN(VLOOKUP(N69,Tables!$B$3:$N$34,13,FALSE()),'Item Builder'!$W69))</f>
        <v>10</v>
      </c>
      <c r="FG69" s="95">
        <f>IF(BA69="",10,MIN(VLOOKUP(O69,Tables!$B$3:$N$34,13,FALSE()),'Item Builder'!$W69))</f>
        <v>10</v>
      </c>
      <c r="FH69" s="98">
        <f>IF(BB69="",10,MIN(VLOOKUP(P69,Tables!$B$3:$N$34,13,FALSE()),'Item Builder'!$W69))</f>
        <v>10</v>
      </c>
    </row>
    <row r="70" spans="1:164" x14ac:dyDescent="0.25">
      <c r="A70" s="67" t="s">
        <v>228</v>
      </c>
      <c r="B70" s="68"/>
      <c r="C70" s="69"/>
      <c r="D70" s="70"/>
      <c r="E70" s="68"/>
      <c r="F70" s="69"/>
      <c r="G70" s="69"/>
      <c r="H70" s="69"/>
      <c r="I70" s="70"/>
      <c r="J70" s="68" t="s">
        <v>107</v>
      </c>
      <c r="K70" s="69" t="s">
        <v>107</v>
      </c>
      <c r="L70" s="70"/>
      <c r="M70" s="68"/>
      <c r="N70" s="69"/>
      <c r="O70" s="69"/>
      <c r="P70" s="71"/>
      <c r="Q70" s="72">
        <f>SUM(BV70:CJ70)*VLOOKUP(W70,Tables!$W$3:$Z$8,4)</f>
        <v>240</v>
      </c>
      <c r="R70" s="73">
        <f t="shared" si="56"/>
        <v>13.2</v>
      </c>
      <c r="S70" s="101">
        <f t="shared" si="57"/>
        <v>5</v>
      </c>
      <c r="T70" s="74">
        <f t="shared" si="58"/>
        <v>0</v>
      </c>
      <c r="U70" s="75">
        <f t="shared" si="59"/>
        <v>264</v>
      </c>
      <c r="V70" s="76">
        <f t="shared" si="60"/>
        <v>84</v>
      </c>
      <c r="W70" s="77">
        <v>0</v>
      </c>
      <c r="X70" s="78">
        <f t="shared" si="61"/>
        <v>0</v>
      </c>
      <c r="Y70" s="79">
        <f t="shared" si="62"/>
        <v>0</v>
      </c>
      <c r="Z70" s="79">
        <f t="shared" si="63"/>
        <v>0</v>
      </c>
      <c r="AA70" s="78">
        <f t="shared" si="64"/>
        <v>0</v>
      </c>
      <c r="AB70" s="79">
        <f t="shared" si="65"/>
        <v>0</v>
      </c>
      <c r="AC70" s="79">
        <f t="shared" si="66"/>
        <v>0</v>
      </c>
      <c r="AD70" s="79">
        <f t="shared" si="67"/>
        <v>0</v>
      </c>
      <c r="AE70" s="79">
        <f t="shared" si="68"/>
        <v>0</v>
      </c>
      <c r="AF70" s="78">
        <f t="shared" si="69"/>
        <v>1</v>
      </c>
      <c r="AG70" s="79">
        <f t="shared" si="70"/>
        <v>1</v>
      </c>
      <c r="AH70" s="79">
        <f t="shared" si="71"/>
        <v>0</v>
      </c>
      <c r="AI70" s="78">
        <f t="shared" si="72"/>
        <v>0</v>
      </c>
      <c r="AJ70" s="79">
        <f t="shared" si="73"/>
        <v>0</v>
      </c>
      <c r="AK70" s="79">
        <f t="shared" si="74"/>
        <v>0</v>
      </c>
      <c r="AL70" s="80">
        <f t="shared" si="75"/>
        <v>0</v>
      </c>
      <c r="AM70" s="81">
        <f t="shared" si="76"/>
        <v>0.24</v>
      </c>
      <c r="AN70" s="82" t="str">
        <f t="shared" si="77"/>
        <v/>
      </c>
      <c r="AO70" s="79" t="str">
        <f t="shared" si="78"/>
        <v/>
      </c>
      <c r="AP70" t="str">
        <f t="shared" si="79"/>
        <v/>
      </c>
      <c r="AQ70" s="82" t="str">
        <f t="shared" si="80"/>
        <v/>
      </c>
      <c r="AR70" t="str">
        <f t="shared" si="81"/>
        <v/>
      </c>
      <c r="AS70" t="str">
        <f t="shared" si="82"/>
        <v/>
      </c>
      <c r="AT70" t="str">
        <f t="shared" si="83"/>
        <v/>
      </c>
      <c r="AU70" t="str">
        <f t="shared" si="84"/>
        <v/>
      </c>
      <c r="AV70" s="82" t="str">
        <f t="shared" si="85"/>
        <v>S</v>
      </c>
      <c r="AW70" t="str">
        <f t="shared" si="86"/>
        <v>S</v>
      </c>
      <c r="AX70" t="str">
        <f t="shared" si="87"/>
        <v/>
      </c>
      <c r="AY70" s="82" t="str">
        <f t="shared" si="88"/>
        <v/>
      </c>
      <c r="AZ70" t="str">
        <f t="shared" si="89"/>
        <v/>
      </c>
      <c r="BA70" t="str">
        <f t="shared" si="90"/>
        <v/>
      </c>
      <c r="BB70" s="83" t="str">
        <f t="shared" si="91"/>
        <v/>
      </c>
      <c r="BC70" s="84">
        <f t="shared" si="92"/>
        <v>0</v>
      </c>
      <c r="BD70" s="84">
        <f t="shared" si="93"/>
        <v>0</v>
      </c>
      <c r="BE70" s="84">
        <f t="shared" si="94"/>
        <v>0.70588235294117652</v>
      </c>
      <c r="BF70" s="84">
        <f t="shared" si="95"/>
        <v>0</v>
      </c>
      <c r="BG70" s="78">
        <f>IF(AN70="",0,VLOOKUP(AN70,Tables!$AB$3:$AC$12,2))</f>
        <v>0</v>
      </c>
      <c r="BH70" s="79">
        <f>IF(AO70="",0,VLOOKUP(AO70,Tables!$AB$3:$AC$12,2))</f>
        <v>0</v>
      </c>
      <c r="BI70" s="79">
        <f>IF(AP70="",0,VLOOKUP(AP70,Tables!$AB$3:$AC$12,2))</f>
        <v>0</v>
      </c>
      <c r="BJ70" s="78">
        <f>IF(AQ70="",0,VLOOKUP(AQ70,Tables!$AB$3:$AC$12,2))</f>
        <v>0</v>
      </c>
      <c r="BK70" s="79">
        <f>IF(AR70="",0,VLOOKUP(AR70,Tables!$AB$3:$AC$12,2))</f>
        <v>0</v>
      </c>
      <c r="BL70" s="79">
        <f>IF(AS70="",0,VLOOKUP(AS70,Tables!$AB$3:$AC$12,2))</f>
        <v>0</v>
      </c>
      <c r="BM70" s="79">
        <f>IF(AT70="",0,VLOOKUP(AT70,Tables!$AB$3:$AC$12,2))</f>
        <v>0</v>
      </c>
      <c r="BN70" s="79">
        <f>IF(AU70="",0,VLOOKUP(AU70,Tables!$AB$3:$AC$12,2))</f>
        <v>0</v>
      </c>
      <c r="BO70" s="78">
        <f>IF(AV70="",0,VLOOKUP(AV70,Tables!$AB$3:$AC$12,2))</f>
        <v>1</v>
      </c>
      <c r="BP70" s="79">
        <f>IF(AW70="",0,VLOOKUP(AW70,Tables!$AB$3:$AC$12,2))</f>
        <v>1</v>
      </c>
      <c r="BQ70" s="79">
        <f>IF(AX70="",0,VLOOKUP(AX70,Tables!$AB$3:$AC$12,2))</f>
        <v>0</v>
      </c>
      <c r="BR70" s="78">
        <f>IF(AY70="",0,VLOOKUP(AY70,Tables!$AB$3:$AC$12,2))</f>
        <v>0</v>
      </c>
      <c r="BS70" s="79">
        <f>IF(AZ70="",0,VLOOKUP(AZ70,Tables!$AB$3:$AC$12,2))</f>
        <v>0</v>
      </c>
      <c r="BT70" s="79">
        <f>IF(BA70="",0,VLOOKUP(BA70,Tables!$AB$3:$AC$12,2))</f>
        <v>0</v>
      </c>
      <c r="BU70" s="80">
        <f>IF(BB70="",0,VLOOKUP(BB70,Tables!$AB$3:$AC$12,2))</f>
        <v>0</v>
      </c>
      <c r="BV70" s="85">
        <f>IF(AN70="",0,VLOOKUP(B70,Tables!$B$3:$D$36,2,FALSE())*X$1)</f>
        <v>0</v>
      </c>
      <c r="BW70" s="72">
        <f>IF(AO70="",0,VLOOKUP(C70,Tables!$B$3:$D$36,2,FALSE())*Y$1)</f>
        <v>0</v>
      </c>
      <c r="BX70" s="72">
        <f>IF(AP70="",0,VLOOKUP(D70,Tables!$B$3:$D$36,2,FALSE())*Z$1)</f>
        <v>0</v>
      </c>
      <c r="BY70" s="85">
        <f>IF(AQ70="",0,VLOOKUP(E70,Tables!$B$3:$D$36,2,FALSE())*AA$1)</f>
        <v>0</v>
      </c>
      <c r="BZ70" s="72">
        <f>IF(AR70="",0,VLOOKUP(F70,Tables!$B$3:$D$36,2,FALSE())*AB$1)</f>
        <v>0</v>
      </c>
      <c r="CA70" s="72">
        <f>IF(AS70="",0,VLOOKUP(G70,Tables!$B$3:$D$36,2,FALSE())*AC$1)</f>
        <v>0</v>
      </c>
      <c r="CB70" s="72">
        <f>IF(AT70="",0,VLOOKUP(H70,Tables!$B$3:$D$36,2,FALSE())*AD$1)</f>
        <v>0</v>
      </c>
      <c r="CC70" s="72">
        <f>IF(AU70="",0,VLOOKUP(I70,Tables!$B$3:$D$36,2,FALSE())*AE$1)</f>
        <v>0</v>
      </c>
      <c r="CD70" s="85">
        <f>IF(AV70="",0,VLOOKUP(J70,Tables!$B$3:$D$36,2,FALSE())*AF$1)</f>
        <v>120</v>
      </c>
      <c r="CE70" s="72">
        <f>IF(AW70="",0,VLOOKUP(K70,Tables!$B$3:$D$36,2,FALSE())*AG$1)</f>
        <v>120</v>
      </c>
      <c r="CF70" s="72">
        <f>IF(AX70="",0,VLOOKUP(L70,Tables!$B$3:$D$36,2,FALSE())*AH$1)</f>
        <v>0</v>
      </c>
      <c r="CG70" s="85">
        <f>IF(AY70="",0,VLOOKUP(M70,Tables!$B$3:$D$36,2,FALSE())*AI$1)</f>
        <v>0</v>
      </c>
      <c r="CH70" s="72">
        <f>IF(AZ70="",0,VLOOKUP(N70,Tables!$B$3:$D$36,2,FALSE())*AJ$1)</f>
        <v>0</v>
      </c>
      <c r="CI70" s="72">
        <f>IF(BA70="",0,VLOOKUP(O70,Tables!$B$3:$D$36,2,FALSE())*AK$1)</f>
        <v>0</v>
      </c>
      <c r="CJ70" s="86">
        <f>IF(BB70="",0,VLOOKUP(P70,Tables!$B$3:$D$36,2,FALSE())*AL$1)</f>
        <v>0</v>
      </c>
      <c r="CK70" s="87">
        <f>IF(AN70="",0,VLOOKUP(B70,Tables!$B$3:$D$36,3,FALSE())*X$1)*IF(OR(AN70="K",AN70="P"),2,1)</f>
        <v>0</v>
      </c>
      <c r="CL70" s="73">
        <f>IF(AO70="",0,VLOOKUP(C70,Tables!$B$3:$D$36,3,FALSE())*Y$1)*IF(OR(AO70="K",AO70="P"),2,1)</f>
        <v>0</v>
      </c>
      <c r="CM70" s="73">
        <f>IF(AP70="",0,VLOOKUP(D70,Tables!$B$3:$D$36,3,FALSE())*Z$1)*IF(OR(AP70="K",AP70="P"),2,1)</f>
        <v>0</v>
      </c>
      <c r="CN70" s="87">
        <f>IF(AQ70="",0,VLOOKUP(E70,Tables!$B$3:$D$36,3,FALSE())*AA$1)</f>
        <v>0</v>
      </c>
      <c r="CO70" s="73">
        <f>IF(AR70="",0,VLOOKUP(F70,Tables!$B$3:$D$36,3,FALSE())*AB$1)</f>
        <v>0</v>
      </c>
      <c r="CP70" s="73">
        <f>IF(AS70="",0,VLOOKUP(G70,Tables!$B$3:$D$36,3,FALSE())*AC$1)</f>
        <v>0</v>
      </c>
      <c r="CQ70" s="73">
        <f>IF(AT70="",0,VLOOKUP(H70,Tables!$B$3:$D$36,3,FALSE())*AD$1)</f>
        <v>0</v>
      </c>
      <c r="CR70" s="73">
        <f>IF(AU70="",0,VLOOKUP(I70,Tables!$B$3:$D$36,3,FALSE())*AE$1)</f>
        <v>0</v>
      </c>
      <c r="CS70" s="87">
        <f>IF(AV70="",0,VLOOKUP(J70,Tables!$B$3:$D$36,3,FALSE())*AF$1)</f>
        <v>6.6</v>
      </c>
      <c r="CT70" s="73">
        <f>IF(AW70="",0,VLOOKUP(K70,Tables!$B$3:$D$36,3,FALSE())*AG$1)</f>
        <v>6.6</v>
      </c>
      <c r="CU70" s="73">
        <f>IF(AX70="",0,VLOOKUP(L70,Tables!$B$3:$D$36,3,FALSE())*AH$1)</f>
        <v>0</v>
      </c>
      <c r="CV70" s="87">
        <f>IF(AY70="",0,VLOOKUP(M70,Tables!$B$3:$D$36,3,FALSE())*AI$1)</f>
        <v>0</v>
      </c>
      <c r="CW70" s="73">
        <f>IF(AZ70="",0,VLOOKUP(N70,Tables!$B$3:$D$36,3,FALSE())*AJ$1)</f>
        <v>0</v>
      </c>
      <c r="CX70" s="73">
        <f>IF(BA70="",0,VLOOKUP(O70,Tables!$B$3:$D$36,3,FALSE())*AK$1)</f>
        <v>0</v>
      </c>
      <c r="CY70" s="88">
        <f>IF(BB70="",0,VLOOKUP(P70,Tables!$B$3:$D$36,3,FALSE())*AL$1)</f>
        <v>0</v>
      </c>
      <c r="CZ70" s="89">
        <f t="shared" si="96"/>
        <v>0</v>
      </c>
      <c r="DA70" s="75">
        <f t="shared" si="97"/>
        <v>0</v>
      </c>
      <c r="DB70" s="75">
        <f t="shared" si="98"/>
        <v>0</v>
      </c>
      <c r="DC70" s="89">
        <f t="shared" si="99"/>
        <v>0</v>
      </c>
      <c r="DD70" s="75">
        <f t="shared" si="100"/>
        <v>0</v>
      </c>
      <c r="DE70" s="75">
        <f t="shared" si="101"/>
        <v>0</v>
      </c>
      <c r="DF70" s="75">
        <f t="shared" si="102"/>
        <v>0</v>
      </c>
      <c r="DG70" s="75">
        <f t="shared" si="103"/>
        <v>0</v>
      </c>
      <c r="DH70" s="89">
        <f t="shared" si="104"/>
        <v>1.3</v>
      </c>
      <c r="DI70" s="75">
        <f t="shared" si="105"/>
        <v>1.3</v>
      </c>
      <c r="DJ70" s="75">
        <f t="shared" si="106"/>
        <v>0</v>
      </c>
      <c r="DK70" s="89">
        <f t="shared" si="107"/>
        <v>0</v>
      </c>
      <c r="DL70" s="75">
        <f t="shared" si="108"/>
        <v>0</v>
      </c>
      <c r="DM70" s="75">
        <f t="shared" si="109"/>
        <v>0</v>
      </c>
      <c r="DN70" s="90">
        <f t="shared" si="110"/>
        <v>0</v>
      </c>
      <c r="DO70" s="91">
        <f>IF(AN70="",0,VLOOKUP(B70,Tables!$B$3:$M$36,11,FALSE())*X$1)</f>
        <v>0</v>
      </c>
      <c r="DP70" s="92">
        <f>IF(AO70="",0,VLOOKUP(C70,Tables!$B$3:$M$36,11,FALSE())*Y$1)</f>
        <v>0</v>
      </c>
      <c r="DQ70" s="92">
        <f>IF(AP70="",0,VLOOKUP(D70,Tables!$B$3:$M$36,11,FALSE())*Z$1)</f>
        <v>0</v>
      </c>
      <c r="DR70" s="91">
        <f>IF(AQ70="",0,VLOOKUP(E70,Tables!$B$3:$M$36,11,FALSE())*AA$1)</f>
        <v>0</v>
      </c>
      <c r="DS70" s="92">
        <f>IF(AR70="",0,VLOOKUP(F70,Tables!$B$3:$M$36,11,FALSE())*AB$1)</f>
        <v>0</v>
      </c>
      <c r="DT70" s="92">
        <f>IF(AS70="",0,VLOOKUP(G70,Tables!$B$3:$M$36,11,FALSE())*AC$1)</f>
        <v>0</v>
      </c>
      <c r="DU70" s="92">
        <f>IF(AT70="",0,VLOOKUP(H70,Tables!$B$3:$M$36,11,FALSE())*AD$1)</f>
        <v>0</v>
      </c>
      <c r="DV70" s="92">
        <f>IF(AU70="",0,VLOOKUP(I70,Tables!$B$3:$M$36,11,FALSE())*AE$1)</f>
        <v>0</v>
      </c>
      <c r="DW70" s="91">
        <f>IF(AV70="",0,VLOOKUP(J70,Tables!$B$3:$M$36,11,FALSE())*AF$1)</f>
        <v>132</v>
      </c>
      <c r="DX70" s="92">
        <f>IF(AW70="",0,VLOOKUP(K70,Tables!$B$3:$M$36,11,FALSE())*AG$1)</f>
        <v>132</v>
      </c>
      <c r="DY70" s="92">
        <f>IF(AX70="",0,VLOOKUP(L70,Tables!$B$3:$M$36,11,FALSE())*AH$1)</f>
        <v>0</v>
      </c>
      <c r="DZ70" s="91">
        <f>IF(AY70="",0,VLOOKUP(M70,Tables!$B$3:$M$36,11,FALSE())*AI$1)</f>
        <v>0</v>
      </c>
      <c r="EA70" s="92">
        <f>IF(AZ70="",0,VLOOKUP(N70,Tables!$B$3:$M$36,11,FALSE())*AJ$1)</f>
        <v>0</v>
      </c>
      <c r="EB70" s="92">
        <f>IF(BA70="",0,VLOOKUP(O70,Tables!$B$3:$M$36,11,FALSE())*AK$1)</f>
        <v>0</v>
      </c>
      <c r="EC70" s="93">
        <f>IF(BB70="",0,VLOOKUP(P70,Tables!$B$3:$M$36,11,FALSE())*AL$1)</f>
        <v>0</v>
      </c>
      <c r="ED70" s="91">
        <f>IF(AN70="",0,VLOOKUP(B70,Tables!$B$3:$M$36,12,FALSE())*X$1)</f>
        <v>0</v>
      </c>
      <c r="EE70" s="92">
        <f>IF(AO70="",0,VLOOKUP(C70,Tables!$B$3:$M$36,12,FALSE())*Y$1)</f>
        <v>0</v>
      </c>
      <c r="EF70" s="92">
        <f>IF(AP70="",0,VLOOKUP(D70,Tables!$B$3:$M$36,12,FALSE())*Z$1)</f>
        <v>0</v>
      </c>
      <c r="EG70" s="91">
        <f>IF(AQ70="",0,VLOOKUP(E70,Tables!$B$3:$M$36,12,FALSE())*AA$1)</f>
        <v>0</v>
      </c>
      <c r="EH70" s="92">
        <f>IF(AR70="",0,VLOOKUP(F70,Tables!$B$3:$M$36,12,FALSE())*AB$1)</f>
        <v>0</v>
      </c>
      <c r="EI70" s="92">
        <f>IF(AS70="",0,VLOOKUP(G70,Tables!$B$3:$M$36,12,FALSE())*AC$1)</f>
        <v>0</v>
      </c>
      <c r="EJ70" s="92">
        <f>IF(AT70="",0,VLOOKUP(H70,Tables!$B$3:$M$36,12,FALSE())*AD$1)</f>
        <v>0</v>
      </c>
      <c r="EK70" s="92">
        <f>IF(AU70="",0,VLOOKUP(I70,Tables!$B$3:$M$36,12,FALSE())*AE$1)</f>
        <v>0</v>
      </c>
      <c r="EL70" s="91">
        <f>IF(AV70="",0,VLOOKUP(J70,Tables!$B$3:$M$36,12,FALSE())*AF$1)</f>
        <v>42</v>
      </c>
      <c r="EM70" s="92">
        <f>IF(AW70="",0,VLOOKUP(K70,Tables!$B$3:$M$36,12,FALSE())*AG$1)</f>
        <v>42</v>
      </c>
      <c r="EN70" s="92">
        <f>IF(AX70="",0,VLOOKUP(L70,Tables!$B$3:$M$36,12,FALSE())*AH$1)</f>
        <v>0</v>
      </c>
      <c r="EO70" s="91">
        <f>IF(AY70="",0,VLOOKUP(M70,Tables!$B$3:$M$36,12,FALSE())*AI$1)</f>
        <v>0</v>
      </c>
      <c r="EP70" s="92">
        <f>IF(AZ70="",0,VLOOKUP(N70,Tables!$B$3:$M$36,12,FALSE())*AJ$1)</f>
        <v>0</v>
      </c>
      <c r="EQ70" s="92">
        <f>IF(BA70="",0,VLOOKUP(O70,Tables!$B$3:$M$36,12,FALSE())*AK$1)</f>
        <v>0</v>
      </c>
      <c r="ER70" s="93">
        <f>IF(BB70="",0,VLOOKUP(P70,Tables!$B$3:$M$36,12,FALSE())*AL$1)</f>
        <v>0</v>
      </c>
      <c r="ES70" s="94">
        <f t="shared" si="111"/>
        <v>0</v>
      </c>
      <c r="ET70" s="95">
        <f>IF(AN70="",10,MIN(VLOOKUP(B70,Tables!$B$3:$N$34,13,FALSE()),'Item Builder'!$W70))</f>
        <v>10</v>
      </c>
      <c r="EU70" s="95">
        <f>IF(AO70="",10,MIN(VLOOKUP(C70,Tables!$B$3:$N$34,13,FALSE()),'Item Builder'!$W70))</f>
        <v>10</v>
      </c>
      <c r="EV70" s="95">
        <f>IF(AP70="",10,MIN(VLOOKUP(D70,Tables!$B$3:$N$34,13,FALSE()),'Item Builder'!$W70))</f>
        <v>10</v>
      </c>
      <c r="EW70" s="95">
        <f>IF(AQ70="",10,MIN(VLOOKUP(E70,Tables!$B$3:$N$34,13,FALSE()),'Item Builder'!$W70))</f>
        <v>10</v>
      </c>
      <c r="EX70" s="95">
        <f>IF(AR70="",10,MIN(VLOOKUP(F70,Tables!$B$3:$N$34,13,FALSE()),'Item Builder'!$W70))</f>
        <v>10</v>
      </c>
      <c r="EY70" s="95">
        <f>IF(AS70="",10,MIN(VLOOKUP(G70,Tables!$B$3:$N$34,13,FALSE()),'Item Builder'!$W70))</f>
        <v>10</v>
      </c>
      <c r="EZ70" s="95">
        <f>IF(AT70="",10,MIN(VLOOKUP(H70,Tables!$B$3:$N$34,13,FALSE()),'Item Builder'!$W70))</f>
        <v>10</v>
      </c>
      <c r="FA70" s="95">
        <f>IF(AU70="",10,MIN(VLOOKUP(I70,Tables!$B$3:$N$34,13,FALSE()),'Item Builder'!$W70))</f>
        <v>10</v>
      </c>
      <c r="FB70" s="95">
        <f>IF(AV70="",10,MIN(VLOOKUP(J70,Tables!$B$3:$N$34,13,FALSE()),'Item Builder'!$W70))</f>
        <v>0</v>
      </c>
      <c r="FC70" s="95">
        <f>IF(AW70="",10,MIN(VLOOKUP(K70,Tables!$B$3:$N$34,13,FALSE()),'Item Builder'!$W70))</f>
        <v>0</v>
      </c>
      <c r="FD70" s="95">
        <f>IF(AX70="",10,MIN(VLOOKUP(L70,Tables!$B$3:$N$34,13,FALSE()),'Item Builder'!$W70))</f>
        <v>10</v>
      </c>
      <c r="FE70" s="95">
        <f>IF(AY70="",10,MIN(VLOOKUP(M70,Tables!$B$3:$N$34,13,FALSE()),'Item Builder'!$W70))</f>
        <v>10</v>
      </c>
      <c r="FF70" s="95">
        <f>IF(AZ70="",10,MIN(VLOOKUP(N70,Tables!$B$3:$N$34,13,FALSE()),'Item Builder'!$W70))</f>
        <v>10</v>
      </c>
      <c r="FG70" s="95">
        <f>IF(BA70="",10,MIN(VLOOKUP(O70,Tables!$B$3:$N$34,13,FALSE()),'Item Builder'!$W70))</f>
        <v>10</v>
      </c>
      <c r="FH70" s="98">
        <f>IF(BB70="",10,MIN(VLOOKUP(P70,Tables!$B$3:$N$34,13,FALSE()),'Item Builder'!$W70))</f>
        <v>10</v>
      </c>
    </row>
    <row r="71" spans="1:164" x14ac:dyDescent="0.25">
      <c r="A71" s="67" t="s">
        <v>65</v>
      </c>
      <c r="B71" s="68"/>
      <c r="C71" s="69"/>
      <c r="D71" s="70"/>
      <c r="E71" s="68" t="s">
        <v>107</v>
      </c>
      <c r="F71" s="69" t="s">
        <v>107</v>
      </c>
      <c r="G71" s="69"/>
      <c r="H71" s="69"/>
      <c r="I71" s="70"/>
      <c r="J71" s="68" t="s">
        <v>107</v>
      </c>
      <c r="K71" s="69" t="s">
        <v>107</v>
      </c>
      <c r="L71" s="70"/>
      <c r="M71" s="68"/>
      <c r="N71" s="69"/>
      <c r="O71" s="69"/>
      <c r="P71" s="71"/>
      <c r="Q71" s="72">
        <f>SUM(BV71:CJ71)*VLOOKUP(W71,Tables!$W$3:$Z$8,4)</f>
        <v>330</v>
      </c>
      <c r="R71" s="73">
        <f t="shared" si="56"/>
        <v>18.149999999999999</v>
      </c>
      <c r="S71" s="102">
        <f t="shared" si="57"/>
        <v>10</v>
      </c>
      <c r="T71" s="74">
        <f t="shared" si="58"/>
        <v>0</v>
      </c>
      <c r="U71" s="75">
        <f t="shared" si="59"/>
        <v>363</v>
      </c>
      <c r="V71" s="76">
        <f t="shared" si="60"/>
        <v>115.5</v>
      </c>
      <c r="W71" s="77">
        <v>0</v>
      </c>
      <c r="X71" s="78">
        <f t="shared" si="61"/>
        <v>0</v>
      </c>
      <c r="Y71" s="79">
        <f t="shared" si="62"/>
        <v>0</v>
      </c>
      <c r="Z71" s="79">
        <f t="shared" si="63"/>
        <v>0</v>
      </c>
      <c r="AA71" s="78">
        <f t="shared" si="64"/>
        <v>1</v>
      </c>
      <c r="AB71" s="79">
        <f t="shared" si="65"/>
        <v>1</v>
      </c>
      <c r="AC71" s="79">
        <f t="shared" si="66"/>
        <v>0</v>
      </c>
      <c r="AD71" s="79">
        <f t="shared" si="67"/>
        <v>0</v>
      </c>
      <c r="AE71" s="79">
        <f t="shared" si="68"/>
        <v>0</v>
      </c>
      <c r="AF71" s="78">
        <f t="shared" si="69"/>
        <v>1</v>
      </c>
      <c r="AG71" s="79">
        <f t="shared" si="70"/>
        <v>1</v>
      </c>
      <c r="AH71" s="79">
        <f t="shared" si="71"/>
        <v>0</v>
      </c>
      <c r="AI71" s="78">
        <f t="shared" si="72"/>
        <v>0</v>
      </c>
      <c r="AJ71" s="79">
        <f t="shared" si="73"/>
        <v>0</v>
      </c>
      <c r="AK71" s="79">
        <f t="shared" si="74"/>
        <v>0</v>
      </c>
      <c r="AL71" s="80">
        <f t="shared" si="75"/>
        <v>0</v>
      </c>
      <c r="AM71" s="81">
        <f t="shared" si="76"/>
        <v>0.32999999999999996</v>
      </c>
      <c r="AN71" s="82" t="str">
        <f t="shared" si="77"/>
        <v/>
      </c>
      <c r="AO71" s="79" t="str">
        <f t="shared" si="78"/>
        <v/>
      </c>
      <c r="AP71" t="str">
        <f t="shared" si="79"/>
        <v/>
      </c>
      <c r="AQ71" s="82" t="str">
        <f t="shared" si="80"/>
        <v>S</v>
      </c>
      <c r="AR71" t="str">
        <f t="shared" si="81"/>
        <v>S</v>
      </c>
      <c r="AS71" t="str">
        <f t="shared" si="82"/>
        <v/>
      </c>
      <c r="AT71" t="str">
        <f t="shared" si="83"/>
        <v/>
      </c>
      <c r="AU71" t="str">
        <f t="shared" si="84"/>
        <v/>
      </c>
      <c r="AV71" s="82" t="str">
        <f t="shared" si="85"/>
        <v>S</v>
      </c>
      <c r="AW71" t="str">
        <f t="shared" si="86"/>
        <v>S</v>
      </c>
      <c r="AX71" t="str">
        <f t="shared" si="87"/>
        <v/>
      </c>
      <c r="AY71" s="82" t="str">
        <f t="shared" si="88"/>
        <v/>
      </c>
      <c r="AZ71" t="str">
        <f t="shared" si="89"/>
        <v/>
      </c>
      <c r="BA71" t="str">
        <f t="shared" si="90"/>
        <v/>
      </c>
      <c r="BB71" s="83" t="str">
        <f t="shared" si="91"/>
        <v/>
      </c>
      <c r="BC71" s="84">
        <f t="shared" si="92"/>
        <v>0</v>
      </c>
      <c r="BD71" s="84">
        <f t="shared" si="93"/>
        <v>0.42857142857142849</v>
      </c>
      <c r="BE71" s="84">
        <f t="shared" si="94"/>
        <v>0.70588235294117652</v>
      </c>
      <c r="BF71" s="84">
        <f t="shared" si="95"/>
        <v>0</v>
      </c>
      <c r="BG71" s="78">
        <f>IF(AN71="",0,VLOOKUP(AN71,Tables!$AB$3:$AC$12,2))</f>
        <v>0</v>
      </c>
      <c r="BH71" s="79">
        <f>IF(AO71="",0,VLOOKUP(AO71,Tables!$AB$3:$AC$12,2))</f>
        <v>0</v>
      </c>
      <c r="BI71" s="79">
        <f>IF(AP71="",0,VLOOKUP(AP71,Tables!$AB$3:$AC$12,2))</f>
        <v>0</v>
      </c>
      <c r="BJ71" s="78">
        <f>IF(AQ71="",0,VLOOKUP(AQ71,Tables!$AB$3:$AC$12,2))</f>
        <v>1</v>
      </c>
      <c r="BK71" s="79">
        <f>IF(AR71="",0,VLOOKUP(AR71,Tables!$AB$3:$AC$12,2))</f>
        <v>1</v>
      </c>
      <c r="BL71" s="79">
        <f>IF(AS71="",0,VLOOKUP(AS71,Tables!$AB$3:$AC$12,2))</f>
        <v>0</v>
      </c>
      <c r="BM71" s="79">
        <f>IF(AT71="",0,VLOOKUP(AT71,Tables!$AB$3:$AC$12,2))</f>
        <v>0</v>
      </c>
      <c r="BN71" s="79">
        <f>IF(AU71="",0,VLOOKUP(AU71,Tables!$AB$3:$AC$12,2))</f>
        <v>0</v>
      </c>
      <c r="BO71" s="78">
        <f>IF(AV71="",0,VLOOKUP(AV71,Tables!$AB$3:$AC$12,2))</f>
        <v>1</v>
      </c>
      <c r="BP71" s="79">
        <f>IF(AW71="",0,VLOOKUP(AW71,Tables!$AB$3:$AC$12,2))</f>
        <v>1</v>
      </c>
      <c r="BQ71" s="79">
        <f>IF(AX71="",0,VLOOKUP(AX71,Tables!$AB$3:$AC$12,2))</f>
        <v>0</v>
      </c>
      <c r="BR71" s="78">
        <f>IF(AY71="",0,VLOOKUP(AY71,Tables!$AB$3:$AC$12,2))</f>
        <v>0</v>
      </c>
      <c r="BS71" s="79">
        <f>IF(AZ71="",0,VLOOKUP(AZ71,Tables!$AB$3:$AC$12,2))</f>
        <v>0</v>
      </c>
      <c r="BT71" s="79">
        <f>IF(BA71="",0,VLOOKUP(BA71,Tables!$AB$3:$AC$12,2))</f>
        <v>0</v>
      </c>
      <c r="BU71" s="80">
        <f>IF(BB71="",0,VLOOKUP(BB71,Tables!$AB$3:$AC$12,2))</f>
        <v>0</v>
      </c>
      <c r="BV71" s="85">
        <f>IF(AN71="",0,VLOOKUP(B71,Tables!$B$3:$D$36,2,FALSE())*X$1)</f>
        <v>0</v>
      </c>
      <c r="BW71" s="72">
        <f>IF(AO71="",0,VLOOKUP(C71,Tables!$B$3:$D$36,2,FALSE())*Y$1)</f>
        <v>0</v>
      </c>
      <c r="BX71" s="72">
        <f>IF(AP71="",0,VLOOKUP(D71,Tables!$B$3:$D$36,2,FALSE())*Z$1)</f>
        <v>0</v>
      </c>
      <c r="BY71" s="85">
        <f>IF(AQ71="",0,VLOOKUP(E71,Tables!$B$3:$D$36,2,FALSE())*AA$1)</f>
        <v>30</v>
      </c>
      <c r="BZ71" s="72">
        <f>IF(AR71="",0,VLOOKUP(F71,Tables!$B$3:$D$36,2,FALSE())*AB$1)</f>
        <v>60</v>
      </c>
      <c r="CA71" s="72">
        <f>IF(AS71="",0,VLOOKUP(G71,Tables!$B$3:$D$36,2,FALSE())*AC$1)</f>
        <v>0</v>
      </c>
      <c r="CB71" s="72">
        <f>IF(AT71="",0,VLOOKUP(H71,Tables!$B$3:$D$36,2,FALSE())*AD$1)</f>
        <v>0</v>
      </c>
      <c r="CC71" s="72">
        <f>IF(AU71="",0,VLOOKUP(I71,Tables!$B$3:$D$36,2,FALSE())*AE$1)</f>
        <v>0</v>
      </c>
      <c r="CD71" s="85">
        <f>IF(AV71="",0,VLOOKUP(J71,Tables!$B$3:$D$36,2,FALSE())*AF$1)</f>
        <v>120</v>
      </c>
      <c r="CE71" s="72">
        <f>IF(AW71="",0,VLOOKUP(K71,Tables!$B$3:$D$36,2,FALSE())*AG$1)</f>
        <v>120</v>
      </c>
      <c r="CF71" s="72">
        <f>IF(AX71="",0,VLOOKUP(L71,Tables!$B$3:$D$36,2,FALSE())*AH$1)</f>
        <v>0</v>
      </c>
      <c r="CG71" s="85">
        <f>IF(AY71="",0,VLOOKUP(M71,Tables!$B$3:$D$36,2,FALSE())*AI$1)</f>
        <v>0</v>
      </c>
      <c r="CH71" s="72">
        <f>IF(AZ71="",0,VLOOKUP(N71,Tables!$B$3:$D$36,2,FALSE())*AJ$1)</f>
        <v>0</v>
      </c>
      <c r="CI71" s="72">
        <f>IF(BA71="",0,VLOOKUP(O71,Tables!$B$3:$D$36,2,FALSE())*AK$1)</f>
        <v>0</v>
      </c>
      <c r="CJ71" s="86">
        <f>IF(BB71="",0,VLOOKUP(P71,Tables!$B$3:$D$36,2,FALSE())*AL$1)</f>
        <v>0</v>
      </c>
      <c r="CK71" s="87">
        <f>IF(AN71="",0,VLOOKUP(B71,Tables!$B$3:$D$36,3,FALSE())*X$1)*IF(OR(AN71="K",AN71="P"),2,1)</f>
        <v>0</v>
      </c>
      <c r="CL71" s="73">
        <f>IF(AO71="",0,VLOOKUP(C71,Tables!$B$3:$D$36,3,FALSE())*Y$1)*IF(OR(AO71="K",AO71="P"),2,1)</f>
        <v>0</v>
      </c>
      <c r="CM71" s="73">
        <f>IF(AP71="",0,VLOOKUP(D71,Tables!$B$3:$D$36,3,FALSE())*Z$1)*IF(OR(AP71="K",AP71="P"),2,1)</f>
        <v>0</v>
      </c>
      <c r="CN71" s="87">
        <f>IF(AQ71="",0,VLOOKUP(E71,Tables!$B$3:$D$36,3,FALSE())*AA$1)</f>
        <v>1.65</v>
      </c>
      <c r="CO71" s="73">
        <f>IF(AR71="",0,VLOOKUP(F71,Tables!$B$3:$D$36,3,FALSE())*AB$1)</f>
        <v>3.3</v>
      </c>
      <c r="CP71" s="73">
        <f>IF(AS71="",0,VLOOKUP(G71,Tables!$B$3:$D$36,3,FALSE())*AC$1)</f>
        <v>0</v>
      </c>
      <c r="CQ71" s="73">
        <f>IF(AT71="",0,VLOOKUP(H71,Tables!$B$3:$D$36,3,FALSE())*AD$1)</f>
        <v>0</v>
      </c>
      <c r="CR71" s="73">
        <f>IF(AU71="",0,VLOOKUP(I71,Tables!$B$3:$D$36,3,FALSE())*AE$1)</f>
        <v>0</v>
      </c>
      <c r="CS71" s="87">
        <f>IF(AV71="",0,VLOOKUP(J71,Tables!$B$3:$D$36,3,FALSE())*AF$1)</f>
        <v>6.6</v>
      </c>
      <c r="CT71" s="73">
        <f>IF(AW71="",0,VLOOKUP(K71,Tables!$B$3:$D$36,3,FALSE())*AG$1)</f>
        <v>6.6</v>
      </c>
      <c r="CU71" s="73">
        <f>IF(AX71="",0,VLOOKUP(L71,Tables!$B$3:$D$36,3,FALSE())*AH$1)</f>
        <v>0</v>
      </c>
      <c r="CV71" s="87">
        <f>IF(AY71="",0,VLOOKUP(M71,Tables!$B$3:$D$36,3,FALSE())*AI$1)</f>
        <v>0</v>
      </c>
      <c r="CW71" s="73">
        <f>IF(AZ71="",0,VLOOKUP(N71,Tables!$B$3:$D$36,3,FALSE())*AJ$1)</f>
        <v>0</v>
      </c>
      <c r="CX71" s="73">
        <f>IF(BA71="",0,VLOOKUP(O71,Tables!$B$3:$D$36,3,FALSE())*AK$1)</f>
        <v>0</v>
      </c>
      <c r="CY71" s="88">
        <f>IF(BB71="",0,VLOOKUP(P71,Tables!$B$3:$D$36,3,FALSE())*AL$1)</f>
        <v>0</v>
      </c>
      <c r="CZ71" s="89">
        <f t="shared" si="96"/>
        <v>0</v>
      </c>
      <c r="DA71" s="75">
        <f t="shared" si="97"/>
        <v>0</v>
      </c>
      <c r="DB71" s="75">
        <f t="shared" si="98"/>
        <v>0</v>
      </c>
      <c r="DC71" s="89">
        <f t="shared" si="99"/>
        <v>1.3</v>
      </c>
      <c r="DD71" s="75">
        <f t="shared" si="100"/>
        <v>1.3</v>
      </c>
      <c r="DE71" s="75">
        <f t="shared" si="101"/>
        <v>0</v>
      </c>
      <c r="DF71" s="75">
        <f t="shared" si="102"/>
        <v>0</v>
      </c>
      <c r="DG71" s="75">
        <f t="shared" si="103"/>
        <v>0</v>
      </c>
      <c r="DH71" s="89">
        <f t="shared" si="104"/>
        <v>1.3</v>
      </c>
      <c r="DI71" s="75">
        <f t="shared" si="105"/>
        <v>1.3</v>
      </c>
      <c r="DJ71" s="75">
        <f t="shared" si="106"/>
        <v>0</v>
      </c>
      <c r="DK71" s="89">
        <f t="shared" si="107"/>
        <v>0</v>
      </c>
      <c r="DL71" s="75">
        <f t="shared" si="108"/>
        <v>0</v>
      </c>
      <c r="DM71" s="75">
        <f t="shared" si="109"/>
        <v>0</v>
      </c>
      <c r="DN71" s="90">
        <f t="shared" si="110"/>
        <v>0</v>
      </c>
      <c r="DO71" s="91">
        <f>IF(AN71="",0,VLOOKUP(B71,Tables!$B$3:$M$36,11,FALSE())*X$1)</f>
        <v>0</v>
      </c>
      <c r="DP71" s="92">
        <f>IF(AO71="",0,VLOOKUP(C71,Tables!$B$3:$M$36,11,FALSE())*Y$1)</f>
        <v>0</v>
      </c>
      <c r="DQ71" s="92">
        <f>IF(AP71="",0,VLOOKUP(D71,Tables!$B$3:$M$36,11,FALSE())*Z$1)</f>
        <v>0</v>
      </c>
      <c r="DR71" s="91">
        <f>IF(AQ71="",0,VLOOKUP(E71,Tables!$B$3:$M$36,11,FALSE())*AA$1)</f>
        <v>33</v>
      </c>
      <c r="DS71" s="92">
        <f>IF(AR71="",0,VLOOKUP(F71,Tables!$B$3:$M$36,11,FALSE())*AB$1)</f>
        <v>66</v>
      </c>
      <c r="DT71" s="92">
        <f>IF(AS71="",0,VLOOKUP(G71,Tables!$B$3:$M$36,11,FALSE())*AC$1)</f>
        <v>0</v>
      </c>
      <c r="DU71" s="92">
        <f>IF(AT71="",0,VLOOKUP(H71,Tables!$B$3:$M$36,11,FALSE())*AD$1)</f>
        <v>0</v>
      </c>
      <c r="DV71" s="92">
        <f>IF(AU71="",0,VLOOKUP(I71,Tables!$B$3:$M$36,11,FALSE())*AE$1)</f>
        <v>0</v>
      </c>
      <c r="DW71" s="91">
        <f>IF(AV71="",0,VLOOKUP(J71,Tables!$B$3:$M$36,11,FALSE())*AF$1)</f>
        <v>132</v>
      </c>
      <c r="DX71" s="92">
        <f>IF(AW71="",0,VLOOKUP(K71,Tables!$B$3:$M$36,11,FALSE())*AG$1)</f>
        <v>132</v>
      </c>
      <c r="DY71" s="92">
        <f>IF(AX71="",0,VLOOKUP(L71,Tables!$B$3:$M$36,11,FALSE())*AH$1)</f>
        <v>0</v>
      </c>
      <c r="DZ71" s="91">
        <f>IF(AY71="",0,VLOOKUP(M71,Tables!$B$3:$M$36,11,FALSE())*AI$1)</f>
        <v>0</v>
      </c>
      <c r="EA71" s="92">
        <f>IF(AZ71="",0,VLOOKUP(N71,Tables!$B$3:$M$36,11,FALSE())*AJ$1)</f>
        <v>0</v>
      </c>
      <c r="EB71" s="92">
        <f>IF(BA71="",0,VLOOKUP(O71,Tables!$B$3:$M$36,11,FALSE())*AK$1)</f>
        <v>0</v>
      </c>
      <c r="EC71" s="93">
        <f>IF(BB71="",0,VLOOKUP(P71,Tables!$B$3:$M$36,11,FALSE())*AL$1)</f>
        <v>0</v>
      </c>
      <c r="ED71" s="91">
        <f>IF(AN71="",0,VLOOKUP(B71,Tables!$B$3:$M$36,12,FALSE())*X$1)</f>
        <v>0</v>
      </c>
      <c r="EE71" s="92">
        <f>IF(AO71="",0,VLOOKUP(C71,Tables!$B$3:$M$36,12,FALSE())*Y$1)</f>
        <v>0</v>
      </c>
      <c r="EF71" s="92">
        <f>IF(AP71="",0,VLOOKUP(D71,Tables!$B$3:$M$36,12,FALSE())*Z$1)</f>
        <v>0</v>
      </c>
      <c r="EG71" s="91">
        <f>IF(AQ71="",0,VLOOKUP(E71,Tables!$B$3:$M$36,12,FALSE())*AA$1)</f>
        <v>10.5</v>
      </c>
      <c r="EH71" s="92">
        <f>IF(AR71="",0,VLOOKUP(F71,Tables!$B$3:$M$36,12,FALSE())*AB$1)</f>
        <v>21</v>
      </c>
      <c r="EI71" s="92">
        <f>IF(AS71="",0,VLOOKUP(G71,Tables!$B$3:$M$36,12,FALSE())*AC$1)</f>
        <v>0</v>
      </c>
      <c r="EJ71" s="92">
        <f>IF(AT71="",0,VLOOKUP(H71,Tables!$B$3:$M$36,12,FALSE())*AD$1)</f>
        <v>0</v>
      </c>
      <c r="EK71" s="92">
        <f>IF(AU71="",0,VLOOKUP(I71,Tables!$B$3:$M$36,12,FALSE())*AE$1)</f>
        <v>0</v>
      </c>
      <c r="EL71" s="91">
        <f>IF(AV71="",0,VLOOKUP(J71,Tables!$B$3:$M$36,12,FALSE())*AF$1)</f>
        <v>42</v>
      </c>
      <c r="EM71" s="92">
        <f>IF(AW71="",0,VLOOKUP(K71,Tables!$B$3:$M$36,12,FALSE())*AG$1)</f>
        <v>42</v>
      </c>
      <c r="EN71" s="92">
        <f>IF(AX71="",0,VLOOKUP(L71,Tables!$B$3:$M$36,12,FALSE())*AH$1)</f>
        <v>0</v>
      </c>
      <c r="EO71" s="91">
        <f>IF(AY71="",0,VLOOKUP(M71,Tables!$B$3:$M$36,12,FALSE())*AI$1)</f>
        <v>0</v>
      </c>
      <c r="EP71" s="92">
        <f>IF(AZ71="",0,VLOOKUP(N71,Tables!$B$3:$M$36,12,FALSE())*AJ$1)</f>
        <v>0</v>
      </c>
      <c r="EQ71" s="92">
        <f>IF(BA71="",0,VLOOKUP(O71,Tables!$B$3:$M$36,12,FALSE())*AK$1)</f>
        <v>0</v>
      </c>
      <c r="ER71" s="93">
        <f>IF(BB71="",0,VLOOKUP(P71,Tables!$B$3:$M$36,12,FALSE())*AL$1)</f>
        <v>0</v>
      </c>
      <c r="ES71" s="94">
        <f t="shared" si="111"/>
        <v>0</v>
      </c>
      <c r="ET71" s="95">
        <f>IF(AN71="",10,MIN(VLOOKUP(B71,Tables!$B$3:$N$34,13,FALSE()),'Item Builder'!$W71))</f>
        <v>10</v>
      </c>
      <c r="EU71" s="95">
        <f>IF(AO71="",10,MIN(VLOOKUP(C71,Tables!$B$3:$N$34,13,FALSE()),'Item Builder'!$W71))</f>
        <v>10</v>
      </c>
      <c r="EV71" s="95">
        <f>IF(AP71="",10,MIN(VLOOKUP(D71,Tables!$B$3:$N$34,13,FALSE()),'Item Builder'!$W71))</f>
        <v>10</v>
      </c>
      <c r="EW71" s="95">
        <f>IF(AQ71="",10,MIN(VLOOKUP(E71,Tables!$B$3:$N$34,13,FALSE()),'Item Builder'!$W71))</f>
        <v>0</v>
      </c>
      <c r="EX71" s="95">
        <f>IF(AR71="",10,MIN(VLOOKUP(F71,Tables!$B$3:$N$34,13,FALSE()),'Item Builder'!$W71))</f>
        <v>0</v>
      </c>
      <c r="EY71" s="95">
        <f>IF(AS71="",10,MIN(VLOOKUP(G71,Tables!$B$3:$N$34,13,FALSE()),'Item Builder'!$W71))</f>
        <v>10</v>
      </c>
      <c r="EZ71" s="95">
        <f>IF(AT71="",10,MIN(VLOOKUP(H71,Tables!$B$3:$N$34,13,FALSE()),'Item Builder'!$W71))</f>
        <v>10</v>
      </c>
      <c r="FA71" s="95">
        <f>IF(AU71="",10,MIN(VLOOKUP(I71,Tables!$B$3:$N$34,13,FALSE()),'Item Builder'!$W71))</f>
        <v>10</v>
      </c>
      <c r="FB71" s="95">
        <f>IF(AV71="",10,MIN(VLOOKUP(J71,Tables!$B$3:$N$34,13,FALSE()),'Item Builder'!$W71))</f>
        <v>0</v>
      </c>
      <c r="FC71" s="95">
        <f>IF(AW71="",10,MIN(VLOOKUP(K71,Tables!$B$3:$N$34,13,FALSE()),'Item Builder'!$W71))</f>
        <v>0</v>
      </c>
      <c r="FD71" s="95">
        <f>IF(AX71="",10,MIN(VLOOKUP(L71,Tables!$B$3:$N$34,13,FALSE()),'Item Builder'!$W71))</f>
        <v>10</v>
      </c>
      <c r="FE71" s="95">
        <f>IF(AY71="",10,MIN(VLOOKUP(M71,Tables!$B$3:$N$34,13,FALSE()),'Item Builder'!$W71))</f>
        <v>10</v>
      </c>
      <c r="FF71" s="95">
        <f>IF(AZ71="",10,MIN(VLOOKUP(N71,Tables!$B$3:$N$34,13,FALSE()),'Item Builder'!$W71))</f>
        <v>10</v>
      </c>
      <c r="FG71" s="95">
        <f>IF(BA71="",10,MIN(VLOOKUP(O71,Tables!$B$3:$N$34,13,FALSE()),'Item Builder'!$W71))</f>
        <v>10</v>
      </c>
      <c r="FH71" s="98">
        <f>IF(BB71="",10,MIN(VLOOKUP(P71,Tables!$B$3:$N$34,13,FALSE()),'Item Builder'!$W71))</f>
        <v>10</v>
      </c>
    </row>
    <row r="72" spans="1:164" x14ac:dyDescent="0.25">
      <c r="A72" s="67" t="s">
        <v>229</v>
      </c>
      <c r="B72" s="68"/>
      <c r="C72" s="69"/>
      <c r="D72" s="70"/>
      <c r="E72" s="68" t="s">
        <v>107</v>
      </c>
      <c r="F72" s="69" t="s">
        <v>107</v>
      </c>
      <c r="G72" s="69" t="s">
        <v>107</v>
      </c>
      <c r="H72" s="69" t="s">
        <v>107</v>
      </c>
      <c r="I72" s="70"/>
      <c r="J72" s="68" t="s">
        <v>107</v>
      </c>
      <c r="K72" s="69" t="s">
        <v>107</v>
      </c>
      <c r="L72" s="70"/>
      <c r="M72" s="68"/>
      <c r="N72" s="69"/>
      <c r="O72" s="69"/>
      <c r="P72" s="71"/>
      <c r="Q72" s="72">
        <f>SUM(BV72:CJ72)*VLOOKUP(W72,Tables!$W$3:$Z$8,4)</f>
        <v>400</v>
      </c>
      <c r="R72" s="73">
        <f t="shared" si="56"/>
        <v>22</v>
      </c>
      <c r="S72" s="103">
        <f t="shared" si="57"/>
        <v>15</v>
      </c>
      <c r="T72" s="74">
        <f t="shared" si="58"/>
        <v>0</v>
      </c>
      <c r="U72" s="75">
        <f t="shared" si="59"/>
        <v>440</v>
      </c>
      <c r="V72" s="76">
        <f t="shared" si="60"/>
        <v>140</v>
      </c>
      <c r="W72" s="77">
        <v>0</v>
      </c>
      <c r="X72" s="78">
        <f t="shared" si="61"/>
        <v>0</v>
      </c>
      <c r="Y72" s="79">
        <f t="shared" si="62"/>
        <v>0</v>
      </c>
      <c r="Z72" s="79">
        <f t="shared" si="63"/>
        <v>0</v>
      </c>
      <c r="AA72" s="78">
        <f t="shared" si="64"/>
        <v>1</v>
      </c>
      <c r="AB72" s="79">
        <f t="shared" si="65"/>
        <v>1</v>
      </c>
      <c r="AC72" s="79">
        <f t="shared" si="66"/>
        <v>1</v>
      </c>
      <c r="AD72" s="79">
        <f t="shared" si="67"/>
        <v>1</v>
      </c>
      <c r="AE72" s="79">
        <f t="shared" si="68"/>
        <v>0</v>
      </c>
      <c r="AF72" s="78">
        <f t="shared" si="69"/>
        <v>1</v>
      </c>
      <c r="AG72" s="79">
        <f t="shared" si="70"/>
        <v>1</v>
      </c>
      <c r="AH72" s="79">
        <f t="shared" si="71"/>
        <v>0</v>
      </c>
      <c r="AI72" s="78">
        <f t="shared" si="72"/>
        <v>0</v>
      </c>
      <c r="AJ72" s="79">
        <f t="shared" si="73"/>
        <v>0</v>
      </c>
      <c r="AK72" s="79">
        <f t="shared" si="74"/>
        <v>0</v>
      </c>
      <c r="AL72" s="80">
        <f t="shared" si="75"/>
        <v>0</v>
      </c>
      <c r="AM72" s="81">
        <f t="shared" si="76"/>
        <v>0.4</v>
      </c>
      <c r="AN72" s="82" t="str">
        <f t="shared" si="77"/>
        <v/>
      </c>
      <c r="AO72" s="79" t="str">
        <f t="shared" si="78"/>
        <v/>
      </c>
      <c r="AP72" t="str">
        <f t="shared" si="79"/>
        <v/>
      </c>
      <c r="AQ72" s="82" t="str">
        <f t="shared" si="80"/>
        <v>S</v>
      </c>
      <c r="AR72" t="str">
        <f t="shared" si="81"/>
        <v>S</v>
      </c>
      <c r="AS72" t="str">
        <f t="shared" si="82"/>
        <v>S</v>
      </c>
      <c r="AT72" t="str">
        <f t="shared" si="83"/>
        <v>S</v>
      </c>
      <c r="AU72" t="str">
        <f t="shared" si="84"/>
        <v/>
      </c>
      <c r="AV72" s="82" t="str">
        <f t="shared" si="85"/>
        <v>S</v>
      </c>
      <c r="AW72" t="str">
        <f t="shared" si="86"/>
        <v>S</v>
      </c>
      <c r="AX72" t="str">
        <f t="shared" si="87"/>
        <v/>
      </c>
      <c r="AY72" s="82" t="str">
        <f t="shared" si="88"/>
        <v/>
      </c>
      <c r="AZ72" t="str">
        <f t="shared" si="89"/>
        <v/>
      </c>
      <c r="BA72" t="str">
        <f t="shared" si="90"/>
        <v/>
      </c>
      <c r="BB72" s="83" t="str">
        <f t="shared" si="91"/>
        <v/>
      </c>
      <c r="BC72" s="84">
        <f t="shared" si="92"/>
        <v>0</v>
      </c>
      <c r="BD72" s="84">
        <f t="shared" si="93"/>
        <v>0.76190476190476186</v>
      </c>
      <c r="BE72" s="84">
        <f t="shared" si="94"/>
        <v>0.70588235294117652</v>
      </c>
      <c r="BF72" s="84">
        <f t="shared" si="95"/>
        <v>0</v>
      </c>
      <c r="BG72" s="78">
        <f>IF(AN72="",0,VLOOKUP(AN72,Tables!$AB$3:$AC$12,2))</f>
        <v>0</v>
      </c>
      <c r="BH72" s="79">
        <f>IF(AO72="",0,VLOOKUP(AO72,Tables!$AB$3:$AC$12,2))</f>
        <v>0</v>
      </c>
      <c r="BI72" s="79">
        <f>IF(AP72="",0,VLOOKUP(AP72,Tables!$AB$3:$AC$12,2))</f>
        <v>0</v>
      </c>
      <c r="BJ72" s="78">
        <f>IF(AQ72="",0,VLOOKUP(AQ72,Tables!$AB$3:$AC$12,2))</f>
        <v>1</v>
      </c>
      <c r="BK72" s="79">
        <f>IF(AR72="",0,VLOOKUP(AR72,Tables!$AB$3:$AC$12,2))</f>
        <v>1</v>
      </c>
      <c r="BL72" s="79">
        <f>IF(AS72="",0,VLOOKUP(AS72,Tables!$AB$3:$AC$12,2))</f>
        <v>1</v>
      </c>
      <c r="BM72" s="79">
        <f>IF(AT72="",0,VLOOKUP(AT72,Tables!$AB$3:$AC$12,2))</f>
        <v>1</v>
      </c>
      <c r="BN72" s="79">
        <f>IF(AU72="",0,VLOOKUP(AU72,Tables!$AB$3:$AC$12,2))</f>
        <v>0</v>
      </c>
      <c r="BO72" s="78">
        <f>IF(AV72="",0,VLOOKUP(AV72,Tables!$AB$3:$AC$12,2))</f>
        <v>1</v>
      </c>
      <c r="BP72" s="79">
        <f>IF(AW72="",0,VLOOKUP(AW72,Tables!$AB$3:$AC$12,2))</f>
        <v>1</v>
      </c>
      <c r="BQ72" s="79">
        <f>IF(AX72="",0,VLOOKUP(AX72,Tables!$AB$3:$AC$12,2))</f>
        <v>0</v>
      </c>
      <c r="BR72" s="78">
        <f>IF(AY72="",0,VLOOKUP(AY72,Tables!$AB$3:$AC$12,2))</f>
        <v>0</v>
      </c>
      <c r="BS72" s="79">
        <f>IF(AZ72="",0,VLOOKUP(AZ72,Tables!$AB$3:$AC$12,2))</f>
        <v>0</v>
      </c>
      <c r="BT72" s="79">
        <f>IF(BA72="",0,VLOOKUP(BA72,Tables!$AB$3:$AC$12,2))</f>
        <v>0</v>
      </c>
      <c r="BU72" s="80">
        <f>IF(BB72="",0,VLOOKUP(BB72,Tables!$AB$3:$AC$12,2))</f>
        <v>0</v>
      </c>
      <c r="BV72" s="85">
        <f>IF(AN72="",0,VLOOKUP(B72,Tables!$B$3:$D$36,2,FALSE())*X$1)</f>
        <v>0</v>
      </c>
      <c r="BW72" s="72">
        <f>IF(AO72="",0,VLOOKUP(C72,Tables!$B$3:$D$36,2,FALSE())*Y$1)</f>
        <v>0</v>
      </c>
      <c r="BX72" s="72">
        <f>IF(AP72="",0,VLOOKUP(D72,Tables!$B$3:$D$36,2,FALSE())*Z$1)</f>
        <v>0</v>
      </c>
      <c r="BY72" s="85">
        <f>IF(AQ72="",0,VLOOKUP(E72,Tables!$B$3:$D$36,2,FALSE())*AA$1)</f>
        <v>30</v>
      </c>
      <c r="BZ72" s="72">
        <f>IF(AR72="",0,VLOOKUP(F72,Tables!$B$3:$D$36,2,FALSE())*AB$1)</f>
        <v>60</v>
      </c>
      <c r="CA72" s="72">
        <f>IF(AS72="",0,VLOOKUP(G72,Tables!$B$3:$D$36,2,FALSE())*AC$1)</f>
        <v>20</v>
      </c>
      <c r="CB72" s="72">
        <f>IF(AT72="",0,VLOOKUP(H72,Tables!$B$3:$D$36,2,FALSE())*AD$1)</f>
        <v>50</v>
      </c>
      <c r="CC72" s="72">
        <f>IF(AU72="",0,VLOOKUP(I72,Tables!$B$3:$D$36,2,FALSE())*AE$1)</f>
        <v>0</v>
      </c>
      <c r="CD72" s="85">
        <f>IF(AV72="",0,VLOOKUP(J72,Tables!$B$3:$D$36,2,FALSE())*AF$1)</f>
        <v>120</v>
      </c>
      <c r="CE72" s="72">
        <f>IF(AW72="",0,VLOOKUP(K72,Tables!$B$3:$D$36,2,FALSE())*AG$1)</f>
        <v>120</v>
      </c>
      <c r="CF72" s="72">
        <f>IF(AX72="",0,VLOOKUP(L72,Tables!$B$3:$D$36,2,FALSE())*AH$1)</f>
        <v>0</v>
      </c>
      <c r="CG72" s="85">
        <f>IF(AY72="",0,VLOOKUP(M72,Tables!$B$3:$D$36,2,FALSE())*AI$1)</f>
        <v>0</v>
      </c>
      <c r="CH72" s="72">
        <f>IF(AZ72="",0,VLOOKUP(N72,Tables!$B$3:$D$36,2,FALSE())*AJ$1)</f>
        <v>0</v>
      </c>
      <c r="CI72" s="72">
        <f>IF(BA72="",0,VLOOKUP(O72,Tables!$B$3:$D$36,2,FALSE())*AK$1)</f>
        <v>0</v>
      </c>
      <c r="CJ72" s="86">
        <f>IF(BB72="",0,VLOOKUP(P72,Tables!$B$3:$D$36,2,FALSE())*AL$1)</f>
        <v>0</v>
      </c>
      <c r="CK72" s="87">
        <f>IF(AN72="",0,VLOOKUP(B72,Tables!$B$3:$D$36,3,FALSE())*X$1)*IF(OR(AN72="K",AN72="P"),2,1)</f>
        <v>0</v>
      </c>
      <c r="CL72" s="73">
        <f>IF(AO72="",0,VLOOKUP(C72,Tables!$B$3:$D$36,3,FALSE())*Y$1)*IF(OR(AO72="K",AO72="P"),2,1)</f>
        <v>0</v>
      </c>
      <c r="CM72" s="73">
        <f>IF(AP72="",0,VLOOKUP(D72,Tables!$B$3:$D$36,3,FALSE())*Z$1)*IF(OR(AP72="K",AP72="P"),2,1)</f>
        <v>0</v>
      </c>
      <c r="CN72" s="87">
        <f>IF(AQ72="",0,VLOOKUP(E72,Tables!$B$3:$D$36,3,FALSE())*AA$1)</f>
        <v>1.65</v>
      </c>
      <c r="CO72" s="73">
        <f>IF(AR72="",0,VLOOKUP(F72,Tables!$B$3:$D$36,3,FALSE())*AB$1)</f>
        <v>3.3</v>
      </c>
      <c r="CP72" s="73">
        <f>IF(AS72="",0,VLOOKUP(G72,Tables!$B$3:$D$36,3,FALSE())*AC$1)</f>
        <v>1.1000000000000001</v>
      </c>
      <c r="CQ72" s="73">
        <f>IF(AT72="",0,VLOOKUP(H72,Tables!$B$3:$D$36,3,FALSE())*AD$1)</f>
        <v>2.75</v>
      </c>
      <c r="CR72" s="73">
        <f>IF(AU72="",0,VLOOKUP(I72,Tables!$B$3:$D$36,3,FALSE())*AE$1)</f>
        <v>0</v>
      </c>
      <c r="CS72" s="87">
        <f>IF(AV72="",0,VLOOKUP(J72,Tables!$B$3:$D$36,3,FALSE())*AF$1)</f>
        <v>6.6</v>
      </c>
      <c r="CT72" s="73">
        <f>IF(AW72="",0,VLOOKUP(K72,Tables!$B$3:$D$36,3,FALSE())*AG$1)</f>
        <v>6.6</v>
      </c>
      <c r="CU72" s="73">
        <f>IF(AX72="",0,VLOOKUP(L72,Tables!$B$3:$D$36,3,FALSE())*AH$1)</f>
        <v>0</v>
      </c>
      <c r="CV72" s="87">
        <f>IF(AY72="",0,VLOOKUP(M72,Tables!$B$3:$D$36,3,FALSE())*AI$1)</f>
        <v>0</v>
      </c>
      <c r="CW72" s="73">
        <f>IF(AZ72="",0,VLOOKUP(N72,Tables!$B$3:$D$36,3,FALSE())*AJ$1)</f>
        <v>0</v>
      </c>
      <c r="CX72" s="73">
        <f>IF(BA72="",0,VLOOKUP(O72,Tables!$B$3:$D$36,3,FALSE())*AK$1)</f>
        <v>0</v>
      </c>
      <c r="CY72" s="88">
        <f>IF(BB72="",0,VLOOKUP(P72,Tables!$B$3:$D$36,3,FALSE())*AL$1)</f>
        <v>0</v>
      </c>
      <c r="CZ72" s="89">
        <f t="shared" si="96"/>
        <v>0</v>
      </c>
      <c r="DA72" s="75">
        <f t="shared" si="97"/>
        <v>0</v>
      </c>
      <c r="DB72" s="75">
        <f t="shared" si="98"/>
        <v>0</v>
      </c>
      <c r="DC72" s="89">
        <f t="shared" si="99"/>
        <v>1.3</v>
      </c>
      <c r="DD72" s="75">
        <f t="shared" si="100"/>
        <v>1.3</v>
      </c>
      <c r="DE72" s="75">
        <f t="shared" si="101"/>
        <v>1.3</v>
      </c>
      <c r="DF72" s="75">
        <f t="shared" si="102"/>
        <v>1.3</v>
      </c>
      <c r="DG72" s="75">
        <f t="shared" si="103"/>
        <v>0</v>
      </c>
      <c r="DH72" s="89">
        <f t="shared" si="104"/>
        <v>1.3</v>
      </c>
      <c r="DI72" s="75">
        <f t="shared" si="105"/>
        <v>1.3</v>
      </c>
      <c r="DJ72" s="75">
        <f t="shared" si="106"/>
        <v>0</v>
      </c>
      <c r="DK72" s="89">
        <f t="shared" si="107"/>
        <v>0</v>
      </c>
      <c r="DL72" s="75">
        <f t="shared" si="108"/>
        <v>0</v>
      </c>
      <c r="DM72" s="75">
        <f t="shared" si="109"/>
        <v>0</v>
      </c>
      <c r="DN72" s="90">
        <f t="shared" si="110"/>
        <v>0</v>
      </c>
      <c r="DO72" s="91">
        <f>IF(AN72="",0,VLOOKUP(B72,Tables!$B$3:$M$36,11,FALSE())*X$1)</f>
        <v>0</v>
      </c>
      <c r="DP72" s="92">
        <f>IF(AO72="",0,VLOOKUP(C72,Tables!$B$3:$M$36,11,FALSE())*Y$1)</f>
        <v>0</v>
      </c>
      <c r="DQ72" s="92">
        <f>IF(AP72="",0,VLOOKUP(D72,Tables!$B$3:$M$36,11,FALSE())*Z$1)</f>
        <v>0</v>
      </c>
      <c r="DR72" s="91">
        <f>IF(AQ72="",0,VLOOKUP(E72,Tables!$B$3:$M$36,11,FALSE())*AA$1)</f>
        <v>33</v>
      </c>
      <c r="DS72" s="92">
        <f>IF(AR72="",0,VLOOKUP(F72,Tables!$B$3:$M$36,11,FALSE())*AB$1)</f>
        <v>66</v>
      </c>
      <c r="DT72" s="92">
        <f>IF(AS72="",0,VLOOKUP(G72,Tables!$B$3:$M$36,11,FALSE())*AC$1)</f>
        <v>22</v>
      </c>
      <c r="DU72" s="92">
        <f>IF(AT72="",0,VLOOKUP(H72,Tables!$B$3:$M$36,11,FALSE())*AD$1)</f>
        <v>55</v>
      </c>
      <c r="DV72" s="92">
        <f>IF(AU72="",0,VLOOKUP(I72,Tables!$B$3:$M$36,11,FALSE())*AE$1)</f>
        <v>0</v>
      </c>
      <c r="DW72" s="91">
        <f>IF(AV72="",0,VLOOKUP(J72,Tables!$B$3:$M$36,11,FALSE())*AF$1)</f>
        <v>132</v>
      </c>
      <c r="DX72" s="92">
        <f>IF(AW72="",0,VLOOKUP(K72,Tables!$B$3:$M$36,11,FALSE())*AG$1)</f>
        <v>132</v>
      </c>
      <c r="DY72" s="92">
        <f>IF(AX72="",0,VLOOKUP(L72,Tables!$B$3:$M$36,11,FALSE())*AH$1)</f>
        <v>0</v>
      </c>
      <c r="DZ72" s="91">
        <f>IF(AY72="",0,VLOOKUP(M72,Tables!$B$3:$M$36,11,FALSE())*AI$1)</f>
        <v>0</v>
      </c>
      <c r="EA72" s="92">
        <f>IF(AZ72="",0,VLOOKUP(N72,Tables!$B$3:$M$36,11,FALSE())*AJ$1)</f>
        <v>0</v>
      </c>
      <c r="EB72" s="92">
        <f>IF(BA72="",0,VLOOKUP(O72,Tables!$B$3:$M$36,11,FALSE())*AK$1)</f>
        <v>0</v>
      </c>
      <c r="EC72" s="93">
        <f>IF(BB72="",0,VLOOKUP(P72,Tables!$B$3:$M$36,11,FALSE())*AL$1)</f>
        <v>0</v>
      </c>
      <c r="ED72" s="91">
        <f>IF(AN72="",0,VLOOKUP(B72,Tables!$B$3:$M$36,12,FALSE())*X$1)</f>
        <v>0</v>
      </c>
      <c r="EE72" s="92">
        <f>IF(AO72="",0,VLOOKUP(C72,Tables!$B$3:$M$36,12,FALSE())*Y$1)</f>
        <v>0</v>
      </c>
      <c r="EF72" s="92">
        <f>IF(AP72="",0,VLOOKUP(D72,Tables!$B$3:$M$36,12,FALSE())*Z$1)</f>
        <v>0</v>
      </c>
      <c r="EG72" s="91">
        <f>IF(AQ72="",0,VLOOKUP(E72,Tables!$B$3:$M$36,12,FALSE())*AA$1)</f>
        <v>10.5</v>
      </c>
      <c r="EH72" s="92">
        <f>IF(AR72="",0,VLOOKUP(F72,Tables!$B$3:$M$36,12,FALSE())*AB$1)</f>
        <v>21</v>
      </c>
      <c r="EI72" s="92">
        <f>IF(AS72="",0,VLOOKUP(G72,Tables!$B$3:$M$36,12,FALSE())*AC$1)</f>
        <v>7</v>
      </c>
      <c r="EJ72" s="92">
        <f>IF(AT72="",0,VLOOKUP(H72,Tables!$B$3:$M$36,12,FALSE())*AD$1)</f>
        <v>17.5</v>
      </c>
      <c r="EK72" s="92">
        <f>IF(AU72="",0,VLOOKUP(I72,Tables!$B$3:$M$36,12,FALSE())*AE$1)</f>
        <v>0</v>
      </c>
      <c r="EL72" s="91">
        <f>IF(AV72="",0,VLOOKUP(J72,Tables!$B$3:$M$36,12,FALSE())*AF$1)</f>
        <v>42</v>
      </c>
      <c r="EM72" s="92">
        <f>IF(AW72="",0,VLOOKUP(K72,Tables!$B$3:$M$36,12,FALSE())*AG$1)</f>
        <v>42</v>
      </c>
      <c r="EN72" s="92">
        <f>IF(AX72="",0,VLOOKUP(L72,Tables!$B$3:$M$36,12,FALSE())*AH$1)</f>
        <v>0</v>
      </c>
      <c r="EO72" s="91">
        <f>IF(AY72="",0,VLOOKUP(M72,Tables!$B$3:$M$36,12,FALSE())*AI$1)</f>
        <v>0</v>
      </c>
      <c r="EP72" s="92">
        <f>IF(AZ72="",0,VLOOKUP(N72,Tables!$B$3:$M$36,12,FALSE())*AJ$1)</f>
        <v>0</v>
      </c>
      <c r="EQ72" s="92">
        <f>IF(BA72="",0,VLOOKUP(O72,Tables!$B$3:$M$36,12,FALSE())*AK$1)</f>
        <v>0</v>
      </c>
      <c r="ER72" s="93">
        <f>IF(BB72="",0,VLOOKUP(P72,Tables!$B$3:$M$36,12,FALSE())*AL$1)</f>
        <v>0</v>
      </c>
      <c r="ES72" s="94">
        <f t="shared" si="111"/>
        <v>0</v>
      </c>
      <c r="ET72" s="95">
        <f>IF(AN72="",10,MIN(VLOOKUP(B72,Tables!$B$3:$N$34,13,FALSE()),'Item Builder'!$W72))</f>
        <v>10</v>
      </c>
      <c r="EU72" s="95">
        <f>IF(AO72="",10,MIN(VLOOKUP(C72,Tables!$B$3:$N$34,13,FALSE()),'Item Builder'!$W72))</f>
        <v>10</v>
      </c>
      <c r="EV72" s="95">
        <f>IF(AP72="",10,MIN(VLOOKUP(D72,Tables!$B$3:$N$34,13,FALSE()),'Item Builder'!$W72))</f>
        <v>10</v>
      </c>
      <c r="EW72" s="95">
        <f>IF(AQ72="",10,MIN(VLOOKUP(E72,Tables!$B$3:$N$34,13,FALSE()),'Item Builder'!$W72))</f>
        <v>0</v>
      </c>
      <c r="EX72" s="95">
        <f>IF(AR72="",10,MIN(VLOOKUP(F72,Tables!$B$3:$N$34,13,FALSE()),'Item Builder'!$W72))</f>
        <v>0</v>
      </c>
      <c r="EY72" s="95">
        <f>IF(AS72="",10,MIN(VLOOKUP(G72,Tables!$B$3:$N$34,13,FALSE()),'Item Builder'!$W72))</f>
        <v>0</v>
      </c>
      <c r="EZ72" s="95">
        <f>IF(AT72="",10,MIN(VLOOKUP(H72,Tables!$B$3:$N$34,13,FALSE()),'Item Builder'!$W72))</f>
        <v>0</v>
      </c>
      <c r="FA72" s="95">
        <f>IF(AU72="",10,MIN(VLOOKUP(I72,Tables!$B$3:$N$34,13,FALSE()),'Item Builder'!$W72))</f>
        <v>10</v>
      </c>
      <c r="FB72" s="95">
        <f>IF(AV72="",10,MIN(VLOOKUP(J72,Tables!$B$3:$N$34,13,FALSE()),'Item Builder'!$W72))</f>
        <v>0</v>
      </c>
      <c r="FC72" s="95">
        <f>IF(AW72="",10,MIN(VLOOKUP(K72,Tables!$B$3:$N$34,13,FALSE()),'Item Builder'!$W72))</f>
        <v>0</v>
      </c>
      <c r="FD72" s="95">
        <f>IF(AX72="",10,MIN(VLOOKUP(L72,Tables!$B$3:$N$34,13,FALSE()),'Item Builder'!$W72))</f>
        <v>10</v>
      </c>
      <c r="FE72" s="95">
        <f>IF(AY72="",10,MIN(VLOOKUP(M72,Tables!$B$3:$N$34,13,FALSE()),'Item Builder'!$W72))</f>
        <v>10</v>
      </c>
      <c r="FF72" s="95">
        <f>IF(AZ72="",10,MIN(VLOOKUP(N72,Tables!$B$3:$N$34,13,FALSE()),'Item Builder'!$W72))</f>
        <v>10</v>
      </c>
      <c r="FG72" s="95">
        <f>IF(BA72="",10,MIN(VLOOKUP(O72,Tables!$B$3:$N$34,13,FALSE()),'Item Builder'!$W72))</f>
        <v>10</v>
      </c>
      <c r="FH72" s="98">
        <f>IF(BB72="",10,MIN(VLOOKUP(P72,Tables!$B$3:$N$34,13,FALSE()),'Item Builder'!$W72))</f>
        <v>10</v>
      </c>
    </row>
    <row r="73" spans="1:164" x14ac:dyDescent="0.25">
      <c r="A73" s="67" t="s">
        <v>66</v>
      </c>
      <c r="B73" s="68"/>
      <c r="C73" s="69"/>
      <c r="D73" s="70"/>
      <c r="E73" s="68" t="s">
        <v>107</v>
      </c>
      <c r="F73" s="69" t="s">
        <v>107</v>
      </c>
      <c r="G73" s="69" t="s">
        <v>107</v>
      </c>
      <c r="H73" s="69"/>
      <c r="I73" s="70"/>
      <c r="J73" s="68" t="s">
        <v>107</v>
      </c>
      <c r="K73" s="69" t="s">
        <v>107</v>
      </c>
      <c r="L73" s="70" t="s">
        <v>107</v>
      </c>
      <c r="M73" s="68"/>
      <c r="N73" s="69"/>
      <c r="O73" s="69"/>
      <c r="P73" s="71"/>
      <c r="Q73" s="72">
        <f>SUM(BV73:CJ73)*VLOOKUP(W73,Tables!$W$3:$Z$8,4)</f>
        <v>450</v>
      </c>
      <c r="R73" s="73">
        <f t="shared" si="56"/>
        <v>24.75</v>
      </c>
      <c r="S73" s="103">
        <f t="shared" si="57"/>
        <v>15</v>
      </c>
      <c r="T73" s="74">
        <f t="shared" si="58"/>
        <v>0</v>
      </c>
      <c r="U73" s="75">
        <f t="shared" si="59"/>
        <v>495</v>
      </c>
      <c r="V73" s="76">
        <f t="shared" si="60"/>
        <v>157.5</v>
      </c>
      <c r="W73" s="77">
        <v>0</v>
      </c>
      <c r="X73" s="78">
        <f t="shared" si="61"/>
        <v>0</v>
      </c>
      <c r="Y73" s="79">
        <f t="shared" si="62"/>
        <v>0</v>
      </c>
      <c r="Z73" s="79">
        <f t="shared" si="63"/>
        <v>0</v>
      </c>
      <c r="AA73" s="78">
        <f t="shared" si="64"/>
        <v>1</v>
      </c>
      <c r="AB73" s="79">
        <f t="shared" si="65"/>
        <v>1</v>
      </c>
      <c r="AC73" s="79">
        <f t="shared" si="66"/>
        <v>1</v>
      </c>
      <c r="AD73" s="79">
        <f t="shared" si="67"/>
        <v>0</v>
      </c>
      <c r="AE73" s="79">
        <f t="shared" si="68"/>
        <v>0</v>
      </c>
      <c r="AF73" s="78">
        <f t="shared" si="69"/>
        <v>1</v>
      </c>
      <c r="AG73" s="79">
        <f t="shared" si="70"/>
        <v>1</v>
      </c>
      <c r="AH73" s="79">
        <f t="shared" si="71"/>
        <v>1</v>
      </c>
      <c r="AI73" s="78">
        <f t="shared" si="72"/>
        <v>0</v>
      </c>
      <c r="AJ73" s="79">
        <f t="shared" si="73"/>
        <v>0</v>
      </c>
      <c r="AK73" s="79">
        <f t="shared" si="74"/>
        <v>0</v>
      </c>
      <c r="AL73" s="80">
        <f t="shared" si="75"/>
        <v>0</v>
      </c>
      <c r="AM73" s="81">
        <f t="shared" si="76"/>
        <v>0.44999999999999996</v>
      </c>
      <c r="AN73" s="82" t="str">
        <f t="shared" si="77"/>
        <v/>
      </c>
      <c r="AO73" s="79" t="str">
        <f t="shared" si="78"/>
        <v/>
      </c>
      <c r="AP73" t="str">
        <f t="shared" si="79"/>
        <v/>
      </c>
      <c r="AQ73" s="82" t="str">
        <f t="shared" si="80"/>
        <v>S</v>
      </c>
      <c r="AR73" t="str">
        <f t="shared" si="81"/>
        <v>S</v>
      </c>
      <c r="AS73" t="str">
        <f t="shared" si="82"/>
        <v>S</v>
      </c>
      <c r="AT73" t="str">
        <f t="shared" si="83"/>
        <v/>
      </c>
      <c r="AU73" t="str">
        <f t="shared" si="84"/>
        <v/>
      </c>
      <c r="AV73" s="82" t="str">
        <f t="shared" si="85"/>
        <v>S</v>
      </c>
      <c r="AW73" t="str">
        <f t="shared" si="86"/>
        <v>S</v>
      </c>
      <c r="AX73" t="str">
        <f t="shared" si="87"/>
        <v>S</v>
      </c>
      <c r="AY73" s="82" t="str">
        <f t="shared" si="88"/>
        <v/>
      </c>
      <c r="AZ73" t="str">
        <f t="shared" si="89"/>
        <v/>
      </c>
      <c r="BA73" t="str">
        <f t="shared" si="90"/>
        <v/>
      </c>
      <c r="BB73" s="83" t="str">
        <f t="shared" si="91"/>
        <v/>
      </c>
      <c r="BC73" s="84">
        <f t="shared" si="92"/>
        <v>0</v>
      </c>
      <c r="BD73" s="84">
        <f t="shared" si="93"/>
        <v>0.52380952380952372</v>
      </c>
      <c r="BE73" s="84">
        <f t="shared" si="94"/>
        <v>1</v>
      </c>
      <c r="BF73" s="84">
        <f t="shared" si="95"/>
        <v>0</v>
      </c>
      <c r="BG73" s="78">
        <f>IF(AN73="",0,VLOOKUP(AN73,Tables!$AB$3:$AC$12,2))</f>
        <v>0</v>
      </c>
      <c r="BH73" s="79">
        <f>IF(AO73="",0,VLOOKUP(AO73,Tables!$AB$3:$AC$12,2))</f>
        <v>0</v>
      </c>
      <c r="BI73" s="79">
        <f>IF(AP73="",0,VLOOKUP(AP73,Tables!$AB$3:$AC$12,2))</f>
        <v>0</v>
      </c>
      <c r="BJ73" s="78">
        <f>IF(AQ73="",0,VLOOKUP(AQ73,Tables!$AB$3:$AC$12,2))</f>
        <v>1</v>
      </c>
      <c r="BK73" s="79">
        <f>IF(AR73="",0,VLOOKUP(AR73,Tables!$AB$3:$AC$12,2))</f>
        <v>1</v>
      </c>
      <c r="BL73" s="79">
        <f>IF(AS73="",0,VLOOKUP(AS73,Tables!$AB$3:$AC$12,2))</f>
        <v>1</v>
      </c>
      <c r="BM73" s="79">
        <f>IF(AT73="",0,VLOOKUP(AT73,Tables!$AB$3:$AC$12,2))</f>
        <v>0</v>
      </c>
      <c r="BN73" s="79">
        <f>IF(AU73="",0,VLOOKUP(AU73,Tables!$AB$3:$AC$12,2))</f>
        <v>0</v>
      </c>
      <c r="BO73" s="78">
        <f>IF(AV73="",0,VLOOKUP(AV73,Tables!$AB$3:$AC$12,2))</f>
        <v>1</v>
      </c>
      <c r="BP73" s="79">
        <f>IF(AW73="",0,VLOOKUP(AW73,Tables!$AB$3:$AC$12,2))</f>
        <v>1</v>
      </c>
      <c r="BQ73" s="79">
        <f>IF(AX73="",0,VLOOKUP(AX73,Tables!$AB$3:$AC$12,2))</f>
        <v>1</v>
      </c>
      <c r="BR73" s="78">
        <f>IF(AY73="",0,VLOOKUP(AY73,Tables!$AB$3:$AC$12,2))</f>
        <v>0</v>
      </c>
      <c r="BS73" s="79">
        <f>IF(AZ73="",0,VLOOKUP(AZ73,Tables!$AB$3:$AC$12,2))</f>
        <v>0</v>
      </c>
      <c r="BT73" s="79">
        <f>IF(BA73="",0,VLOOKUP(BA73,Tables!$AB$3:$AC$12,2))</f>
        <v>0</v>
      </c>
      <c r="BU73" s="80">
        <f>IF(BB73="",0,VLOOKUP(BB73,Tables!$AB$3:$AC$12,2))</f>
        <v>0</v>
      </c>
      <c r="BV73" s="85">
        <f>IF(AN73="",0,VLOOKUP(B73,Tables!$B$3:$D$36,2,FALSE())*X$1)</f>
        <v>0</v>
      </c>
      <c r="BW73" s="72">
        <f>IF(AO73="",0,VLOOKUP(C73,Tables!$B$3:$D$36,2,FALSE())*Y$1)</f>
        <v>0</v>
      </c>
      <c r="BX73" s="72">
        <f>IF(AP73="",0,VLOOKUP(D73,Tables!$B$3:$D$36,2,FALSE())*Z$1)</f>
        <v>0</v>
      </c>
      <c r="BY73" s="85">
        <f>IF(AQ73="",0,VLOOKUP(E73,Tables!$B$3:$D$36,2,FALSE())*AA$1)</f>
        <v>30</v>
      </c>
      <c r="BZ73" s="72">
        <f>IF(AR73="",0,VLOOKUP(F73,Tables!$B$3:$D$36,2,FALSE())*AB$1)</f>
        <v>60</v>
      </c>
      <c r="CA73" s="72">
        <f>IF(AS73="",0,VLOOKUP(G73,Tables!$B$3:$D$36,2,FALSE())*AC$1)</f>
        <v>20</v>
      </c>
      <c r="CB73" s="72">
        <f>IF(AT73="",0,VLOOKUP(H73,Tables!$B$3:$D$36,2,FALSE())*AD$1)</f>
        <v>0</v>
      </c>
      <c r="CC73" s="72">
        <f>IF(AU73="",0,VLOOKUP(I73,Tables!$B$3:$D$36,2,FALSE())*AE$1)</f>
        <v>0</v>
      </c>
      <c r="CD73" s="85">
        <f>IF(AV73="",0,VLOOKUP(J73,Tables!$B$3:$D$36,2,FALSE())*AF$1)</f>
        <v>120</v>
      </c>
      <c r="CE73" s="72">
        <f>IF(AW73="",0,VLOOKUP(K73,Tables!$B$3:$D$36,2,FALSE())*AG$1)</f>
        <v>120</v>
      </c>
      <c r="CF73" s="72">
        <f>IF(AX73="",0,VLOOKUP(L73,Tables!$B$3:$D$36,2,FALSE())*AH$1)</f>
        <v>100</v>
      </c>
      <c r="CG73" s="85">
        <f>IF(AY73="",0,VLOOKUP(M73,Tables!$B$3:$D$36,2,FALSE())*AI$1)</f>
        <v>0</v>
      </c>
      <c r="CH73" s="72">
        <f>IF(AZ73="",0,VLOOKUP(N73,Tables!$B$3:$D$36,2,FALSE())*AJ$1)</f>
        <v>0</v>
      </c>
      <c r="CI73" s="72">
        <f>IF(BA73="",0,VLOOKUP(O73,Tables!$B$3:$D$36,2,FALSE())*AK$1)</f>
        <v>0</v>
      </c>
      <c r="CJ73" s="86">
        <f>IF(BB73="",0,VLOOKUP(P73,Tables!$B$3:$D$36,2,FALSE())*AL$1)</f>
        <v>0</v>
      </c>
      <c r="CK73" s="87">
        <f>IF(AN73="",0,VLOOKUP(B73,Tables!$B$3:$D$36,3,FALSE())*X$1)*IF(OR(AN73="K",AN73="P"),2,1)</f>
        <v>0</v>
      </c>
      <c r="CL73" s="73">
        <f>IF(AO73="",0,VLOOKUP(C73,Tables!$B$3:$D$36,3,FALSE())*Y$1)*IF(OR(AO73="K",AO73="P"),2,1)</f>
        <v>0</v>
      </c>
      <c r="CM73" s="73">
        <f>IF(AP73="",0,VLOOKUP(D73,Tables!$B$3:$D$36,3,FALSE())*Z$1)*IF(OR(AP73="K",AP73="P"),2,1)</f>
        <v>0</v>
      </c>
      <c r="CN73" s="87">
        <f>IF(AQ73="",0,VLOOKUP(E73,Tables!$B$3:$D$36,3,FALSE())*AA$1)</f>
        <v>1.65</v>
      </c>
      <c r="CO73" s="73">
        <f>IF(AR73="",0,VLOOKUP(F73,Tables!$B$3:$D$36,3,FALSE())*AB$1)</f>
        <v>3.3</v>
      </c>
      <c r="CP73" s="73">
        <f>IF(AS73="",0,VLOOKUP(G73,Tables!$B$3:$D$36,3,FALSE())*AC$1)</f>
        <v>1.1000000000000001</v>
      </c>
      <c r="CQ73" s="73">
        <f>IF(AT73="",0,VLOOKUP(H73,Tables!$B$3:$D$36,3,FALSE())*AD$1)</f>
        <v>0</v>
      </c>
      <c r="CR73" s="73">
        <f>IF(AU73="",0,VLOOKUP(I73,Tables!$B$3:$D$36,3,FALSE())*AE$1)</f>
        <v>0</v>
      </c>
      <c r="CS73" s="87">
        <f>IF(AV73="",0,VLOOKUP(J73,Tables!$B$3:$D$36,3,FALSE())*AF$1)</f>
        <v>6.6</v>
      </c>
      <c r="CT73" s="73">
        <f>IF(AW73="",0,VLOOKUP(K73,Tables!$B$3:$D$36,3,FALSE())*AG$1)</f>
        <v>6.6</v>
      </c>
      <c r="CU73" s="73">
        <f>IF(AX73="",0,VLOOKUP(L73,Tables!$B$3:$D$36,3,FALSE())*AH$1)</f>
        <v>5.5</v>
      </c>
      <c r="CV73" s="87">
        <f>IF(AY73="",0,VLOOKUP(M73,Tables!$B$3:$D$36,3,FALSE())*AI$1)</f>
        <v>0</v>
      </c>
      <c r="CW73" s="73">
        <f>IF(AZ73="",0,VLOOKUP(N73,Tables!$B$3:$D$36,3,FALSE())*AJ$1)</f>
        <v>0</v>
      </c>
      <c r="CX73" s="73">
        <f>IF(BA73="",0,VLOOKUP(O73,Tables!$B$3:$D$36,3,FALSE())*AK$1)</f>
        <v>0</v>
      </c>
      <c r="CY73" s="88">
        <f>IF(BB73="",0,VLOOKUP(P73,Tables!$B$3:$D$36,3,FALSE())*AL$1)</f>
        <v>0</v>
      </c>
      <c r="CZ73" s="89">
        <f t="shared" si="96"/>
        <v>0</v>
      </c>
      <c r="DA73" s="75">
        <f t="shared" si="97"/>
        <v>0</v>
      </c>
      <c r="DB73" s="75">
        <f t="shared" si="98"/>
        <v>0</v>
      </c>
      <c r="DC73" s="89">
        <f t="shared" si="99"/>
        <v>1.3</v>
      </c>
      <c r="DD73" s="75">
        <f t="shared" si="100"/>
        <v>1.3</v>
      </c>
      <c r="DE73" s="75">
        <f t="shared" si="101"/>
        <v>1.3</v>
      </c>
      <c r="DF73" s="75">
        <f t="shared" si="102"/>
        <v>0</v>
      </c>
      <c r="DG73" s="75">
        <f t="shared" si="103"/>
        <v>0</v>
      </c>
      <c r="DH73" s="89">
        <f t="shared" si="104"/>
        <v>1.3</v>
      </c>
      <c r="DI73" s="75">
        <f t="shared" si="105"/>
        <v>1.3</v>
      </c>
      <c r="DJ73" s="75">
        <f t="shared" si="106"/>
        <v>1.3</v>
      </c>
      <c r="DK73" s="89">
        <f t="shared" si="107"/>
        <v>0</v>
      </c>
      <c r="DL73" s="75">
        <f t="shared" si="108"/>
        <v>0</v>
      </c>
      <c r="DM73" s="75">
        <f t="shared" si="109"/>
        <v>0</v>
      </c>
      <c r="DN73" s="90">
        <f t="shared" si="110"/>
        <v>0</v>
      </c>
      <c r="DO73" s="91">
        <f>IF(AN73="",0,VLOOKUP(B73,Tables!$B$3:$M$36,11,FALSE())*X$1)</f>
        <v>0</v>
      </c>
      <c r="DP73" s="92">
        <f>IF(AO73="",0,VLOOKUP(C73,Tables!$B$3:$M$36,11,FALSE())*Y$1)</f>
        <v>0</v>
      </c>
      <c r="DQ73" s="92">
        <f>IF(AP73="",0,VLOOKUP(D73,Tables!$B$3:$M$36,11,FALSE())*Z$1)</f>
        <v>0</v>
      </c>
      <c r="DR73" s="91">
        <f>IF(AQ73="",0,VLOOKUP(E73,Tables!$B$3:$M$36,11,FALSE())*AA$1)</f>
        <v>33</v>
      </c>
      <c r="DS73" s="92">
        <f>IF(AR73="",0,VLOOKUP(F73,Tables!$B$3:$M$36,11,FALSE())*AB$1)</f>
        <v>66</v>
      </c>
      <c r="DT73" s="92">
        <f>IF(AS73="",0,VLOOKUP(G73,Tables!$B$3:$M$36,11,FALSE())*AC$1)</f>
        <v>22</v>
      </c>
      <c r="DU73" s="92">
        <f>IF(AT73="",0,VLOOKUP(H73,Tables!$B$3:$M$36,11,FALSE())*AD$1)</f>
        <v>0</v>
      </c>
      <c r="DV73" s="92">
        <f>IF(AU73="",0,VLOOKUP(I73,Tables!$B$3:$M$36,11,FALSE())*AE$1)</f>
        <v>0</v>
      </c>
      <c r="DW73" s="91">
        <f>IF(AV73="",0,VLOOKUP(J73,Tables!$B$3:$M$36,11,FALSE())*AF$1)</f>
        <v>132</v>
      </c>
      <c r="DX73" s="92">
        <f>IF(AW73="",0,VLOOKUP(K73,Tables!$B$3:$M$36,11,FALSE())*AG$1)</f>
        <v>132</v>
      </c>
      <c r="DY73" s="92">
        <f>IF(AX73="",0,VLOOKUP(L73,Tables!$B$3:$M$36,11,FALSE())*AH$1)</f>
        <v>110</v>
      </c>
      <c r="DZ73" s="91">
        <f>IF(AY73="",0,VLOOKUP(M73,Tables!$B$3:$M$36,11,FALSE())*AI$1)</f>
        <v>0</v>
      </c>
      <c r="EA73" s="92">
        <f>IF(AZ73="",0,VLOOKUP(N73,Tables!$B$3:$M$36,11,FALSE())*AJ$1)</f>
        <v>0</v>
      </c>
      <c r="EB73" s="92">
        <f>IF(BA73="",0,VLOOKUP(O73,Tables!$B$3:$M$36,11,FALSE())*AK$1)</f>
        <v>0</v>
      </c>
      <c r="EC73" s="93">
        <f>IF(BB73="",0,VLOOKUP(P73,Tables!$B$3:$M$36,11,FALSE())*AL$1)</f>
        <v>0</v>
      </c>
      <c r="ED73" s="91">
        <f>IF(AN73="",0,VLOOKUP(B73,Tables!$B$3:$M$36,12,FALSE())*X$1)</f>
        <v>0</v>
      </c>
      <c r="EE73" s="92">
        <f>IF(AO73="",0,VLOOKUP(C73,Tables!$B$3:$M$36,12,FALSE())*Y$1)</f>
        <v>0</v>
      </c>
      <c r="EF73" s="92">
        <f>IF(AP73="",0,VLOOKUP(D73,Tables!$B$3:$M$36,12,FALSE())*Z$1)</f>
        <v>0</v>
      </c>
      <c r="EG73" s="91">
        <f>IF(AQ73="",0,VLOOKUP(E73,Tables!$B$3:$M$36,12,FALSE())*AA$1)</f>
        <v>10.5</v>
      </c>
      <c r="EH73" s="92">
        <f>IF(AR73="",0,VLOOKUP(F73,Tables!$B$3:$M$36,12,FALSE())*AB$1)</f>
        <v>21</v>
      </c>
      <c r="EI73" s="92">
        <f>IF(AS73="",0,VLOOKUP(G73,Tables!$B$3:$M$36,12,FALSE())*AC$1)</f>
        <v>7</v>
      </c>
      <c r="EJ73" s="92">
        <f>IF(AT73="",0,VLOOKUP(H73,Tables!$B$3:$M$36,12,FALSE())*AD$1)</f>
        <v>0</v>
      </c>
      <c r="EK73" s="92">
        <f>IF(AU73="",0,VLOOKUP(I73,Tables!$B$3:$M$36,12,FALSE())*AE$1)</f>
        <v>0</v>
      </c>
      <c r="EL73" s="91">
        <f>IF(AV73="",0,VLOOKUP(J73,Tables!$B$3:$M$36,12,FALSE())*AF$1)</f>
        <v>42</v>
      </c>
      <c r="EM73" s="92">
        <f>IF(AW73="",0,VLOOKUP(K73,Tables!$B$3:$M$36,12,FALSE())*AG$1)</f>
        <v>42</v>
      </c>
      <c r="EN73" s="92">
        <f>IF(AX73="",0,VLOOKUP(L73,Tables!$B$3:$M$36,12,FALSE())*AH$1)</f>
        <v>35</v>
      </c>
      <c r="EO73" s="91">
        <f>IF(AY73="",0,VLOOKUP(M73,Tables!$B$3:$M$36,12,FALSE())*AI$1)</f>
        <v>0</v>
      </c>
      <c r="EP73" s="92">
        <f>IF(AZ73="",0,VLOOKUP(N73,Tables!$B$3:$M$36,12,FALSE())*AJ$1)</f>
        <v>0</v>
      </c>
      <c r="EQ73" s="92">
        <f>IF(BA73="",0,VLOOKUP(O73,Tables!$B$3:$M$36,12,FALSE())*AK$1)</f>
        <v>0</v>
      </c>
      <c r="ER73" s="93">
        <f>IF(BB73="",0,VLOOKUP(P73,Tables!$B$3:$M$36,12,FALSE())*AL$1)</f>
        <v>0</v>
      </c>
      <c r="ES73" s="94">
        <f t="shared" si="111"/>
        <v>0</v>
      </c>
      <c r="ET73" s="95">
        <f>IF(AN73="",10,MIN(VLOOKUP(B73,Tables!$B$3:$N$34,13,FALSE()),'Item Builder'!$W73))</f>
        <v>10</v>
      </c>
      <c r="EU73" s="95">
        <f>IF(AO73="",10,MIN(VLOOKUP(C73,Tables!$B$3:$N$34,13,FALSE()),'Item Builder'!$W73))</f>
        <v>10</v>
      </c>
      <c r="EV73" s="95">
        <f>IF(AP73="",10,MIN(VLOOKUP(D73,Tables!$B$3:$N$34,13,FALSE()),'Item Builder'!$W73))</f>
        <v>10</v>
      </c>
      <c r="EW73" s="95">
        <f>IF(AQ73="",10,MIN(VLOOKUP(E73,Tables!$B$3:$N$34,13,FALSE()),'Item Builder'!$W73))</f>
        <v>0</v>
      </c>
      <c r="EX73" s="95">
        <f>IF(AR73="",10,MIN(VLOOKUP(F73,Tables!$B$3:$N$34,13,FALSE()),'Item Builder'!$W73))</f>
        <v>0</v>
      </c>
      <c r="EY73" s="95">
        <f>IF(AS73="",10,MIN(VLOOKUP(G73,Tables!$B$3:$N$34,13,FALSE()),'Item Builder'!$W73))</f>
        <v>0</v>
      </c>
      <c r="EZ73" s="95">
        <f>IF(AT73="",10,MIN(VLOOKUP(H73,Tables!$B$3:$N$34,13,FALSE()),'Item Builder'!$W73))</f>
        <v>10</v>
      </c>
      <c r="FA73" s="95">
        <f>IF(AU73="",10,MIN(VLOOKUP(I73,Tables!$B$3:$N$34,13,FALSE()),'Item Builder'!$W73))</f>
        <v>10</v>
      </c>
      <c r="FB73" s="95">
        <f>IF(AV73="",10,MIN(VLOOKUP(J73,Tables!$B$3:$N$34,13,FALSE()),'Item Builder'!$W73))</f>
        <v>0</v>
      </c>
      <c r="FC73" s="95">
        <f>IF(AW73="",10,MIN(VLOOKUP(K73,Tables!$B$3:$N$34,13,FALSE()),'Item Builder'!$W73))</f>
        <v>0</v>
      </c>
      <c r="FD73" s="95">
        <f>IF(AX73="",10,MIN(VLOOKUP(L73,Tables!$B$3:$N$34,13,FALSE()),'Item Builder'!$W73))</f>
        <v>0</v>
      </c>
      <c r="FE73" s="95">
        <f>IF(AY73="",10,MIN(VLOOKUP(M73,Tables!$B$3:$N$34,13,FALSE()),'Item Builder'!$W73))</f>
        <v>10</v>
      </c>
      <c r="FF73" s="95">
        <f>IF(AZ73="",10,MIN(VLOOKUP(N73,Tables!$B$3:$N$34,13,FALSE()),'Item Builder'!$W73))</f>
        <v>10</v>
      </c>
      <c r="FG73" s="95">
        <f>IF(BA73="",10,MIN(VLOOKUP(O73,Tables!$B$3:$N$34,13,FALSE()),'Item Builder'!$W73))</f>
        <v>10</v>
      </c>
      <c r="FH73" s="98">
        <f>IF(BB73="",10,MIN(VLOOKUP(P73,Tables!$B$3:$N$34,13,FALSE()),'Item Builder'!$W73))</f>
        <v>10</v>
      </c>
    </row>
    <row r="74" spans="1:164" x14ac:dyDescent="0.25">
      <c r="A74" s="67" t="s">
        <v>230</v>
      </c>
      <c r="B74" s="68"/>
      <c r="C74" s="69"/>
      <c r="D74" s="70"/>
      <c r="E74" s="68" t="s">
        <v>107</v>
      </c>
      <c r="F74" s="69" t="s">
        <v>107</v>
      </c>
      <c r="G74" s="69" t="s">
        <v>107</v>
      </c>
      <c r="H74" s="69" t="s">
        <v>107</v>
      </c>
      <c r="I74" s="70"/>
      <c r="J74" s="68" t="s">
        <v>107</v>
      </c>
      <c r="K74" s="69" t="s">
        <v>107</v>
      </c>
      <c r="L74" s="70" t="s">
        <v>107</v>
      </c>
      <c r="M74" s="68" t="s">
        <v>107</v>
      </c>
      <c r="N74" s="69"/>
      <c r="O74" s="69"/>
      <c r="P74" s="71"/>
      <c r="Q74" s="72">
        <f>SUM(BV74:CJ74)*VLOOKUP(W74,Tables!$W$3:$Z$8,4)</f>
        <v>640</v>
      </c>
      <c r="R74" s="73">
        <f t="shared" si="56"/>
        <v>35.200000000000003</v>
      </c>
      <c r="S74" s="104">
        <f t="shared" si="57"/>
        <v>20</v>
      </c>
      <c r="T74" s="74">
        <f t="shared" si="58"/>
        <v>0</v>
      </c>
      <c r="U74" s="75">
        <f t="shared" si="59"/>
        <v>704</v>
      </c>
      <c r="V74" s="76">
        <f t="shared" si="60"/>
        <v>224</v>
      </c>
      <c r="W74" s="77">
        <v>0</v>
      </c>
      <c r="X74" s="78">
        <f t="shared" si="61"/>
        <v>0</v>
      </c>
      <c r="Y74" s="79">
        <f t="shared" si="62"/>
        <v>0</v>
      </c>
      <c r="Z74" s="79">
        <f t="shared" si="63"/>
        <v>0</v>
      </c>
      <c r="AA74" s="78">
        <f t="shared" si="64"/>
        <v>1</v>
      </c>
      <c r="AB74" s="79">
        <f t="shared" si="65"/>
        <v>1</v>
      </c>
      <c r="AC74" s="79">
        <f t="shared" si="66"/>
        <v>1</v>
      </c>
      <c r="AD74" s="79">
        <f t="shared" si="67"/>
        <v>1</v>
      </c>
      <c r="AE74" s="79">
        <f t="shared" si="68"/>
        <v>0</v>
      </c>
      <c r="AF74" s="78">
        <f t="shared" si="69"/>
        <v>1</v>
      </c>
      <c r="AG74" s="79">
        <f t="shared" si="70"/>
        <v>1</v>
      </c>
      <c r="AH74" s="79">
        <f t="shared" si="71"/>
        <v>1</v>
      </c>
      <c r="AI74" s="78">
        <f t="shared" si="72"/>
        <v>1</v>
      </c>
      <c r="AJ74" s="79">
        <f t="shared" si="73"/>
        <v>0</v>
      </c>
      <c r="AK74" s="79">
        <f t="shared" si="74"/>
        <v>0</v>
      </c>
      <c r="AL74" s="80">
        <f t="shared" si="75"/>
        <v>0</v>
      </c>
      <c r="AM74" s="81">
        <f t="shared" si="76"/>
        <v>0.64</v>
      </c>
      <c r="AN74" s="82" t="str">
        <f t="shared" si="77"/>
        <v/>
      </c>
      <c r="AO74" s="79" t="str">
        <f t="shared" si="78"/>
        <v/>
      </c>
      <c r="AP74" t="str">
        <f t="shared" si="79"/>
        <v/>
      </c>
      <c r="AQ74" s="82" t="str">
        <f t="shared" si="80"/>
        <v>S</v>
      </c>
      <c r="AR74" t="str">
        <f t="shared" si="81"/>
        <v>S</v>
      </c>
      <c r="AS74" t="str">
        <f t="shared" si="82"/>
        <v>S</v>
      </c>
      <c r="AT74" t="str">
        <f t="shared" si="83"/>
        <v>S</v>
      </c>
      <c r="AU74" t="str">
        <f t="shared" si="84"/>
        <v/>
      </c>
      <c r="AV74" s="82" t="str">
        <f t="shared" si="85"/>
        <v>S</v>
      </c>
      <c r="AW74" t="str">
        <f t="shared" si="86"/>
        <v>S</v>
      </c>
      <c r="AX74" t="str">
        <f t="shared" si="87"/>
        <v>S</v>
      </c>
      <c r="AY74" s="82" t="str">
        <f t="shared" si="88"/>
        <v>S</v>
      </c>
      <c r="AZ74" t="str">
        <f t="shared" si="89"/>
        <v/>
      </c>
      <c r="BA74" t="str">
        <f t="shared" si="90"/>
        <v/>
      </c>
      <c r="BB74" s="83" t="str">
        <f t="shared" si="91"/>
        <v/>
      </c>
      <c r="BC74" s="84">
        <f t="shared" si="92"/>
        <v>0</v>
      </c>
      <c r="BD74" s="84">
        <f t="shared" si="93"/>
        <v>0.76190476190476186</v>
      </c>
      <c r="BE74" s="84">
        <f t="shared" si="94"/>
        <v>1</v>
      </c>
      <c r="BF74" s="84">
        <f t="shared" si="95"/>
        <v>0.3888888888888889</v>
      </c>
      <c r="BG74" s="78">
        <f>IF(AN74="",0,VLOOKUP(AN74,Tables!$AB$3:$AC$12,2))</f>
        <v>0</v>
      </c>
      <c r="BH74" s="79">
        <f>IF(AO74="",0,VLOOKUP(AO74,Tables!$AB$3:$AC$12,2))</f>
        <v>0</v>
      </c>
      <c r="BI74" s="79">
        <f>IF(AP74="",0,VLOOKUP(AP74,Tables!$AB$3:$AC$12,2))</f>
        <v>0</v>
      </c>
      <c r="BJ74" s="78">
        <f>IF(AQ74="",0,VLOOKUP(AQ74,Tables!$AB$3:$AC$12,2))</f>
        <v>1</v>
      </c>
      <c r="BK74" s="79">
        <f>IF(AR74="",0,VLOOKUP(AR74,Tables!$AB$3:$AC$12,2))</f>
        <v>1</v>
      </c>
      <c r="BL74" s="79">
        <f>IF(AS74="",0,VLOOKUP(AS74,Tables!$AB$3:$AC$12,2))</f>
        <v>1</v>
      </c>
      <c r="BM74" s="79">
        <f>IF(AT74="",0,VLOOKUP(AT74,Tables!$AB$3:$AC$12,2))</f>
        <v>1</v>
      </c>
      <c r="BN74" s="79">
        <f>IF(AU74="",0,VLOOKUP(AU74,Tables!$AB$3:$AC$12,2))</f>
        <v>0</v>
      </c>
      <c r="BO74" s="78">
        <f>IF(AV74="",0,VLOOKUP(AV74,Tables!$AB$3:$AC$12,2))</f>
        <v>1</v>
      </c>
      <c r="BP74" s="79">
        <f>IF(AW74="",0,VLOOKUP(AW74,Tables!$AB$3:$AC$12,2))</f>
        <v>1</v>
      </c>
      <c r="BQ74" s="79">
        <f>IF(AX74="",0,VLOOKUP(AX74,Tables!$AB$3:$AC$12,2))</f>
        <v>1</v>
      </c>
      <c r="BR74" s="78">
        <f>IF(AY74="",0,VLOOKUP(AY74,Tables!$AB$3:$AC$12,2))</f>
        <v>1</v>
      </c>
      <c r="BS74" s="79">
        <f>IF(AZ74="",0,VLOOKUP(AZ74,Tables!$AB$3:$AC$12,2))</f>
        <v>0</v>
      </c>
      <c r="BT74" s="79">
        <f>IF(BA74="",0,VLOOKUP(BA74,Tables!$AB$3:$AC$12,2))</f>
        <v>0</v>
      </c>
      <c r="BU74" s="80">
        <f>IF(BB74="",0,VLOOKUP(BB74,Tables!$AB$3:$AC$12,2))</f>
        <v>0</v>
      </c>
      <c r="BV74" s="85">
        <f>IF(AN74="",0,VLOOKUP(B74,Tables!$B$3:$D$36,2,FALSE())*X$1)</f>
        <v>0</v>
      </c>
      <c r="BW74" s="72">
        <f>IF(AO74="",0,VLOOKUP(C74,Tables!$B$3:$D$36,2,FALSE())*Y$1)</f>
        <v>0</v>
      </c>
      <c r="BX74" s="72">
        <f>IF(AP74="",0,VLOOKUP(D74,Tables!$B$3:$D$36,2,FALSE())*Z$1)</f>
        <v>0</v>
      </c>
      <c r="BY74" s="85">
        <f>IF(AQ74="",0,VLOOKUP(E74,Tables!$B$3:$D$36,2,FALSE())*AA$1)</f>
        <v>30</v>
      </c>
      <c r="BZ74" s="72">
        <f>IF(AR74="",0,VLOOKUP(F74,Tables!$B$3:$D$36,2,FALSE())*AB$1)</f>
        <v>60</v>
      </c>
      <c r="CA74" s="72">
        <f>IF(AS74="",0,VLOOKUP(G74,Tables!$B$3:$D$36,2,FALSE())*AC$1)</f>
        <v>20</v>
      </c>
      <c r="CB74" s="72">
        <f>IF(AT74="",0,VLOOKUP(H74,Tables!$B$3:$D$36,2,FALSE())*AD$1)</f>
        <v>50</v>
      </c>
      <c r="CC74" s="72">
        <f>IF(AU74="",0,VLOOKUP(I74,Tables!$B$3:$D$36,2,FALSE())*AE$1)</f>
        <v>0</v>
      </c>
      <c r="CD74" s="85">
        <f>IF(AV74="",0,VLOOKUP(J74,Tables!$B$3:$D$36,2,FALSE())*AF$1)</f>
        <v>120</v>
      </c>
      <c r="CE74" s="72">
        <f>IF(AW74="",0,VLOOKUP(K74,Tables!$B$3:$D$36,2,FALSE())*AG$1)</f>
        <v>120</v>
      </c>
      <c r="CF74" s="72">
        <f>IF(AX74="",0,VLOOKUP(L74,Tables!$B$3:$D$36,2,FALSE())*AH$1)</f>
        <v>100</v>
      </c>
      <c r="CG74" s="85">
        <f>IF(AY74="",0,VLOOKUP(M74,Tables!$B$3:$D$36,2,FALSE())*AI$1)</f>
        <v>140</v>
      </c>
      <c r="CH74" s="72">
        <f>IF(AZ74="",0,VLOOKUP(N74,Tables!$B$3:$D$36,2,FALSE())*AJ$1)</f>
        <v>0</v>
      </c>
      <c r="CI74" s="72">
        <f>IF(BA74="",0,VLOOKUP(O74,Tables!$B$3:$D$36,2,FALSE())*AK$1)</f>
        <v>0</v>
      </c>
      <c r="CJ74" s="86">
        <f>IF(BB74="",0,VLOOKUP(P74,Tables!$B$3:$D$36,2,FALSE())*AL$1)</f>
        <v>0</v>
      </c>
      <c r="CK74" s="87">
        <f>IF(AN74="",0,VLOOKUP(B74,Tables!$B$3:$D$36,3,FALSE())*X$1)*IF(OR(AN74="K",AN74="P"),2,1)</f>
        <v>0</v>
      </c>
      <c r="CL74" s="73">
        <f>IF(AO74="",0,VLOOKUP(C74,Tables!$B$3:$D$36,3,FALSE())*Y$1)*IF(OR(AO74="K",AO74="P"),2,1)</f>
        <v>0</v>
      </c>
      <c r="CM74" s="73">
        <f>IF(AP74="",0,VLOOKUP(D74,Tables!$B$3:$D$36,3,FALSE())*Z$1)*IF(OR(AP74="K",AP74="P"),2,1)</f>
        <v>0</v>
      </c>
      <c r="CN74" s="87">
        <f>IF(AQ74="",0,VLOOKUP(E74,Tables!$B$3:$D$36,3,FALSE())*AA$1)</f>
        <v>1.65</v>
      </c>
      <c r="CO74" s="73">
        <f>IF(AR74="",0,VLOOKUP(F74,Tables!$B$3:$D$36,3,FALSE())*AB$1)</f>
        <v>3.3</v>
      </c>
      <c r="CP74" s="73">
        <f>IF(AS74="",0,VLOOKUP(G74,Tables!$B$3:$D$36,3,FALSE())*AC$1)</f>
        <v>1.1000000000000001</v>
      </c>
      <c r="CQ74" s="73">
        <f>IF(AT74="",0,VLOOKUP(H74,Tables!$B$3:$D$36,3,FALSE())*AD$1)</f>
        <v>2.75</v>
      </c>
      <c r="CR74" s="73">
        <f>IF(AU74="",0,VLOOKUP(I74,Tables!$B$3:$D$36,3,FALSE())*AE$1)</f>
        <v>0</v>
      </c>
      <c r="CS74" s="87">
        <f>IF(AV74="",0,VLOOKUP(J74,Tables!$B$3:$D$36,3,FALSE())*AF$1)</f>
        <v>6.6</v>
      </c>
      <c r="CT74" s="73">
        <f>IF(AW74="",0,VLOOKUP(K74,Tables!$B$3:$D$36,3,FALSE())*AG$1)</f>
        <v>6.6</v>
      </c>
      <c r="CU74" s="73">
        <f>IF(AX74="",0,VLOOKUP(L74,Tables!$B$3:$D$36,3,FALSE())*AH$1)</f>
        <v>5.5</v>
      </c>
      <c r="CV74" s="87">
        <f>IF(AY74="",0,VLOOKUP(M74,Tables!$B$3:$D$36,3,FALSE())*AI$1)</f>
        <v>7.7000000000000011</v>
      </c>
      <c r="CW74" s="73">
        <f>IF(AZ74="",0,VLOOKUP(N74,Tables!$B$3:$D$36,3,FALSE())*AJ$1)</f>
        <v>0</v>
      </c>
      <c r="CX74" s="73">
        <f>IF(BA74="",0,VLOOKUP(O74,Tables!$B$3:$D$36,3,FALSE())*AK$1)</f>
        <v>0</v>
      </c>
      <c r="CY74" s="88">
        <f>IF(BB74="",0,VLOOKUP(P74,Tables!$B$3:$D$36,3,FALSE())*AL$1)</f>
        <v>0</v>
      </c>
      <c r="CZ74" s="89">
        <f t="shared" si="96"/>
        <v>0</v>
      </c>
      <c r="DA74" s="75">
        <f t="shared" si="97"/>
        <v>0</v>
      </c>
      <c r="DB74" s="75">
        <f t="shared" si="98"/>
        <v>0</v>
      </c>
      <c r="DC74" s="89">
        <f t="shared" si="99"/>
        <v>1.3</v>
      </c>
      <c r="DD74" s="75">
        <f t="shared" si="100"/>
        <v>1.3</v>
      </c>
      <c r="DE74" s="75">
        <f t="shared" si="101"/>
        <v>1.3</v>
      </c>
      <c r="DF74" s="75">
        <f t="shared" si="102"/>
        <v>1.3</v>
      </c>
      <c r="DG74" s="75">
        <f t="shared" si="103"/>
        <v>0</v>
      </c>
      <c r="DH74" s="89">
        <f t="shared" si="104"/>
        <v>1.3</v>
      </c>
      <c r="DI74" s="75">
        <f t="shared" si="105"/>
        <v>1.3</v>
      </c>
      <c r="DJ74" s="75">
        <f t="shared" si="106"/>
        <v>1.3</v>
      </c>
      <c r="DK74" s="89">
        <f t="shared" si="107"/>
        <v>1.3</v>
      </c>
      <c r="DL74" s="75">
        <f t="shared" si="108"/>
        <v>0</v>
      </c>
      <c r="DM74" s="75">
        <f t="shared" si="109"/>
        <v>0</v>
      </c>
      <c r="DN74" s="90">
        <f t="shared" si="110"/>
        <v>0</v>
      </c>
      <c r="DO74" s="91">
        <f>IF(AN74="",0,VLOOKUP(B74,Tables!$B$3:$M$36,11,FALSE())*X$1)</f>
        <v>0</v>
      </c>
      <c r="DP74" s="92">
        <f>IF(AO74="",0,VLOOKUP(C74,Tables!$B$3:$M$36,11,FALSE())*Y$1)</f>
        <v>0</v>
      </c>
      <c r="DQ74" s="92">
        <f>IF(AP74="",0,VLOOKUP(D74,Tables!$B$3:$M$36,11,FALSE())*Z$1)</f>
        <v>0</v>
      </c>
      <c r="DR74" s="91">
        <f>IF(AQ74="",0,VLOOKUP(E74,Tables!$B$3:$M$36,11,FALSE())*AA$1)</f>
        <v>33</v>
      </c>
      <c r="DS74" s="92">
        <f>IF(AR74="",0,VLOOKUP(F74,Tables!$B$3:$M$36,11,FALSE())*AB$1)</f>
        <v>66</v>
      </c>
      <c r="DT74" s="92">
        <f>IF(AS74="",0,VLOOKUP(G74,Tables!$B$3:$M$36,11,FALSE())*AC$1)</f>
        <v>22</v>
      </c>
      <c r="DU74" s="92">
        <f>IF(AT74="",0,VLOOKUP(H74,Tables!$B$3:$M$36,11,FALSE())*AD$1)</f>
        <v>55</v>
      </c>
      <c r="DV74" s="92">
        <f>IF(AU74="",0,VLOOKUP(I74,Tables!$B$3:$M$36,11,FALSE())*AE$1)</f>
        <v>0</v>
      </c>
      <c r="DW74" s="91">
        <f>IF(AV74="",0,VLOOKUP(J74,Tables!$B$3:$M$36,11,FALSE())*AF$1)</f>
        <v>132</v>
      </c>
      <c r="DX74" s="92">
        <f>IF(AW74="",0,VLOOKUP(K74,Tables!$B$3:$M$36,11,FALSE())*AG$1)</f>
        <v>132</v>
      </c>
      <c r="DY74" s="92">
        <f>IF(AX74="",0,VLOOKUP(L74,Tables!$B$3:$M$36,11,FALSE())*AH$1)</f>
        <v>110</v>
      </c>
      <c r="DZ74" s="91">
        <f>IF(AY74="",0,VLOOKUP(M74,Tables!$B$3:$M$36,11,FALSE())*AI$1)</f>
        <v>154.00000000000003</v>
      </c>
      <c r="EA74" s="92">
        <f>IF(AZ74="",0,VLOOKUP(N74,Tables!$B$3:$M$36,11,FALSE())*AJ$1)</f>
        <v>0</v>
      </c>
      <c r="EB74" s="92">
        <f>IF(BA74="",0,VLOOKUP(O74,Tables!$B$3:$M$36,11,FALSE())*AK$1)</f>
        <v>0</v>
      </c>
      <c r="EC74" s="93">
        <f>IF(BB74="",0,VLOOKUP(P74,Tables!$B$3:$M$36,11,FALSE())*AL$1)</f>
        <v>0</v>
      </c>
      <c r="ED74" s="91">
        <f>IF(AN74="",0,VLOOKUP(B74,Tables!$B$3:$M$36,12,FALSE())*X$1)</f>
        <v>0</v>
      </c>
      <c r="EE74" s="92">
        <f>IF(AO74="",0,VLOOKUP(C74,Tables!$B$3:$M$36,12,FALSE())*Y$1)</f>
        <v>0</v>
      </c>
      <c r="EF74" s="92">
        <f>IF(AP74="",0,VLOOKUP(D74,Tables!$B$3:$M$36,12,FALSE())*Z$1)</f>
        <v>0</v>
      </c>
      <c r="EG74" s="91">
        <f>IF(AQ74="",0,VLOOKUP(E74,Tables!$B$3:$M$36,12,FALSE())*AA$1)</f>
        <v>10.5</v>
      </c>
      <c r="EH74" s="92">
        <f>IF(AR74="",0,VLOOKUP(F74,Tables!$B$3:$M$36,12,FALSE())*AB$1)</f>
        <v>21</v>
      </c>
      <c r="EI74" s="92">
        <f>IF(AS74="",0,VLOOKUP(G74,Tables!$B$3:$M$36,12,FALSE())*AC$1)</f>
        <v>7</v>
      </c>
      <c r="EJ74" s="92">
        <f>IF(AT74="",0,VLOOKUP(H74,Tables!$B$3:$M$36,12,FALSE())*AD$1)</f>
        <v>17.5</v>
      </c>
      <c r="EK74" s="92">
        <f>IF(AU74="",0,VLOOKUP(I74,Tables!$B$3:$M$36,12,FALSE())*AE$1)</f>
        <v>0</v>
      </c>
      <c r="EL74" s="91">
        <f>IF(AV74="",0,VLOOKUP(J74,Tables!$B$3:$M$36,12,FALSE())*AF$1)</f>
        <v>42</v>
      </c>
      <c r="EM74" s="92">
        <f>IF(AW74="",0,VLOOKUP(K74,Tables!$B$3:$M$36,12,FALSE())*AG$1)</f>
        <v>42</v>
      </c>
      <c r="EN74" s="92">
        <f>IF(AX74="",0,VLOOKUP(L74,Tables!$B$3:$M$36,12,FALSE())*AH$1)</f>
        <v>35</v>
      </c>
      <c r="EO74" s="91">
        <f>IF(AY74="",0,VLOOKUP(M74,Tables!$B$3:$M$36,12,FALSE())*AI$1)</f>
        <v>49.000000000000007</v>
      </c>
      <c r="EP74" s="92">
        <f>IF(AZ74="",0,VLOOKUP(N74,Tables!$B$3:$M$36,12,FALSE())*AJ$1)</f>
        <v>0</v>
      </c>
      <c r="EQ74" s="92">
        <f>IF(BA74="",0,VLOOKUP(O74,Tables!$B$3:$M$36,12,FALSE())*AK$1)</f>
        <v>0</v>
      </c>
      <c r="ER74" s="93">
        <f>IF(BB74="",0,VLOOKUP(P74,Tables!$B$3:$M$36,12,FALSE())*AL$1)</f>
        <v>0</v>
      </c>
      <c r="ES74" s="94">
        <f t="shared" si="111"/>
        <v>0</v>
      </c>
      <c r="ET74" s="95">
        <f>IF(AN74="",10,MIN(VLOOKUP(B74,Tables!$B$3:$N$34,13,FALSE()),'Item Builder'!$W74))</f>
        <v>10</v>
      </c>
      <c r="EU74" s="95">
        <f>IF(AO74="",10,MIN(VLOOKUP(C74,Tables!$B$3:$N$34,13,FALSE()),'Item Builder'!$W74))</f>
        <v>10</v>
      </c>
      <c r="EV74" s="95">
        <f>IF(AP74="",10,MIN(VLOOKUP(D74,Tables!$B$3:$N$34,13,FALSE()),'Item Builder'!$W74))</f>
        <v>10</v>
      </c>
      <c r="EW74" s="95">
        <f>IF(AQ74="",10,MIN(VLOOKUP(E74,Tables!$B$3:$N$34,13,FALSE()),'Item Builder'!$W74))</f>
        <v>0</v>
      </c>
      <c r="EX74" s="95">
        <f>IF(AR74="",10,MIN(VLOOKUP(F74,Tables!$B$3:$N$34,13,FALSE()),'Item Builder'!$W74))</f>
        <v>0</v>
      </c>
      <c r="EY74" s="95">
        <f>IF(AS74="",10,MIN(VLOOKUP(G74,Tables!$B$3:$N$34,13,FALSE()),'Item Builder'!$W74))</f>
        <v>0</v>
      </c>
      <c r="EZ74" s="95">
        <f>IF(AT74="",10,MIN(VLOOKUP(H74,Tables!$B$3:$N$34,13,FALSE()),'Item Builder'!$W74))</f>
        <v>0</v>
      </c>
      <c r="FA74" s="95">
        <f>IF(AU74="",10,MIN(VLOOKUP(I74,Tables!$B$3:$N$34,13,FALSE()),'Item Builder'!$W74))</f>
        <v>10</v>
      </c>
      <c r="FB74" s="95">
        <f>IF(AV74="",10,MIN(VLOOKUP(J74,Tables!$B$3:$N$34,13,FALSE()),'Item Builder'!$W74))</f>
        <v>0</v>
      </c>
      <c r="FC74" s="95">
        <f>IF(AW74="",10,MIN(VLOOKUP(K74,Tables!$B$3:$N$34,13,FALSE()),'Item Builder'!$W74))</f>
        <v>0</v>
      </c>
      <c r="FD74" s="95">
        <f>IF(AX74="",10,MIN(VLOOKUP(L74,Tables!$B$3:$N$34,13,FALSE()),'Item Builder'!$W74))</f>
        <v>0</v>
      </c>
      <c r="FE74" s="95">
        <f>IF(AY74="",10,MIN(VLOOKUP(M74,Tables!$B$3:$N$34,13,FALSE()),'Item Builder'!$W74))</f>
        <v>0</v>
      </c>
      <c r="FF74" s="95">
        <f>IF(AZ74="",10,MIN(VLOOKUP(N74,Tables!$B$3:$N$34,13,FALSE()),'Item Builder'!$W74))</f>
        <v>10</v>
      </c>
      <c r="FG74" s="95">
        <f>IF(BA74="",10,MIN(VLOOKUP(O74,Tables!$B$3:$N$34,13,FALSE()),'Item Builder'!$W74))</f>
        <v>10</v>
      </c>
      <c r="FH74" s="98">
        <f>IF(BB74="",10,MIN(VLOOKUP(P74,Tables!$B$3:$N$34,13,FALSE()),'Item Builder'!$W74))</f>
        <v>10</v>
      </c>
    </row>
    <row r="75" spans="1:164" x14ac:dyDescent="0.25">
      <c r="A75" s="67" t="s">
        <v>231</v>
      </c>
      <c r="B75" s="68"/>
      <c r="C75" s="69"/>
      <c r="D75" s="70"/>
      <c r="E75" s="68"/>
      <c r="F75" s="69"/>
      <c r="G75" s="69"/>
      <c r="H75" s="69"/>
      <c r="I75" s="70"/>
      <c r="J75" s="68"/>
      <c r="K75" s="69"/>
      <c r="L75" s="70"/>
      <c r="M75" s="68" t="s">
        <v>107</v>
      </c>
      <c r="N75" s="69" t="s">
        <v>107</v>
      </c>
      <c r="O75" s="69"/>
      <c r="P75" s="71"/>
      <c r="Q75" s="72">
        <f>SUM(BV75:CJ75)*VLOOKUP(W75,Tables!$W$3:$Z$8,4)</f>
        <v>170</v>
      </c>
      <c r="R75" s="73">
        <f t="shared" si="56"/>
        <v>9.3500000000000014</v>
      </c>
      <c r="S75" s="101">
        <f t="shared" si="57"/>
        <v>5</v>
      </c>
      <c r="T75" s="74">
        <f t="shared" si="58"/>
        <v>0</v>
      </c>
      <c r="U75" s="75">
        <f t="shared" si="59"/>
        <v>187.00000000000003</v>
      </c>
      <c r="V75" s="76">
        <f t="shared" si="60"/>
        <v>59.500000000000007</v>
      </c>
      <c r="W75" s="77">
        <v>0</v>
      </c>
      <c r="X75" s="78">
        <f t="shared" si="61"/>
        <v>0</v>
      </c>
      <c r="Y75" s="79">
        <f t="shared" si="62"/>
        <v>0</v>
      </c>
      <c r="Z75" s="79">
        <f t="shared" si="63"/>
        <v>0</v>
      </c>
      <c r="AA75" s="78">
        <f t="shared" si="64"/>
        <v>0</v>
      </c>
      <c r="AB75" s="79">
        <f t="shared" si="65"/>
        <v>0</v>
      </c>
      <c r="AC75" s="79">
        <f t="shared" si="66"/>
        <v>0</v>
      </c>
      <c r="AD75" s="79">
        <f t="shared" si="67"/>
        <v>0</v>
      </c>
      <c r="AE75" s="79">
        <f t="shared" si="68"/>
        <v>0</v>
      </c>
      <c r="AF75" s="78">
        <f t="shared" si="69"/>
        <v>0</v>
      </c>
      <c r="AG75" s="79">
        <f t="shared" si="70"/>
        <v>0</v>
      </c>
      <c r="AH75" s="79">
        <f t="shared" si="71"/>
        <v>0</v>
      </c>
      <c r="AI75" s="78">
        <f t="shared" si="72"/>
        <v>1</v>
      </c>
      <c r="AJ75" s="79">
        <f t="shared" si="73"/>
        <v>1</v>
      </c>
      <c r="AK75" s="79">
        <f t="shared" si="74"/>
        <v>0</v>
      </c>
      <c r="AL75" s="80">
        <f t="shared" si="75"/>
        <v>0</v>
      </c>
      <c r="AM75" s="81">
        <f t="shared" si="76"/>
        <v>0.17</v>
      </c>
      <c r="AN75" s="82" t="str">
        <f t="shared" si="77"/>
        <v/>
      </c>
      <c r="AO75" s="79" t="str">
        <f t="shared" si="78"/>
        <v/>
      </c>
      <c r="AP75" t="str">
        <f t="shared" si="79"/>
        <v/>
      </c>
      <c r="AQ75" s="82" t="str">
        <f t="shared" si="80"/>
        <v/>
      </c>
      <c r="AR75" t="str">
        <f t="shared" si="81"/>
        <v/>
      </c>
      <c r="AS75" t="str">
        <f t="shared" si="82"/>
        <v/>
      </c>
      <c r="AT75" t="str">
        <f t="shared" si="83"/>
        <v/>
      </c>
      <c r="AU75" t="str">
        <f t="shared" si="84"/>
        <v/>
      </c>
      <c r="AV75" s="82" t="str">
        <f t="shared" si="85"/>
        <v/>
      </c>
      <c r="AW75" t="str">
        <f t="shared" si="86"/>
        <v/>
      </c>
      <c r="AX75" t="str">
        <f t="shared" si="87"/>
        <v/>
      </c>
      <c r="AY75" s="82" t="str">
        <f t="shared" si="88"/>
        <v>S</v>
      </c>
      <c r="AZ75" t="str">
        <f t="shared" si="89"/>
        <v>S</v>
      </c>
      <c r="BA75" t="str">
        <f t="shared" si="90"/>
        <v/>
      </c>
      <c r="BB75" s="83" t="str">
        <f t="shared" si="91"/>
        <v/>
      </c>
      <c r="BC75" s="84">
        <f t="shared" si="92"/>
        <v>0</v>
      </c>
      <c r="BD75" s="84">
        <f t="shared" si="93"/>
        <v>0</v>
      </c>
      <c r="BE75" s="84">
        <f t="shared" si="94"/>
        <v>0</v>
      </c>
      <c r="BF75" s="84">
        <f t="shared" si="95"/>
        <v>0.47222222222222221</v>
      </c>
      <c r="BG75" s="78">
        <f>IF(AN75="",0,VLOOKUP(AN75,Tables!$AB$3:$AC$12,2))</f>
        <v>0</v>
      </c>
      <c r="BH75" s="79">
        <f>IF(AO75="",0,VLOOKUP(AO75,Tables!$AB$3:$AC$12,2))</f>
        <v>0</v>
      </c>
      <c r="BI75" s="79">
        <f>IF(AP75="",0,VLOOKUP(AP75,Tables!$AB$3:$AC$12,2))</f>
        <v>0</v>
      </c>
      <c r="BJ75" s="78">
        <f>IF(AQ75="",0,VLOOKUP(AQ75,Tables!$AB$3:$AC$12,2))</f>
        <v>0</v>
      </c>
      <c r="BK75" s="79">
        <f>IF(AR75="",0,VLOOKUP(AR75,Tables!$AB$3:$AC$12,2))</f>
        <v>0</v>
      </c>
      <c r="BL75" s="79">
        <f>IF(AS75="",0,VLOOKUP(AS75,Tables!$AB$3:$AC$12,2))</f>
        <v>0</v>
      </c>
      <c r="BM75" s="79">
        <f>IF(AT75="",0,VLOOKUP(AT75,Tables!$AB$3:$AC$12,2))</f>
        <v>0</v>
      </c>
      <c r="BN75" s="79">
        <f>IF(AU75="",0,VLOOKUP(AU75,Tables!$AB$3:$AC$12,2))</f>
        <v>0</v>
      </c>
      <c r="BO75" s="78">
        <f>IF(AV75="",0,VLOOKUP(AV75,Tables!$AB$3:$AC$12,2))</f>
        <v>0</v>
      </c>
      <c r="BP75" s="79">
        <f>IF(AW75="",0,VLOOKUP(AW75,Tables!$AB$3:$AC$12,2))</f>
        <v>0</v>
      </c>
      <c r="BQ75" s="79">
        <f>IF(AX75="",0,VLOOKUP(AX75,Tables!$AB$3:$AC$12,2))</f>
        <v>0</v>
      </c>
      <c r="BR75" s="78">
        <f>IF(AY75="",0,VLOOKUP(AY75,Tables!$AB$3:$AC$12,2))</f>
        <v>1</v>
      </c>
      <c r="BS75" s="79">
        <f>IF(AZ75="",0,VLOOKUP(AZ75,Tables!$AB$3:$AC$12,2))</f>
        <v>1</v>
      </c>
      <c r="BT75" s="79">
        <f>IF(BA75="",0,VLOOKUP(BA75,Tables!$AB$3:$AC$12,2))</f>
        <v>0</v>
      </c>
      <c r="BU75" s="80">
        <f>IF(BB75="",0,VLOOKUP(BB75,Tables!$AB$3:$AC$12,2))</f>
        <v>0</v>
      </c>
      <c r="BV75" s="85">
        <f>IF(AN75="",0,VLOOKUP(B75,Tables!$B$3:$D$36,2,FALSE())*X$1)</f>
        <v>0</v>
      </c>
      <c r="BW75" s="72">
        <f>IF(AO75="",0,VLOOKUP(C75,Tables!$B$3:$D$36,2,FALSE())*Y$1)</f>
        <v>0</v>
      </c>
      <c r="BX75" s="72">
        <f>IF(AP75="",0,VLOOKUP(D75,Tables!$B$3:$D$36,2,FALSE())*Z$1)</f>
        <v>0</v>
      </c>
      <c r="BY75" s="85">
        <f>IF(AQ75="",0,VLOOKUP(E75,Tables!$B$3:$D$36,2,FALSE())*AA$1)</f>
        <v>0</v>
      </c>
      <c r="BZ75" s="72">
        <f>IF(AR75="",0,VLOOKUP(F75,Tables!$B$3:$D$36,2,FALSE())*AB$1)</f>
        <v>0</v>
      </c>
      <c r="CA75" s="72">
        <f>IF(AS75="",0,VLOOKUP(G75,Tables!$B$3:$D$36,2,FALSE())*AC$1)</f>
        <v>0</v>
      </c>
      <c r="CB75" s="72">
        <f>IF(AT75="",0,VLOOKUP(H75,Tables!$B$3:$D$36,2,FALSE())*AD$1)</f>
        <v>0</v>
      </c>
      <c r="CC75" s="72">
        <f>IF(AU75="",0,VLOOKUP(I75,Tables!$B$3:$D$36,2,FALSE())*AE$1)</f>
        <v>0</v>
      </c>
      <c r="CD75" s="85">
        <f>IF(AV75="",0,VLOOKUP(J75,Tables!$B$3:$D$36,2,FALSE())*AF$1)</f>
        <v>0</v>
      </c>
      <c r="CE75" s="72">
        <f>IF(AW75="",0,VLOOKUP(K75,Tables!$B$3:$D$36,2,FALSE())*AG$1)</f>
        <v>0</v>
      </c>
      <c r="CF75" s="72">
        <f>IF(AX75="",0,VLOOKUP(L75,Tables!$B$3:$D$36,2,FALSE())*AH$1)</f>
        <v>0</v>
      </c>
      <c r="CG75" s="85">
        <f>IF(AY75="",0,VLOOKUP(M75,Tables!$B$3:$D$36,2,FALSE())*AI$1)</f>
        <v>140</v>
      </c>
      <c r="CH75" s="72">
        <f>IF(AZ75="",0,VLOOKUP(N75,Tables!$B$3:$D$36,2,FALSE())*AJ$1)</f>
        <v>30</v>
      </c>
      <c r="CI75" s="72">
        <f>IF(BA75="",0,VLOOKUP(O75,Tables!$B$3:$D$36,2,FALSE())*AK$1)</f>
        <v>0</v>
      </c>
      <c r="CJ75" s="86">
        <f>IF(BB75="",0,VLOOKUP(P75,Tables!$B$3:$D$36,2,FALSE())*AL$1)</f>
        <v>0</v>
      </c>
      <c r="CK75" s="87">
        <f>IF(AN75="",0,VLOOKUP(B75,Tables!$B$3:$D$36,3,FALSE())*X$1)*IF(OR(AN75="K",AN75="P"),2,1)</f>
        <v>0</v>
      </c>
      <c r="CL75" s="73">
        <f>IF(AO75="",0,VLOOKUP(C75,Tables!$B$3:$D$36,3,FALSE())*Y$1)*IF(OR(AO75="K",AO75="P"),2,1)</f>
        <v>0</v>
      </c>
      <c r="CM75" s="73">
        <f>IF(AP75="",0,VLOOKUP(D75,Tables!$B$3:$D$36,3,FALSE())*Z$1)*IF(OR(AP75="K",AP75="P"),2,1)</f>
        <v>0</v>
      </c>
      <c r="CN75" s="87">
        <f>IF(AQ75="",0,VLOOKUP(E75,Tables!$B$3:$D$36,3,FALSE())*AA$1)</f>
        <v>0</v>
      </c>
      <c r="CO75" s="73">
        <f>IF(AR75="",0,VLOOKUP(F75,Tables!$B$3:$D$36,3,FALSE())*AB$1)</f>
        <v>0</v>
      </c>
      <c r="CP75" s="73">
        <f>IF(AS75="",0,VLOOKUP(G75,Tables!$B$3:$D$36,3,FALSE())*AC$1)</f>
        <v>0</v>
      </c>
      <c r="CQ75" s="73">
        <f>IF(AT75="",0,VLOOKUP(H75,Tables!$B$3:$D$36,3,FALSE())*AD$1)</f>
        <v>0</v>
      </c>
      <c r="CR75" s="73">
        <f>IF(AU75="",0,VLOOKUP(I75,Tables!$B$3:$D$36,3,FALSE())*AE$1)</f>
        <v>0</v>
      </c>
      <c r="CS75" s="87">
        <f>IF(AV75="",0,VLOOKUP(J75,Tables!$B$3:$D$36,3,FALSE())*AF$1)</f>
        <v>0</v>
      </c>
      <c r="CT75" s="73">
        <f>IF(AW75="",0,VLOOKUP(K75,Tables!$B$3:$D$36,3,FALSE())*AG$1)</f>
        <v>0</v>
      </c>
      <c r="CU75" s="73">
        <f>IF(AX75="",0,VLOOKUP(L75,Tables!$B$3:$D$36,3,FALSE())*AH$1)</f>
        <v>0</v>
      </c>
      <c r="CV75" s="87">
        <f>IF(AY75="",0,VLOOKUP(M75,Tables!$B$3:$D$36,3,FALSE())*AI$1)</f>
        <v>7.7000000000000011</v>
      </c>
      <c r="CW75" s="73">
        <f>IF(AZ75="",0,VLOOKUP(N75,Tables!$B$3:$D$36,3,FALSE())*AJ$1)</f>
        <v>1.65</v>
      </c>
      <c r="CX75" s="73">
        <f>IF(BA75="",0,VLOOKUP(O75,Tables!$B$3:$D$36,3,FALSE())*AK$1)</f>
        <v>0</v>
      </c>
      <c r="CY75" s="88">
        <f>IF(BB75="",0,VLOOKUP(P75,Tables!$B$3:$D$36,3,FALSE())*AL$1)</f>
        <v>0</v>
      </c>
      <c r="CZ75" s="89">
        <f t="shared" si="96"/>
        <v>0</v>
      </c>
      <c r="DA75" s="75">
        <f t="shared" si="97"/>
        <v>0</v>
      </c>
      <c r="DB75" s="75">
        <f t="shared" si="98"/>
        <v>0</v>
      </c>
      <c r="DC75" s="89">
        <f t="shared" si="99"/>
        <v>0</v>
      </c>
      <c r="DD75" s="75">
        <f t="shared" si="100"/>
        <v>0</v>
      </c>
      <c r="DE75" s="75">
        <f t="shared" si="101"/>
        <v>0</v>
      </c>
      <c r="DF75" s="75">
        <f t="shared" si="102"/>
        <v>0</v>
      </c>
      <c r="DG75" s="75">
        <f t="shared" si="103"/>
        <v>0</v>
      </c>
      <c r="DH75" s="89">
        <f t="shared" si="104"/>
        <v>0</v>
      </c>
      <c r="DI75" s="75">
        <f t="shared" si="105"/>
        <v>0</v>
      </c>
      <c r="DJ75" s="75">
        <f t="shared" si="106"/>
        <v>0</v>
      </c>
      <c r="DK75" s="89">
        <f t="shared" si="107"/>
        <v>1.3</v>
      </c>
      <c r="DL75" s="75">
        <f t="shared" si="108"/>
        <v>1.3</v>
      </c>
      <c r="DM75" s="75">
        <f t="shared" si="109"/>
        <v>0</v>
      </c>
      <c r="DN75" s="90">
        <f t="shared" si="110"/>
        <v>0</v>
      </c>
      <c r="DO75" s="91">
        <f>IF(AN75="",0,VLOOKUP(B75,Tables!$B$3:$M$36,11,FALSE())*X$1)</f>
        <v>0</v>
      </c>
      <c r="DP75" s="92">
        <f>IF(AO75="",0,VLOOKUP(C75,Tables!$B$3:$M$36,11,FALSE())*Y$1)</f>
        <v>0</v>
      </c>
      <c r="DQ75" s="92">
        <f>IF(AP75="",0,VLOOKUP(D75,Tables!$B$3:$M$36,11,FALSE())*Z$1)</f>
        <v>0</v>
      </c>
      <c r="DR75" s="91">
        <f>IF(AQ75="",0,VLOOKUP(E75,Tables!$B$3:$M$36,11,FALSE())*AA$1)</f>
        <v>0</v>
      </c>
      <c r="DS75" s="92">
        <f>IF(AR75="",0,VLOOKUP(F75,Tables!$B$3:$M$36,11,FALSE())*AB$1)</f>
        <v>0</v>
      </c>
      <c r="DT75" s="92">
        <f>IF(AS75="",0,VLOOKUP(G75,Tables!$B$3:$M$36,11,FALSE())*AC$1)</f>
        <v>0</v>
      </c>
      <c r="DU75" s="92">
        <f>IF(AT75="",0,VLOOKUP(H75,Tables!$B$3:$M$36,11,FALSE())*AD$1)</f>
        <v>0</v>
      </c>
      <c r="DV75" s="92">
        <f>IF(AU75="",0,VLOOKUP(I75,Tables!$B$3:$M$36,11,FALSE())*AE$1)</f>
        <v>0</v>
      </c>
      <c r="DW75" s="91">
        <f>IF(AV75="",0,VLOOKUP(J75,Tables!$B$3:$M$36,11,FALSE())*AF$1)</f>
        <v>0</v>
      </c>
      <c r="DX75" s="92">
        <f>IF(AW75="",0,VLOOKUP(K75,Tables!$B$3:$M$36,11,FALSE())*AG$1)</f>
        <v>0</v>
      </c>
      <c r="DY75" s="92">
        <f>IF(AX75="",0,VLOOKUP(L75,Tables!$B$3:$M$36,11,FALSE())*AH$1)</f>
        <v>0</v>
      </c>
      <c r="DZ75" s="91">
        <f>IF(AY75="",0,VLOOKUP(M75,Tables!$B$3:$M$36,11,FALSE())*AI$1)</f>
        <v>154.00000000000003</v>
      </c>
      <c r="EA75" s="92">
        <f>IF(AZ75="",0,VLOOKUP(N75,Tables!$B$3:$M$36,11,FALSE())*AJ$1)</f>
        <v>33</v>
      </c>
      <c r="EB75" s="92">
        <f>IF(BA75="",0,VLOOKUP(O75,Tables!$B$3:$M$36,11,FALSE())*AK$1)</f>
        <v>0</v>
      </c>
      <c r="EC75" s="93">
        <f>IF(BB75="",0,VLOOKUP(P75,Tables!$B$3:$M$36,11,FALSE())*AL$1)</f>
        <v>0</v>
      </c>
      <c r="ED75" s="91">
        <f>IF(AN75="",0,VLOOKUP(B75,Tables!$B$3:$M$36,12,FALSE())*X$1)</f>
        <v>0</v>
      </c>
      <c r="EE75" s="92">
        <f>IF(AO75="",0,VLOOKUP(C75,Tables!$B$3:$M$36,12,FALSE())*Y$1)</f>
        <v>0</v>
      </c>
      <c r="EF75" s="92">
        <f>IF(AP75="",0,VLOOKUP(D75,Tables!$B$3:$M$36,12,FALSE())*Z$1)</f>
        <v>0</v>
      </c>
      <c r="EG75" s="91">
        <f>IF(AQ75="",0,VLOOKUP(E75,Tables!$B$3:$M$36,12,FALSE())*AA$1)</f>
        <v>0</v>
      </c>
      <c r="EH75" s="92">
        <f>IF(AR75="",0,VLOOKUP(F75,Tables!$B$3:$M$36,12,FALSE())*AB$1)</f>
        <v>0</v>
      </c>
      <c r="EI75" s="92">
        <f>IF(AS75="",0,VLOOKUP(G75,Tables!$B$3:$M$36,12,FALSE())*AC$1)</f>
        <v>0</v>
      </c>
      <c r="EJ75" s="92">
        <f>IF(AT75="",0,VLOOKUP(H75,Tables!$B$3:$M$36,12,FALSE())*AD$1)</f>
        <v>0</v>
      </c>
      <c r="EK75" s="92">
        <f>IF(AU75="",0,VLOOKUP(I75,Tables!$B$3:$M$36,12,FALSE())*AE$1)</f>
        <v>0</v>
      </c>
      <c r="EL75" s="91">
        <f>IF(AV75="",0,VLOOKUP(J75,Tables!$B$3:$M$36,12,FALSE())*AF$1)</f>
        <v>0</v>
      </c>
      <c r="EM75" s="92">
        <f>IF(AW75="",0,VLOOKUP(K75,Tables!$B$3:$M$36,12,FALSE())*AG$1)</f>
        <v>0</v>
      </c>
      <c r="EN75" s="92">
        <f>IF(AX75="",0,VLOOKUP(L75,Tables!$B$3:$M$36,12,FALSE())*AH$1)</f>
        <v>0</v>
      </c>
      <c r="EO75" s="91">
        <f>IF(AY75="",0,VLOOKUP(M75,Tables!$B$3:$M$36,12,FALSE())*AI$1)</f>
        <v>49.000000000000007</v>
      </c>
      <c r="EP75" s="92">
        <f>IF(AZ75="",0,VLOOKUP(N75,Tables!$B$3:$M$36,12,FALSE())*AJ$1)</f>
        <v>10.5</v>
      </c>
      <c r="EQ75" s="92">
        <f>IF(BA75="",0,VLOOKUP(O75,Tables!$B$3:$M$36,12,FALSE())*AK$1)</f>
        <v>0</v>
      </c>
      <c r="ER75" s="93">
        <f>IF(BB75="",0,VLOOKUP(P75,Tables!$B$3:$M$36,12,FALSE())*AL$1)</f>
        <v>0</v>
      </c>
      <c r="ES75" s="94">
        <f t="shared" si="111"/>
        <v>0</v>
      </c>
      <c r="ET75" s="95">
        <f>IF(AN75="",10,MIN(VLOOKUP(B75,Tables!$B$3:$N$34,13,FALSE()),'Item Builder'!$W75))</f>
        <v>10</v>
      </c>
      <c r="EU75" s="95">
        <f>IF(AO75="",10,MIN(VLOOKUP(C75,Tables!$B$3:$N$34,13,FALSE()),'Item Builder'!$W75))</f>
        <v>10</v>
      </c>
      <c r="EV75" s="95">
        <f>IF(AP75="",10,MIN(VLOOKUP(D75,Tables!$B$3:$N$34,13,FALSE()),'Item Builder'!$W75))</f>
        <v>10</v>
      </c>
      <c r="EW75" s="95">
        <f>IF(AQ75="",10,MIN(VLOOKUP(E75,Tables!$B$3:$N$34,13,FALSE()),'Item Builder'!$W75))</f>
        <v>10</v>
      </c>
      <c r="EX75" s="95">
        <f>IF(AR75="",10,MIN(VLOOKUP(F75,Tables!$B$3:$N$34,13,FALSE()),'Item Builder'!$W75))</f>
        <v>10</v>
      </c>
      <c r="EY75" s="95">
        <f>IF(AS75="",10,MIN(VLOOKUP(G75,Tables!$B$3:$N$34,13,FALSE()),'Item Builder'!$W75))</f>
        <v>10</v>
      </c>
      <c r="EZ75" s="95">
        <f>IF(AT75="",10,MIN(VLOOKUP(H75,Tables!$B$3:$N$34,13,FALSE()),'Item Builder'!$W75))</f>
        <v>10</v>
      </c>
      <c r="FA75" s="95">
        <f>IF(AU75="",10,MIN(VLOOKUP(I75,Tables!$B$3:$N$34,13,FALSE()),'Item Builder'!$W75))</f>
        <v>10</v>
      </c>
      <c r="FB75" s="95">
        <f>IF(AV75="",10,MIN(VLOOKUP(J75,Tables!$B$3:$N$34,13,FALSE()),'Item Builder'!$W75))</f>
        <v>10</v>
      </c>
      <c r="FC75" s="95">
        <f>IF(AW75="",10,MIN(VLOOKUP(K75,Tables!$B$3:$N$34,13,FALSE()),'Item Builder'!$W75))</f>
        <v>10</v>
      </c>
      <c r="FD75" s="95">
        <f>IF(AX75="",10,MIN(VLOOKUP(L75,Tables!$B$3:$N$34,13,FALSE()),'Item Builder'!$W75))</f>
        <v>10</v>
      </c>
      <c r="FE75" s="95">
        <f>IF(AY75="",10,MIN(VLOOKUP(M75,Tables!$B$3:$N$34,13,FALSE()),'Item Builder'!$W75))</f>
        <v>0</v>
      </c>
      <c r="FF75" s="95">
        <f>IF(AZ75="",10,MIN(VLOOKUP(N75,Tables!$B$3:$N$34,13,FALSE()),'Item Builder'!$W75))</f>
        <v>0</v>
      </c>
      <c r="FG75" s="95">
        <f>IF(BA75="",10,MIN(VLOOKUP(O75,Tables!$B$3:$N$34,13,FALSE()),'Item Builder'!$W75))</f>
        <v>10</v>
      </c>
      <c r="FH75" s="98">
        <f>IF(BB75="",10,MIN(VLOOKUP(P75,Tables!$B$3:$N$34,13,FALSE()),'Item Builder'!$W75))</f>
        <v>10</v>
      </c>
    </row>
    <row r="76" spans="1:164" x14ac:dyDescent="0.25">
      <c r="A76" s="67" t="s">
        <v>232</v>
      </c>
      <c r="B76" s="68"/>
      <c r="C76" s="69"/>
      <c r="D76" s="70"/>
      <c r="E76" s="68"/>
      <c r="F76" s="69"/>
      <c r="G76" s="69"/>
      <c r="H76" s="69"/>
      <c r="I76" s="70"/>
      <c r="J76" s="68"/>
      <c r="K76" s="69"/>
      <c r="L76" s="70"/>
      <c r="M76" s="68" t="s">
        <v>107</v>
      </c>
      <c r="N76" s="69" t="s">
        <v>107</v>
      </c>
      <c r="O76" s="69" t="s">
        <v>107</v>
      </c>
      <c r="P76" s="71" t="s">
        <v>107</v>
      </c>
      <c r="Q76" s="72">
        <f>SUM(BV76:CJ76)*VLOOKUP(W76,Tables!$W$3:$Z$8,4)</f>
        <v>360</v>
      </c>
      <c r="R76" s="73">
        <f t="shared" si="56"/>
        <v>19.8</v>
      </c>
      <c r="S76" s="102">
        <f t="shared" si="57"/>
        <v>10</v>
      </c>
      <c r="T76" s="74">
        <f t="shared" si="58"/>
        <v>0</v>
      </c>
      <c r="U76" s="75">
        <f t="shared" si="59"/>
        <v>396</v>
      </c>
      <c r="V76" s="76">
        <f t="shared" si="60"/>
        <v>126</v>
      </c>
      <c r="W76" s="77">
        <v>0</v>
      </c>
      <c r="X76" s="78">
        <f t="shared" si="61"/>
        <v>0</v>
      </c>
      <c r="Y76" s="79">
        <f t="shared" si="62"/>
        <v>0</v>
      </c>
      <c r="Z76" s="79">
        <f t="shared" si="63"/>
        <v>0</v>
      </c>
      <c r="AA76" s="78">
        <f t="shared" si="64"/>
        <v>0</v>
      </c>
      <c r="AB76" s="79">
        <f t="shared" si="65"/>
        <v>0</v>
      </c>
      <c r="AC76" s="79">
        <f t="shared" si="66"/>
        <v>0</v>
      </c>
      <c r="AD76" s="79">
        <f t="shared" si="67"/>
        <v>0</v>
      </c>
      <c r="AE76" s="79">
        <f t="shared" si="68"/>
        <v>0</v>
      </c>
      <c r="AF76" s="78">
        <f t="shared" si="69"/>
        <v>0</v>
      </c>
      <c r="AG76" s="79">
        <f t="shared" si="70"/>
        <v>0</v>
      </c>
      <c r="AH76" s="79">
        <f t="shared" si="71"/>
        <v>0</v>
      </c>
      <c r="AI76" s="78">
        <f t="shared" si="72"/>
        <v>1</v>
      </c>
      <c r="AJ76" s="79">
        <f t="shared" si="73"/>
        <v>1</v>
      </c>
      <c r="AK76" s="79">
        <f t="shared" si="74"/>
        <v>1</v>
      </c>
      <c r="AL76" s="80">
        <f t="shared" si="75"/>
        <v>1</v>
      </c>
      <c r="AM76" s="81">
        <f t="shared" si="76"/>
        <v>0.36000000000000004</v>
      </c>
      <c r="AN76" s="82" t="str">
        <f t="shared" si="77"/>
        <v/>
      </c>
      <c r="AO76" s="79" t="str">
        <f t="shared" si="78"/>
        <v/>
      </c>
      <c r="AP76" t="str">
        <f t="shared" si="79"/>
        <v/>
      </c>
      <c r="AQ76" s="82" t="str">
        <f t="shared" si="80"/>
        <v/>
      </c>
      <c r="AR76" t="str">
        <f t="shared" si="81"/>
        <v/>
      </c>
      <c r="AS76" t="str">
        <f t="shared" si="82"/>
        <v/>
      </c>
      <c r="AT76" t="str">
        <f t="shared" si="83"/>
        <v/>
      </c>
      <c r="AU76" t="str">
        <f t="shared" si="84"/>
        <v/>
      </c>
      <c r="AV76" s="82" t="str">
        <f t="shared" si="85"/>
        <v/>
      </c>
      <c r="AW76" t="str">
        <f t="shared" si="86"/>
        <v/>
      </c>
      <c r="AX76" t="str">
        <f t="shared" si="87"/>
        <v/>
      </c>
      <c r="AY76" s="82" t="str">
        <f t="shared" si="88"/>
        <v>S</v>
      </c>
      <c r="AZ76" t="str">
        <f t="shared" si="89"/>
        <v>S</v>
      </c>
      <c r="BA76" t="str">
        <f t="shared" si="90"/>
        <v>S</v>
      </c>
      <c r="BB76" s="83" t="str">
        <f t="shared" si="91"/>
        <v>S</v>
      </c>
      <c r="BC76" s="84">
        <f t="shared" si="92"/>
        <v>0</v>
      </c>
      <c r="BD76" s="84">
        <f t="shared" si="93"/>
        <v>0</v>
      </c>
      <c r="BE76" s="84">
        <f t="shared" si="94"/>
        <v>0</v>
      </c>
      <c r="BF76" s="84">
        <f t="shared" si="95"/>
        <v>1</v>
      </c>
      <c r="BG76" s="78">
        <f>IF(AN76="",0,VLOOKUP(AN76,Tables!$AB$3:$AC$12,2))</f>
        <v>0</v>
      </c>
      <c r="BH76" s="79">
        <f>IF(AO76="",0,VLOOKUP(AO76,Tables!$AB$3:$AC$12,2))</f>
        <v>0</v>
      </c>
      <c r="BI76" s="79">
        <f>IF(AP76="",0,VLOOKUP(AP76,Tables!$AB$3:$AC$12,2))</f>
        <v>0</v>
      </c>
      <c r="BJ76" s="78">
        <f>IF(AQ76="",0,VLOOKUP(AQ76,Tables!$AB$3:$AC$12,2))</f>
        <v>0</v>
      </c>
      <c r="BK76" s="79">
        <f>IF(AR76="",0,VLOOKUP(AR76,Tables!$AB$3:$AC$12,2))</f>
        <v>0</v>
      </c>
      <c r="BL76" s="79">
        <f>IF(AS76="",0,VLOOKUP(AS76,Tables!$AB$3:$AC$12,2))</f>
        <v>0</v>
      </c>
      <c r="BM76" s="79">
        <f>IF(AT76="",0,VLOOKUP(AT76,Tables!$AB$3:$AC$12,2))</f>
        <v>0</v>
      </c>
      <c r="BN76" s="79">
        <f>IF(AU76="",0,VLOOKUP(AU76,Tables!$AB$3:$AC$12,2))</f>
        <v>0</v>
      </c>
      <c r="BO76" s="78">
        <f>IF(AV76="",0,VLOOKUP(AV76,Tables!$AB$3:$AC$12,2))</f>
        <v>0</v>
      </c>
      <c r="BP76" s="79">
        <f>IF(AW76="",0,VLOOKUP(AW76,Tables!$AB$3:$AC$12,2))</f>
        <v>0</v>
      </c>
      <c r="BQ76" s="79">
        <f>IF(AX76="",0,VLOOKUP(AX76,Tables!$AB$3:$AC$12,2))</f>
        <v>0</v>
      </c>
      <c r="BR76" s="78">
        <f>IF(AY76="",0,VLOOKUP(AY76,Tables!$AB$3:$AC$12,2))</f>
        <v>1</v>
      </c>
      <c r="BS76" s="79">
        <f>IF(AZ76="",0,VLOOKUP(AZ76,Tables!$AB$3:$AC$12,2))</f>
        <v>1</v>
      </c>
      <c r="BT76" s="79">
        <f>IF(BA76="",0,VLOOKUP(BA76,Tables!$AB$3:$AC$12,2))</f>
        <v>1</v>
      </c>
      <c r="BU76" s="80">
        <f>IF(BB76="",0,VLOOKUP(BB76,Tables!$AB$3:$AC$12,2))</f>
        <v>1</v>
      </c>
      <c r="BV76" s="85">
        <f>IF(AN76="",0,VLOOKUP(B76,Tables!$B$3:$D$36,2,FALSE())*X$1)</f>
        <v>0</v>
      </c>
      <c r="BW76" s="72">
        <f>IF(AO76="",0,VLOOKUP(C76,Tables!$B$3:$D$36,2,FALSE())*Y$1)</f>
        <v>0</v>
      </c>
      <c r="BX76" s="72">
        <f>IF(AP76="",0,VLOOKUP(D76,Tables!$B$3:$D$36,2,FALSE())*Z$1)</f>
        <v>0</v>
      </c>
      <c r="BY76" s="85">
        <f>IF(AQ76="",0,VLOOKUP(E76,Tables!$B$3:$D$36,2,FALSE())*AA$1)</f>
        <v>0</v>
      </c>
      <c r="BZ76" s="72">
        <f>IF(AR76="",0,VLOOKUP(F76,Tables!$B$3:$D$36,2,FALSE())*AB$1)</f>
        <v>0</v>
      </c>
      <c r="CA76" s="72">
        <f>IF(AS76="",0,VLOOKUP(G76,Tables!$B$3:$D$36,2,FALSE())*AC$1)</f>
        <v>0</v>
      </c>
      <c r="CB76" s="72">
        <f>IF(AT76="",0,VLOOKUP(H76,Tables!$B$3:$D$36,2,FALSE())*AD$1)</f>
        <v>0</v>
      </c>
      <c r="CC76" s="72">
        <f>IF(AU76="",0,VLOOKUP(I76,Tables!$B$3:$D$36,2,FALSE())*AE$1)</f>
        <v>0</v>
      </c>
      <c r="CD76" s="85">
        <f>IF(AV76="",0,VLOOKUP(J76,Tables!$B$3:$D$36,2,FALSE())*AF$1)</f>
        <v>0</v>
      </c>
      <c r="CE76" s="72">
        <f>IF(AW76="",0,VLOOKUP(K76,Tables!$B$3:$D$36,2,FALSE())*AG$1)</f>
        <v>0</v>
      </c>
      <c r="CF76" s="72">
        <f>IF(AX76="",0,VLOOKUP(L76,Tables!$B$3:$D$36,2,FALSE())*AH$1)</f>
        <v>0</v>
      </c>
      <c r="CG76" s="85">
        <f>IF(AY76="",0,VLOOKUP(M76,Tables!$B$3:$D$36,2,FALSE())*AI$1)</f>
        <v>140</v>
      </c>
      <c r="CH76" s="72">
        <f>IF(AZ76="",0,VLOOKUP(N76,Tables!$B$3:$D$36,2,FALSE())*AJ$1)</f>
        <v>30</v>
      </c>
      <c r="CI76" s="72">
        <f>IF(BA76="",0,VLOOKUP(O76,Tables!$B$3:$D$36,2,FALSE())*AK$1)</f>
        <v>120</v>
      </c>
      <c r="CJ76" s="86">
        <f>IF(BB76="",0,VLOOKUP(P76,Tables!$B$3:$D$36,2,FALSE())*AL$1)</f>
        <v>70</v>
      </c>
      <c r="CK76" s="87">
        <f>IF(AN76="",0,VLOOKUP(B76,Tables!$B$3:$D$36,3,FALSE())*X$1)*IF(OR(AN76="K",AN76="P"),2,1)</f>
        <v>0</v>
      </c>
      <c r="CL76" s="73">
        <f>IF(AO76="",0,VLOOKUP(C76,Tables!$B$3:$D$36,3,FALSE())*Y$1)*IF(OR(AO76="K",AO76="P"),2,1)</f>
        <v>0</v>
      </c>
      <c r="CM76" s="73">
        <f>IF(AP76="",0,VLOOKUP(D76,Tables!$B$3:$D$36,3,FALSE())*Z$1)*IF(OR(AP76="K",AP76="P"),2,1)</f>
        <v>0</v>
      </c>
      <c r="CN76" s="87">
        <f>IF(AQ76="",0,VLOOKUP(E76,Tables!$B$3:$D$36,3,FALSE())*AA$1)</f>
        <v>0</v>
      </c>
      <c r="CO76" s="73">
        <f>IF(AR76="",0,VLOOKUP(F76,Tables!$B$3:$D$36,3,FALSE())*AB$1)</f>
        <v>0</v>
      </c>
      <c r="CP76" s="73">
        <f>IF(AS76="",0,VLOOKUP(G76,Tables!$B$3:$D$36,3,FALSE())*AC$1)</f>
        <v>0</v>
      </c>
      <c r="CQ76" s="73">
        <f>IF(AT76="",0,VLOOKUP(H76,Tables!$B$3:$D$36,3,FALSE())*AD$1)</f>
        <v>0</v>
      </c>
      <c r="CR76" s="73">
        <f>IF(AU76="",0,VLOOKUP(I76,Tables!$B$3:$D$36,3,FALSE())*AE$1)</f>
        <v>0</v>
      </c>
      <c r="CS76" s="87">
        <f>IF(AV76="",0,VLOOKUP(J76,Tables!$B$3:$D$36,3,FALSE())*AF$1)</f>
        <v>0</v>
      </c>
      <c r="CT76" s="73">
        <f>IF(AW76="",0,VLOOKUP(K76,Tables!$B$3:$D$36,3,FALSE())*AG$1)</f>
        <v>0</v>
      </c>
      <c r="CU76" s="73">
        <f>IF(AX76="",0,VLOOKUP(L76,Tables!$B$3:$D$36,3,FALSE())*AH$1)</f>
        <v>0</v>
      </c>
      <c r="CV76" s="87">
        <f>IF(AY76="",0,VLOOKUP(M76,Tables!$B$3:$D$36,3,FALSE())*AI$1)</f>
        <v>7.7000000000000011</v>
      </c>
      <c r="CW76" s="73">
        <f>IF(AZ76="",0,VLOOKUP(N76,Tables!$B$3:$D$36,3,FALSE())*AJ$1)</f>
        <v>1.65</v>
      </c>
      <c r="CX76" s="73">
        <f>IF(BA76="",0,VLOOKUP(O76,Tables!$B$3:$D$36,3,FALSE())*AK$1)</f>
        <v>6.6</v>
      </c>
      <c r="CY76" s="88">
        <f>IF(BB76="",0,VLOOKUP(P76,Tables!$B$3:$D$36,3,FALSE())*AL$1)</f>
        <v>3.8500000000000005</v>
      </c>
      <c r="CZ76" s="89">
        <f t="shared" si="96"/>
        <v>0</v>
      </c>
      <c r="DA76" s="75">
        <f t="shared" si="97"/>
        <v>0</v>
      </c>
      <c r="DB76" s="75">
        <f t="shared" si="98"/>
        <v>0</v>
      </c>
      <c r="DC76" s="89">
        <f t="shared" si="99"/>
        <v>0</v>
      </c>
      <c r="DD76" s="75">
        <f t="shared" si="100"/>
        <v>0</v>
      </c>
      <c r="DE76" s="75">
        <f t="shared" si="101"/>
        <v>0</v>
      </c>
      <c r="DF76" s="75">
        <f t="shared" si="102"/>
        <v>0</v>
      </c>
      <c r="DG76" s="75">
        <f t="shared" si="103"/>
        <v>0</v>
      </c>
      <c r="DH76" s="89">
        <f t="shared" si="104"/>
        <v>0</v>
      </c>
      <c r="DI76" s="75">
        <f t="shared" si="105"/>
        <v>0</v>
      </c>
      <c r="DJ76" s="75">
        <f t="shared" si="106"/>
        <v>0</v>
      </c>
      <c r="DK76" s="89">
        <f t="shared" si="107"/>
        <v>1.3</v>
      </c>
      <c r="DL76" s="75">
        <f t="shared" si="108"/>
        <v>1.3</v>
      </c>
      <c r="DM76" s="75">
        <f t="shared" si="109"/>
        <v>1.3</v>
      </c>
      <c r="DN76" s="90">
        <f t="shared" si="110"/>
        <v>1.3</v>
      </c>
      <c r="DO76" s="91">
        <f>IF(AN76="",0,VLOOKUP(B76,Tables!$B$3:$M$36,11,FALSE())*X$1)</f>
        <v>0</v>
      </c>
      <c r="DP76" s="92">
        <f>IF(AO76="",0,VLOOKUP(C76,Tables!$B$3:$M$36,11,FALSE())*Y$1)</f>
        <v>0</v>
      </c>
      <c r="DQ76" s="92">
        <f>IF(AP76="",0,VLOOKUP(D76,Tables!$B$3:$M$36,11,FALSE())*Z$1)</f>
        <v>0</v>
      </c>
      <c r="DR76" s="91">
        <f>IF(AQ76="",0,VLOOKUP(E76,Tables!$B$3:$M$36,11,FALSE())*AA$1)</f>
        <v>0</v>
      </c>
      <c r="DS76" s="92">
        <f>IF(AR76="",0,VLOOKUP(F76,Tables!$B$3:$M$36,11,FALSE())*AB$1)</f>
        <v>0</v>
      </c>
      <c r="DT76" s="92">
        <f>IF(AS76="",0,VLOOKUP(G76,Tables!$B$3:$M$36,11,FALSE())*AC$1)</f>
        <v>0</v>
      </c>
      <c r="DU76" s="92">
        <f>IF(AT76="",0,VLOOKUP(H76,Tables!$B$3:$M$36,11,FALSE())*AD$1)</f>
        <v>0</v>
      </c>
      <c r="DV76" s="92">
        <f>IF(AU76="",0,VLOOKUP(I76,Tables!$B$3:$M$36,11,FALSE())*AE$1)</f>
        <v>0</v>
      </c>
      <c r="DW76" s="91">
        <f>IF(AV76="",0,VLOOKUP(J76,Tables!$B$3:$M$36,11,FALSE())*AF$1)</f>
        <v>0</v>
      </c>
      <c r="DX76" s="92">
        <f>IF(AW76="",0,VLOOKUP(K76,Tables!$B$3:$M$36,11,FALSE())*AG$1)</f>
        <v>0</v>
      </c>
      <c r="DY76" s="92">
        <f>IF(AX76="",0,VLOOKUP(L76,Tables!$B$3:$M$36,11,FALSE())*AH$1)</f>
        <v>0</v>
      </c>
      <c r="DZ76" s="91">
        <f>IF(AY76="",0,VLOOKUP(M76,Tables!$B$3:$M$36,11,FALSE())*AI$1)</f>
        <v>154.00000000000003</v>
      </c>
      <c r="EA76" s="92">
        <f>IF(AZ76="",0,VLOOKUP(N76,Tables!$B$3:$M$36,11,FALSE())*AJ$1)</f>
        <v>33</v>
      </c>
      <c r="EB76" s="92">
        <f>IF(BA76="",0,VLOOKUP(O76,Tables!$B$3:$M$36,11,FALSE())*AK$1)</f>
        <v>132</v>
      </c>
      <c r="EC76" s="93">
        <f>IF(BB76="",0,VLOOKUP(P76,Tables!$B$3:$M$36,11,FALSE())*AL$1)</f>
        <v>77.000000000000014</v>
      </c>
      <c r="ED76" s="91">
        <f>IF(AN76="",0,VLOOKUP(B76,Tables!$B$3:$M$36,12,FALSE())*X$1)</f>
        <v>0</v>
      </c>
      <c r="EE76" s="92">
        <f>IF(AO76="",0,VLOOKUP(C76,Tables!$B$3:$M$36,12,FALSE())*Y$1)</f>
        <v>0</v>
      </c>
      <c r="EF76" s="92">
        <f>IF(AP76="",0,VLOOKUP(D76,Tables!$B$3:$M$36,12,FALSE())*Z$1)</f>
        <v>0</v>
      </c>
      <c r="EG76" s="91">
        <f>IF(AQ76="",0,VLOOKUP(E76,Tables!$B$3:$M$36,12,FALSE())*AA$1)</f>
        <v>0</v>
      </c>
      <c r="EH76" s="92">
        <f>IF(AR76="",0,VLOOKUP(F76,Tables!$B$3:$M$36,12,FALSE())*AB$1)</f>
        <v>0</v>
      </c>
      <c r="EI76" s="92">
        <f>IF(AS76="",0,VLOOKUP(G76,Tables!$B$3:$M$36,12,FALSE())*AC$1)</f>
        <v>0</v>
      </c>
      <c r="EJ76" s="92">
        <f>IF(AT76="",0,VLOOKUP(H76,Tables!$B$3:$M$36,12,FALSE())*AD$1)</f>
        <v>0</v>
      </c>
      <c r="EK76" s="92">
        <f>IF(AU76="",0,VLOOKUP(I76,Tables!$B$3:$M$36,12,FALSE())*AE$1)</f>
        <v>0</v>
      </c>
      <c r="EL76" s="91">
        <f>IF(AV76="",0,VLOOKUP(J76,Tables!$B$3:$M$36,12,FALSE())*AF$1)</f>
        <v>0</v>
      </c>
      <c r="EM76" s="92">
        <f>IF(AW76="",0,VLOOKUP(K76,Tables!$B$3:$M$36,12,FALSE())*AG$1)</f>
        <v>0</v>
      </c>
      <c r="EN76" s="92">
        <f>IF(AX76="",0,VLOOKUP(L76,Tables!$B$3:$M$36,12,FALSE())*AH$1)</f>
        <v>0</v>
      </c>
      <c r="EO76" s="91">
        <f>IF(AY76="",0,VLOOKUP(M76,Tables!$B$3:$M$36,12,FALSE())*AI$1)</f>
        <v>49.000000000000007</v>
      </c>
      <c r="EP76" s="92">
        <f>IF(AZ76="",0,VLOOKUP(N76,Tables!$B$3:$M$36,12,FALSE())*AJ$1)</f>
        <v>10.5</v>
      </c>
      <c r="EQ76" s="92">
        <f>IF(BA76="",0,VLOOKUP(O76,Tables!$B$3:$M$36,12,FALSE())*AK$1)</f>
        <v>42</v>
      </c>
      <c r="ER76" s="93">
        <f>IF(BB76="",0,VLOOKUP(P76,Tables!$B$3:$M$36,12,FALSE())*AL$1)</f>
        <v>24.500000000000004</v>
      </c>
      <c r="ES76" s="94">
        <f t="shared" si="111"/>
        <v>0</v>
      </c>
      <c r="ET76" s="95">
        <f>IF(AN76="",10,MIN(VLOOKUP(B76,MATERIAL,13,FALSE()),'Item Builder'!$W76))</f>
        <v>10</v>
      </c>
      <c r="EU76" s="95">
        <f>IF(AO76="",10,MIN(VLOOKUP(C76,MATERIAL,13,FALSE()),'Item Builder'!$W76))</f>
        <v>10</v>
      </c>
      <c r="EV76" s="95">
        <f>IF(AP76="",10,MIN(VLOOKUP(D76,MATERIAL,13,FALSE()),'Item Builder'!$W76))</f>
        <v>10</v>
      </c>
      <c r="EW76" s="95">
        <f>IF(AQ76="",10,MIN(VLOOKUP(E76,MATERIAL,13,FALSE()),'Item Builder'!$W76))</f>
        <v>10</v>
      </c>
      <c r="EX76" s="95">
        <f>IF(AR76="",10,MIN(VLOOKUP(F76,MATERIAL,13,FALSE()),'Item Builder'!$W76))</f>
        <v>10</v>
      </c>
      <c r="EY76" s="95">
        <f>IF(AS76="",10,MIN(VLOOKUP(G76,MATERIAL,13,FALSE()),'Item Builder'!$W76))</f>
        <v>10</v>
      </c>
      <c r="EZ76" s="95">
        <f>IF(AT76="",10,MIN(VLOOKUP(H76,MATERIAL,13,FALSE()),'Item Builder'!$W76))</f>
        <v>10</v>
      </c>
      <c r="FA76" s="95">
        <f>IF(AU76="",10,MIN(VLOOKUP(I76,MATERIAL,13,FALSE()),'Item Builder'!$W76))</f>
        <v>10</v>
      </c>
      <c r="FB76" s="95">
        <f>IF(AV76="",10,MIN(VLOOKUP(J76,MATERIAL,13,FALSE()),'Item Builder'!$W76))</f>
        <v>10</v>
      </c>
      <c r="FC76" s="95">
        <f>IF(AW76="",10,MIN(VLOOKUP(K76,MATERIAL,13,FALSE()),'Item Builder'!$W76))</f>
        <v>10</v>
      </c>
      <c r="FD76" s="95">
        <f>IF(AX76="",10,MIN(VLOOKUP(L76,MATERIAL,13,FALSE()),'Item Builder'!$W76))</f>
        <v>10</v>
      </c>
      <c r="FE76" s="95">
        <f>IF(AY76="",10,MIN(VLOOKUP(M76,MATERIAL,13,FALSE()),'Item Builder'!$W76))</f>
        <v>0</v>
      </c>
      <c r="FF76" s="95">
        <f>IF(AZ76="",10,MIN(VLOOKUP(N76,MATERIAL,13,FALSE()),'Item Builder'!$W76))</f>
        <v>0</v>
      </c>
      <c r="FG76" s="95">
        <f>IF(BA76="",10,MIN(VLOOKUP(O76,MATERIAL,13,FALSE()),'Item Builder'!$W76))</f>
        <v>0</v>
      </c>
      <c r="FH76" s="95">
        <f>IF(BB76="",10,MIN(VLOOKUP(P76,MATERIAL,13,FALSE()),'Item Builder'!$W76))</f>
        <v>0</v>
      </c>
    </row>
    <row r="77" spans="1:164" x14ac:dyDescent="0.25">
      <c r="A77" s="67" t="s">
        <v>18</v>
      </c>
      <c r="B77" s="68" t="s">
        <v>108</v>
      </c>
      <c r="C77" s="69"/>
      <c r="D77" s="70" t="s">
        <v>108</v>
      </c>
      <c r="E77" s="68"/>
      <c r="F77" s="69"/>
      <c r="G77" s="69"/>
      <c r="H77" s="69"/>
      <c r="I77" s="70"/>
      <c r="J77" s="68"/>
      <c r="K77" s="69"/>
      <c r="L77" s="70"/>
      <c r="M77" s="68"/>
      <c r="N77" s="69"/>
      <c r="O77" s="69"/>
      <c r="P77" s="71"/>
      <c r="Q77" s="72">
        <f>SUM(BV77:CJ77)*VLOOKUP(W77,Tables!$W$3:$Z$8,4)</f>
        <v>90</v>
      </c>
      <c r="R77" s="73">
        <f t="shared" si="56"/>
        <v>2.7</v>
      </c>
      <c r="S77" s="74">
        <f t="shared" si="57"/>
        <v>0</v>
      </c>
      <c r="T77" s="74">
        <f t="shared" si="58"/>
        <v>5</v>
      </c>
      <c r="U77" s="75">
        <f t="shared" si="59"/>
        <v>54</v>
      </c>
      <c r="V77" s="76">
        <f t="shared" si="60"/>
        <v>45</v>
      </c>
      <c r="W77" s="77">
        <v>0</v>
      </c>
      <c r="X77" s="78">
        <f t="shared" si="61"/>
        <v>1</v>
      </c>
      <c r="Y77" s="79">
        <f t="shared" si="62"/>
        <v>0</v>
      </c>
      <c r="Z77" s="79">
        <f t="shared" si="63"/>
        <v>1</v>
      </c>
      <c r="AA77" s="78">
        <f t="shared" si="64"/>
        <v>0</v>
      </c>
      <c r="AB77" s="79">
        <f t="shared" si="65"/>
        <v>0</v>
      </c>
      <c r="AC77" s="79">
        <f t="shared" si="66"/>
        <v>0</v>
      </c>
      <c r="AD77" s="79">
        <f t="shared" si="67"/>
        <v>0</v>
      </c>
      <c r="AE77" s="79">
        <f t="shared" si="68"/>
        <v>0</v>
      </c>
      <c r="AF77" s="78">
        <f t="shared" si="69"/>
        <v>0</v>
      </c>
      <c r="AG77" s="79">
        <f t="shared" si="70"/>
        <v>0</v>
      </c>
      <c r="AH77" s="79">
        <f t="shared" si="71"/>
        <v>0</v>
      </c>
      <c r="AI77" s="78">
        <f t="shared" si="72"/>
        <v>0</v>
      </c>
      <c r="AJ77" s="79">
        <f t="shared" si="73"/>
        <v>0</v>
      </c>
      <c r="AK77" s="79">
        <f t="shared" si="74"/>
        <v>0</v>
      </c>
      <c r="AL77" s="80">
        <f t="shared" si="75"/>
        <v>0</v>
      </c>
      <c r="AM77" s="81">
        <f t="shared" si="76"/>
        <v>0.06</v>
      </c>
      <c r="AN77" s="82" t="str">
        <f t="shared" si="77"/>
        <v>M</v>
      </c>
      <c r="AO77" s="79" t="str">
        <f t="shared" si="78"/>
        <v/>
      </c>
      <c r="AP77" t="str">
        <f t="shared" si="79"/>
        <v>M</v>
      </c>
      <c r="AQ77" s="82" t="str">
        <f t="shared" si="80"/>
        <v/>
      </c>
      <c r="AR77" t="str">
        <f t="shared" si="81"/>
        <v/>
      </c>
      <c r="AS77" t="str">
        <f t="shared" si="82"/>
        <v/>
      </c>
      <c r="AT77" t="str">
        <f t="shared" si="83"/>
        <v/>
      </c>
      <c r="AU77" t="str">
        <f t="shared" si="84"/>
        <v/>
      </c>
      <c r="AV77" s="82" t="str">
        <f t="shared" si="85"/>
        <v/>
      </c>
      <c r="AW77" t="str">
        <f t="shared" si="86"/>
        <v/>
      </c>
      <c r="AX77" t="str">
        <f t="shared" si="87"/>
        <v/>
      </c>
      <c r="AY77" s="82" t="str">
        <f t="shared" si="88"/>
        <v/>
      </c>
      <c r="AZ77" t="str">
        <f t="shared" si="89"/>
        <v/>
      </c>
      <c r="BA77" t="str">
        <f t="shared" si="90"/>
        <v/>
      </c>
      <c r="BB77" s="83" t="str">
        <f t="shared" si="91"/>
        <v/>
      </c>
      <c r="BC77" s="84">
        <f t="shared" si="92"/>
        <v>0.66666666666666652</v>
      </c>
      <c r="BD77" s="84">
        <f t="shared" si="93"/>
        <v>0</v>
      </c>
      <c r="BE77" s="84">
        <f t="shared" si="94"/>
        <v>0</v>
      </c>
      <c r="BF77" s="84">
        <f t="shared" si="95"/>
        <v>0</v>
      </c>
      <c r="BG77" s="78">
        <f>IF(AN77="",0,VLOOKUP(AN77,Tables!$AB$3:$AC$12,2))</f>
        <v>1</v>
      </c>
      <c r="BH77" s="79">
        <f>IF(AO77="",0,VLOOKUP(AO77,Tables!$AB$3:$AC$12,2))</f>
        <v>0</v>
      </c>
      <c r="BI77" s="79">
        <f>IF(AP77="",0,VLOOKUP(AP77,Tables!$AB$3:$AC$12,2))</f>
        <v>1</v>
      </c>
      <c r="BJ77" s="78">
        <f>IF(AQ77="",0,VLOOKUP(AQ77,Tables!$AB$3:$AC$12,2))</f>
        <v>0</v>
      </c>
      <c r="BK77" s="79">
        <f>IF(AR77="",0,VLOOKUP(AR77,Tables!$AB$3:$AC$12,2))</f>
        <v>0</v>
      </c>
      <c r="BL77" s="79">
        <f>IF(AS77="",0,VLOOKUP(AS77,Tables!$AB$3:$AC$12,2))</f>
        <v>0</v>
      </c>
      <c r="BM77" s="79">
        <f>IF(AT77="",0,VLOOKUP(AT77,Tables!$AB$3:$AC$12,2))</f>
        <v>0</v>
      </c>
      <c r="BN77" s="79">
        <f>IF(AU77="",0,VLOOKUP(AU77,Tables!$AB$3:$AC$12,2))</f>
        <v>0</v>
      </c>
      <c r="BO77" s="78">
        <f>IF(AV77="",0,VLOOKUP(AV77,Tables!$AB$3:$AC$12,2))</f>
        <v>0</v>
      </c>
      <c r="BP77" s="79">
        <f>IF(AW77="",0,VLOOKUP(AW77,Tables!$AB$3:$AC$12,2))</f>
        <v>0</v>
      </c>
      <c r="BQ77" s="79">
        <f>IF(AX77="",0,VLOOKUP(AX77,Tables!$AB$3:$AC$12,2))</f>
        <v>0</v>
      </c>
      <c r="BR77" s="78">
        <f>IF(AY77="",0,VLOOKUP(AY77,Tables!$AB$3:$AC$12,2))</f>
        <v>0</v>
      </c>
      <c r="BS77" s="79">
        <f>IF(AZ77="",0,VLOOKUP(AZ77,Tables!$AB$3:$AC$12,2))</f>
        <v>0</v>
      </c>
      <c r="BT77" s="79">
        <f>IF(BA77="",0,VLOOKUP(BA77,Tables!$AB$3:$AC$12,2))</f>
        <v>0</v>
      </c>
      <c r="BU77" s="80">
        <f>IF(BB77="",0,VLOOKUP(BB77,Tables!$AB$3:$AC$12,2))</f>
        <v>0</v>
      </c>
      <c r="BV77" s="85">
        <f>IF(AN77="",0,VLOOKUP(B77,Tables!$B$3:$D$36,2,FALSE())*X$1)</f>
        <v>60</v>
      </c>
      <c r="BW77" s="72">
        <f>IF(AO77="",0,VLOOKUP(C77,Tables!$B$3:$D$36,2,FALSE())*Y$1)</f>
        <v>0</v>
      </c>
      <c r="BX77" s="72">
        <f>IF(AP77="",0,VLOOKUP(D77,Tables!$B$3:$D$36,2,FALSE())*Z$1)</f>
        <v>30</v>
      </c>
      <c r="BY77" s="85">
        <f>IF(AQ77="",0,VLOOKUP(E77,Tables!$B$3:$D$36,2,FALSE())*AA$1)</f>
        <v>0</v>
      </c>
      <c r="BZ77" s="72">
        <f>IF(AR77="",0,VLOOKUP(F77,Tables!$B$3:$D$36,2,FALSE())*AB$1)</f>
        <v>0</v>
      </c>
      <c r="CA77" s="72">
        <f>IF(AS77="",0,VLOOKUP(G77,Tables!$B$3:$D$36,2,FALSE())*AC$1)</f>
        <v>0</v>
      </c>
      <c r="CB77" s="72">
        <f>IF(AT77="",0,VLOOKUP(H77,Tables!$B$3:$D$36,2,FALSE())*AD$1)</f>
        <v>0</v>
      </c>
      <c r="CC77" s="72">
        <f>IF(AU77="",0,VLOOKUP(I77,Tables!$B$3:$D$36,2,FALSE())*AE$1)</f>
        <v>0</v>
      </c>
      <c r="CD77" s="85">
        <f>IF(AV77="",0,VLOOKUP(J77,Tables!$B$3:$D$36,2,FALSE())*AF$1)</f>
        <v>0</v>
      </c>
      <c r="CE77" s="72">
        <f>IF(AW77="",0,VLOOKUP(K77,Tables!$B$3:$D$36,2,FALSE())*AG$1)</f>
        <v>0</v>
      </c>
      <c r="CF77" s="72">
        <f>IF(AX77="",0,VLOOKUP(L77,Tables!$B$3:$D$36,2,FALSE())*AH$1)</f>
        <v>0</v>
      </c>
      <c r="CG77" s="85">
        <f>IF(AY77="",0,VLOOKUP(M77,Tables!$B$3:$D$36,2,FALSE())*AI$1)</f>
        <v>0</v>
      </c>
      <c r="CH77" s="72">
        <f>IF(AZ77="",0,VLOOKUP(N77,Tables!$B$3:$D$36,2,FALSE())*AJ$1)</f>
        <v>0</v>
      </c>
      <c r="CI77" s="72">
        <f>IF(BA77="",0,VLOOKUP(O77,Tables!$B$3:$D$36,2,FALSE())*AK$1)</f>
        <v>0</v>
      </c>
      <c r="CJ77" s="86">
        <f>IF(BB77="",0,VLOOKUP(P77,Tables!$B$3:$D$36,2,FALSE())*AL$1)</f>
        <v>0</v>
      </c>
      <c r="CK77" s="87">
        <f>IF(AN77="",0,VLOOKUP(B77,Tables!$B$3:$D$36,3,FALSE())*X$1)*IF(OR(AN77="K",AN77="P"),2,1)</f>
        <v>1.8</v>
      </c>
      <c r="CL77" s="73">
        <f>IF(AO77="",0,VLOOKUP(C77,Tables!$B$3:$D$36,3,FALSE())*Y$1)*IF(OR(AO77="K",AO77="P"),2,1)</f>
        <v>0</v>
      </c>
      <c r="CM77" s="73">
        <f>IF(AP77="",0,VLOOKUP(D77,Tables!$B$3:$D$36,3,FALSE())*Z$1)*IF(OR(AP77="K",AP77="P"),2,1)</f>
        <v>0.9</v>
      </c>
      <c r="CN77" s="87">
        <f>IF(AQ77="",0,VLOOKUP(E77,Tables!$B$3:$D$36,3,FALSE())*AA$1)</f>
        <v>0</v>
      </c>
      <c r="CO77" s="73">
        <f>IF(AR77="",0,VLOOKUP(F77,Tables!$B$3:$D$36,3,FALSE())*AB$1)</f>
        <v>0</v>
      </c>
      <c r="CP77" s="73">
        <f>IF(AS77="",0,VLOOKUP(G77,Tables!$B$3:$D$36,3,FALSE())*AC$1)</f>
        <v>0</v>
      </c>
      <c r="CQ77" s="73">
        <f>IF(AT77="",0,VLOOKUP(H77,Tables!$B$3:$D$36,3,FALSE())*AD$1)</f>
        <v>0</v>
      </c>
      <c r="CR77" s="73">
        <f>IF(AU77="",0,VLOOKUP(I77,Tables!$B$3:$D$36,3,FALSE())*AE$1)</f>
        <v>0</v>
      </c>
      <c r="CS77" s="87">
        <f>IF(AV77="",0,VLOOKUP(J77,Tables!$B$3:$D$36,3,FALSE())*AF$1)</f>
        <v>0</v>
      </c>
      <c r="CT77" s="73">
        <f>IF(AW77="",0,VLOOKUP(K77,Tables!$B$3:$D$36,3,FALSE())*AG$1)</f>
        <v>0</v>
      </c>
      <c r="CU77" s="73">
        <f>IF(AX77="",0,VLOOKUP(L77,Tables!$B$3:$D$36,3,FALSE())*AH$1)</f>
        <v>0</v>
      </c>
      <c r="CV77" s="87">
        <f>IF(AY77="",0,VLOOKUP(M77,Tables!$B$3:$D$36,3,FALSE())*AI$1)</f>
        <v>0</v>
      </c>
      <c r="CW77" s="73">
        <f>IF(AZ77="",0,VLOOKUP(N77,Tables!$B$3:$D$36,3,FALSE())*AJ$1)</f>
        <v>0</v>
      </c>
      <c r="CX77" s="73">
        <f>IF(BA77="",0,VLOOKUP(O77,Tables!$B$3:$D$36,3,FALSE())*AK$1)</f>
        <v>0</v>
      </c>
      <c r="CY77" s="88">
        <f>IF(BB77="",0,VLOOKUP(P77,Tables!$B$3:$D$36,3,FALSE())*AL$1)</f>
        <v>0</v>
      </c>
      <c r="CZ77" s="89">
        <f t="shared" si="96"/>
        <v>1</v>
      </c>
      <c r="DA77" s="75">
        <f t="shared" si="97"/>
        <v>0</v>
      </c>
      <c r="DB77" s="75">
        <f t="shared" si="98"/>
        <v>1</v>
      </c>
      <c r="DC77" s="89">
        <f t="shared" si="99"/>
        <v>0</v>
      </c>
      <c r="DD77" s="75">
        <f t="shared" si="100"/>
        <v>0</v>
      </c>
      <c r="DE77" s="75">
        <f t="shared" si="101"/>
        <v>0</v>
      </c>
      <c r="DF77" s="75">
        <f t="shared" si="102"/>
        <v>0</v>
      </c>
      <c r="DG77" s="75">
        <f t="shared" si="103"/>
        <v>0</v>
      </c>
      <c r="DH77" s="89">
        <f t="shared" si="104"/>
        <v>0</v>
      </c>
      <c r="DI77" s="75">
        <f t="shared" si="105"/>
        <v>0</v>
      </c>
      <c r="DJ77" s="75">
        <f t="shared" si="106"/>
        <v>0</v>
      </c>
      <c r="DK77" s="89">
        <f t="shared" si="107"/>
        <v>0</v>
      </c>
      <c r="DL77" s="75">
        <f t="shared" si="108"/>
        <v>0</v>
      </c>
      <c r="DM77" s="75">
        <f t="shared" si="109"/>
        <v>0</v>
      </c>
      <c r="DN77" s="90">
        <f t="shared" si="110"/>
        <v>0</v>
      </c>
      <c r="DO77" s="91">
        <f>IF(AN77="",0,VLOOKUP(B77,Tables!$B$3:$M$36,11,FALSE())*X$1)</f>
        <v>36</v>
      </c>
      <c r="DP77" s="92">
        <f>IF(AO77="",0,VLOOKUP(C77,Tables!$B$3:$M$36,11,FALSE())*Y$1)</f>
        <v>0</v>
      </c>
      <c r="DQ77" s="92">
        <f>IF(AP77="",0,VLOOKUP(D77,Tables!$B$3:$M$36,11,FALSE())*Z$1)</f>
        <v>18</v>
      </c>
      <c r="DR77" s="91">
        <f>IF(AQ77="",0,VLOOKUP(E77,Tables!$B$3:$M$36,11,FALSE())*AA$1)</f>
        <v>0</v>
      </c>
      <c r="DS77" s="92">
        <f>IF(AR77="",0,VLOOKUP(F77,Tables!$B$3:$M$36,11,FALSE())*AB$1)</f>
        <v>0</v>
      </c>
      <c r="DT77" s="92">
        <f>IF(AS77="",0,VLOOKUP(G77,Tables!$B$3:$M$36,11,FALSE())*AC$1)</f>
        <v>0</v>
      </c>
      <c r="DU77" s="92">
        <f>IF(AT77="",0,VLOOKUP(H77,Tables!$B$3:$M$36,11,FALSE())*AD$1)</f>
        <v>0</v>
      </c>
      <c r="DV77" s="92">
        <f>IF(AU77="",0,VLOOKUP(I77,Tables!$B$3:$M$36,11,FALSE())*AE$1)</f>
        <v>0</v>
      </c>
      <c r="DW77" s="91">
        <f>IF(AV77="",0,VLOOKUP(J77,Tables!$B$3:$M$36,11,FALSE())*AF$1)</f>
        <v>0</v>
      </c>
      <c r="DX77" s="92">
        <f>IF(AW77="",0,VLOOKUP(K77,Tables!$B$3:$M$36,11,FALSE())*AG$1)</f>
        <v>0</v>
      </c>
      <c r="DY77" s="92">
        <f>IF(AX77="",0,VLOOKUP(L77,Tables!$B$3:$M$36,11,FALSE())*AH$1)</f>
        <v>0</v>
      </c>
      <c r="DZ77" s="91">
        <f>IF(AY77="",0,VLOOKUP(M77,Tables!$B$3:$M$36,11,FALSE())*AI$1)</f>
        <v>0</v>
      </c>
      <c r="EA77" s="92">
        <f>IF(AZ77="",0,VLOOKUP(N77,Tables!$B$3:$M$36,11,FALSE())*AJ$1)</f>
        <v>0</v>
      </c>
      <c r="EB77" s="92">
        <f>IF(BA77="",0,VLOOKUP(O77,Tables!$B$3:$M$36,11,FALSE())*AK$1)</f>
        <v>0</v>
      </c>
      <c r="EC77" s="93">
        <f>IF(BB77="",0,VLOOKUP(P77,Tables!$B$3:$M$36,11,FALSE())*AL$1)</f>
        <v>0</v>
      </c>
      <c r="ED77" s="91">
        <f>IF(AN77="",0,VLOOKUP(B77,Tables!$B$3:$M$36,12,FALSE())*X$1)</f>
        <v>30</v>
      </c>
      <c r="EE77" s="92">
        <f>IF(AO77="",0,VLOOKUP(C77,Tables!$B$3:$M$36,12,FALSE())*Y$1)</f>
        <v>0</v>
      </c>
      <c r="EF77" s="92">
        <f>IF(AP77="",0,VLOOKUP(D77,Tables!$B$3:$M$36,12,FALSE())*Z$1)</f>
        <v>15</v>
      </c>
      <c r="EG77" s="91">
        <f>IF(AQ77="",0,VLOOKUP(E77,Tables!$B$3:$M$36,12,FALSE())*AA$1)</f>
        <v>0</v>
      </c>
      <c r="EH77" s="92">
        <f>IF(AR77="",0,VLOOKUP(F77,Tables!$B$3:$M$36,12,FALSE())*AB$1)</f>
        <v>0</v>
      </c>
      <c r="EI77" s="92">
        <f>IF(AS77="",0,VLOOKUP(G77,Tables!$B$3:$M$36,12,FALSE())*AC$1)</f>
        <v>0</v>
      </c>
      <c r="EJ77" s="92">
        <f>IF(AT77="",0,VLOOKUP(H77,Tables!$B$3:$M$36,12,FALSE())*AD$1)</f>
        <v>0</v>
      </c>
      <c r="EK77" s="92">
        <f>IF(AU77="",0,VLOOKUP(I77,Tables!$B$3:$M$36,12,FALSE())*AE$1)</f>
        <v>0</v>
      </c>
      <c r="EL77" s="91">
        <f>IF(AV77="",0,VLOOKUP(J77,Tables!$B$3:$M$36,12,FALSE())*AF$1)</f>
        <v>0</v>
      </c>
      <c r="EM77" s="92">
        <f>IF(AW77="",0,VLOOKUP(K77,Tables!$B$3:$M$36,12,FALSE())*AG$1)</f>
        <v>0</v>
      </c>
      <c r="EN77" s="92">
        <f>IF(AX77="",0,VLOOKUP(L77,Tables!$B$3:$M$36,12,FALSE())*AH$1)</f>
        <v>0</v>
      </c>
      <c r="EO77" s="91">
        <f>IF(AY77="",0,VLOOKUP(M77,Tables!$B$3:$M$36,12,FALSE())*AI$1)</f>
        <v>0</v>
      </c>
      <c r="EP77" s="92">
        <f>IF(AZ77="",0,VLOOKUP(N77,Tables!$B$3:$M$36,12,FALSE())*AJ$1)</f>
        <v>0</v>
      </c>
      <c r="EQ77" s="92">
        <f>IF(BA77="",0,VLOOKUP(O77,Tables!$B$3:$M$36,12,FALSE())*AK$1)</f>
        <v>0</v>
      </c>
      <c r="ER77" s="93">
        <f>IF(BB77="",0,VLOOKUP(P77,Tables!$B$3:$M$36,12,FALSE())*AL$1)</f>
        <v>0</v>
      </c>
      <c r="ES77" s="94">
        <f t="shared" si="111"/>
        <v>0</v>
      </c>
      <c r="ET77" s="95">
        <f>IF(AN77="",10,MIN(VLOOKUP(B77,MATERIAL,13,FALSE()),'Item Builder'!$W77))</f>
        <v>0</v>
      </c>
      <c r="EU77" s="95">
        <f>IF(AO77="",10,MIN(VLOOKUP(C77,MATERIAL,13,FALSE()),'Item Builder'!$W77))</f>
        <v>10</v>
      </c>
      <c r="EV77" s="95">
        <f>IF(AP77="",10,MIN(VLOOKUP(D77,MATERIAL,13,FALSE()),'Item Builder'!$W77))</f>
        <v>0</v>
      </c>
      <c r="EW77" s="95">
        <f>IF(AQ77="",10,MIN(VLOOKUP(E77,MATERIAL,13,FALSE()),'Item Builder'!$W77))</f>
        <v>10</v>
      </c>
      <c r="EX77" s="95">
        <f>IF(AR77="",10,MIN(VLOOKUP(F77,MATERIAL,13,FALSE()),'Item Builder'!$W77))</f>
        <v>10</v>
      </c>
      <c r="EY77" s="95">
        <f>IF(AS77="",10,MIN(VLOOKUP(G77,MATERIAL,13,FALSE()),'Item Builder'!$W77))</f>
        <v>10</v>
      </c>
      <c r="EZ77" s="95">
        <f>IF(AT77="",10,MIN(VLOOKUP(H77,MATERIAL,13,FALSE()),'Item Builder'!$W77))</f>
        <v>10</v>
      </c>
      <c r="FA77" s="95">
        <f>IF(AU77="",10,MIN(VLOOKUP(I77,MATERIAL,13,FALSE()),'Item Builder'!$W77))</f>
        <v>10</v>
      </c>
      <c r="FB77" s="95">
        <f>IF(AV77="",10,MIN(VLOOKUP(J77,MATERIAL,13,FALSE()),'Item Builder'!$W77))</f>
        <v>10</v>
      </c>
      <c r="FC77" s="95">
        <f>IF(AW77="",10,MIN(VLOOKUP(K77,MATERIAL,13,FALSE()),'Item Builder'!$W77))</f>
        <v>10</v>
      </c>
      <c r="FD77" s="95">
        <f>IF(AX77="",10,MIN(VLOOKUP(L77,MATERIAL,13,FALSE()),'Item Builder'!$W77))</f>
        <v>10</v>
      </c>
      <c r="FE77" s="95">
        <f>IF(AY77="",10,MIN(VLOOKUP(M77,MATERIAL,13,FALSE()),'Item Builder'!$W77))</f>
        <v>10</v>
      </c>
      <c r="FF77" s="95">
        <f>IF(AZ77="",10,MIN(VLOOKUP(N77,MATERIAL,13,FALSE()),'Item Builder'!$W77))</f>
        <v>10</v>
      </c>
      <c r="FG77" s="95">
        <f>IF(BA77="",10,MIN(VLOOKUP(O77,MATERIAL,13,FALSE()),'Item Builder'!$W77))</f>
        <v>10</v>
      </c>
      <c r="FH77" s="95">
        <f>IF(BB77="",10,MIN(VLOOKUP(P77,MATERIAL,13,FALSE()),'Item Builder'!$W77))</f>
        <v>10</v>
      </c>
    </row>
    <row r="78" spans="1:164" x14ac:dyDescent="0.25">
      <c r="A78" s="67" t="s">
        <v>33</v>
      </c>
      <c r="B78" s="68"/>
      <c r="C78" s="69"/>
      <c r="D78" s="70"/>
      <c r="E78" s="68"/>
      <c r="F78" s="69"/>
      <c r="G78" s="69"/>
      <c r="H78" s="69"/>
      <c r="I78" s="70" t="s">
        <v>108</v>
      </c>
      <c r="J78" s="68"/>
      <c r="K78" s="69"/>
      <c r="L78" s="70"/>
      <c r="M78" s="68"/>
      <c r="N78" s="69"/>
      <c r="O78" s="69"/>
      <c r="P78" s="71"/>
      <c r="Q78" s="72">
        <f>SUM(BV78:CJ78)*VLOOKUP(W78,Tables!$W$3:$Z$8,4)</f>
        <v>75</v>
      </c>
      <c r="R78" s="73">
        <f t="shared" si="56"/>
        <v>2.25</v>
      </c>
      <c r="S78" s="74">
        <f t="shared" si="57"/>
        <v>0</v>
      </c>
      <c r="T78" s="74">
        <f t="shared" si="58"/>
        <v>0</v>
      </c>
      <c r="U78" s="75">
        <f t="shared" si="59"/>
        <v>45</v>
      </c>
      <c r="V78" s="76">
        <f t="shared" si="60"/>
        <v>37.5</v>
      </c>
      <c r="W78" s="77">
        <v>0</v>
      </c>
      <c r="X78" s="78">
        <f t="shared" si="61"/>
        <v>0</v>
      </c>
      <c r="Y78" s="79">
        <f t="shared" si="62"/>
        <v>0</v>
      </c>
      <c r="Z78" s="79">
        <f t="shared" si="63"/>
        <v>0</v>
      </c>
      <c r="AA78" s="78">
        <f t="shared" si="64"/>
        <v>0</v>
      </c>
      <c r="AB78" s="79">
        <f t="shared" si="65"/>
        <v>0</v>
      </c>
      <c r="AC78" s="79">
        <f t="shared" si="66"/>
        <v>0</v>
      </c>
      <c r="AD78" s="79">
        <f t="shared" si="67"/>
        <v>0</v>
      </c>
      <c r="AE78" s="79">
        <f t="shared" si="68"/>
        <v>1</v>
      </c>
      <c r="AF78" s="78">
        <f t="shared" si="69"/>
        <v>0</v>
      </c>
      <c r="AG78" s="79">
        <f t="shared" si="70"/>
        <v>0</v>
      </c>
      <c r="AH78" s="79">
        <f t="shared" si="71"/>
        <v>0</v>
      </c>
      <c r="AI78" s="78">
        <f t="shared" si="72"/>
        <v>0</v>
      </c>
      <c r="AJ78" s="79">
        <f t="shared" si="73"/>
        <v>0</v>
      </c>
      <c r="AK78" s="79">
        <f t="shared" si="74"/>
        <v>0</v>
      </c>
      <c r="AL78" s="80">
        <f t="shared" si="75"/>
        <v>0</v>
      </c>
      <c r="AM78" s="81">
        <f t="shared" si="76"/>
        <v>0.05</v>
      </c>
      <c r="AN78" s="82" t="str">
        <f t="shared" si="77"/>
        <v/>
      </c>
      <c r="AO78" s="79" t="str">
        <f t="shared" si="78"/>
        <v/>
      </c>
      <c r="AP78" t="str">
        <f t="shared" si="79"/>
        <v/>
      </c>
      <c r="AQ78" s="82" t="str">
        <f t="shared" si="80"/>
        <v/>
      </c>
      <c r="AR78" t="str">
        <f t="shared" si="81"/>
        <v/>
      </c>
      <c r="AS78" t="str">
        <f t="shared" si="82"/>
        <v/>
      </c>
      <c r="AT78" t="str">
        <f t="shared" si="83"/>
        <v/>
      </c>
      <c r="AU78" t="str">
        <f t="shared" si="84"/>
        <v>M</v>
      </c>
      <c r="AV78" s="82" t="str">
        <f t="shared" si="85"/>
        <v/>
      </c>
      <c r="AW78" t="str">
        <f t="shared" si="86"/>
        <v/>
      </c>
      <c r="AX78" t="str">
        <f t="shared" si="87"/>
        <v/>
      </c>
      <c r="AY78" s="82" t="str">
        <f t="shared" si="88"/>
        <v/>
      </c>
      <c r="AZ78" t="str">
        <f t="shared" si="89"/>
        <v/>
      </c>
      <c r="BA78" t="str">
        <f t="shared" si="90"/>
        <v/>
      </c>
      <c r="BB78" s="83" t="str">
        <f t="shared" si="91"/>
        <v/>
      </c>
      <c r="BC78" s="84">
        <f t="shared" si="92"/>
        <v>0</v>
      </c>
      <c r="BD78" s="84">
        <f t="shared" si="93"/>
        <v>0.23809523809523808</v>
      </c>
      <c r="BE78" s="84">
        <f t="shared" si="94"/>
        <v>0</v>
      </c>
      <c r="BF78" s="84">
        <f t="shared" si="95"/>
        <v>0</v>
      </c>
      <c r="BG78" s="78">
        <f>IF(AN78="",0,VLOOKUP(AN78,Tables!$AB$3:$AC$12,2))</f>
        <v>0</v>
      </c>
      <c r="BH78" s="79">
        <f>IF(AO78="",0,VLOOKUP(AO78,Tables!$AB$3:$AC$12,2))</f>
        <v>0</v>
      </c>
      <c r="BI78" s="79">
        <f>IF(AP78="",0,VLOOKUP(AP78,Tables!$AB$3:$AC$12,2))</f>
        <v>0</v>
      </c>
      <c r="BJ78" s="78">
        <f>IF(AQ78="",0,VLOOKUP(AQ78,Tables!$AB$3:$AC$12,2))</f>
        <v>0</v>
      </c>
      <c r="BK78" s="79">
        <f>IF(AR78="",0,VLOOKUP(AR78,Tables!$AB$3:$AC$12,2))</f>
        <v>0</v>
      </c>
      <c r="BL78" s="79">
        <f>IF(AS78="",0,VLOOKUP(AS78,Tables!$AB$3:$AC$12,2))</f>
        <v>0</v>
      </c>
      <c r="BM78" s="79">
        <f>IF(AT78="",0,VLOOKUP(AT78,Tables!$AB$3:$AC$12,2))</f>
        <v>0</v>
      </c>
      <c r="BN78" s="79">
        <f>IF(AU78="",0,VLOOKUP(AU78,Tables!$AB$3:$AC$12,2))</f>
        <v>1</v>
      </c>
      <c r="BO78" s="78">
        <f>IF(AV78="",0,VLOOKUP(AV78,Tables!$AB$3:$AC$12,2))</f>
        <v>0</v>
      </c>
      <c r="BP78" s="79">
        <f>IF(AW78="",0,VLOOKUP(AW78,Tables!$AB$3:$AC$12,2))</f>
        <v>0</v>
      </c>
      <c r="BQ78" s="79">
        <f>IF(AX78="",0,VLOOKUP(AX78,Tables!$AB$3:$AC$12,2))</f>
        <v>0</v>
      </c>
      <c r="BR78" s="78">
        <f>IF(AY78="",0,VLOOKUP(AY78,Tables!$AB$3:$AC$12,2))</f>
        <v>0</v>
      </c>
      <c r="BS78" s="79">
        <f>IF(AZ78="",0,VLOOKUP(AZ78,Tables!$AB$3:$AC$12,2))</f>
        <v>0</v>
      </c>
      <c r="BT78" s="79">
        <f>IF(BA78="",0,VLOOKUP(BA78,Tables!$AB$3:$AC$12,2))</f>
        <v>0</v>
      </c>
      <c r="BU78" s="80">
        <f>IF(BB78="",0,VLOOKUP(BB78,Tables!$AB$3:$AC$12,2))</f>
        <v>0</v>
      </c>
      <c r="BV78" s="85">
        <f>IF(AN78="",0,VLOOKUP(B78,Tables!$B$3:$D$36,2,FALSE())*X$1)</f>
        <v>0</v>
      </c>
      <c r="BW78" s="72">
        <f>IF(AO78="",0,VLOOKUP(C78,Tables!$B$3:$D$36,2,FALSE())*Y$1)</f>
        <v>0</v>
      </c>
      <c r="BX78" s="72">
        <f>IF(AP78="",0,VLOOKUP(D78,Tables!$B$3:$D$36,2,FALSE())*Z$1)</f>
        <v>0</v>
      </c>
      <c r="BY78" s="85">
        <f>IF(AQ78="",0,VLOOKUP(E78,Tables!$B$3:$D$36,2,FALSE())*AA$1)</f>
        <v>0</v>
      </c>
      <c r="BZ78" s="72">
        <f>IF(AR78="",0,VLOOKUP(F78,Tables!$B$3:$D$36,2,FALSE())*AB$1)</f>
        <v>0</v>
      </c>
      <c r="CA78" s="72">
        <f>IF(AS78="",0,VLOOKUP(G78,Tables!$B$3:$D$36,2,FALSE())*AC$1)</f>
        <v>0</v>
      </c>
      <c r="CB78" s="72">
        <f>IF(AT78="",0,VLOOKUP(H78,Tables!$B$3:$D$36,2,FALSE())*AD$1)</f>
        <v>0</v>
      </c>
      <c r="CC78" s="72">
        <f>IF(AU78="",0,VLOOKUP(I78,Tables!$B$3:$D$36,2,FALSE())*AE$1)</f>
        <v>75</v>
      </c>
      <c r="CD78" s="85">
        <f>IF(AV78="",0,VLOOKUP(J78,Tables!$B$3:$D$36,2,FALSE())*AF$1)</f>
        <v>0</v>
      </c>
      <c r="CE78" s="72">
        <f>IF(AW78="",0,VLOOKUP(K78,Tables!$B$3:$D$36,2,FALSE())*AG$1)</f>
        <v>0</v>
      </c>
      <c r="CF78" s="72">
        <f>IF(AX78="",0,VLOOKUP(L78,Tables!$B$3:$D$36,2,FALSE())*AH$1)</f>
        <v>0</v>
      </c>
      <c r="CG78" s="85">
        <f>IF(AY78="",0,VLOOKUP(M78,Tables!$B$3:$D$36,2,FALSE())*AI$1)</f>
        <v>0</v>
      </c>
      <c r="CH78" s="72">
        <f>IF(AZ78="",0,VLOOKUP(N78,Tables!$B$3:$D$36,2,FALSE())*AJ$1)</f>
        <v>0</v>
      </c>
      <c r="CI78" s="72">
        <f>IF(BA78="",0,VLOOKUP(O78,Tables!$B$3:$D$36,2,FALSE())*AK$1)</f>
        <v>0</v>
      </c>
      <c r="CJ78" s="86">
        <f>IF(BB78="",0,VLOOKUP(P78,Tables!$B$3:$D$36,2,FALSE())*AL$1)</f>
        <v>0</v>
      </c>
      <c r="CK78" s="87">
        <f>IF(AN78="",0,VLOOKUP(B78,Tables!$B$3:$D$36,3,FALSE())*X$1)*IF(OR(AN78="K",AN78="P"),2,1)</f>
        <v>0</v>
      </c>
      <c r="CL78" s="73">
        <f>IF(AO78="",0,VLOOKUP(C78,Tables!$B$3:$D$36,3,FALSE())*Y$1)*IF(OR(AO78="K",AO78="P"),2,1)</f>
        <v>0</v>
      </c>
      <c r="CM78" s="73">
        <f>IF(AP78="",0,VLOOKUP(D78,Tables!$B$3:$D$36,3,FALSE())*Z$1)*IF(OR(AP78="K",AP78="P"),2,1)</f>
        <v>0</v>
      </c>
      <c r="CN78" s="87">
        <f>IF(AQ78="",0,VLOOKUP(E78,Tables!$B$3:$D$36,3,FALSE())*AA$1)</f>
        <v>0</v>
      </c>
      <c r="CO78" s="73">
        <f>IF(AR78="",0,VLOOKUP(F78,Tables!$B$3:$D$36,3,FALSE())*AB$1)</f>
        <v>0</v>
      </c>
      <c r="CP78" s="73">
        <f>IF(AS78="",0,VLOOKUP(G78,Tables!$B$3:$D$36,3,FALSE())*AC$1)</f>
        <v>0</v>
      </c>
      <c r="CQ78" s="73">
        <f>IF(AT78="",0,VLOOKUP(H78,Tables!$B$3:$D$36,3,FALSE())*AD$1)</f>
        <v>0</v>
      </c>
      <c r="CR78" s="73">
        <f>IF(AU78="",0,VLOOKUP(I78,Tables!$B$3:$D$36,3,FALSE())*AE$1)</f>
        <v>2.25</v>
      </c>
      <c r="CS78" s="87">
        <f>IF(AV78="",0,VLOOKUP(J78,Tables!$B$3:$D$36,3,FALSE())*AF$1)</f>
        <v>0</v>
      </c>
      <c r="CT78" s="73">
        <f>IF(AW78="",0,VLOOKUP(K78,Tables!$B$3:$D$36,3,FALSE())*AG$1)</f>
        <v>0</v>
      </c>
      <c r="CU78" s="73">
        <f>IF(AX78="",0,VLOOKUP(L78,Tables!$B$3:$D$36,3,FALSE())*AH$1)</f>
        <v>0</v>
      </c>
      <c r="CV78" s="87">
        <f>IF(AY78="",0,VLOOKUP(M78,Tables!$B$3:$D$36,3,FALSE())*AI$1)</f>
        <v>0</v>
      </c>
      <c r="CW78" s="73">
        <f>IF(AZ78="",0,VLOOKUP(N78,Tables!$B$3:$D$36,3,FALSE())*AJ$1)</f>
        <v>0</v>
      </c>
      <c r="CX78" s="73">
        <f>IF(BA78="",0,VLOOKUP(O78,Tables!$B$3:$D$36,3,FALSE())*AK$1)</f>
        <v>0</v>
      </c>
      <c r="CY78" s="88">
        <f>IF(BB78="",0,VLOOKUP(P78,Tables!$B$3:$D$36,3,FALSE())*AL$1)</f>
        <v>0</v>
      </c>
      <c r="CZ78" s="89">
        <f t="shared" si="96"/>
        <v>0</v>
      </c>
      <c r="DA78" s="75">
        <f t="shared" si="97"/>
        <v>0</v>
      </c>
      <c r="DB78" s="75">
        <f t="shared" si="98"/>
        <v>0</v>
      </c>
      <c r="DC78" s="89">
        <f t="shared" si="99"/>
        <v>0</v>
      </c>
      <c r="DD78" s="75">
        <f t="shared" si="100"/>
        <v>0</v>
      </c>
      <c r="DE78" s="75">
        <f t="shared" si="101"/>
        <v>0</v>
      </c>
      <c r="DF78" s="75">
        <f t="shared" si="102"/>
        <v>0</v>
      </c>
      <c r="DG78" s="75">
        <f t="shared" si="103"/>
        <v>1</v>
      </c>
      <c r="DH78" s="89">
        <f t="shared" si="104"/>
        <v>0</v>
      </c>
      <c r="DI78" s="75">
        <f t="shared" si="105"/>
        <v>0</v>
      </c>
      <c r="DJ78" s="75">
        <f t="shared" si="106"/>
        <v>0</v>
      </c>
      <c r="DK78" s="89">
        <f t="shared" si="107"/>
        <v>0</v>
      </c>
      <c r="DL78" s="75">
        <f t="shared" si="108"/>
        <v>0</v>
      </c>
      <c r="DM78" s="75">
        <f t="shared" si="109"/>
        <v>0</v>
      </c>
      <c r="DN78" s="90">
        <f t="shared" si="110"/>
        <v>0</v>
      </c>
      <c r="DO78" s="91">
        <f>IF(AN78="",0,VLOOKUP(B78,Tables!$B$3:$M$36,11,FALSE())*X$1)</f>
        <v>0</v>
      </c>
      <c r="DP78" s="92">
        <f>IF(AO78="",0,VLOOKUP(C78,Tables!$B$3:$M$36,11,FALSE())*Y$1)</f>
        <v>0</v>
      </c>
      <c r="DQ78" s="92">
        <f>IF(AP78="",0,VLOOKUP(D78,Tables!$B$3:$M$36,11,FALSE())*Z$1)</f>
        <v>0</v>
      </c>
      <c r="DR78" s="91">
        <f>IF(AQ78="",0,VLOOKUP(E78,Tables!$B$3:$M$36,11,FALSE())*AA$1)</f>
        <v>0</v>
      </c>
      <c r="DS78" s="92">
        <f>IF(AR78="",0,VLOOKUP(F78,Tables!$B$3:$M$36,11,FALSE())*AB$1)</f>
        <v>0</v>
      </c>
      <c r="DT78" s="92">
        <f>IF(AS78="",0,VLOOKUP(G78,Tables!$B$3:$M$36,11,FALSE())*AC$1)</f>
        <v>0</v>
      </c>
      <c r="DU78" s="92">
        <f>IF(AT78="",0,VLOOKUP(H78,Tables!$B$3:$M$36,11,FALSE())*AD$1)</f>
        <v>0</v>
      </c>
      <c r="DV78" s="92">
        <f>IF(AU78="",0,VLOOKUP(I78,Tables!$B$3:$M$36,11,FALSE())*AE$1)</f>
        <v>45</v>
      </c>
      <c r="DW78" s="91">
        <f>IF(AV78="",0,VLOOKUP(J78,Tables!$B$3:$M$36,11,FALSE())*AF$1)</f>
        <v>0</v>
      </c>
      <c r="DX78" s="92">
        <f>IF(AW78="",0,VLOOKUP(K78,Tables!$B$3:$M$36,11,FALSE())*AG$1)</f>
        <v>0</v>
      </c>
      <c r="DY78" s="92">
        <f>IF(AX78="",0,VLOOKUP(L78,Tables!$B$3:$M$36,11,FALSE())*AH$1)</f>
        <v>0</v>
      </c>
      <c r="DZ78" s="91">
        <f>IF(AY78="",0,VLOOKUP(M78,Tables!$B$3:$M$36,11,FALSE())*AI$1)</f>
        <v>0</v>
      </c>
      <c r="EA78" s="92">
        <f>IF(AZ78="",0,VLOOKUP(N78,Tables!$B$3:$M$36,11,FALSE())*AJ$1)</f>
        <v>0</v>
      </c>
      <c r="EB78" s="92">
        <f>IF(BA78="",0,VLOOKUP(O78,Tables!$B$3:$M$36,11,FALSE())*AK$1)</f>
        <v>0</v>
      </c>
      <c r="EC78" s="93">
        <f>IF(BB78="",0,VLOOKUP(P78,Tables!$B$3:$M$36,11,FALSE())*AL$1)</f>
        <v>0</v>
      </c>
      <c r="ED78" s="91">
        <f>IF(AN78="",0,VLOOKUP(B78,Tables!$B$3:$M$36,12,FALSE())*X$1)</f>
        <v>0</v>
      </c>
      <c r="EE78" s="92">
        <f>IF(AO78="",0,VLOOKUP(C78,Tables!$B$3:$M$36,12,FALSE())*Y$1)</f>
        <v>0</v>
      </c>
      <c r="EF78" s="92">
        <f>IF(AP78="",0,VLOOKUP(D78,Tables!$B$3:$M$36,12,FALSE())*Z$1)</f>
        <v>0</v>
      </c>
      <c r="EG78" s="91">
        <f>IF(AQ78="",0,VLOOKUP(E78,Tables!$B$3:$M$36,12,FALSE())*AA$1)</f>
        <v>0</v>
      </c>
      <c r="EH78" s="92">
        <f>IF(AR78="",0,VLOOKUP(F78,Tables!$B$3:$M$36,12,FALSE())*AB$1)</f>
        <v>0</v>
      </c>
      <c r="EI78" s="92">
        <f>IF(AS78="",0,VLOOKUP(G78,Tables!$B$3:$M$36,12,FALSE())*AC$1)</f>
        <v>0</v>
      </c>
      <c r="EJ78" s="92">
        <f>IF(AT78="",0,VLOOKUP(H78,Tables!$B$3:$M$36,12,FALSE())*AD$1)</f>
        <v>0</v>
      </c>
      <c r="EK78" s="92">
        <f>IF(AU78="",0,VLOOKUP(I78,Tables!$B$3:$M$36,12,FALSE())*AE$1)</f>
        <v>37.5</v>
      </c>
      <c r="EL78" s="91">
        <f>IF(AV78="",0,VLOOKUP(J78,Tables!$B$3:$M$36,12,FALSE())*AF$1)</f>
        <v>0</v>
      </c>
      <c r="EM78" s="92">
        <f>IF(AW78="",0,VLOOKUP(K78,Tables!$B$3:$M$36,12,FALSE())*AG$1)</f>
        <v>0</v>
      </c>
      <c r="EN78" s="92">
        <f>IF(AX78="",0,VLOOKUP(L78,Tables!$B$3:$M$36,12,FALSE())*AH$1)</f>
        <v>0</v>
      </c>
      <c r="EO78" s="91">
        <f>IF(AY78="",0,VLOOKUP(M78,Tables!$B$3:$M$36,12,FALSE())*AI$1)</f>
        <v>0</v>
      </c>
      <c r="EP78" s="92">
        <f>IF(AZ78="",0,VLOOKUP(N78,Tables!$B$3:$M$36,12,FALSE())*AJ$1)</f>
        <v>0</v>
      </c>
      <c r="EQ78" s="92">
        <f>IF(BA78="",0,VLOOKUP(O78,Tables!$B$3:$M$36,12,FALSE())*AK$1)</f>
        <v>0</v>
      </c>
      <c r="ER78" s="93">
        <f>IF(BB78="",0,VLOOKUP(P78,Tables!$B$3:$M$36,12,FALSE())*AL$1)</f>
        <v>0</v>
      </c>
      <c r="ES78" s="94">
        <f t="shared" si="111"/>
        <v>0</v>
      </c>
      <c r="ET78" s="95">
        <f>IF(AN78="",10,MIN(VLOOKUP(B78,MATERIAL,13,FALSE()),'Item Builder'!$W78))</f>
        <v>10</v>
      </c>
      <c r="EU78" s="95">
        <f>IF(AO78="",10,MIN(VLOOKUP(C78,MATERIAL,13,FALSE()),'Item Builder'!$W78))</f>
        <v>10</v>
      </c>
      <c r="EV78" s="95">
        <f>IF(AP78="",10,MIN(VLOOKUP(D78,MATERIAL,13,FALSE()),'Item Builder'!$W78))</f>
        <v>10</v>
      </c>
      <c r="EW78" s="95">
        <f>IF(AQ78="",10,MIN(VLOOKUP(E78,MATERIAL,13,FALSE()),'Item Builder'!$W78))</f>
        <v>10</v>
      </c>
      <c r="EX78" s="95">
        <f>IF(AR78="",10,MIN(VLOOKUP(F78,MATERIAL,13,FALSE()),'Item Builder'!$W78))</f>
        <v>10</v>
      </c>
      <c r="EY78" s="95">
        <f>IF(AS78="",10,MIN(VLOOKUP(G78,MATERIAL,13,FALSE()),'Item Builder'!$W78))</f>
        <v>10</v>
      </c>
      <c r="EZ78" s="95">
        <f>IF(AT78="",10,MIN(VLOOKUP(H78,MATERIAL,13,FALSE()),'Item Builder'!$W78))</f>
        <v>10</v>
      </c>
      <c r="FA78" s="95">
        <f>IF(AU78="",10,MIN(VLOOKUP(I78,MATERIAL,13,FALSE()),'Item Builder'!$W78))</f>
        <v>0</v>
      </c>
      <c r="FB78" s="95">
        <f>IF(AV78="",10,MIN(VLOOKUP(J78,MATERIAL,13,FALSE()),'Item Builder'!$W78))</f>
        <v>10</v>
      </c>
      <c r="FC78" s="95">
        <f>IF(AW78="",10,MIN(VLOOKUP(K78,MATERIAL,13,FALSE()),'Item Builder'!$W78))</f>
        <v>10</v>
      </c>
      <c r="FD78" s="95">
        <f>IF(AX78="",10,MIN(VLOOKUP(L78,MATERIAL,13,FALSE()),'Item Builder'!$W78))</f>
        <v>10</v>
      </c>
      <c r="FE78" s="95">
        <f>IF(AY78="",10,MIN(VLOOKUP(M78,MATERIAL,13,FALSE()),'Item Builder'!$W78))</f>
        <v>10</v>
      </c>
      <c r="FF78" s="95">
        <f>IF(AZ78="",10,MIN(VLOOKUP(N78,MATERIAL,13,FALSE()),'Item Builder'!$W78))</f>
        <v>10</v>
      </c>
      <c r="FG78" s="95">
        <f>IF(BA78="",10,MIN(VLOOKUP(O78,MATERIAL,13,FALSE()),'Item Builder'!$W78))</f>
        <v>10</v>
      </c>
      <c r="FH78" s="95">
        <f>IF(BB78="",10,MIN(VLOOKUP(P78,MATERIAL,13,FALSE()),'Item Builder'!$W78))</f>
        <v>10</v>
      </c>
    </row>
    <row r="79" spans="1:164" x14ac:dyDescent="0.25">
      <c r="A79" s="67" t="s">
        <v>233</v>
      </c>
      <c r="B79" s="68"/>
      <c r="C79" s="69"/>
      <c r="D79" s="70"/>
      <c r="E79" s="68"/>
      <c r="F79" s="69"/>
      <c r="G79" s="69"/>
      <c r="H79" s="69"/>
      <c r="I79" s="70"/>
      <c r="J79" s="68" t="s">
        <v>108</v>
      </c>
      <c r="K79" s="69" t="s">
        <v>108</v>
      </c>
      <c r="L79" s="70"/>
      <c r="M79" s="68"/>
      <c r="N79" s="69"/>
      <c r="O79" s="69"/>
      <c r="P79" s="71"/>
      <c r="Q79" s="72">
        <f>SUM(BV79:CJ79)*VLOOKUP(W79,Tables!$W$3:$Z$8,4)</f>
        <v>360</v>
      </c>
      <c r="R79" s="73">
        <f t="shared" si="56"/>
        <v>10.799999999999999</v>
      </c>
      <c r="S79" s="74">
        <f t="shared" si="57"/>
        <v>0</v>
      </c>
      <c r="T79" s="74">
        <f t="shared" si="58"/>
        <v>0</v>
      </c>
      <c r="U79" s="75">
        <f t="shared" si="59"/>
        <v>216</v>
      </c>
      <c r="V79" s="76">
        <f t="shared" si="60"/>
        <v>180</v>
      </c>
      <c r="W79" s="77">
        <v>0</v>
      </c>
      <c r="X79" s="78">
        <f t="shared" si="61"/>
        <v>0</v>
      </c>
      <c r="Y79" s="79">
        <f t="shared" si="62"/>
        <v>0</v>
      </c>
      <c r="Z79" s="79">
        <f t="shared" si="63"/>
        <v>0</v>
      </c>
      <c r="AA79" s="78">
        <f t="shared" si="64"/>
        <v>0</v>
      </c>
      <c r="AB79" s="79">
        <f t="shared" si="65"/>
        <v>0</v>
      </c>
      <c r="AC79" s="79">
        <f t="shared" si="66"/>
        <v>0</v>
      </c>
      <c r="AD79" s="79">
        <f t="shared" si="67"/>
        <v>0</v>
      </c>
      <c r="AE79" s="79">
        <f t="shared" si="68"/>
        <v>0</v>
      </c>
      <c r="AF79" s="78">
        <f t="shared" si="69"/>
        <v>1</v>
      </c>
      <c r="AG79" s="79">
        <f t="shared" si="70"/>
        <v>1</v>
      </c>
      <c r="AH79" s="79">
        <f t="shared" si="71"/>
        <v>0</v>
      </c>
      <c r="AI79" s="78">
        <f t="shared" si="72"/>
        <v>0</v>
      </c>
      <c r="AJ79" s="79">
        <f t="shared" si="73"/>
        <v>0</v>
      </c>
      <c r="AK79" s="79">
        <f t="shared" si="74"/>
        <v>0</v>
      </c>
      <c r="AL79" s="80">
        <f t="shared" si="75"/>
        <v>0</v>
      </c>
      <c r="AM79" s="81">
        <f t="shared" si="76"/>
        <v>0.24</v>
      </c>
      <c r="AN79" s="82" t="str">
        <f t="shared" si="77"/>
        <v/>
      </c>
      <c r="AO79" s="79" t="str">
        <f t="shared" si="78"/>
        <v/>
      </c>
      <c r="AP79" t="str">
        <f t="shared" si="79"/>
        <v/>
      </c>
      <c r="AQ79" s="82" t="str">
        <f t="shared" si="80"/>
        <v/>
      </c>
      <c r="AR79" t="str">
        <f t="shared" si="81"/>
        <v/>
      </c>
      <c r="AS79" t="str">
        <f t="shared" si="82"/>
        <v/>
      </c>
      <c r="AT79" t="str">
        <f t="shared" si="83"/>
        <v/>
      </c>
      <c r="AU79" t="str">
        <f t="shared" si="84"/>
        <v/>
      </c>
      <c r="AV79" s="82" t="str">
        <f t="shared" si="85"/>
        <v>M</v>
      </c>
      <c r="AW79" t="str">
        <f t="shared" si="86"/>
        <v>M</v>
      </c>
      <c r="AX79" t="str">
        <f t="shared" si="87"/>
        <v/>
      </c>
      <c r="AY79" s="82" t="str">
        <f t="shared" si="88"/>
        <v/>
      </c>
      <c r="AZ79" t="str">
        <f t="shared" si="89"/>
        <v/>
      </c>
      <c r="BA79" t="str">
        <f t="shared" si="90"/>
        <v/>
      </c>
      <c r="BB79" s="83" t="str">
        <f t="shared" si="91"/>
        <v/>
      </c>
      <c r="BC79" s="84">
        <f t="shared" si="92"/>
        <v>0</v>
      </c>
      <c r="BD79" s="84">
        <f t="shared" si="93"/>
        <v>0</v>
      </c>
      <c r="BE79" s="84">
        <f t="shared" si="94"/>
        <v>0.70588235294117652</v>
      </c>
      <c r="BF79" s="84">
        <f t="shared" si="95"/>
        <v>0</v>
      </c>
      <c r="BG79" s="78">
        <f>IF(AN79="",0,VLOOKUP(AN79,Tables!$AB$3:$AC$12,2))</f>
        <v>0</v>
      </c>
      <c r="BH79" s="79">
        <f>IF(AO79="",0,VLOOKUP(AO79,Tables!$AB$3:$AC$12,2))</f>
        <v>0</v>
      </c>
      <c r="BI79" s="79">
        <f>IF(AP79="",0,VLOOKUP(AP79,Tables!$AB$3:$AC$12,2))</f>
        <v>0</v>
      </c>
      <c r="BJ79" s="78">
        <f>IF(AQ79="",0,VLOOKUP(AQ79,Tables!$AB$3:$AC$12,2))</f>
        <v>0</v>
      </c>
      <c r="BK79" s="79">
        <f>IF(AR79="",0,VLOOKUP(AR79,Tables!$AB$3:$AC$12,2))</f>
        <v>0</v>
      </c>
      <c r="BL79" s="79">
        <f>IF(AS79="",0,VLOOKUP(AS79,Tables!$AB$3:$AC$12,2))</f>
        <v>0</v>
      </c>
      <c r="BM79" s="79">
        <f>IF(AT79="",0,VLOOKUP(AT79,Tables!$AB$3:$AC$12,2))</f>
        <v>0</v>
      </c>
      <c r="BN79" s="79">
        <f>IF(AU79="",0,VLOOKUP(AU79,Tables!$AB$3:$AC$12,2))</f>
        <v>0</v>
      </c>
      <c r="BO79" s="78">
        <f>IF(AV79="",0,VLOOKUP(AV79,Tables!$AB$3:$AC$12,2))</f>
        <v>1</v>
      </c>
      <c r="BP79" s="79">
        <f>IF(AW79="",0,VLOOKUP(AW79,Tables!$AB$3:$AC$12,2))</f>
        <v>1</v>
      </c>
      <c r="BQ79" s="79">
        <f>IF(AX79="",0,VLOOKUP(AX79,Tables!$AB$3:$AC$12,2))</f>
        <v>0</v>
      </c>
      <c r="BR79" s="78">
        <f>IF(AY79="",0,VLOOKUP(AY79,Tables!$AB$3:$AC$12,2))</f>
        <v>0</v>
      </c>
      <c r="BS79" s="79">
        <f>IF(AZ79="",0,VLOOKUP(AZ79,Tables!$AB$3:$AC$12,2))</f>
        <v>0</v>
      </c>
      <c r="BT79" s="79">
        <f>IF(BA79="",0,VLOOKUP(BA79,Tables!$AB$3:$AC$12,2))</f>
        <v>0</v>
      </c>
      <c r="BU79" s="80">
        <f>IF(BB79="",0,VLOOKUP(BB79,Tables!$AB$3:$AC$12,2))</f>
        <v>0</v>
      </c>
      <c r="BV79" s="85">
        <f>IF(AN79="",0,VLOOKUP(B79,Tables!$B$3:$D$36,2,FALSE())*X$1)</f>
        <v>0</v>
      </c>
      <c r="BW79" s="72">
        <f>IF(AO79="",0,VLOOKUP(C79,Tables!$B$3:$D$36,2,FALSE())*Y$1)</f>
        <v>0</v>
      </c>
      <c r="BX79" s="72">
        <f>IF(AP79="",0,VLOOKUP(D79,Tables!$B$3:$D$36,2,FALSE())*Z$1)</f>
        <v>0</v>
      </c>
      <c r="BY79" s="85">
        <f>IF(AQ79="",0,VLOOKUP(E79,Tables!$B$3:$D$36,2,FALSE())*AA$1)</f>
        <v>0</v>
      </c>
      <c r="BZ79" s="72">
        <f>IF(AR79="",0,VLOOKUP(F79,Tables!$B$3:$D$36,2,FALSE())*AB$1)</f>
        <v>0</v>
      </c>
      <c r="CA79" s="72">
        <f>IF(AS79="",0,VLOOKUP(G79,Tables!$B$3:$D$36,2,FALSE())*AC$1)</f>
        <v>0</v>
      </c>
      <c r="CB79" s="72">
        <f>IF(AT79="",0,VLOOKUP(H79,Tables!$B$3:$D$36,2,FALSE())*AD$1)</f>
        <v>0</v>
      </c>
      <c r="CC79" s="72">
        <f>IF(AU79="",0,VLOOKUP(I79,Tables!$B$3:$D$36,2,FALSE())*AE$1)</f>
        <v>0</v>
      </c>
      <c r="CD79" s="85">
        <f>IF(AV79="",0,VLOOKUP(J79,Tables!$B$3:$D$36,2,FALSE())*AF$1)</f>
        <v>180</v>
      </c>
      <c r="CE79" s="72">
        <f>IF(AW79="",0,VLOOKUP(K79,Tables!$B$3:$D$36,2,FALSE())*AG$1)</f>
        <v>180</v>
      </c>
      <c r="CF79" s="72">
        <f>IF(AX79="",0,VLOOKUP(L79,Tables!$B$3:$D$36,2,FALSE())*AH$1)</f>
        <v>0</v>
      </c>
      <c r="CG79" s="85">
        <f>IF(AY79="",0,VLOOKUP(M79,Tables!$B$3:$D$36,2,FALSE())*AI$1)</f>
        <v>0</v>
      </c>
      <c r="CH79" s="72">
        <f>IF(AZ79="",0,VLOOKUP(N79,Tables!$B$3:$D$36,2,FALSE())*AJ$1)</f>
        <v>0</v>
      </c>
      <c r="CI79" s="72">
        <f>IF(BA79="",0,VLOOKUP(O79,Tables!$B$3:$D$36,2,FALSE())*AK$1)</f>
        <v>0</v>
      </c>
      <c r="CJ79" s="86">
        <f>IF(BB79="",0,VLOOKUP(P79,Tables!$B$3:$D$36,2,FALSE())*AL$1)</f>
        <v>0</v>
      </c>
      <c r="CK79" s="87">
        <f>IF(AN79="",0,VLOOKUP(B79,Tables!$B$3:$D$36,3,FALSE())*X$1)*IF(OR(AN79="K",AN79="P"),2,1)</f>
        <v>0</v>
      </c>
      <c r="CL79" s="73">
        <f>IF(AO79="",0,VLOOKUP(C79,Tables!$B$3:$D$36,3,FALSE())*Y$1)*IF(OR(AO79="K",AO79="P"),2,1)</f>
        <v>0</v>
      </c>
      <c r="CM79" s="73">
        <f>IF(AP79="",0,VLOOKUP(D79,Tables!$B$3:$D$36,3,FALSE())*Z$1)*IF(OR(AP79="K",AP79="P"),2,1)</f>
        <v>0</v>
      </c>
      <c r="CN79" s="87">
        <f>IF(AQ79="",0,VLOOKUP(E79,Tables!$B$3:$D$36,3,FALSE())*AA$1)</f>
        <v>0</v>
      </c>
      <c r="CO79" s="73">
        <f>IF(AR79="",0,VLOOKUP(F79,Tables!$B$3:$D$36,3,FALSE())*AB$1)</f>
        <v>0</v>
      </c>
      <c r="CP79" s="73">
        <f>IF(AS79="",0,VLOOKUP(G79,Tables!$B$3:$D$36,3,FALSE())*AC$1)</f>
        <v>0</v>
      </c>
      <c r="CQ79" s="73">
        <f>IF(AT79="",0,VLOOKUP(H79,Tables!$B$3:$D$36,3,FALSE())*AD$1)</f>
        <v>0</v>
      </c>
      <c r="CR79" s="73">
        <f>IF(AU79="",0,VLOOKUP(I79,Tables!$B$3:$D$36,3,FALSE())*AE$1)</f>
        <v>0</v>
      </c>
      <c r="CS79" s="87">
        <f>IF(AV79="",0,VLOOKUP(J79,Tables!$B$3:$D$36,3,FALSE())*AF$1)</f>
        <v>5.3999999999999995</v>
      </c>
      <c r="CT79" s="73">
        <f>IF(AW79="",0,VLOOKUP(K79,Tables!$B$3:$D$36,3,FALSE())*AG$1)</f>
        <v>5.3999999999999995</v>
      </c>
      <c r="CU79" s="73">
        <f>IF(AX79="",0,VLOOKUP(L79,Tables!$B$3:$D$36,3,FALSE())*AH$1)</f>
        <v>0</v>
      </c>
      <c r="CV79" s="87">
        <f>IF(AY79="",0,VLOOKUP(M79,Tables!$B$3:$D$36,3,FALSE())*AI$1)</f>
        <v>0</v>
      </c>
      <c r="CW79" s="73">
        <f>IF(AZ79="",0,VLOOKUP(N79,Tables!$B$3:$D$36,3,FALSE())*AJ$1)</f>
        <v>0</v>
      </c>
      <c r="CX79" s="73">
        <f>IF(BA79="",0,VLOOKUP(O79,Tables!$B$3:$D$36,3,FALSE())*AK$1)</f>
        <v>0</v>
      </c>
      <c r="CY79" s="88">
        <f>IF(BB79="",0,VLOOKUP(P79,Tables!$B$3:$D$36,3,FALSE())*AL$1)</f>
        <v>0</v>
      </c>
      <c r="CZ79" s="89">
        <f t="shared" si="96"/>
        <v>0</v>
      </c>
      <c r="DA79" s="75">
        <f t="shared" si="97"/>
        <v>0</v>
      </c>
      <c r="DB79" s="75">
        <f t="shared" si="98"/>
        <v>0</v>
      </c>
      <c r="DC79" s="89">
        <f t="shared" si="99"/>
        <v>0</v>
      </c>
      <c r="DD79" s="75">
        <f t="shared" si="100"/>
        <v>0</v>
      </c>
      <c r="DE79" s="75">
        <f t="shared" si="101"/>
        <v>0</v>
      </c>
      <c r="DF79" s="75">
        <f t="shared" si="102"/>
        <v>0</v>
      </c>
      <c r="DG79" s="75">
        <f t="shared" si="103"/>
        <v>0</v>
      </c>
      <c r="DH79" s="89">
        <f t="shared" si="104"/>
        <v>1</v>
      </c>
      <c r="DI79" s="75">
        <f t="shared" si="105"/>
        <v>1</v>
      </c>
      <c r="DJ79" s="75">
        <f t="shared" si="106"/>
        <v>0</v>
      </c>
      <c r="DK79" s="89">
        <f t="shared" si="107"/>
        <v>0</v>
      </c>
      <c r="DL79" s="75">
        <f t="shared" si="108"/>
        <v>0</v>
      </c>
      <c r="DM79" s="75">
        <f t="shared" si="109"/>
        <v>0</v>
      </c>
      <c r="DN79" s="90">
        <f t="shared" si="110"/>
        <v>0</v>
      </c>
      <c r="DO79" s="91">
        <f>IF(AN79="",0,VLOOKUP(B79,Tables!$B$3:$M$36,11,FALSE())*X$1)</f>
        <v>0</v>
      </c>
      <c r="DP79" s="92">
        <f>IF(AO79="",0,VLOOKUP(C79,Tables!$B$3:$M$36,11,FALSE())*Y$1)</f>
        <v>0</v>
      </c>
      <c r="DQ79" s="92">
        <f>IF(AP79="",0,VLOOKUP(D79,Tables!$B$3:$M$36,11,FALSE())*Z$1)</f>
        <v>0</v>
      </c>
      <c r="DR79" s="91">
        <f>IF(AQ79="",0,VLOOKUP(E79,Tables!$B$3:$M$36,11,FALSE())*AA$1)</f>
        <v>0</v>
      </c>
      <c r="DS79" s="92">
        <f>IF(AR79="",0,VLOOKUP(F79,Tables!$B$3:$M$36,11,FALSE())*AB$1)</f>
        <v>0</v>
      </c>
      <c r="DT79" s="92">
        <f>IF(AS79="",0,VLOOKUP(G79,Tables!$B$3:$M$36,11,FALSE())*AC$1)</f>
        <v>0</v>
      </c>
      <c r="DU79" s="92">
        <f>IF(AT79="",0,VLOOKUP(H79,Tables!$B$3:$M$36,11,FALSE())*AD$1)</f>
        <v>0</v>
      </c>
      <c r="DV79" s="92">
        <f>IF(AU79="",0,VLOOKUP(I79,Tables!$B$3:$M$36,11,FALSE())*AE$1)</f>
        <v>0</v>
      </c>
      <c r="DW79" s="91">
        <f>IF(AV79="",0,VLOOKUP(J79,Tables!$B$3:$M$36,11,FALSE())*AF$1)</f>
        <v>108</v>
      </c>
      <c r="DX79" s="92">
        <f>IF(AW79="",0,VLOOKUP(K79,Tables!$B$3:$M$36,11,FALSE())*AG$1)</f>
        <v>108</v>
      </c>
      <c r="DY79" s="92">
        <f>IF(AX79="",0,VLOOKUP(L79,Tables!$B$3:$M$36,11,FALSE())*AH$1)</f>
        <v>0</v>
      </c>
      <c r="DZ79" s="91">
        <f>IF(AY79="",0,VLOOKUP(M79,Tables!$B$3:$M$36,11,FALSE())*AI$1)</f>
        <v>0</v>
      </c>
      <c r="EA79" s="92">
        <f>IF(AZ79="",0,VLOOKUP(N79,Tables!$B$3:$M$36,11,FALSE())*AJ$1)</f>
        <v>0</v>
      </c>
      <c r="EB79" s="92">
        <f>IF(BA79="",0,VLOOKUP(O79,Tables!$B$3:$M$36,11,FALSE())*AK$1)</f>
        <v>0</v>
      </c>
      <c r="EC79" s="93">
        <f>IF(BB79="",0,VLOOKUP(P79,Tables!$B$3:$M$36,11,FALSE())*AL$1)</f>
        <v>0</v>
      </c>
      <c r="ED79" s="91">
        <f>IF(AN79="",0,VLOOKUP(B79,Tables!$B$3:$M$36,12,FALSE())*X$1)</f>
        <v>0</v>
      </c>
      <c r="EE79" s="92">
        <f>IF(AO79="",0,VLOOKUP(C79,Tables!$B$3:$M$36,12,FALSE())*Y$1)</f>
        <v>0</v>
      </c>
      <c r="EF79" s="92">
        <f>IF(AP79="",0,VLOOKUP(D79,Tables!$B$3:$M$36,12,FALSE())*Z$1)</f>
        <v>0</v>
      </c>
      <c r="EG79" s="91">
        <f>IF(AQ79="",0,VLOOKUP(E79,Tables!$B$3:$M$36,12,FALSE())*AA$1)</f>
        <v>0</v>
      </c>
      <c r="EH79" s="92">
        <f>IF(AR79="",0,VLOOKUP(F79,Tables!$B$3:$M$36,12,FALSE())*AB$1)</f>
        <v>0</v>
      </c>
      <c r="EI79" s="92">
        <f>IF(AS79="",0,VLOOKUP(G79,Tables!$B$3:$M$36,12,FALSE())*AC$1)</f>
        <v>0</v>
      </c>
      <c r="EJ79" s="92">
        <f>IF(AT79="",0,VLOOKUP(H79,Tables!$B$3:$M$36,12,FALSE())*AD$1)</f>
        <v>0</v>
      </c>
      <c r="EK79" s="92">
        <f>IF(AU79="",0,VLOOKUP(I79,Tables!$B$3:$M$36,12,FALSE())*AE$1)</f>
        <v>0</v>
      </c>
      <c r="EL79" s="91">
        <f>IF(AV79="",0,VLOOKUP(J79,Tables!$B$3:$M$36,12,FALSE())*AF$1)</f>
        <v>90</v>
      </c>
      <c r="EM79" s="92">
        <f>IF(AW79="",0,VLOOKUP(K79,Tables!$B$3:$M$36,12,FALSE())*AG$1)</f>
        <v>90</v>
      </c>
      <c r="EN79" s="92">
        <f>IF(AX79="",0,VLOOKUP(L79,Tables!$B$3:$M$36,12,FALSE())*AH$1)</f>
        <v>0</v>
      </c>
      <c r="EO79" s="91">
        <f>IF(AY79="",0,VLOOKUP(M79,Tables!$B$3:$M$36,12,FALSE())*AI$1)</f>
        <v>0</v>
      </c>
      <c r="EP79" s="92">
        <f>IF(AZ79="",0,VLOOKUP(N79,Tables!$B$3:$M$36,12,FALSE())*AJ$1)</f>
        <v>0</v>
      </c>
      <c r="EQ79" s="92">
        <f>IF(BA79="",0,VLOOKUP(O79,Tables!$B$3:$M$36,12,FALSE())*AK$1)</f>
        <v>0</v>
      </c>
      <c r="ER79" s="93">
        <f>IF(BB79="",0,VLOOKUP(P79,Tables!$B$3:$M$36,12,FALSE())*AL$1)</f>
        <v>0</v>
      </c>
      <c r="ES79" s="94">
        <f t="shared" si="111"/>
        <v>0</v>
      </c>
      <c r="ET79" s="95">
        <f>IF(AN79="",10,MIN(VLOOKUP(B79,MATERIAL,13,FALSE()),'Item Builder'!$W79))</f>
        <v>10</v>
      </c>
      <c r="EU79" s="95">
        <f>IF(AO79="",10,MIN(VLOOKUP(C79,MATERIAL,13,FALSE()),'Item Builder'!$W79))</f>
        <v>10</v>
      </c>
      <c r="EV79" s="95">
        <f>IF(AP79="",10,MIN(VLOOKUP(D79,MATERIAL,13,FALSE()),'Item Builder'!$W79))</f>
        <v>10</v>
      </c>
      <c r="EW79" s="95">
        <f>IF(AQ79="",10,MIN(VLOOKUP(E79,MATERIAL,13,FALSE()),'Item Builder'!$W79))</f>
        <v>10</v>
      </c>
      <c r="EX79" s="95">
        <f>IF(AR79="",10,MIN(VLOOKUP(F79,MATERIAL,13,FALSE()),'Item Builder'!$W79))</f>
        <v>10</v>
      </c>
      <c r="EY79" s="95">
        <f>IF(AS79="",10,MIN(VLOOKUP(G79,MATERIAL,13,FALSE()),'Item Builder'!$W79))</f>
        <v>10</v>
      </c>
      <c r="EZ79" s="95">
        <f>IF(AT79="",10,MIN(VLOOKUP(H79,MATERIAL,13,FALSE()),'Item Builder'!$W79))</f>
        <v>10</v>
      </c>
      <c r="FA79" s="95">
        <f>IF(AU79="",10,MIN(VLOOKUP(I79,MATERIAL,13,FALSE()),'Item Builder'!$W79))</f>
        <v>10</v>
      </c>
      <c r="FB79" s="95">
        <f>IF(AV79="",10,MIN(VLOOKUP(J79,MATERIAL,13,FALSE()),'Item Builder'!$W79))</f>
        <v>0</v>
      </c>
      <c r="FC79" s="95">
        <f>IF(AW79="",10,MIN(VLOOKUP(K79,MATERIAL,13,FALSE()),'Item Builder'!$W79))</f>
        <v>0</v>
      </c>
      <c r="FD79" s="95">
        <f>IF(AX79="",10,MIN(VLOOKUP(L79,MATERIAL,13,FALSE()),'Item Builder'!$W79))</f>
        <v>10</v>
      </c>
      <c r="FE79" s="95">
        <f>IF(AY79="",10,MIN(VLOOKUP(M79,MATERIAL,13,FALSE()),'Item Builder'!$W79))</f>
        <v>10</v>
      </c>
      <c r="FF79" s="95">
        <f>IF(AZ79="",10,MIN(VLOOKUP(N79,MATERIAL,13,FALSE()),'Item Builder'!$W79))</f>
        <v>10</v>
      </c>
      <c r="FG79" s="95">
        <f>IF(BA79="",10,MIN(VLOOKUP(O79,MATERIAL,13,FALSE()),'Item Builder'!$W79))</f>
        <v>10</v>
      </c>
      <c r="FH79" s="95">
        <f>IF(BB79="",10,MIN(VLOOKUP(P79,MATERIAL,13,FALSE()),'Item Builder'!$W79))</f>
        <v>10</v>
      </c>
    </row>
    <row r="80" spans="1:164" x14ac:dyDescent="0.25">
      <c r="A80" s="67" t="s">
        <v>78</v>
      </c>
      <c r="B80" s="68"/>
      <c r="C80" s="69"/>
      <c r="D80" s="70"/>
      <c r="E80" s="68" t="s">
        <v>108</v>
      </c>
      <c r="F80" s="69" t="s">
        <v>108</v>
      </c>
      <c r="G80" s="69"/>
      <c r="H80" s="69"/>
      <c r="I80" s="70"/>
      <c r="J80" s="68" t="s">
        <v>108</v>
      </c>
      <c r="K80" s="69" t="s">
        <v>108</v>
      </c>
      <c r="L80" s="70"/>
      <c r="M80" s="68"/>
      <c r="N80" s="69"/>
      <c r="O80" s="69"/>
      <c r="P80" s="71"/>
      <c r="Q80" s="72">
        <f>SUM(BV80:CJ80)*VLOOKUP(W80,Tables!$W$3:$Z$8,4)</f>
        <v>495</v>
      </c>
      <c r="R80" s="73">
        <f t="shared" si="56"/>
        <v>14.849999999999998</v>
      </c>
      <c r="S80" s="101">
        <f t="shared" si="57"/>
        <v>5</v>
      </c>
      <c r="T80" s="74">
        <f t="shared" si="58"/>
        <v>0</v>
      </c>
      <c r="U80" s="75">
        <f t="shared" si="59"/>
        <v>297</v>
      </c>
      <c r="V80" s="76">
        <f t="shared" si="60"/>
        <v>247.5</v>
      </c>
      <c r="W80" s="77">
        <v>0</v>
      </c>
      <c r="X80" s="78">
        <f t="shared" si="61"/>
        <v>0</v>
      </c>
      <c r="Y80" s="79">
        <f t="shared" si="62"/>
        <v>0</v>
      </c>
      <c r="Z80" s="79">
        <f t="shared" si="63"/>
        <v>0</v>
      </c>
      <c r="AA80" s="78">
        <f t="shared" si="64"/>
        <v>1</v>
      </c>
      <c r="AB80" s="79">
        <f t="shared" si="65"/>
        <v>1</v>
      </c>
      <c r="AC80" s="79">
        <f t="shared" si="66"/>
        <v>0</v>
      </c>
      <c r="AD80" s="79">
        <f t="shared" si="67"/>
        <v>0</v>
      </c>
      <c r="AE80" s="79">
        <f t="shared" si="68"/>
        <v>0</v>
      </c>
      <c r="AF80" s="78">
        <f t="shared" si="69"/>
        <v>1</v>
      </c>
      <c r="AG80" s="79">
        <f t="shared" si="70"/>
        <v>1</v>
      </c>
      <c r="AH80" s="79">
        <f t="shared" si="71"/>
        <v>0</v>
      </c>
      <c r="AI80" s="78">
        <f t="shared" si="72"/>
        <v>0</v>
      </c>
      <c r="AJ80" s="79">
        <f t="shared" si="73"/>
        <v>0</v>
      </c>
      <c r="AK80" s="79">
        <f t="shared" si="74"/>
        <v>0</v>
      </c>
      <c r="AL80" s="80">
        <f t="shared" si="75"/>
        <v>0</v>
      </c>
      <c r="AM80" s="81">
        <f t="shared" si="76"/>
        <v>0.32999999999999996</v>
      </c>
      <c r="AN80" s="82" t="str">
        <f t="shared" si="77"/>
        <v/>
      </c>
      <c r="AO80" s="79" t="str">
        <f t="shared" si="78"/>
        <v/>
      </c>
      <c r="AP80" t="str">
        <f t="shared" si="79"/>
        <v/>
      </c>
      <c r="AQ80" s="82" t="str">
        <f t="shared" si="80"/>
        <v>M</v>
      </c>
      <c r="AR80" t="str">
        <f t="shared" si="81"/>
        <v>M</v>
      </c>
      <c r="AS80" t="str">
        <f t="shared" si="82"/>
        <v/>
      </c>
      <c r="AT80" t="str">
        <f t="shared" si="83"/>
        <v/>
      </c>
      <c r="AU80" t="str">
        <f t="shared" si="84"/>
        <v/>
      </c>
      <c r="AV80" s="82" t="str">
        <f t="shared" si="85"/>
        <v>M</v>
      </c>
      <c r="AW80" t="str">
        <f t="shared" si="86"/>
        <v>M</v>
      </c>
      <c r="AX80" t="str">
        <f t="shared" si="87"/>
        <v/>
      </c>
      <c r="AY80" s="82" t="str">
        <f t="shared" si="88"/>
        <v/>
      </c>
      <c r="AZ80" t="str">
        <f t="shared" si="89"/>
        <v/>
      </c>
      <c r="BA80" t="str">
        <f t="shared" si="90"/>
        <v/>
      </c>
      <c r="BB80" s="83" t="str">
        <f t="shared" si="91"/>
        <v/>
      </c>
      <c r="BC80" s="84">
        <f t="shared" si="92"/>
        <v>0</v>
      </c>
      <c r="BD80" s="84">
        <f t="shared" si="93"/>
        <v>0.42857142857142849</v>
      </c>
      <c r="BE80" s="84">
        <f t="shared" si="94"/>
        <v>0.70588235294117652</v>
      </c>
      <c r="BF80" s="84">
        <f t="shared" si="95"/>
        <v>0</v>
      </c>
      <c r="BG80" s="78">
        <f>IF(AN80="",0,VLOOKUP(AN80,Tables!$AB$3:$AC$12,2))</f>
        <v>0</v>
      </c>
      <c r="BH80" s="79">
        <f>IF(AO80="",0,VLOOKUP(AO80,Tables!$AB$3:$AC$12,2))</f>
        <v>0</v>
      </c>
      <c r="BI80" s="79">
        <f>IF(AP80="",0,VLOOKUP(AP80,Tables!$AB$3:$AC$12,2))</f>
        <v>0</v>
      </c>
      <c r="BJ80" s="78">
        <f>IF(AQ80="",0,VLOOKUP(AQ80,Tables!$AB$3:$AC$12,2))</f>
        <v>1</v>
      </c>
      <c r="BK80" s="79">
        <f>IF(AR80="",0,VLOOKUP(AR80,Tables!$AB$3:$AC$12,2))</f>
        <v>1</v>
      </c>
      <c r="BL80" s="79">
        <f>IF(AS80="",0,VLOOKUP(AS80,Tables!$AB$3:$AC$12,2))</f>
        <v>0</v>
      </c>
      <c r="BM80" s="79">
        <f>IF(AT80="",0,VLOOKUP(AT80,Tables!$AB$3:$AC$12,2))</f>
        <v>0</v>
      </c>
      <c r="BN80" s="79">
        <f>IF(AU80="",0,VLOOKUP(AU80,Tables!$AB$3:$AC$12,2))</f>
        <v>0</v>
      </c>
      <c r="BO80" s="78">
        <f>IF(AV80="",0,VLOOKUP(AV80,Tables!$AB$3:$AC$12,2))</f>
        <v>1</v>
      </c>
      <c r="BP80" s="79">
        <f>IF(AW80="",0,VLOOKUP(AW80,Tables!$AB$3:$AC$12,2))</f>
        <v>1</v>
      </c>
      <c r="BQ80" s="79">
        <f>IF(AX80="",0,VLOOKUP(AX80,Tables!$AB$3:$AC$12,2))</f>
        <v>0</v>
      </c>
      <c r="BR80" s="78">
        <f>IF(AY80="",0,VLOOKUP(AY80,Tables!$AB$3:$AC$12,2))</f>
        <v>0</v>
      </c>
      <c r="BS80" s="79">
        <f>IF(AZ80="",0,VLOOKUP(AZ80,Tables!$AB$3:$AC$12,2))</f>
        <v>0</v>
      </c>
      <c r="BT80" s="79">
        <f>IF(BA80="",0,VLOOKUP(BA80,Tables!$AB$3:$AC$12,2))</f>
        <v>0</v>
      </c>
      <c r="BU80" s="80">
        <f>IF(BB80="",0,VLOOKUP(BB80,Tables!$AB$3:$AC$12,2))</f>
        <v>0</v>
      </c>
      <c r="BV80" s="85">
        <f>IF(AN80="",0,VLOOKUP(B80,Tables!$B$3:$D$36,2,FALSE())*X$1)</f>
        <v>0</v>
      </c>
      <c r="BW80" s="72">
        <f>IF(AO80="",0,VLOOKUP(C80,Tables!$B$3:$D$36,2,FALSE())*Y$1)</f>
        <v>0</v>
      </c>
      <c r="BX80" s="72">
        <f>IF(AP80="",0,VLOOKUP(D80,Tables!$B$3:$D$36,2,FALSE())*Z$1)</f>
        <v>0</v>
      </c>
      <c r="BY80" s="85">
        <f>IF(AQ80="",0,VLOOKUP(E80,Tables!$B$3:$D$36,2,FALSE())*AA$1)</f>
        <v>45</v>
      </c>
      <c r="BZ80" s="72">
        <f>IF(AR80="",0,VLOOKUP(F80,Tables!$B$3:$D$36,2,FALSE())*AB$1)</f>
        <v>90</v>
      </c>
      <c r="CA80" s="72">
        <f>IF(AS80="",0,VLOOKUP(G80,Tables!$B$3:$D$36,2,FALSE())*AC$1)</f>
        <v>0</v>
      </c>
      <c r="CB80" s="72">
        <f>IF(AT80="",0,VLOOKUP(H80,Tables!$B$3:$D$36,2,FALSE())*AD$1)</f>
        <v>0</v>
      </c>
      <c r="CC80" s="72">
        <f>IF(AU80="",0,VLOOKUP(I80,Tables!$B$3:$D$36,2,FALSE())*AE$1)</f>
        <v>0</v>
      </c>
      <c r="CD80" s="85">
        <f>IF(AV80="",0,VLOOKUP(J80,Tables!$B$3:$D$36,2,FALSE())*AF$1)</f>
        <v>180</v>
      </c>
      <c r="CE80" s="72">
        <f>IF(AW80="",0,VLOOKUP(K80,Tables!$B$3:$D$36,2,FALSE())*AG$1)</f>
        <v>180</v>
      </c>
      <c r="CF80" s="72">
        <f>IF(AX80="",0,VLOOKUP(L80,Tables!$B$3:$D$36,2,FALSE())*AH$1)</f>
        <v>0</v>
      </c>
      <c r="CG80" s="85">
        <f>IF(AY80="",0,VLOOKUP(M80,Tables!$B$3:$D$36,2,FALSE())*AI$1)</f>
        <v>0</v>
      </c>
      <c r="CH80" s="72">
        <f>IF(AZ80="",0,VLOOKUP(N80,Tables!$B$3:$D$36,2,FALSE())*AJ$1)</f>
        <v>0</v>
      </c>
      <c r="CI80" s="72">
        <f>IF(BA80="",0,VLOOKUP(O80,Tables!$B$3:$D$36,2,FALSE())*AK$1)</f>
        <v>0</v>
      </c>
      <c r="CJ80" s="86">
        <f>IF(BB80="",0,VLOOKUP(P80,Tables!$B$3:$D$36,2,FALSE())*AL$1)</f>
        <v>0</v>
      </c>
      <c r="CK80" s="87">
        <f>IF(AN80="",0,VLOOKUP(B80,Tables!$B$3:$D$36,3,FALSE())*X$1)*IF(OR(AN80="K",AN80="P"),2,1)</f>
        <v>0</v>
      </c>
      <c r="CL80" s="73">
        <f>IF(AO80="",0,VLOOKUP(C80,Tables!$B$3:$D$36,3,FALSE())*Y$1)*IF(OR(AO80="K",AO80="P"),2,1)</f>
        <v>0</v>
      </c>
      <c r="CM80" s="73">
        <f>IF(AP80="",0,VLOOKUP(D80,Tables!$B$3:$D$36,3,FALSE())*Z$1)*IF(OR(AP80="K",AP80="P"),2,1)</f>
        <v>0</v>
      </c>
      <c r="CN80" s="87">
        <f>IF(AQ80="",0,VLOOKUP(E80,Tables!$B$3:$D$36,3,FALSE())*AA$1)</f>
        <v>1.3499999999999999</v>
      </c>
      <c r="CO80" s="73">
        <f>IF(AR80="",0,VLOOKUP(F80,Tables!$B$3:$D$36,3,FALSE())*AB$1)</f>
        <v>2.6999999999999997</v>
      </c>
      <c r="CP80" s="73">
        <f>IF(AS80="",0,VLOOKUP(G80,Tables!$B$3:$D$36,3,FALSE())*AC$1)</f>
        <v>0</v>
      </c>
      <c r="CQ80" s="73">
        <f>IF(AT80="",0,VLOOKUP(H80,Tables!$B$3:$D$36,3,FALSE())*AD$1)</f>
        <v>0</v>
      </c>
      <c r="CR80" s="73">
        <f>IF(AU80="",0,VLOOKUP(I80,Tables!$B$3:$D$36,3,FALSE())*AE$1)</f>
        <v>0</v>
      </c>
      <c r="CS80" s="87">
        <f>IF(AV80="",0,VLOOKUP(J80,Tables!$B$3:$D$36,3,FALSE())*AF$1)</f>
        <v>5.3999999999999995</v>
      </c>
      <c r="CT80" s="73">
        <f>IF(AW80="",0,VLOOKUP(K80,Tables!$B$3:$D$36,3,FALSE())*AG$1)</f>
        <v>5.3999999999999995</v>
      </c>
      <c r="CU80" s="73">
        <f>IF(AX80="",0,VLOOKUP(L80,Tables!$B$3:$D$36,3,FALSE())*AH$1)</f>
        <v>0</v>
      </c>
      <c r="CV80" s="87">
        <f>IF(AY80="",0,VLOOKUP(M80,Tables!$B$3:$D$36,3,FALSE())*AI$1)</f>
        <v>0</v>
      </c>
      <c r="CW80" s="73">
        <f>IF(AZ80="",0,VLOOKUP(N80,Tables!$B$3:$D$36,3,FALSE())*AJ$1)</f>
        <v>0</v>
      </c>
      <c r="CX80" s="73">
        <f>IF(BA80="",0,VLOOKUP(O80,Tables!$B$3:$D$36,3,FALSE())*AK$1)</f>
        <v>0</v>
      </c>
      <c r="CY80" s="88">
        <f>IF(BB80="",0,VLOOKUP(P80,Tables!$B$3:$D$36,3,FALSE())*AL$1)</f>
        <v>0</v>
      </c>
      <c r="CZ80" s="89">
        <f t="shared" si="96"/>
        <v>0</v>
      </c>
      <c r="DA80" s="75">
        <f t="shared" si="97"/>
        <v>0</v>
      </c>
      <c r="DB80" s="75">
        <f t="shared" si="98"/>
        <v>0</v>
      </c>
      <c r="DC80" s="89">
        <f t="shared" si="99"/>
        <v>1</v>
      </c>
      <c r="DD80" s="75">
        <f t="shared" si="100"/>
        <v>1</v>
      </c>
      <c r="DE80" s="75">
        <f t="shared" si="101"/>
        <v>0</v>
      </c>
      <c r="DF80" s="75">
        <f t="shared" si="102"/>
        <v>0</v>
      </c>
      <c r="DG80" s="75">
        <f t="shared" si="103"/>
        <v>0</v>
      </c>
      <c r="DH80" s="89">
        <f t="shared" si="104"/>
        <v>1</v>
      </c>
      <c r="DI80" s="75">
        <f t="shared" si="105"/>
        <v>1</v>
      </c>
      <c r="DJ80" s="75">
        <f t="shared" si="106"/>
        <v>0</v>
      </c>
      <c r="DK80" s="89">
        <f t="shared" si="107"/>
        <v>0</v>
      </c>
      <c r="DL80" s="75">
        <f t="shared" si="108"/>
        <v>0</v>
      </c>
      <c r="DM80" s="75">
        <f t="shared" si="109"/>
        <v>0</v>
      </c>
      <c r="DN80" s="90">
        <f t="shared" si="110"/>
        <v>0</v>
      </c>
      <c r="DO80" s="91">
        <f>IF(AN80="",0,VLOOKUP(B80,Tables!$B$3:$M$36,11,FALSE())*X$1)</f>
        <v>0</v>
      </c>
      <c r="DP80" s="92">
        <f>IF(AO80="",0,VLOOKUP(C80,Tables!$B$3:$M$36,11,FALSE())*Y$1)</f>
        <v>0</v>
      </c>
      <c r="DQ80" s="92">
        <f>IF(AP80="",0,VLOOKUP(D80,Tables!$B$3:$M$36,11,FALSE())*Z$1)</f>
        <v>0</v>
      </c>
      <c r="DR80" s="91">
        <f>IF(AQ80="",0,VLOOKUP(E80,Tables!$B$3:$M$36,11,FALSE())*AA$1)</f>
        <v>27</v>
      </c>
      <c r="DS80" s="92">
        <f>IF(AR80="",0,VLOOKUP(F80,Tables!$B$3:$M$36,11,FALSE())*AB$1)</f>
        <v>54</v>
      </c>
      <c r="DT80" s="92">
        <f>IF(AS80="",0,VLOOKUP(G80,Tables!$B$3:$M$36,11,FALSE())*AC$1)</f>
        <v>0</v>
      </c>
      <c r="DU80" s="92">
        <f>IF(AT80="",0,VLOOKUP(H80,Tables!$B$3:$M$36,11,FALSE())*AD$1)</f>
        <v>0</v>
      </c>
      <c r="DV80" s="92">
        <f>IF(AU80="",0,VLOOKUP(I80,Tables!$B$3:$M$36,11,FALSE())*AE$1)</f>
        <v>0</v>
      </c>
      <c r="DW80" s="91">
        <f>IF(AV80="",0,VLOOKUP(J80,Tables!$B$3:$M$36,11,FALSE())*AF$1)</f>
        <v>108</v>
      </c>
      <c r="DX80" s="92">
        <f>IF(AW80="",0,VLOOKUP(K80,Tables!$B$3:$M$36,11,FALSE())*AG$1)</f>
        <v>108</v>
      </c>
      <c r="DY80" s="92">
        <f>IF(AX80="",0,VLOOKUP(L80,Tables!$B$3:$M$36,11,FALSE())*AH$1)</f>
        <v>0</v>
      </c>
      <c r="DZ80" s="91">
        <f>IF(AY80="",0,VLOOKUP(M80,Tables!$B$3:$M$36,11,FALSE())*AI$1)</f>
        <v>0</v>
      </c>
      <c r="EA80" s="92">
        <f>IF(AZ80="",0,VLOOKUP(N80,Tables!$B$3:$M$36,11,FALSE())*AJ$1)</f>
        <v>0</v>
      </c>
      <c r="EB80" s="92">
        <f>IF(BA80="",0,VLOOKUP(O80,Tables!$B$3:$M$36,11,FALSE())*AK$1)</f>
        <v>0</v>
      </c>
      <c r="EC80" s="93">
        <f>IF(BB80="",0,VLOOKUP(P80,Tables!$B$3:$M$36,11,FALSE())*AL$1)</f>
        <v>0</v>
      </c>
      <c r="ED80" s="91">
        <f>IF(AN80="",0,VLOOKUP(B80,Tables!$B$3:$M$36,12,FALSE())*X$1)</f>
        <v>0</v>
      </c>
      <c r="EE80" s="92">
        <f>IF(AO80="",0,VLOOKUP(C80,Tables!$B$3:$M$36,12,FALSE())*Y$1)</f>
        <v>0</v>
      </c>
      <c r="EF80" s="92">
        <f>IF(AP80="",0,VLOOKUP(D80,Tables!$B$3:$M$36,12,FALSE())*Z$1)</f>
        <v>0</v>
      </c>
      <c r="EG80" s="91">
        <f>IF(AQ80="",0,VLOOKUP(E80,Tables!$B$3:$M$36,12,FALSE())*AA$1)</f>
        <v>22.5</v>
      </c>
      <c r="EH80" s="92">
        <f>IF(AR80="",0,VLOOKUP(F80,Tables!$B$3:$M$36,12,FALSE())*AB$1)</f>
        <v>45</v>
      </c>
      <c r="EI80" s="92">
        <f>IF(AS80="",0,VLOOKUP(G80,Tables!$B$3:$M$36,12,FALSE())*AC$1)</f>
        <v>0</v>
      </c>
      <c r="EJ80" s="92">
        <f>IF(AT80="",0,VLOOKUP(H80,Tables!$B$3:$M$36,12,FALSE())*AD$1)</f>
        <v>0</v>
      </c>
      <c r="EK80" s="92">
        <f>IF(AU80="",0,VLOOKUP(I80,Tables!$B$3:$M$36,12,FALSE())*AE$1)</f>
        <v>0</v>
      </c>
      <c r="EL80" s="91">
        <f>IF(AV80="",0,VLOOKUP(J80,Tables!$B$3:$M$36,12,FALSE())*AF$1)</f>
        <v>90</v>
      </c>
      <c r="EM80" s="92">
        <f>IF(AW80="",0,VLOOKUP(K80,Tables!$B$3:$M$36,12,FALSE())*AG$1)</f>
        <v>90</v>
      </c>
      <c r="EN80" s="92">
        <f>IF(AX80="",0,VLOOKUP(L80,Tables!$B$3:$M$36,12,FALSE())*AH$1)</f>
        <v>0</v>
      </c>
      <c r="EO80" s="91">
        <f>IF(AY80="",0,VLOOKUP(M80,Tables!$B$3:$M$36,12,FALSE())*AI$1)</f>
        <v>0</v>
      </c>
      <c r="EP80" s="92">
        <f>IF(AZ80="",0,VLOOKUP(N80,Tables!$B$3:$M$36,12,FALSE())*AJ$1)</f>
        <v>0</v>
      </c>
      <c r="EQ80" s="92">
        <f>IF(BA80="",0,VLOOKUP(O80,Tables!$B$3:$M$36,12,FALSE())*AK$1)</f>
        <v>0</v>
      </c>
      <c r="ER80" s="93">
        <f>IF(BB80="",0,VLOOKUP(P80,Tables!$B$3:$M$36,12,FALSE())*AL$1)</f>
        <v>0</v>
      </c>
      <c r="ES80" s="94">
        <f t="shared" si="111"/>
        <v>0</v>
      </c>
      <c r="ET80" s="95">
        <f>IF(AN80="",10,MIN(VLOOKUP(B80,MATERIAL,13,FALSE()),'Item Builder'!$W80))</f>
        <v>10</v>
      </c>
      <c r="EU80" s="95">
        <f>IF(AO80="",10,MIN(VLOOKUP(C80,MATERIAL,13,FALSE()),'Item Builder'!$W80))</f>
        <v>10</v>
      </c>
      <c r="EV80" s="95">
        <f>IF(AP80="",10,MIN(VLOOKUP(D80,MATERIAL,13,FALSE()),'Item Builder'!$W80))</f>
        <v>10</v>
      </c>
      <c r="EW80" s="95">
        <f>IF(AQ80="",10,MIN(VLOOKUP(E80,MATERIAL,13,FALSE()),'Item Builder'!$W80))</f>
        <v>0</v>
      </c>
      <c r="EX80" s="95">
        <f>IF(AR80="",10,MIN(VLOOKUP(F80,MATERIAL,13,FALSE()),'Item Builder'!$W80))</f>
        <v>0</v>
      </c>
      <c r="EY80" s="95">
        <f>IF(AS80="",10,MIN(VLOOKUP(G80,MATERIAL,13,FALSE()),'Item Builder'!$W80))</f>
        <v>10</v>
      </c>
      <c r="EZ80" s="95">
        <f>IF(AT80="",10,MIN(VLOOKUP(H80,MATERIAL,13,FALSE()),'Item Builder'!$W80))</f>
        <v>10</v>
      </c>
      <c r="FA80" s="95">
        <f>IF(AU80="",10,MIN(VLOOKUP(I80,MATERIAL,13,FALSE()),'Item Builder'!$W80))</f>
        <v>10</v>
      </c>
      <c r="FB80" s="95">
        <f>IF(AV80="",10,MIN(VLOOKUP(J80,MATERIAL,13,FALSE()),'Item Builder'!$W80))</f>
        <v>0</v>
      </c>
      <c r="FC80" s="95">
        <f>IF(AW80="",10,MIN(VLOOKUP(K80,MATERIAL,13,FALSE()),'Item Builder'!$W80))</f>
        <v>0</v>
      </c>
      <c r="FD80" s="95">
        <f>IF(AX80="",10,MIN(VLOOKUP(L80,MATERIAL,13,FALSE()),'Item Builder'!$W80))</f>
        <v>10</v>
      </c>
      <c r="FE80" s="95">
        <f>IF(AY80="",10,MIN(VLOOKUP(M80,MATERIAL,13,FALSE()),'Item Builder'!$W80))</f>
        <v>10</v>
      </c>
      <c r="FF80" s="95">
        <f>IF(AZ80="",10,MIN(VLOOKUP(N80,MATERIAL,13,FALSE()),'Item Builder'!$W80))</f>
        <v>10</v>
      </c>
      <c r="FG80" s="95">
        <f>IF(BA80="",10,MIN(VLOOKUP(O80,MATERIAL,13,FALSE()),'Item Builder'!$W80))</f>
        <v>10</v>
      </c>
      <c r="FH80" s="95">
        <f>IF(BB80="",10,MIN(VLOOKUP(P80,MATERIAL,13,FALSE()),'Item Builder'!$W80))</f>
        <v>10</v>
      </c>
    </row>
    <row r="81" spans="1:164" x14ac:dyDescent="0.25">
      <c r="A81" s="67" t="s">
        <v>234</v>
      </c>
      <c r="B81" s="68"/>
      <c r="C81" s="69"/>
      <c r="D81" s="70"/>
      <c r="E81" s="68" t="s">
        <v>108</v>
      </c>
      <c r="F81" s="69" t="s">
        <v>108</v>
      </c>
      <c r="G81" s="69" t="s">
        <v>108</v>
      </c>
      <c r="H81" s="69" t="s">
        <v>108</v>
      </c>
      <c r="I81" s="70"/>
      <c r="J81" s="68" t="s">
        <v>108</v>
      </c>
      <c r="K81" s="69" t="s">
        <v>108</v>
      </c>
      <c r="L81" s="70"/>
      <c r="M81" s="68"/>
      <c r="N81" s="69"/>
      <c r="O81" s="69"/>
      <c r="P81" s="71"/>
      <c r="Q81" s="72">
        <f>SUM(BV81:CJ81)*VLOOKUP(W81,Tables!$W$3:$Z$8,4)</f>
        <v>600</v>
      </c>
      <c r="R81" s="73">
        <f t="shared" si="56"/>
        <v>18</v>
      </c>
      <c r="S81" s="102">
        <f t="shared" si="57"/>
        <v>10</v>
      </c>
      <c r="T81" s="74">
        <f t="shared" si="58"/>
        <v>0</v>
      </c>
      <c r="U81" s="75">
        <f t="shared" si="59"/>
        <v>360</v>
      </c>
      <c r="V81" s="76">
        <f t="shared" si="60"/>
        <v>300</v>
      </c>
      <c r="W81" s="77">
        <v>0</v>
      </c>
      <c r="X81" s="78">
        <f t="shared" si="61"/>
        <v>0</v>
      </c>
      <c r="Y81" s="79">
        <f t="shared" si="62"/>
        <v>0</v>
      </c>
      <c r="Z81" s="79">
        <f t="shared" si="63"/>
        <v>0</v>
      </c>
      <c r="AA81" s="78">
        <f t="shared" si="64"/>
        <v>1</v>
      </c>
      <c r="AB81" s="79">
        <f t="shared" si="65"/>
        <v>1</v>
      </c>
      <c r="AC81" s="79">
        <f t="shared" si="66"/>
        <v>1</v>
      </c>
      <c r="AD81" s="79">
        <f t="shared" si="67"/>
        <v>1</v>
      </c>
      <c r="AE81" s="79">
        <f t="shared" si="68"/>
        <v>0</v>
      </c>
      <c r="AF81" s="78">
        <f t="shared" si="69"/>
        <v>1</v>
      </c>
      <c r="AG81" s="79">
        <f t="shared" si="70"/>
        <v>1</v>
      </c>
      <c r="AH81" s="79">
        <f t="shared" si="71"/>
        <v>0</v>
      </c>
      <c r="AI81" s="78">
        <f t="shared" si="72"/>
        <v>0</v>
      </c>
      <c r="AJ81" s="79">
        <f t="shared" si="73"/>
        <v>0</v>
      </c>
      <c r="AK81" s="79">
        <f t="shared" si="74"/>
        <v>0</v>
      </c>
      <c r="AL81" s="80">
        <f t="shared" si="75"/>
        <v>0</v>
      </c>
      <c r="AM81" s="81">
        <f t="shared" si="76"/>
        <v>0.4</v>
      </c>
      <c r="AN81" s="82" t="str">
        <f t="shared" si="77"/>
        <v/>
      </c>
      <c r="AO81" s="79" t="str">
        <f t="shared" si="78"/>
        <v/>
      </c>
      <c r="AP81" t="str">
        <f t="shared" si="79"/>
        <v/>
      </c>
      <c r="AQ81" s="82" t="str">
        <f t="shared" si="80"/>
        <v>M</v>
      </c>
      <c r="AR81" t="str">
        <f t="shared" si="81"/>
        <v>M</v>
      </c>
      <c r="AS81" t="str">
        <f t="shared" si="82"/>
        <v>M</v>
      </c>
      <c r="AT81" t="str">
        <f t="shared" si="83"/>
        <v>M</v>
      </c>
      <c r="AU81" t="str">
        <f t="shared" si="84"/>
        <v/>
      </c>
      <c r="AV81" s="82" t="str">
        <f t="shared" si="85"/>
        <v>M</v>
      </c>
      <c r="AW81" t="str">
        <f t="shared" si="86"/>
        <v>M</v>
      </c>
      <c r="AX81" t="str">
        <f t="shared" si="87"/>
        <v/>
      </c>
      <c r="AY81" s="82" t="str">
        <f t="shared" si="88"/>
        <v/>
      </c>
      <c r="AZ81" t="str">
        <f t="shared" si="89"/>
        <v/>
      </c>
      <c r="BA81" t="str">
        <f t="shared" si="90"/>
        <v/>
      </c>
      <c r="BB81" s="83" t="str">
        <f t="shared" si="91"/>
        <v/>
      </c>
      <c r="BC81" s="84">
        <f t="shared" si="92"/>
        <v>0</v>
      </c>
      <c r="BD81" s="84">
        <f t="shared" si="93"/>
        <v>0.76190476190476186</v>
      </c>
      <c r="BE81" s="84">
        <f t="shared" si="94"/>
        <v>0.70588235294117652</v>
      </c>
      <c r="BF81" s="84">
        <f t="shared" si="95"/>
        <v>0</v>
      </c>
      <c r="BG81" s="78">
        <f>IF(AN81="",0,VLOOKUP(AN81,Tables!$AB$3:$AC$12,2))</f>
        <v>0</v>
      </c>
      <c r="BH81" s="79">
        <f>IF(AO81="",0,VLOOKUP(AO81,Tables!$AB$3:$AC$12,2))</f>
        <v>0</v>
      </c>
      <c r="BI81" s="79">
        <f>IF(AP81="",0,VLOOKUP(AP81,Tables!$AB$3:$AC$12,2))</f>
        <v>0</v>
      </c>
      <c r="BJ81" s="78">
        <f>IF(AQ81="",0,VLOOKUP(AQ81,Tables!$AB$3:$AC$12,2))</f>
        <v>1</v>
      </c>
      <c r="BK81" s="79">
        <f>IF(AR81="",0,VLOOKUP(AR81,Tables!$AB$3:$AC$12,2))</f>
        <v>1</v>
      </c>
      <c r="BL81" s="79">
        <f>IF(AS81="",0,VLOOKUP(AS81,Tables!$AB$3:$AC$12,2))</f>
        <v>1</v>
      </c>
      <c r="BM81" s="79">
        <f>IF(AT81="",0,VLOOKUP(AT81,Tables!$AB$3:$AC$12,2))</f>
        <v>1</v>
      </c>
      <c r="BN81" s="79">
        <f>IF(AU81="",0,VLOOKUP(AU81,Tables!$AB$3:$AC$12,2))</f>
        <v>0</v>
      </c>
      <c r="BO81" s="78">
        <f>IF(AV81="",0,VLOOKUP(AV81,Tables!$AB$3:$AC$12,2))</f>
        <v>1</v>
      </c>
      <c r="BP81" s="79">
        <f>IF(AW81="",0,VLOOKUP(AW81,Tables!$AB$3:$AC$12,2))</f>
        <v>1</v>
      </c>
      <c r="BQ81" s="79">
        <f>IF(AX81="",0,VLOOKUP(AX81,Tables!$AB$3:$AC$12,2))</f>
        <v>0</v>
      </c>
      <c r="BR81" s="78">
        <f>IF(AY81="",0,VLOOKUP(AY81,Tables!$AB$3:$AC$12,2))</f>
        <v>0</v>
      </c>
      <c r="BS81" s="79">
        <f>IF(AZ81="",0,VLOOKUP(AZ81,Tables!$AB$3:$AC$12,2))</f>
        <v>0</v>
      </c>
      <c r="BT81" s="79">
        <f>IF(BA81="",0,VLOOKUP(BA81,Tables!$AB$3:$AC$12,2))</f>
        <v>0</v>
      </c>
      <c r="BU81" s="80">
        <f>IF(BB81="",0,VLOOKUP(BB81,Tables!$AB$3:$AC$12,2))</f>
        <v>0</v>
      </c>
      <c r="BV81" s="85">
        <f>IF(AN81="",0,VLOOKUP(B81,Tables!$B$3:$D$36,2,FALSE())*X$1)</f>
        <v>0</v>
      </c>
      <c r="BW81" s="72">
        <f>IF(AO81="",0,VLOOKUP(C81,Tables!$B$3:$D$36,2,FALSE())*Y$1)</f>
        <v>0</v>
      </c>
      <c r="BX81" s="72">
        <f>IF(AP81="",0,VLOOKUP(D81,Tables!$B$3:$D$36,2,FALSE())*Z$1)</f>
        <v>0</v>
      </c>
      <c r="BY81" s="85">
        <f>IF(AQ81="",0,VLOOKUP(E81,Tables!$B$3:$D$36,2,FALSE())*AA$1)</f>
        <v>45</v>
      </c>
      <c r="BZ81" s="72">
        <f>IF(AR81="",0,VLOOKUP(F81,Tables!$B$3:$D$36,2,FALSE())*AB$1)</f>
        <v>90</v>
      </c>
      <c r="CA81" s="72">
        <f>IF(AS81="",0,VLOOKUP(G81,Tables!$B$3:$D$36,2,FALSE())*AC$1)</f>
        <v>30</v>
      </c>
      <c r="CB81" s="72">
        <f>IF(AT81="",0,VLOOKUP(H81,Tables!$B$3:$D$36,2,FALSE())*AD$1)</f>
        <v>75</v>
      </c>
      <c r="CC81" s="72">
        <f>IF(AU81="",0,VLOOKUP(I81,Tables!$B$3:$D$36,2,FALSE())*AE$1)</f>
        <v>0</v>
      </c>
      <c r="CD81" s="85">
        <f>IF(AV81="",0,VLOOKUP(J81,Tables!$B$3:$D$36,2,FALSE())*AF$1)</f>
        <v>180</v>
      </c>
      <c r="CE81" s="72">
        <f>IF(AW81="",0,VLOOKUP(K81,Tables!$B$3:$D$36,2,FALSE())*AG$1)</f>
        <v>180</v>
      </c>
      <c r="CF81" s="72">
        <f>IF(AX81="",0,VLOOKUP(L81,Tables!$B$3:$D$36,2,FALSE())*AH$1)</f>
        <v>0</v>
      </c>
      <c r="CG81" s="85">
        <f>IF(AY81="",0,VLOOKUP(M81,Tables!$B$3:$D$36,2,FALSE())*AI$1)</f>
        <v>0</v>
      </c>
      <c r="CH81" s="72">
        <f>IF(AZ81="",0,VLOOKUP(N81,Tables!$B$3:$D$36,2,FALSE())*AJ$1)</f>
        <v>0</v>
      </c>
      <c r="CI81" s="72">
        <f>IF(BA81="",0,VLOOKUP(O81,Tables!$B$3:$D$36,2,FALSE())*AK$1)</f>
        <v>0</v>
      </c>
      <c r="CJ81" s="86">
        <f>IF(BB81="",0,VLOOKUP(P81,Tables!$B$3:$D$36,2,FALSE())*AL$1)</f>
        <v>0</v>
      </c>
      <c r="CK81" s="87">
        <f>IF(AN81="",0,VLOOKUP(B81,Tables!$B$3:$D$36,3,FALSE())*X$1)*IF(OR(AN81="K",AN81="P"),2,1)</f>
        <v>0</v>
      </c>
      <c r="CL81" s="73">
        <f>IF(AO81="",0,VLOOKUP(C81,Tables!$B$3:$D$36,3,FALSE())*Y$1)*IF(OR(AO81="K",AO81="P"),2,1)</f>
        <v>0</v>
      </c>
      <c r="CM81" s="73">
        <f>IF(AP81="",0,VLOOKUP(D81,Tables!$B$3:$D$36,3,FALSE())*Z$1)*IF(OR(AP81="K",AP81="P"),2,1)</f>
        <v>0</v>
      </c>
      <c r="CN81" s="87">
        <f>IF(AQ81="",0,VLOOKUP(E81,Tables!$B$3:$D$36,3,FALSE())*AA$1)</f>
        <v>1.3499999999999999</v>
      </c>
      <c r="CO81" s="73">
        <f>IF(AR81="",0,VLOOKUP(F81,Tables!$B$3:$D$36,3,FALSE())*AB$1)</f>
        <v>2.6999999999999997</v>
      </c>
      <c r="CP81" s="73">
        <f>IF(AS81="",0,VLOOKUP(G81,Tables!$B$3:$D$36,3,FALSE())*AC$1)</f>
        <v>0.9</v>
      </c>
      <c r="CQ81" s="73">
        <f>IF(AT81="",0,VLOOKUP(H81,Tables!$B$3:$D$36,3,FALSE())*AD$1)</f>
        <v>2.25</v>
      </c>
      <c r="CR81" s="73">
        <f>IF(AU81="",0,VLOOKUP(I81,Tables!$B$3:$D$36,3,FALSE())*AE$1)</f>
        <v>0</v>
      </c>
      <c r="CS81" s="87">
        <f>IF(AV81="",0,VLOOKUP(J81,Tables!$B$3:$D$36,3,FALSE())*AF$1)</f>
        <v>5.3999999999999995</v>
      </c>
      <c r="CT81" s="73">
        <f>IF(AW81="",0,VLOOKUP(K81,Tables!$B$3:$D$36,3,FALSE())*AG$1)</f>
        <v>5.3999999999999995</v>
      </c>
      <c r="CU81" s="73">
        <f>IF(AX81="",0,VLOOKUP(L81,Tables!$B$3:$D$36,3,FALSE())*AH$1)</f>
        <v>0</v>
      </c>
      <c r="CV81" s="87">
        <f>IF(AY81="",0,VLOOKUP(M81,Tables!$B$3:$D$36,3,FALSE())*AI$1)</f>
        <v>0</v>
      </c>
      <c r="CW81" s="73">
        <f>IF(AZ81="",0,VLOOKUP(N81,Tables!$B$3:$D$36,3,FALSE())*AJ$1)</f>
        <v>0</v>
      </c>
      <c r="CX81" s="73">
        <f>IF(BA81="",0,VLOOKUP(O81,Tables!$B$3:$D$36,3,FALSE())*AK$1)</f>
        <v>0</v>
      </c>
      <c r="CY81" s="88">
        <f>IF(BB81="",0,VLOOKUP(P81,Tables!$B$3:$D$36,3,FALSE())*AL$1)</f>
        <v>0</v>
      </c>
      <c r="CZ81" s="89">
        <f t="shared" si="96"/>
        <v>0</v>
      </c>
      <c r="DA81" s="75">
        <f t="shared" si="97"/>
        <v>0</v>
      </c>
      <c r="DB81" s="75">
        <f t="shared" si="98"/>
        <v>0</v>
      </c>
      <c r="DC81" s="89">
        <f t="shared" si="99"/>
        <v>1</v>
      </c>
      <c r="DD81" s="75">
        <f t="shared" si="100"/>
        <v>1</v>
      </c>
      <c r="DE81" s="75">
        <f t="shared" si="101"/>
        <v>1</v>
      </c>
      <c r="DF81" s="75">
        <f t="shared" si="102"/>
        <v>1</v>
      </c>
      <c r="DG81" s="75">
        <f t="shared" si="103"/>
        <v>0</v>
      </c>
      <c r="DH81" s="89">
        <f t="shared" si="104"/>
        <v>1</v>
      </c>
      <c r="DI81" s="75">
        <f t="shared" si="105"/>
        <v>1</v>
      </c>
      <c r="DJ81" s="75">
        <f t="shared" si="106"/>
        <v>0</v>
      </c>
      <c r="DK81" s="89">
        <f t="shared" si="107"/>
        <v>0</v>
      </c>
      <c r="DL81" s="75">
        <f t="shared" si="108"/>
        <v>0</v>
      </c>
      <c r="DM81" s="75">
        <f t="shared" si="109"/>
        <v>0</v>
      </c>
      <c r="DN81" s="90">
        <f t="shared" si="110"/>
        <v>0</v>
      </c>
      <c r="DO81" s="91">
        <f>IF(AN81="",0,VLOOKUP(B81,Tables!$B$3:$M$36,11,FALSE())*X$1)</f>
        <v>0</v>
      </c>
      <c r="DP81" s="92">
        <f>IF(AO81="",0,VLOOKUP(C81,Tables!$B$3:$M$36,11,FALSE())*Y$1)</f>
        <v>0</v>
      </c>
      <c r="DQ81" s="92">
        <f>IF(AP81="",0,VLOOKUP(D81,Tables!$B$3:$M$36,11,FALSE())*Z$1)</f>
        <v>0</v>
      </c>
      <c r="DR81" s="91">
        <f>IF(AQ81="",0,VLOOKUP(E81,Tables!$B$3:$M$36,11,FALSE())*AA$1)</f>
        <v>27</v>
      </c>
      <c r="DS81" s="92">
        <f>IF(AR81="",0,VLOOKUP(F81,Tables!$B$3:$M$36,11,FALSE())*AB$1)</f>
        <v>54</v>
      </c>
      <c r="DT81" s="92">
        <f>IF(AS81="",0,VLOOKUP(G81,Tables!$B$3:$M$36,11,FALSE())*AC$1)</f>
        <v>18</v>
      </c>
      <c r="DU81" s="92">
        <f>IF(AT81="",0,VLOOKUP(H81,Tables!$B$3:$M$36,11,FALSE())*AD$1)</f>
        <v>45</v>
      </c>
      <c r="DV81" s="92">
        <f>IF(AU81="",0,VLOOKUP(I81,Tables!$B$3:$M$36,11,FALSE())*AE$1)</f>
        <v>0</v>
      </c>
      <c r="DW81" s="91">
        <f>IF(AV81="",0,VLOOKUP(J81,Tables!$B$3:$M$36,11,FALSE())*AF$1)</f>
        <v>108</v>
      </c>
      <c r="DX81" s="92">
        <f>IF(AW81="",0,VLOOKUP(K81,Tables!$B$3:$M$36,11,FALSE())*AG$1)</f>
        <v>108</v>
      </c>
      <c r="DY81" s="92">
        <f>IF(AX81="",0,VLOOKUP(L81,Tables!$B$3:$M$36,11,FALSE())*AH$1)</f>
        <v>0</v>
      </c>
      <c r="DZ81" s="91">
        <f>IF(AY81="",0,VLOOKUP(M81,Tables!$B$3:$M$36,11,FALSE())*AI$1)</f>
        <v>0</v>
      </c>
      <c r="EA81" s="92">
        <f>IF(AZ81="",0,VLOOKUP(N81,Tables!$B$3:$M$36,11,FALSE())*AJ$1)</f>
        <v>0</v>
      </c>
      <c r="EB81" s="92">
        <f>IF(BA81="",0,VLOOKUP(O81,Tables!$B$3:$M$36,11,FALSE())*AK$1)</f>
        <v>0</v>
      </c>
      <c r="EC81" s="93">
        <f>IF(BB81="",0,VLOOKUP(P81,Tables!$B$3:$M$36,11,FALSE())*AL$1)</f>
        <v>0</v>
      </c>
      <c r="ED81" s="91">
        <f>IF(AN81="",0,VLOOKUP(B81,Tables!$B$3:$M$36,12,FALSE())*X$1)</f>
        <v>0</v>
      </c>
      <c r="EE81" s="92">
        <f>IF(AO81="",0,VLOOKUP(C81,Tables!$B$3:$M$36,12,FALSE())*Y$1)</f>
        <v>0</v>
      </c>
      <c r="EF81" s="92">
        <f>IF(AP81="",0,VLOOKUP(D81,Tables!$B$3:$M$36,12,FALSE())*Z$1)</f>
        <v>0</v>
      </c>
      <c r="EG81" s="91">
        <f>IF(AQ81="",0,VLOOKUP(E81,Tables!$B$3:$M$36,12,FALSE())*AA$1)</f>
        <v>22.5</v>
      </c>
      <c r="EH81" s="92">
        <f>IF(AR81="",0,VLOOKUP(F81,Tables!$B$3:$M$36,12,FALSE())*AB$1)</f>
        <v>45</v>
      </c>
      <c r="EI81" s="92">
        <f>IF(AS81="",0,VLOOKUP(G81,Tables!$B$3:$M$36,12,FALSE())*AC$1)</f>
        <v>15</v>
      </c>
      <c r="EJ81" s="92">
        <f>IF(AT81="",0,VLOOKUP(H81,Tables!$B$3:$M$36,12,FALSE())*AD$1)</f>
        <v>37.5</v>
      </c>
      <c r="EK81" s="92">
        <f>IF(AU81="",0,VLOOKUP(I81,Tables!$B$3:$M$36,12,FALSE())*AE$1)</f>
        <v>0</v>
      </c>
      <c r="EL81" s="91">
        <f>IF(AV81="",0,VLOOKUP(J81,Tables!$B$3:$M$36,12,FALSE())*AF$1)</f>
        <v>90</v>
      </c>
      <c r="EM81" s="92">
        <f>IF(AW81="",0,VLOOKUP(K81,Tables!$B$3:$M$36,12,FALSE())*AG$1)</f>
        <v>90</v>
      </c>
      <c r="EN81" s="92">
        <f>IF(AX81="",0,VLOOKUP(L81,Tables!$B$3:$M$36,12,FALSE())*AH$1)</f>
        <v>0</v>
      </c>
      <c r="EO81" s="91">
        <f>IF(AY81="",0,VLOOKUP(M81,Tables!$B$3:$M$36,12,FALSE())*AI$1)</f>
        <v>0</v>
      </c>
      <c r="EP81" s="92">
        <f>IF(AZ81="",0,VLOOKUP(N81,Tables!$B$3:$M$36,12,FALSE())*AJ$1)</f>
        <v>0</v>
      </c>
      <c r="EQ81" s="92">
        <f>IF(BA81="",0,VLOOKUP(O81,Tables!$B$3:$M$36,12,FALSE())*AK$1)</f>
        <v>0</v>
      </c>
      <c r="ER81" s="93">
        <f>IF(BB81="",0,VLOOKUP(P81,Tables!$B$3:$M$36,12,FALSE())*AL$1)</f>
        <v>0</v>
      </c>
      <c r="ES81" s="94">
        <f t="shared" si="111"/>
        <v>0</v>
      </c>
      <c r="ET81" s="95">
        <f>IF(AN81="",10,MIN(VLOOKUP(B81,MATERIAL,13,FALSE()),'Item Builder'!$W81))</f>
        <v>10</v>
      </c>
      <c r="EU81" s="95">
        <f>IF(AO81="",10,MIN(VLOOKUP(C81,MATERIAL,13,FALSE()),'Item Builder'!$W81))</f>
        <v>10</v>
      </c>
      <c r="EV81" s="95">
        <f>IF(AP81="",10,MIN(VLOOKUP(D81,MATERIAL,13,FALSE()),'Item Builder'!$W81))</f>
        <v>10</v>
      </c>
      <c r="EW81" s="95">
        <f>IF(AQ81="",10,MIN(VLOOKUP(E81,MATERIAL,13,FALSE()),'Item Builder'!$W81))</f>
        <v>0</v>
      </c>
      <c r="EX81" s="95">
        <f>IF(AR81="",10,MIN(VLOOKUP(F81,MATERIAL,13,FALSE()),'Item Builder'!$W81))</f>
        <v>0</v>
      </c>
      <c r="EY81" s="95">
        <f>IF(AS81="",10,MIN(VLOOKUP(G81,MATERIAL,13,FALSE()),'Item Builder'!$W81))</f>
        <v>0</v>
      </c>
      <c r="EZ81" s="95">
        <f>IF(AT81="",10,MIN(VLOOKUP(H81,MATERIAL,13,FALSE()),'Item Builder'!$W81))</f>
        <v>0</v>
      </c>
      <c r="FA81" s="95">
        <f>IF(AU81="",10,MIN(VLOOKUP(I81,MATERIAL,13,FALSE()),'Item Builder'!$W81))</f>
        <v>10</v>
      </c>
      <c r="FB81" s="95">
        <f>IF(AV81="",10,MIN(VLOOKUP(J81,MATERIAL,13,FALSE()),'Item Builder'!$W81))</f>
        <v>0</v>
      </c>
      <c r="FC81" s="95">
        <f>IF(AW81="",10,MIN(VLOOKUP(K81,MATERIAL,13,FALSE()),'Item Builder'!$W81))</f>
        <v>0</v>
      </c>
      <c r="FD81" s="95">
        <f>IF(AX81="",10,MIN(VLOOKUP(L81,MATERIAL,13,FALSE()),'Item Builder'!$W81))</f>
        <v>10</v>
      </c>
      <c r="FE81" s="95">
        <f>IF(AY81="",10,MIN(VLOOKUP(M81,MATERIAL,13,FALSE()),'Item Builder'!$W81))</f>
        <v>10</v>
      </c>
      <c r="FF81" s="95">
        <f>IF(AZ81="",10,MIN(VLOOKUP(N81,MATERIAL,13,FALSE()),'Item Builder'!$W81))</f>
        <v>10</v>
      </c>
      <c r="FG81" s="95">
        <f>IF(BA81="",10,MIN(VLOOKUP(O81,MATERIAL,13,FALSE()),'Item Builder'!$W81))</f>
        <v>10</v>
      </c>
      <c r="FH81" s="95">
        <f>IF(BB81="",10,MIN(VLOOKUP(P81,MATERIAL,13,FALSE()),'Item Builder'!$W81))</f>
        <v>10</v>
      </c>
    </row>
    <row r="82" spans="1:164" x14ac:dyDescent="0.25">
      <c r="A82" s="67" t="s">
        <v>79</v>
      </c>
      <c r="B82" s="68"/>
      <c r="C82" s="69"/>
      <c r="D82" s="70"/>
      <c r="E82" s="68" t="s">
        <v>108</v>
      </c>
      <c r="F82" s="69" t="s">
        <v>108</v>
      </c>
      <c r="G82" s="69" t="s">
        <v>108</v>
      </c>
      <c r="H82" s="69"/>
      <c r="I82" s="70"/>
      <c r="J82" s="68" t="s">
        <v>108</v>
      </c>
      <c r="K82" s="69" t="s">
        <v>108</v>
      </c>
      <c r="L82" s="70" t="s">
        <v>108</v>
      </c>
      <c r="M82" s="68"/>
      <c r="N82" s="69"/>
      <c r="O82" s="69"/>
      <c r="P82" s="71"/>
      <c r="Q82" s="72">
        <f>SUM(BV82:CJ82)*VLOOKUP(W82,Tables!$W$3:$Z$8,4)</f>
        <v>675</v>
      </c>
      <c r="R82" s="73">
        <f t="shared" si="56"/>
        <v>20.25</v>
      </c>
      <c r="S82" s="102">
        <f t="shared" si="57"/>
        <v>10</v>
      </c>
      <c r="T82" s="74">
        <f t="shared" si="58"/>
        <v>0</v>
      </c>
      <c r="U82" s="75">
        <f t="shared" si="59"/>
        <v>405</v>
      </c>
      <c r="V82" s="76">
        <f t="shared" si="60"/>
        <v>337.5</v>
      </c>
      <c r="W82" s="77">
        <v>0</v>
      </c>
      <c r="X82" s="78">
        <f t="shared" si="61"/>
        <v>0</v>
      </c>
      <c r="Y82" s="79">
        <f t="shared" si="62"/>
        <v>0</v>
      </c>
      <c r="Z82" s="79">
        <f t="shared" si="63"/>
        <v>0</v>
      </c>
      <c r="AA82" s="78">
        <f t="shared" si="64"/>
        <v>1</v>
      </c>
      <c r="AB82" s="79">
        <f t="shared" si="65"/>
        <v>1</v>
      </c>
      <c r="AC82" s="79">
        <f t="shared" si="66"/>
        <v>1</v>
      </c>
      <c r="AD82" s="79">
        <f t="shared" si="67"/>
        <v>0</v>
      </c>
      <c r="AE82" s="79">
        <f t="shared" si="68"/>
        <v>0</v>
      </c>
      <c r="AF82" s="78">
        <f t="shared" si="69"/>
        <v>1</v>
      </c>
      <c r="AG82" s="79">
        <f t="shared" si="70"/>
        <v>1</v>
      </c>
      <c r="AH82" s="79">
        <f t="shared" si="71"/>
        <v>1</v>
      </c>
      <c r="AI82" s="78">
        <f t="shared" si="72"/>
        <v>0</v>
      </c>
      <c r="AJ82" s="79">
        <f t="shared" si="73"/>
        <v>0</v>
      </c>
      <c r="AK82" s="79">
        <f t="shared" si="74"/>
        <v>0</v>
      </c>
      <c r="AL82" s="80">
        <f t="shared" si="75"/>
        <v>0</v>
      </c>
      <c r="AM82" s="81">
        <f t="shared" si="76"/>
        <v>0.44999999999999996</v>
      </c>
      <c r="AN82" s="82" t="str">
        <f t="shared" si="77"/>
        <v/>
      </c>
      <c r="AO82" s="79" t="str">
        <f t="shared" si="78"/>
        <v/>
      </c>
      <c r="AP82" t="str">
        <f t="shared" si="79"/>
        <v/>
      </c>
      <c r="AQ82" s="82" t="str">
        <f t="shared" si="80"/>
        <v>M</v>
      </c>
      <c r="AR82" t="str">
        <f t="shared" si="81"/>
        <v>M</v>
      </c>
      <c r="AS82" t="str">
        <f t="shared" si="82"/>
        <v>M</v>
      </c>
      <c r="AT82" t="str">
        <f t="shared" si="83"/>
        <v/>
      </c>
      <c r="AU82" t="str">
        <f t="shared" si="84"/>
        <v/>
      </c>
      <c r="AV82" s="82" t="str">
        <f t="shared" si="85"/>
        <v>M</v>
      </c>
      <c r="AW82" t="str">
        <f t="shared" si="86"/>
        <v>M</v>
      </c>
      <c r="AX82" t="str">
        <f t="shared" si="87"/>
        <v>M</v>
      </c>
      <c r="AY82" s="82" t="str">
        <f t="shared" si="88"/>
        <v/>
      </c>
      <c r="AZ82" t="str">
        <f t="shared" si="89"/>
        <v/>
      </c>
      <c r="BA82" t="str">
        <f t="shared" si="90"/>
        <v/>
      </c>
      <c r="BB82" s="83" t="str">
        <f t="shared" si="91"/>
        <v/>
      </c>
      <c r="BC82" s="84">
        <f t="shared" si="92"/>
        <v>0</v>
      </c>
      <c r="BD82" s="84">
        <f t="shared" si="93"/>
        <v>0.52380952380952372</v>
      </c>
      <c r="BE82" s="84">
        <f t="shared" si="94"/>
        <v>1</v>
      </c>
      <c r="BF82" s="84">
        <f t="shared" si="95"/>
        <v>0</v>
      </c>
      <c r="BG82" s="78">
        <f>IF(AN82="",0,VLOOKUP(AN82,Tables!$AB$3:$AC$12,2))</f>
        <v>0</v>
      </c>
      <c r="BH82" s="79">
        <f>IF(AO82="",0,VLOOKUP(AO82,Tables!$AB$3:$AC$12,2))</f>
        <v>0</v>
      </c>
      <c r="BI82" s="79">
        <f>IF(AP82="",0,VLOOKUP(AP82,Tables!$AB$3:$AC$12,2))</f>
        <v>0</v>
      </c>
      <c r="BJ82" s="78">
        <f>IF(AQ82="",0,VLOOKUP(AQ82,Tables!$AB$3:$AC$12,2))</f>
        <v>1</v>
      </c>
      <c r="BK82" s="79">
        <f>IF(AR82="",0,VLOOKUP(AR82,Tables!$AB$3:$AC$12,2))</f>
        <v>1</v>
      </c>
      <c r="BL82" s="79">
        <f>IF(AS82="",0,VLOOKUP(AS82,Tables!$AB$3:$AC$12,2))</f>
        <v>1</v>
      </c>
      <c r="BM82" s="79">
        <f>IF(AT82="",0,VLOOKUP(AT82,Tables!$AB$3:$AC$12,2))</f>
        <v>0</v>
      </c>
      <c r="BN82" s="79">
        <f>IF(AU82="",0,VLOOKUP(AU82,Tables!$AB$3:$AC$12,2))</f>
        <v>0</v>
      </c>
      <c r="BO82" s="78">
        <f>IF(AV82="",0,VLOOKUP(AV82,Tables!$AB$3:$AC$12,2))</f>
        <v>1</v>
      </c>
      <c r="BP82" s="79">
        <f>IF(AW82="",0,VLOOKUP(AW82,Tables!$AB$3:$AC$12,2))</f>
        <v>1</v>
      </c>
      <c r="BQ82" s="79">
        <f>IF(AX82="",0,VLOOKUP(AX82,Tables!$AB$3:$AC$12,2))</f>
        <v>1</v>
      </c>
      <c r="BR82" s="78">
        <f>IF(AY82="",0,VLOOKUP(AY82,Tables!$AB$3:$AC$12,2))</f>
        <v>0</v>
      </c>
      <c r="BS82" s="79">
        <f>IF(AZ82="",0,VLOOKUP(AZ82,Tables!$AB$3:$AC$12,2))</f>
        <v>0</v>
      </c>
      <c r="BT82" s="79">
        <f>IF(BA82="",0,VLOOKUP(BA82,Tables!$AB$3:$AC$12,2))</f>
        <v>0</v>
      </c>
      <c r="BU82" s="80">
        <f>IF(BB82="",0,VLOOKUP(BB82,Tables!$AB$3:$AC$12,2))</f>
        <v>0</v>
      </c>
      <c r="BV82" s="85">
        <f>IF(AN82="",0,VLOOKUP(B82,Tables!$B$3:$D$36,2,FALSE())*X$1)</f>
        <v>0</v>
      </c>
      <c r="BW82" s="72">
        <f>IF(AO82="",0,VLOOKUP(C82,Tables!$B$3:$D$36,2,FALSE())*Y$1)</f>
        <v>0</v>
      </c>
      <c r="BX82" s="72">
        <f>IF(AP82="",0,VLOOKUP(D82,Tables!$B$3:$D$36,2,FALSE())*Z$1)</f>
        <v>0</v>
      </c>
      <c r="BY82" s="85">
        <f>IF(AQ82="",0,VLOOKUP(E82,Tables!$B$3:$D$36,2,FALSE())*AA$1)</f>
        <v>45</v>
      </c>
      <c r="BZ82" s="72">
        <f>IF(AR82="",0,VLOOKUP(F82,Tables!$B$3:$D$36,2,FALSE())*AB$1)</f>
        <v>90</v>
      </c>
      <c r="CA82" s="72">
        <f>IF(AS82="",0,VLOOKUP(G82,Tables!$B$3:$D$36,2,FALSE())*AC$1)</f>
        <v>30</v>
      </c>
      <c r="CB82" s="72">
        <f>IF(AT82="",0,VLOOKUP(H82,Tables!$B$3:$D$36,2,FALSE())*AD$1)</f>
        <v>0</v>
      </c>
      <c r="CC82" s="72">
        <f>IF(AU82="",0,VLOOKUP(I82,Tables!$B$3:$D$36,2,FALSE())*AE$1)</f>
        <v>0</v>
      </c>
      <c r="CD82" s="85">
        <f>IF(AV82="",0,VLOOKUP(J82,Tables!$B$3:$D$36,2,FALSE())*AF$1)</f>
        <v>180</v>
      </c>
      <c r="CE82" s="72">
        <f>IF(AW82="",0,VLOOKUP(K82,Tables!$B$3:$D$36,2,FALSE())*AG$1)</f>
        <v>180</v>
      </c>
      <c r="CF82" s="72">
        <f>IF(AX82="",0,VLOOKUP(L82,Tables!$B$3:$D$36,2,FALSE())*AH$1)</f>
        <v>150</v>
      </c>
      <c r="CG82" s="85">
        <f>IF(AY82="",0,VLOOKUP(M82,Tables!$B$3:$D$36,2,FALSE())*AI$1)</f>
        <v>0</v>
      </c>
      <c r="CH82" s="72">
        <f>IF(AZ82="",0,VLOOKUP(N82,Tables!$B$3:$D$36,2,FALSE())*AJ$1)</f>
        <v>0</v>
      </c>
      <c r="CI82" s="72">
        <f>IF(BA82="",0,VLOOKUP(O82,Tables!$B$3:$D$36,2,FALSE())*AK$1)</f>
        <v>0</v>
      </c>
      <c r="CJ82" s="86">
        <f>IF(BB82="",0,VLOOKUP(P82,Tables!$B$3:$D$36,2,FALSE())*AL$1)</f>
        <v>0</v>
      </c>
      <c r="CK82" s="87">
        <f>IF(AN82="",0,VLOOKUP(B82,Tables!$B$3:$D$36,3,FALSE())*X$1)*IF(OR(AN82="K",AN82="P"),2,1)</f>
        <v>0</v>
      </c>
      <c r="CL82" s="73">
        <f>IF(AO82="",0,VLOOKUP(C82,Tables!$B$3:$D$36,3,FALSE())*Y$1)*IF(OR(AO82="K",AO82="P"),2,1)</f>
        <v>0</v>
      </c>
      <c r="CM82" s="73">
        <f>IF(AP82="",0,VLOOKUP(D82,Tables!$B$3:$D$36,3,FALSE())*Z$1)*IF(OR(AP82="K",AP82="P"),2,1)</f>
        <v>0</v>
      </c>
      <c r="CN82" s="87">
        <f>IF(AQ82="",0,VLOOKUP(E82,Tables!$B$3:$D$36,3,FALSE())*AA$1)</f>
        <v>1.3499999999999999</v>
      </c>
      <c r="CO82" s="73">
        <f>IF(AR82="",0,VLOOKUP(F82,Tables!$B$3:$D$36,3,FALSE())*AB$1)</f>
        <v>2.6999999999999997</v>
      </c>
      <c r="CP82" s="73">
        <f>IF(AS82="",0,VLOOKUP(G82,Tables!$B$3:$D$36,3,FALSE())*AC$1)</f>
        <v>0.9</v>
      </c>
      <c r="CQ82" s="73">
        <f>IF(AT82="",0,VLOOKUP(H82,Tables!$B$3:$D$36,3,FALSE())*AD$1)</f>
        <v>0</v>
      </c>
      <c r="CR82" s="73">
        <f>IF(AU82="",0,VLOOKUP(I82,Tables!$B$3:$D$36,3,FALSE())*AE$1)</f>
        <v>0</v>
      </c>
      <c r="CS82" s="87">
        <f>IF(AV82="",0,VLOOKUP(J82,Tables!$B$3:$D$36,3,FALSE())*AF$1)</f>
        <v>5.3999999999999995</v>
      </c>
      <c r="CT82" s="73">
        <f>IF(AW82="",0,VLOOKUP(K82,Tables!$B$3:$D$36,3,FALSE())*AG$1)</f>
        <v>5.3999999999999995</v>
      </c>
      <c r="CU82" s="73">
        <f>IF(AX82="",0,VLOOKUP(L82,Tables!$B$3:$D$36,3,FALSE())*AH$1)</f>
        <v>4.5</v>
      </c>
      <c r="CV82" s="87">
        <f>IF(AY82="",0,VLOOKUP(M82,Tables!$B$3:$D$36,3,FALSE())*AI$1)</f>
        <v>0</v>
      </c>
      <c r="CW82" s="73">
        <f>IF(AZ82="",0,VLOOKUP(N82,Tables!$B$3:$D$36,3,FALSE())*AJ$1)</f>
        <v>0</v>
      </c>
      <c r="CX82" s="73">
        <f>IF(BA82="",0,VLOOKUP(O82,Tables!$B$3:$D$36,3,FALSE())*AK$1)</f>
        <v>0</v>
      </c>
      <c r="CY82" s="88">
        <f>IF(BB82="",0,VLOOKUP(P82,Tables!$B$3:$D$36,3,FALSE())*AL$1)</f>
        <v>0</v>
      </c>
      <c r="CZ82" s="89">
        <f t="shared" si="96"/>
        <v>0</v>
      </c>
      <c r="DA82" s="75">
        <f t="shared" si="97"/>
        <v>0</v>
      </c>
      <c r="DB82" s="75">
        <f t="shared" si="98"/>
        <v>0</v>
      </c>
      <c r="DC82" s="89">
        <f t="shared" si="99"/>
        <v>1</v>
      </c>
      <c r="DD82" s="75">
        <f t="shared" si="100"/>
        <v>1</v>
      </c>
      <c r="DE82" s="75">
        <f t="shared" si="101"/>
        <v>1</v>
      </c>
      <c r="DF82" s="75">
        <f t="shared" si="102"/>
        <v>0</v>
      </c>
      <c r="DG82" s="75">
        <f t="shared" si="103"/>
        <v>0</v>
      </c>
      <c r="DH82" s="89">
        <f t="shared" si="104"/>
        <v>1</v>
      </c>
      <c r="DI82" s="75">
        <f t="shared" si="105"/>
        <v>1</v>
      </c>
      <c r="DJ82" s="75">
        <f t="shared" si="106"/>
        <v>1</v>
      </c>
      <c r="DK82" s="89">
        <f t="shared" si="107"/>
        <v>0</v>
      </c>
      <c r="DL82" s="75">
        <f t="shared" si="108"/>
        <v>0</v>
      </c>
      <c r="DM82" s="75">
        <f t="shared" si="109"/>
        <v>0</v>
      </c>
      <c r="DN82" s="90">
        <f t="shared" si="110"/>
        <v>0</v>
      </c>
      <c r="DO82" s="91">
        <f>IF(AN82="",0,VLOOKUP(B82,Tables!$B$3:$M$36,11,FALSE())*X$1)</f>
        <v>0</v>
      </c>
      <c r="DP82" s="92">
        <f>IF(AO82="",0,VLOOKUP(C82,Tables!$B$3:$M$36,11,FALSE())*Y$1)</f>
        <v>0</v>
      </c>
      <c r="DQ82" s="92">
        <f>IF(AP82="",0,VLOOKUP(D82,Tables!$B$3:$M$36,11,FALSE())*Z$1)</f>
        <v>0</v>
      </c>
      <c r="DR82" s="91">
        <f>IF(AQ82="",0,VLOOKUP(E82,Tables!$B$3:$M$36,11,FALSE())*AA$1)</f>
        <v>27</v>
      </c>
      <c r="DS82" s="92">
        <f>IF(AR82="",0,VLOOKUP(F82,Tables!$B$3:$M$36,11,FALSE())*AB$1)</f>
        <v>54</v>
      </c>
      <c r="DT82" s="92">
        <f>IF(AS82="",0,VLOOKUP(G82,Tables!$B$3:$M$36,11,FALSE())*AC$1)</f>
        <v>18</v>
      </c>
      <c r="DU82" s="92">
        <f>IF(AT82="",0,VLOOKUP(H82,Tables!$B$3:$M$36,11,FALSE())*AD$1)</f>
        <v>0</v>
      </c>
      <c r="DV82" s="92">
        <f>IF(AU82="",0,VLOOKUP(I82,Tables!$B$3:$M$36,11,FALSE())*AE$1)</f>
        <v>0</v>
      </c>
      <c r="DW82" s="91">
        <f>IF(AV82="",0,VLOOKUP(J82,Tables!$B$3:$M$36,11,FALSE())*AF$1)</f>
        <v>108</v>
      </c>
      <c r="DX82" s="92">
        <f>IF(AW82="",0,VLOOKUP(K82,Tables!$B$3:$M$36,11,FALSE())*AG$1)</f>
        <v>108</v>
      </c>
      <c r="DY82" s="92">
        <f>IF(AX82="",0,VLOOKUP(L82,Tables!$B$3:$M$36,11,FALSE())*AH$1)</f>
        <v>90</v>
      </c>
      <c r="DZ82" s="91">
        <f>IF(AY82="",0,VLOOKUP(M82,Tables!$B$3:$M$36,11,FALSE())*AI$1)</f>
        <v>0</v>
      </c>
      <c r="EA82" s="92">
        <f>IF(AZ82="",0,VLOOKUP(N82,Tables!$B$3:$M$36,11,FALSE())*AJ$1)</f>
        <v>0</v>
      </c>
      <c r="EB82" s="92">
        <f>IF(BA82="",0,VLOOKUP(O82,Tables!$B$3:$M$36,11,FALSE())*AK$1)</f>
        <v>0</v>
      </c>
      <c r="EC82" s="93">
        <f>IF(BB82="",0,VLOOKUP(P82,Tables!$B$3:$M$36,11,FALSE())*AL$1)</f>
        <v>0</v>
      </c>
      <c r="ED82" s="91">
        <f>IF(AN82="",0,VLOOKUP(B82,Tables!$B$3:$M$36,12,FALSE())*X$1)</f>
        <v>0</v>
      </c>
      <c r="EE82" s="92">
        <f>IF(AO82="",0,VLOOKUP(C82,Tables!$B$3:$M$36,12,FALSE())*Y$1)</f>
        <v>0</v>
      </c>
      <c r="EF82" s="92">
        <f>IF(AP82="",0,VLOOKUP(D82,Tables!$B$3:$M$36,12,FALSE())*Z$1)</f>
        <v>0</v>
      </c>
      <c r="EG82" s="91">
        <f>IF(AQ82="",0,VLOOKUP(E82,Tables!$B$3:$M$36,12,FALSE())*AA$1)</f>
        <v>22.5</v>
      </c>
      <c r="EH82" s="92">
        <f>IF(AR82="",0,VLOOKUP(F82,Tables!$B$3:$M$36,12,FALSE())*AB$1)</f>
        <v>45</v>
      </c>
      <c r="EI82" s="92">
        <f>IF(AS82="",0,VLOOKUP(G82,Tables!$B$3:$M$36,12,FALSE())*AC$1)</f>
        <v>15</v>
      </c>
      <c r="EJ82" s="92">
        <f>IF(AT82="",0,VLOOKUP(H82,Tables!$B$3:$M$36,12,FALSE())*AD$1)</f>
        <v>0</v>
      </c>
      <c r="EK82" s="92">
        <f>IF(AU82="",0,VLOOKUP(I82,Tables!$B$3:$M$36,12,FALSE())*AE$1)</f>
        <v>0</v>
      </c>
      <c r="EL82" s="91">
        <f>IF(AV82="",0,VLOOKUP(J82,Tables!$B$3:$M$36,12,FALSE())*AF$1)</f>
        <v>90</v>
      </c>
      <c r="EM82" s="92">
        <f>IF(AW82="",0,VLOOKUP(K82,Tables!$B$3:$M$36,12,FALSE())*AG$1)</f>
        <v>90</v>
      </c>
      <c r="EN82" s="92">
        <f>IF(AX82="",0,VLOOKUP(L82,Tables!$B$3:$M$36,12,FALSE())*AH$1)</f>
        <v>75</v>
      </c>
      <c r="EO82" s="91">
        <f>IF(AY82="",0,VLOOKUP(M82,Tables!$B$3:$M$36,12,FALSE())*AI$1)</f>
        <v>0</v>
      </c>
      <c r="EP82" s="92">
        <f>IF(AZ82="",0,VLOOKUP(N82,Tables!$B$3:$M$36,12,FALSE())*AJ$1)</f>
        <v>0</v>
      </c>
      <c r="EQ82" s="92">
        <f>IF(BA82="",0,VLOOKUP(O82,Tables!$B$3:$M$36,12,FALSE())*AK$1)</f>
        <v>0</v>
      </c>
      <c r="ER82" s="93">
        <f>IF(BB82="",0,VLOOKUP(P82,Tables!$B$3:$M$36,12,FALSE())*AL$1)</f>
        <v>0</v>
      </c>
      <c r="ES82" s="94">
        <f t="shared" si="111"/>
        <v>0</v>
      </c>
      <c r="ET82" s="95">
        <f>IF(AN82="",10,MIN(VLOOKUP(B82,MATERIAL,13,FALSE()),'Item Builder'!$W82))</f>
        <v>10</v>
      </c>
      <c r="EU82" s="95">
        <f>IF(AO82="",10,MIN(VLOOKUP(C82,MATERIAL,13,FALSE()),'Item Builder'!$W82))</f>
        <v>10</v>
      </c>
      <c r="EV82" s="95">
        <f>IF(AP82="",10,MIN(VLOOKUP(D82,MATERIAL,13,FALSE()),'Item Builder'!$W82))</f>
        <v>10</v>
      </c>
      <c r="EW82" s="95">
        <f>IF(AQ82="",10,MIN(VLOOKUP(E82,MATERIAL,13,FALSE()),'Item Builder'!$W82))</f>
        <v>0</v>
      </c>
      <c r="EX82" s="95">
        <f>IF(AR82="",10,MIN(VLOOKUP(F82,MATERIAL,13,FALSE()),'Item Builder'!$W82))</f>
        <v>0</v>
      </c>
      <c r="EY82" s="95">
        <f>IF(AS82="",10,MIN(VLOOKUP(G82,MATERIAL,13,FALSE()),'Item Builder'!$W82))</f>
        <v>0</v>
      </c>
      <c r="EZ82" s="95">
        <f>IF(AT82="",10,MIN(VLOOKUP(H82,MATERIAL,13,FALSE()),'Item Builder'!$W82))</f>
        <v>10</v>
      </c>
      <c r="FA82" s="95">
        <f>IF(AU82="",10,MIN(VLOOKUP(I82,MATERIAL,13,FALSE()),'Item Builder'!$W82))</f>
        <v>10</v>
      </c>
      <c r="FB82" s="95">
        <f>IF(AV82="",10,MIN(VLOOKUP(J82,MATERIAL,13,FALSE()),'Item Builder'!$W82))</f>
        <v>0</v>
      </c>
      <c r="FC82" s="95">
        <f>IF(AW82="",10,MIN(VLOOKUP(K82,MATERIAL,13,FALSE()),'Item Builder'!$W82))</f>
        <v>0</v>
      </c>
      <c r="FD82" s="95">
        <f>IF(AX82="",10,MIN(VLOOKUP(L82,MATERIAL,13,FALSE()),'Item Builder'!$W82))</f>
        <v>0</v>
      </c>
      <c r="FE82" s="95">
        <f>IF(AY82="",10,MIN(VLOOKUP(M82,MATERIAL,13,FALSE()),'Item Builder'!$W82))</f>
        <v>10</v>
      </c>
      <c r="FF82" s="95">
        <f>IF(AZ82="",10,MIN(VLOOKUP(N82,MATERIAL,13,FALSE()),'Item Builder'!$W82))</f>
        <v>10</v>
      </c>
      <c r="FG82" s="95">
        <f>IF(BA82="",10,MIN(VLOOKUP(O82,MATERIAL,13,FALSE()),'Item Builder'!$W82))</f>
        <v>10</v>
      </c>
      <c r="FH82" s="95">
        <f>IF(BB82="",10,MIN(VLOOKUP(P82,MATERIAL,13,FALSE()),'Item Builder'!$W82))</f>
        <v>10</v>
      </c>
    </row>
    <row r="83" spans="1:164" x14ac:dyDescent="0.25">
      <c r="A83" s="67" t="s">
        <v>8</v>
      </c>
      <c r="B83" s="68"/>
      <c r="C83" s="69"/>
      <c r="D83" s="70"/>
      <c r="E83" s="68" t="s">
        <v>108</v>
      </c>
      <c r="F83" s="69" t="s">
        <v>108</v>
      </c>
      <c r="G83" s="69" t="s">
        <v>108</v>
      </c>
      <c r="H83" s="69" t="s">
        <v>108</v>
      </c>
      <c r="I83" s="70"/>
      <c r="J83" s="68" t="s">
        <v>108</v>
      </c>
      <c r="K83" s="69" t="s">
        <v>108</v>
      </c>
      <c r="L83" s="70" t="s">
        <v>108</v>
      </c>
      <c r="M83" s="68" t="s">
        <v>108</v>
      </c>
      <c r="N83" s="69"/>
      <c r="O83" s="69"/>
      <c r="P83" s="71"/>
      <c r="Q83" s="72">
        <f>SUM(BV83:CJ83)*VLOOKUP(W83,Tables!$W$3:$Z$8,4)</f>
        <v>960</v>
      </c>
      <c r="R83" s="73">
        <f t="shared" si="56"/>
        <v>28.8</v>
      </c>
      <c r="S83" s="103">
        <f t="shared" si="57"/>
        <v>15</v>
      </c>
      <c r="T83" s="74">
        <f t="shared" si="58"/>
        <v>0</v>
      </c>
      <c r="U83" s="75">
        <f t="shared" si="59"/>
        <v>576</v>
      </c>
      <c r="V83" s="76">
        <f t="shared" si="60"/>
        <v>480</v>
      </c>
      <c r="W83" s="77">
        <v>0</v>
      </c>
      <c r="X83" s="78">
        <f t="shared" si="61"/>
        <v>0</v>
      </c>
      <c r="Y83" s="79">
        <f t="shared" si="62"/>
        <v>0</v>
      </c>
      <c r="Z83" s="79">
        <f t="shared" si="63"/>
        <v>0</v>
      </c>
      <c r="AA83" s="78">
        <f t="shared" si="64"/>
        <v>1</v>
      </c>
      <c r="AB83" s="79">
        <f t="shared" si="65"/>
        <v>1</v>
      </c>
      <c r="AC83" s="79">
        <f t="shared" si="66"/>
        <v>1</v>
      </c>
      <c r="AD83" s="79">
        <f t="shared" si="67"/>
        <v>1</v>
      </c>
      <c r="AE83" s="79">
        <f t="shared" si="68"/>
        <v>0</v>
      </c>
      <c r="AF83" s="78">
        <f t="shared" si="69"/>
        <v>1</v>
      </c>
      <c r="AG83" s="79">
        <f t="shared" si="70"/>
        <v>1</v>
      </c>
      <c r="AH83" s="79">
        <f t="shared" si="71"/>
        <v>1</v>
      </c>
      <c r="AI83" s="78">
        <f t="shared" si="72"/>
        <v>1</v>
      </c>
      <c r="AJ83" s="79">
        <f t="shared" si="73"/>
        <v>0</v>
      </c>
      <c r="AK83" s="79">
        <f t="shared" si="74"/>
        <v>0</v>
      </c>
      <c r="AL83" s="80">
        <f t="shared" si="75"/>
        <v>0</v>
      </c>
      <c r="AM83" s="81">
        <f t="shared" si="76"/>
        <v>0.64</v>
      </c>
      <c r="AN83" s="82" t="str">
        <f t="shared" si="77"/>
        <v/>
      </c>
      <c r="AO83" s="79" t="str">
        <f t="shared" si="78"/>
        <v/>
      </c>
      <c r="AP83" t="str">
        <f t="shared" si="79"/>
        <v/>
      </c>
      <c r="AQ83" s="82" t="str">
        <f t="shared" si="80"/>
        <v>M</v>
      </c>
      <c r="AR83" t="str">
        <f t="shared" si="81"/>
        <v>M</v>
      </c>
      <c r="AS83" t="str">
        <f t="shared" si="82"/>
        <v>M</v>
      </c>
      <c r="AT83" t="str">
        <f t="shared" si="83"/>
        <v>M</v>
      </c>
      <c r="AU83" t="str">
        <f t="shared" si="84"/>
        <v/>
      </c>
      <c r="AV83" s="82" t="str">
        <f t="shared" si="85"/>
        <v>M</v>
      </c>
      <c r="AW83" t="str">
        <f t="shared" si="86"/>
        <v>M</v>
      </c>
      <c r="AX83" t="str">
        <f t="shared" si="87"/>
        <v>M</v>
      </c>
      <c r="AY83" s="82" t="str">
        <f t="shared" si="88"/>
        <v>M</v>
      </c>
      <c r="AZ83" t="str">
        <f t="shared" si="89"/>
        <v/>
      </c>
      <c r="BA83" t="str">
        <f t="shared" si="90"/>
        <v/>
      </c>
      <c r="BB83" s="83" t="str">
        <f t="shared" si="91"/>
        <v/>
      </c>
      <c r="BC83" s="84">
        <f t="shared" si="92"/>
        <v>0</v>
      </c>
      <c r="BD83" s="84">
        <f t="shared" si="93"/>
        <v>0.76190476190476186</v>
      </c>
      <c r="BE83" s="84">
        <f t="shared" si="94"/>
        <v>1</v>
      </c>
      <c r="BF83" s="84">
        <f t="shared" si="95"/>
        <v>0.3888888888888889</v>
      </c>
      <c r="BG83" s="78">
        <f>IF(AN83="",0,VLOOKUP(AN83,Tables!$AB$3:$AC$12,2))</f>
        <v>0</v>
      </c>
      <c r="BH83" s="79">
        <f>IF(AO83="",0,VLOOKUP(AO83,Tables!$AB$3:$AC$12,2))</f>
        <v>0</v>
      </c>
      <c r="BI83" s="79">
        <f>IF(AP83="",0,VLOOKUP(AP83,Tables!$AB$3:$AC$12,2))</f>
        <v>0</v>
      </c>
      <c r="BJ83" s="78">
        <f>IF(AQ83="",0,VLOOKUP(AQ83,Tables!$AB$3:$AC$12,2))</f>
        <v>1</v>
      </c>
      <c r="BK83" s="79">
        <f>IF(AR83="",0,VLOOKUP(AR83,Tables!$AB$3:$AC$12,2))</f>
        <v>1</v>
      </c>
      <c r="BL83" s="79">
        <f>IF(AS83="",0,VLOOKUP(AS83,Tables!$AB$3:$AC$12,2))</f>
        <v>1</v>
      </c>
      <c r="BM83" s="79">
        <f>IF(AT83="",0,VLOOKUP(AT83,Tables!$AB$3:$AC$12,2))</f>
        <v>1</v>
      </c>
      <c r="BN83" s="79">
        <f>IF(AU83="",0,VLOOKUP(AU83,Tables!$AB$3:$AC$12,2))</f>
        <v>0</v>
      </c>
      <c r="BO83" s="78">
        <f>IF(AV83="",0,VLOOKUP(AV83,Tables!$AB$3:$AC$12,2))</f>
        <v>1</v>
      </c>
      <c r="BP83" s="79">
        <f>IF(AW83="",0,VLOOKUP(AW83,Tables!$AB$3:$AC$12,2))</f>
        <v>1</v>
      </c>
      <c r="BQ83" s="79">
        <f>IF(AX83="",0,VLOOKUP(AX83,Tables!$AB$3:$AC$12,2))</f>
        <v>1</v>
      </c>
      <c r="BR83" s="78">
        <f>IF(AY83="",0,VLOOKUP(AY83,Tables!$AB$3:$AC$12,2))</f>
        <v>1</v>
      </c>
      <c r="BS83" s="79">
        <f>IF(AZ83="",0,VLOOKUP(AZ83,Tables!$AB$3:$AC$12,2))</f>
        <v>0</v>
      </c>
      <c r="BT83" s="79">
        <f>IF(BA83="",0,VLOOKUP(BA83,Tables!$AB$3:$AC$12,2))</f>
        <v>0</v>
      </c>
      <c r="BU83" s="80">
        <f>IF(BB83="",0,VLOOKUP(BB83,Tables!$AB$3:$AC$12,2))</f>
        <v>0</v>
      </c>
      <c r="BV83" s="85">
        <f>IF(AN83="",0,VLOOKUP(B83,Tables!$B$3:$D$36,2,FALSE())*X$1)</f>
        <v>0</v>
      </c>
      <c r="BW83" s="72">
        <f>IF(AO83="",0,VLOOKUP(C83,Tables!$B$3:$D$36,2,FALSE())*Y$1)</f>
        <v>0</v>
      </c>
      <c r="BX83" s="72">
        <f>IF(AP83="",0,VLOOKUP(D83,Tables!$B$3:$D$36,2,FALSE())*Z$1)</f>
        <v>0</v>
      </c>
      <c r="BY83" s="85">
        <f>IF(AQ83="",0,VLOOKUP(E83,Tables!$B$3:$D$36,2,FALSE())*AA$1)</f>
        <v>45</v>
      </c>
      <c r="BZ83" s="72">
        <f>IF(AR83="",0,VLOOKUP(F83,Tables!$B$3:$D$36,2,FALSE())*AB$1)</f>
        <v>90</v>
      </c>
      <c r="CA83" s="72">
        <f>IF(AS83="",0,VLOOKUP(G83,Tables!$B$3:$D$36,2,FALSE())*AC$1)</f>
        <v>30</v>
      </c>
      <c r="CB83" s="72">
        <f>IF(AT83="",0,VLOOKUP(H83,Tables!$B$3:$D$36,2,FALSE())*AD$1)</f>
        <v>75</v>
      </c>
      <c r="CC83" s="72">
        <f>IF(AU83="",0,VLOOKUP(I83,Tables!$B$3:$D$36,2,FALSE())*AE$1)</f>
        <v>0</v>
      </c>
      <c r="CD83" s="85">
        <f>IF(AV83="",0,VLOOKUP(J83,Tables!$B$3:$D$36,2,FALSE())*AF$1)</f>
        <v>180</v>
      </c>
      <c r="CE83" s="72">
        <f>IF(AW83="",0,VLOOKUP(K83,Tables!$B$3:$D$36,2,FALSE())*AG$1)</f>
        <v>180</v>
      </c>
      <c r="CF83" s="72">
        <f>IF(AX83="",0,VLOOKUP(L83,Tables!$B$3:$D$36,2,FALSE())*AH$1)</f>
        <v>150</v>
      </c>
      <c r="CG83" s="85">
        <f>IF(AY83="",0,VLOOKUP(M83,Tables!$B$3:$D$36,2,FALSE())*AI$1)</f>
        <v>210.00000000000003</v>
      </c>
      <c r="CH83" s="72">
        <f>IF(AZ83="",0,VLOOKUP(N83,Tables!$B$3:$D$36,2,FALSE())*AJ$1)</f>
        <v>0</v>
      </c>
      <c r="CI83" s="72">
        <f>IF(BA83="",0,VLOOKUP(O83,Tables!$B$3:$D$36,2,FALSE())*AK$1)</f>
        <v>0</v>
      </c>
      <c r="CJ83" s="86">
        <f>IF(BB83="",0,VLOOKUP(P83,Tables!$B$3:$D$36,2,FALSE())*AL$1)</f>
        <v>0</v>
      </c>
      <c r="CK83" s="87">
        <f>IF(AN83="",0,VLOOKUP(B83,Tables!$B$3:$D$36,3,FALSE())*X$1)*IF(OR(AN83="K",AN83="P"),2,1)</f>
        <v>0</v>
      </c>
      <c r="CL83" s="73">
        <f>IF(AO83="",0,VLOOKUP(C83,Tables!$B$3:$D$36,3,FALSE())*Y$1)*IF(OR(AO83="K",AO83="P"),2,1)</f>
        <v>0</v>
      </c>
      <c r="CM83" s="73">
        <f>IF(AP83="",0,VLOOKUP(D83,Tables!$B$3:$D$36,3,FALSE())*Z$1)*IF(OR(AP83="K",AP83="P"),2,1)</f>
        <v>0</v>
      </c>
      <c r="CN83" s="87">
        <f>IF(AQ83="",0,VLOOKUP(E83,Tables!$B$3:$D$36,3,FALSE())*AA$1)</f>
        <v>1.3499999999999999</v>
      </c>
      <c r="CO83" s="73">
        <f>IF(AR83="",0,VLOOKUP(F83,Tables!$B$3:$D$36,3,FALSE())*AB$1)</f>
        <v>2.6999999999999997</v>
      </c>
      <c r="CP83" s="73">
        <f>IF(AS83="",0,VLOOKUP(G83,Tables!$B$3:$D$36,3,FALSE())*AC$1)</f>
        <v>0.9</v>
      </c>
      <c r="CQ83" s="73">
        <f>IF(AT83="",0,VLOOKUP(H83,Tables!$B$3:$D$36,3,FALSE())*AD$1)</f>
        <v>2.25</v>
      </c>
      <c r="CR83" s="73">
        <f>IF(AU83="",0,VLOOKUP(I83,Tables!$B$3:$D$36,3,FALSE())*AE$1)</f>
        <v>0</v>
      </c>
      <c r="CS83" s="87">
        <f>IF(AV83="",0,VLOOKUP(J83,Tables!$B$3:$D$36,3,FALSE())*AF$1)</f>
        <v>5.3999999999999995</v>
      </c>
      <c r="CT83" s="73">
        <f>IF(AW83="",0,VLOOKUP(K83,Tables!$B$3:$D$36,3,FALSE())*AG$1)</f>
        <v>5.3999999999999995</v>
      </c>
      <c r="CU83" s="73">
        <f>IF(AX83="",0,VLOOKUP(L83,Tables!$B$3:$D$36,3,FALSE())*AH$1)</f>
        <v>4.5</v>
      </c>
      <c r="CV83" s="87">
        <f>IF(AY83="",0,VLOOKUP(M83,Tables!$B$3:$D$36,3,FALSE())*AI$1)</f>
        <v>6.3000000000000007</v>
      </c>
      <c r="CW83" s="73">
        <f>IF(AZ83="",0,VLOOKUP(N83,Tables!$B$3:$D$36,3,FALSE())*AJ$1)</f>
        <v>0</v>
      </c>
      <c r="CX83" s="73">
        <f>IF(BA83="",0,VLOOKUP(O83,Tables!$B$3:$D$36,3,FALSE())*AK$1)</f>
        <v>0</v>
      </c>
      <c r="CY83" s="88">
        <f>IF(BB83="",0,VLOOKUP(P83,Tables!$B$3:$D$36,3,FALSE())*AL$1)</f>
        <v>0</v>
      </c>
      <c r="CZ83" s="89">
        <f t="shared" si="96"/>
        <v>0</v>
      </c>
      <c r="DA83" s="75">
        <f t="shared" si="97"/>
        <v>0</v>
      </c>
      <c r="DB83" s="75">
        <f t="shared" si="98"/>
        <v>0</v>
      </c>
      <c r="DC83" s="89">
        <f t="shared" si="99"/>
        <v>1</v>
      </c>
      <c r="DD83" s="75">
        <f t="shared" si="100"/>
        <v>1</v>
      </c>
      <c r="DE83" s="75">
        <f t="shared" si="101"/>
        <v>1</v>
      </c>
      <c r="DF83" s="75">
        <f t="shared" si="102"/>
        <v>1</v>
      </c>
      <c r="DG83" s="75">
        <f t="shared" si="103"/>
        <v>0</v>
      </c>
      <c r="DH83" s="89">
        <f t="shared" si="104"/>
        <v>1</v>
      </c>
      <c r="DI83" s="75">
        <f t="shared" si="105"/>
        <v>1</v>
      </c>
      <c r="DJ83" s="75">
        <f t="shared" si="106"/>
        <v>1</v>
      </c>
      <c r="DK83" s="89">
        <f t="shared" si="107"/>
        <v>1</v>
      </c>
      <c r="DL83" s="75">
        <f t="shared" si="108"/>
        <v>0</v>
      </c>
      <c r="DM83" s="75">
        <f t="shared" si="109"/>
        <v>0</v>
      </c>
      <c r="DN83" s="90">
        <f t="shared" si="110"/>
        <v>0</v>
      </c>
      <c r="DO83" s="91">
        <f>IF(AN83="",0,VLOOKUP(B83,Tables!$B$3:$M$36,11,FALSE())*X$1)</f>
        <v>0</v>
      </c>
      <c r="DP83" s="92">
        <f>IF(AO83="",0,VLOOKUP(C83,Tables!$B$3:$M$36,11,FALSE())*Y$1)</f>
        <v>0</v>
      </c>
      <c r="DQ83" s="92">
        <f>IF(AP83="",0,VLOOKUP(D83,Tables!$B$3:$M$36,11,FALSE())*Z$1)</f>
        <v>0</v>
      </c>
      <c r="DR83" s="91">
        <f>IF(AQ83="",0,VLOOKUP(E83,Tables!$B$3:$M$36,11,FALSE())*AA$1)</f>
        <v>27</v>
      </c>
      <c r="DS83" s="92">
        <f>IF(AR83="",0,VLOOKUP(F83,Tables!$B$3:$M$36,11,FALSE())*AB$1)</f>
        <v>54</v>
      </c>
      <c r="DT83" s="92">
        <f>IF(AS83="",0,VLOOKUP(G83,Tables!$B$3:$M$36,11,FALSE())*AC$1)</f>
        <v>18</v>
      </c>
      <c r="DU83" s="92">
        <f>IF(AT83="",0,VLOOKUP(H83,Tables!$B$3:$M$36,11,FALSE())*AD$1)</f>
        <v>45</v>
      </c>
      <c r="DV83" s="92">
        <f>IF(AU83="",0,VLOOKUP(I83,Tables!$B$3:$M$36,11,FALSE())*AE$1)</f>
        <v>0</v>
      </c>
      <c r="DW83" s="91">
        <f>IF(AV83="",0,VLOOKUP(J83,Tables!$B$3:$M$36,11,FALSE())*AF$1)</f>
        <v>108</v>
      </c>
      <c r="DX83" s="92">
        <f>IF(AW83="",0,VLOOKUP(K83,Tables!$B$3:$M$36,11,FALSE())*AG$1)</f>
        <v>108</v>
      </c>
      <c r="DY83" s="92">
        <f>IF(AX83="",0,VLOOKUP(L83,Tables!$B$3:$M$36,11,FALSE())*AH$1)</f>
        <v>90</v>
      </c>
      <c r="DZ83" s="91">
        <f>IF(AY83="",0,VLOOKUP(M83,Tables!$B$3:$M$36,11,FALSE())*AI$1)</f>
        <v>126.00000000000001</v>
      </c>
      <c r="EA83" s="92">
        <f>IF(AZ83="",0,VLOOKUP(N83,Tables!$B$3:$M$36,11,FALSE())*AJ$1)</f>
        <v>0</v>
      </c>
      <c r="EB83" s="92">
        <f>IF(BA83="",0,VLOOKUP(O83,Tables!$B$3:$M$36,11,FALSE())*AK$1)</f>
        <v>0</v>
      </c>
      <c r="EC83" s="93">
        <f>IF(BB83="",0,VLOOKUP(P83,Tables!$B$3:$M$36,11,FALSE())*AL$1)</f>
        <v>0</v>
      </c>
      <c r="ED83" s="91">
        <f>IF(AN83="",0,VLOOKUP(B83,Tables!$B$3:$M$36,12,FALSE())*X$1)</f>
        <v>0</v>
      </c>
      <c r="EE83" s="92">
        <f>IF(AO83="",0,VLOOKUP(C83,Tables!$B$3:$M$36,12,FALSE())*Y$1)</f>
        <v>0</v>
      </c>
      <c r="EF83" s="92">
        <f>IF(AP83="",0,VLOOKUP(D83,Tables!$B$3:$M$36,12,FALSE())*Z$1)</f>
        <v>0</v>
      </c>
      <c r="EG83" s="91">
        <f>IF(AQ83="",0,VLOOKUP(E83,Tables!$B$3:$M$36,12,FALSE())*AA$1)</f>
        <v>22.5</v>
      </c>
      <c r="EH83" s="92">
        <f>IF(AR83="",0,VLOOKUP(F83,Tables!$B$3:$M$36,12,FALSE())*AB$1)</f>
        <v>45</v>
      </c>
      <c r="EI83" s="92">
        <f>IF(AS83="",0,VLOOKUP(G83,Tables!$B$3:$M$36,12,FALSE())*AC$1)</f>
        <v>15</v>
      </c>
      <c r="EJ83" s="92">
        <f>IF(AT83="",0,VLOOKUP(H83,Tables!$B$3:$M$36,12,FALSE())*AD$1)</f>
        <v>37.5</v>
      </c>
      <c r="EK83" s="92">
        <f>IF(AU83="",0,VLOOKUP(I83,Tables!$B$3:$M$36,12,FALSE())*AE$1)</f>
        <v>0</v>
      </c>
      <c r="EL83" s="91">
        <f>IF(AV83="",0,VLOOKUP(J83,Tables!$B$3:$M$36,12,FALSE())*AF$1)</f>
        <v>90</v>
      </c>
      <c r="EM83" s="92">
        <f>IF(AW83="",0,VLOOKUP(K83,Tables!$B$3:$M$36,12,FALSE())*AG$1)</f>
        <v>90</v>
      </c>
      <c r="EN83" s="92">
        <f>IF(AX83="",0,VLOOKUP(L83,Tables!$B$3:$M$36,12,FALSE())*AH$1)</f>
        <v>75</v>
      </c>
      <c r="EO83" s="91">
        <f>IF(AY83="",0,VLOOKUP(M83,Tables!$B$3:$M$36,12,FALSE())*AI$1)</f>
        <v>105.00000000000001</v>
      </c>
      <c r="EP83" s="92">
        <f>IF(AZ83="",0,VLOOKUP(N83,Tables!$B$3:$M$36,12,FALSE())*AJ$1)</f>
        <v>0</v>
      </c>
      <c r="EQ83" s="92">
        <f>IF(BA83="",0,VLOOKUP(O83,Tables!$B$3:$M$36,12,FALSE())*AK$1)</f>
        <v>0</v>
      </c>
      <c r="ER83" s="93">
        <f>IF(BB83="",0,VLOOKUP(P83,Tables!$B$3:$M$36,12,FALSE())*AL$1)</f>
        <v>0</v>
      </c>
      <c r="ES83" s="94">
        <f t="shared" si="111"/>
        <v>0</v>
      </c>
      <c r="ET83" s="95">
        <f>IF(AN83="",10,MIN(VLOOKUP(B83,MATERIAL,13,FALSE()),'Item Builder'!$W83))</f>
        <v>10</v>
      </c>
      <c r="EU83" s="95">
        <f>IF(AO83="",10,MIN(VLOOKUP(C83,MATERIAL,13,FALSE()),'Item Builder'!$W83))</f>
        <v>10</v>
      </c>
      <c r="EV83" s="95">
        <f>IF(AP83="",10,MIN(VLOOKUP(D83,MATERIAL,13,FALSE()),'Item Builder'!$W83))</f>
        <v>10</v>
      </c>
      <c r="EW83" s="95">
        <f>IF(AQ83="",10,MIN(VLOOKUP(E83,MATERIAL,13,FALSE()),'Item Builder'!$W83))</f>
        <v>0</v>
      </c>
      <c r="EX83" s="95">
        <f>IF(AR83="",10,MIN(VLOOKUP(F83,MATERIAL,13,FALSE()),'Item Builder'!$W83))</f>
        <v>0</v>
      </c>
      <c r="EY83" s="95">
        <f>IF(AS83="",10,MIN(VLOOKUP(G83,MATERIAL,13,FALSE()),'Item Builder'!$W83))</f>
        <v>0</v>
      </c>
      <c r="EZ83" s="95">
        <f>IF(AT83="",10,MIN(VLOOKUP(H83,MATERIAL,13,FALSE()),'Item Builder'!$W83))</f>
        <v>0</v>
      </c>
      <c r="FA83" s="95">
        <f>IF(AU83="",10,MIN(VLOOKUP(I83,MATERIAL,13,FALSE()),'Item Builder'!$W83))</f>
        <v>10</v>
      </c>
      <c r="FB83" s="95">
        <f>IF(AV83="",10,MIN(VLOOKUP(J83,MATERIAL,13,FALSE()),'Item Builder'!$W83))</f>
        <v>0</v>
      </c>
      <c r="FC83" s="95">
        <f>IF(AW83="",10,MIN(VLOOKUP(K83,MATERIAL,13,FALSE()),'Item Builder'!$W83))</f>
        <v>0</v>
      </c>
      <c r="FD83" s="95">
        <f>IF(AX83="",10,MIN(VLOOKUP(L83,MATERIAL,13,FALSE()),'Item Builder'!$W83))</f>
        <v>0</v>
      </c>
      <c r="FE83" s="95">
        <f>IF(AY83="",10,MIN(VLOOKUP(M83,MATERIAL,13,FALSE()),'Item Builder'!$W83))</f>
        <v>0</v>
      </c>
      <c r="FF83" s="95">
        <f>IF(AZ83="",10,MIN(VLOOKUP(N83,MATERIAL,13,FALSE()),'Item Builder'!$W83))</f>
        <v>10</v>
      </c>
      <c r="FG83" s="95">
        <f>IF(BA83="",10,MIN(VLOOKUP(O83,MATERIAL,13,FALSE()),'Item Builder'!$W83))</f>
        <v>10</v>
      </c>
      <c r="FH83" s="95">
        <f>IF(BB83="",10,MIN(VLOOKUP(P83,MATERIAL,13,FALSE()),'Item Builder'!$W83))</f>
        <v>10</v>
      </c>
    </row>
    <row r="84" spans="1:164" x14ac:dyDescent="0.25">
      <c r="A84" s="67" t="s">
        <v>235</v>
      </c>
      <c r="B84" s="68"/>
      <c r="C84" s="69"/>
      <c r="D84" s="70"/>
      <c r="E84" s="68"/>
      <c r="F84" s="69"/>
      <c r="G84" s="69"/>
      <c r="H84" s="69"/>
      <c r="I84" s="70"/>
      <c r="J84" s="68"/>
      <c r="K84" s="69"/>
      <c r="L84" s="70"/>
      <c r="M84" s="68" t="s">
        <v>108</v>
      </c>
      <c r="N84" s="69" t="s">
        <v>108</v>
      </c>
      <c r="O84" s="69"/>
      <c r="P84" s="71"/>
      <c r="Q84" s="72">
        <f>SUM(BV84:CJ84)*VLOOKUP(W84,Tables!$W$3:$Z$8,4)</f>
        <v>255.00000000000003</v>
      </c>
      <c r="R84" s="73">
        <f t="shared" si="56"/>
        <v>7.65</v>
      </c>
      <c r="S84" s="101">
        <f t="shared" si="57"/>
        <v>5</v>
      </c>
      <c r="T84" s="74">
        <f t="shared" si="58"/>
        <v>0</v>
      </c>
      <c r="U84" s="75">
        <f t="shared" si="59"/>
        <v>153</v>
      </c>
      <c r="V84" s="76">
        <f t="shared" si="60"/>
        <v>127.50000000000001</v>
      </c>
      <c r="W84" s="77">
        <v>0</v>
      </c>
      <c r="X84" s="78">
        <f t="shared" si="61"/>
        <v>0</v>
      </c>
      <c r="Y84" s="79">
        <f t="shared" si="62"/>
        <v>0</v>
      </c>
      <c r="Z84" s="79">
        <f t="shared" si="63"/>
        <v>0</v>
      </c>
      <c r="AA84" s="78">
        <f t="shared" si="64"/>
        <v>0</v>
      </c>
      <c r="AB84" s="79">
        <f t="shared" si="65"/>
        <v>0</v>
      </c>
      <c r="AC84" s="79">
        <f t="shared" si="66"/>
        <v>0</v>
      </c>
      <c r="AD84" s="79">
        <f t="shared" si="67"/>
        <v>0</v>
      </c>
      <c r="AE84" s="79">
        <f t="shared" si="68"/>
        <v>0</v>
      </c>
      <c r="AF84" s="78">
        <f t="shared" si="69"/>
        <v>0</v>
      </c>
      <c r="AG84" s="79">
        <f t="shared" si="70"/>
        <v>0</v>
      </c>
      <c r="AH84" s="79">
        <f t="shared" si="71"/>
        <v>0</v>
      </c>
      <c r="AI84" s="78">
        <f t="shared" si="72"/>
        <v>1</v>
      </c>
      <c r="AJ84" s="79">
        <f t="shared" si="73"/>
        <v>1</v>
      </c>
      <c r="AK84" s="79">
        <f t="shared" si="74"/>
        <v>0</v>
      </c>
      <c r="AL84" s="80">
        <f t="shared" si="75"/>
        <v>0</v>
      </c>
      <c r="AM84" s="81">
        <f t="shared" si="76"/>
        <v>0.17</v>
      </c>
      <c r="AN84" s="82" t="str">
        <f t="shared" si="77"/>
        <v/>
      </c>
      <c r="AO84" s="79" t="str">
        <f t="shared" si="78"/>
        <v/>
      </c>
      <c r="AP84" t="str">
        <f t="shared" si="79"/>
        <v/>
      </c>
      <c r="AQ84" s="82" t="str">
        <f t="shared" si="80"/>
        <v/>
      </c>
      <c r="AR84" t="str">
        <f t="shared" si="81"/>
        <v/>
      </c>
      <c r="AS84" t="str">
        <f t="shared" si="82"/>
        <v/>
      </c>
      <c r="AT84" t="str">
        <f t="shared" si="83"/>
        <v/>
      </c>
      <c r="AU84" t="str">
        <f t="shared" si="84"/>
        <v/>
      </c>
      <c r="AV84" s="82" t="str">
        <f t="shared" si="85"/>
        <v/>
      </c>
      <c r="AW84" t="str">
        <f t="shared" si="86"/>
        <v/>
      </c>
      <c r="AX84" t="str">
        <f t="shared" si="87"/>
        <v/>
      </c>
      <c r="AY84" s="82" t="str">
        <f t="shared" si="88"/>
        <v>M</v>
      </c>
      <c r="AZ84" t="str">
        <f t="shared" si="89"/>
        <v>M</v>
      </c>
      <c r="BA84" t="str">
        <f t="shared" si="90"/>
        <v/>
      </c>
      <c r="BB84" s="83" t="str">
        <f t="shared" si="91"/>
        <v/>
      </c>
      <c r="BC84" s="84">
        <f t="shared" si="92"/>
        <v>0</v>
      </c>
      <c r="BD84" s="84">
        <f t="shared" si="93"/>
        <v>0</v>
      </c>
      <c r="BE84" s="84">
        <f t="shared" si="94"/>
        <v>0</v>
      </c>
      <c r="BF84" s="84">
        <f t="shared" si="95"/>
        <v>0.47222222222222221</v>
      </c>
      <c r="BG84" s="78">
        <f>IF(AN84="",0,VLOOKUP(AN84,Tables!$AB$3:$AC$12,2))</f>
        <v>0</v>
      </c>
      <c r="BH84" s="79">
        <f>IF(AO84="",0,VLOOKUP(AO84,Tables!$AB$3:$AC$12,2))</f>
        <v>0</v>
      </c>
      <c r="BI84" s="79">
        <f>IF(AP84="",0,VLOOKUP(AP84,Tables!$AB$3:$AC$12,2))</f>
        <v>0</v>
      </c>
      <c r="BJ84" s="78">
        <f>IF(AQ84="",0,VLOOKUP(AQ84,Tables!$AB$3:$AC$12,2))</f>
        <v>0</v>
      </c>
      <c r="BK84" s="79">
        <f>IF(AR84="",0,VLOOKUP(AR84,Tables!$AB$3:$AC$12,2))</f>
        <v>0</v>
      </c>
      <c r="BL84" s="79">
        <f>IF(AS84="",0,VLOOKUP(AS84,Tables!$AB$3:$AC$12,2))</f>
        <v>0</v>
      </c>
      <c r="BM84" s="79">
        <f>IF(AT84="",0,VLOOKUP(AT84,Tables!$AB$3:$AC$12,2))</f>
        <v>0</v>
      </c>
      <c r="BN84" s="79">
        <f>IF(AU84="",0,VLOOKUP(AU84,Tables!$AB$3:$AC$12,2))</f>
        <v>0</v>
      </c>
      <c r="BO84" s="78">
        <f>IF(AV84="",0,VLOOKUP(AV84,Tables!$AB$3:$AC$12,2))</f>
        <v>0</v>
      </c>
      <c r="BP84" s="79">
        <f>IF(AW84="",0,VLOOKUP(AW84,Tables!$AB$3:$AC$12,2))</f>
        <v>0</v>
      </c>
      <c r="BQ84" s="79">
        <f>IF(AX84="",0,VLOOKUP(AX84,Tables!$AB$3:$AC$12,2))</f>
        <v>0</v>
      </c>
      <c r="BR84" s="78">
        <f>IF(AY84="",0,VLOOKUP(AY84,Tables!$AB$3:$AC$12,2))</f>
        <v>1</v>
      </c>
      <c r="BS84" s="79">
        <f>IF(AZ84="",0,VLOOKUP(AZ84,Tables!$AB$3:$AC$12,2))</f>
        <v>1</v>
      </c>
      <c r="BT84" s="79">
        <f>IF(BA84="",0,VLOOKUP(BA84,Tables!$AB$3:$AC$12,2))</f>
        <v>0</v>
      </c>
      <c r="BU84" s="80">
        <f>IF(BB84="",0,VLOOKUP(BB84,Tables!$AB$3:$AC$12,2))</f>
        <v>0</v>
      </c>
      <c r="BV84" s="85">
        <f>IF(AN84="",0,VLOOKUP(B84,Tables!$B$3:$D$36,2,FALSE())*X$1)</f>
        <v>0</v>
      </c>
      <c r="BW84" s="72">
        <f>IF(AO84="",0,VLOOKUP(C84,Tables!$B$3:$D$36,2,FALSE())*Y$1)</f>
        <v>0</v>
      </c>
      <c r="BX84" s="72">
        <f>IF(AP84="",0,VLOOKUP(D84,Tables!$B$3:$D$36,2,FALSE())*Z$1)</f>
        <v>0</v>
      </c>
      <c r="BY84" s="85">
        <f>IF(AQ84="",0,VLOOKUP(E84,Tables!$B$3:$D$36,2,FALSE())*AA$1)</f>
        <v>0</v>
      </c>
      <c r="BZ84" s="72">
        <f>IF(AR84="",0,VLOOKUP(F84,Tables!$B$3:$D$36,2,FALSE())*AB$1)</f>
        <v>0</v>
      </c>
      <c r="CA84" s="72">
        <f>IF(AS84="",0,VLOOKUP(G84,Tables!$B$3:$D$36,2,FALSE())*AC$1)</f>
        <v>0</v>
      </c>
      <c r="CB84" s="72">
        <f>IF(AT84="",0,VLOOKUP(H84,Tables!$B$3:$D$36,2,FALSE())*AD$1)</f>
        <v>0</v>
      </c>
      <c r="CC84" s="72">
        <f>IF(AU84="",0,VLOOKUP(I84,Tables!$B$3:$D$36,2,FALSE())*AE$1)</f>
        <v>0</v>
      </c>
      <c r="CD84" s="85">
        <f>IF(AV84="",0,VLOOKUP(J84,Tables!$B$3:$D$36,2,FALSE())*AF$1)</f>
        <v>0</v>
      </c>
      <c r="CE84" s="72">
        <f>IF(AW84="",0,VLOOKUP(K84,Tables!$B$3:$D$36,2,FALSE())*AG$1)</f>
        <v>0</v>
      </c>
      <c r="CF84" s="72">
        <f>IF(AX84="",0,VLOOKUP(L84,Tables!$B$3:$D$36,2,FALSE())*AH$1)</f>
        <v>0</v>
      </c>
      <c r="CG84" s="85">
        <f>IF(AY84="",0,VLOOKUP(M84,Tables!$B$3:$D$36,2,FALSE())*AI$1)</f>
        <v>210.00000000000003</v>
      </c>
      <c r="CH84" s="72">
        <f>IF(AZ84="",0,VLOOKUP(N84,Tables!$B$3:$D$36,2,FALSE())*AJ$1)</f>
        <v>45</v>
      </c>
      <c r="CI84" s="72">
        <f>IF(BA84="",0,VLOOKUP(O84,Tables!$B$3:$D$36,2,FALSE())*AK$1)</f>
        <v>0</v>
      </c>
      <c r="CJ84" s="86">
        <f>IF(BB84="",0,VLOOKUP(P84,Tables!$B$3:$D$36,2,FALSE())*AL$1)</f>
        <v>0</v>
      </c>
      <c r="CK84" s="87">
        <f>IF(AN84="",0,VLOOKUP(B84,Tables!$B$3:$D$36,3,FALSE())*X$1)*IF(OR(AN84="K",AN84="P"),2,1)</f>
        <v>0</v>
      </c>
      <c r="CL84" s="73">
        <f>IF(AO84="",0,VLOOKUP(C84,Tables!$B$3:$D$36,3,FALSE())*Y$1)*IF(OR(AO84="K",AO84="P"),2,1)</f>
        <v>0</v>
      </c>
      <c r="CM84" s="73">
        <f>IF(AP84="",0,VLOOKUP(D84,Tables!$B$3:$D$36,3,FALSE())*Z$1)*IF(OR(AP84="K",AP84="P"),2,1)</f>
        <v>0</v>
      </c>
      <c r="CN84" s="87">
        <f>IF(AQ84="",0,VLOOKUP(E84,Tables!$B$3:$D$36,3,FALSE())*AA$1)</f>
        <v>0</v>
      </c>
      <c r="CO84" s="73">
        <f>IF(AR84="",0,VLOOKUP(F84,Tables!$B$3:$D$36,3,FALSE())*AB$1)</f>
        <v>0</v>
      </c>
      <c r="CP84" s="73">
        <f>IF(AS84="",0,VLOOKUP(G84,Tables!$B$3:$D$36,3,FALSE())*AC$1)</f>
        <v>0</v>
      </c>
      <c r="CQ84" s="73">
        <f>IF(AT84="",0,VLOOKUP(H84,Tables!$B$3:$D$36,3,FALSE())*AD$1)</f>
        <v>0</v>
      </c>
      <c r="CR84" s="73">
        <f>IF(AU84="",0,VLOOKUP(I84,Tables!$B$3:$D$36,3,FALSE())*AE$1)</f>
        <v>0</v>
      </c>
      <c r="CS84" s="87">
        <f>IF(AV84="",0,VLOOKUP(J84,Tables!$B$3:$D$36,3,FALSE())*AF$1)</f>
        <v>0</v>
      </c>
      <c r="CT84" s="73">
        <f>IF(AW84="",0,VLOOKUP(K84,Tables!$B$3:$D$36,3,FALSE())*AG$1)</f>
        <v>0</v>
      </c>
      <c r="CU84" s="73">
        <f>IF(AX84="",0,VLOOKUP(L84,Tables!$B$3:$D$36,3,FALSE())*AH$1)</f>
        <v>0</v>
      </c>
      <c r="CV84" s="87">
        <f>IF(AY84="",0,VLOOKUP(M84,Tables!$B$3:$D$36,3,FALSE())*AI$1)</f>
        <v>6.3000000000000007</v>
      </c>
      <c r="CW84" s="73">
        <f>IF(AZ84="",0,VLOOKUP(N84,Tables!$B$3:$D$36,3,FALSE())*AJ$1)</f>
        <v>1.3499999999999999</v>
      </c>
      <c r="CX84" s="73">
        <f>IF(BA84="",0,VLOOKUP(O84,Tables!$B$3:$D$36,3,FALSE())*AK$1)</f>
        <v>0</v>
      </c>
      <c r="CY84" s="88">
        <f>IF(BB84="",0,VLOOKUP(P84,Tables!$B$3:$D$36,3,FALSE())*AL$1)</f>
        <v>0</v>
      </c>
      <c r="CZ84" s="89">
        <f t="shared" si="96"/>
        <v>0</v>
      </c>
      <c r="DA84" s="75">
        <f t="shared" si="97"/>
        <v>0</v>
      </c>
      <c r="DB84" s="75">
        <f t="shared" si="98"/>
        <v>0</v>
      </c>
      <c r="DC84" s="89">
        <f t="shared" si="99"/>
        <v>0</v>
      </c>
      <c r="DD84" s="75">
        <f t="shared" si="100"/>
        <v>0</v>
      </c>
      <c r="DE84" s="75">
        <f t="shared" si="101"/>
        <v>0</v>
      </c>
      <c r="DF84" s="75">
        <f t="shared" si="102"/>
        <v>0</v>
      </c>
      <c r="DG84" s="75">
        <f t="shared" si="103"/>
        <v>0</v>
      </c>
      <c r="DH84" s="89">
        <f t="shared" si="104"/>
        <v>0</v>
      </c>
      <c r="DI84" s="75">
        <f t="shared" si="105"/>
        <v>0</v>
      </c>
      <c r="DJ84" s="75">
        <f t="shared" si="106"/>
        <v>0</v>
      </c>
      <c r="DK84" s="89">
        <f t="shared" si="107"/>
        <v>1</v>
      </c>
      <c r="DL84" s="75">
        <f t="shared" si="108"/>
        <v>1</v>
      </c>
      <c r="DM84" s="75">
        <f t="shared" si="109"/>
        <v>0</v>
      </c>
      <c r="DN84" s="90">
        <f t="shared" si="110"/>
        <v>0</v>
      </c>
      <c r="DO84" s="91">
        <f>IF(AN84="",0,VLOOKUP(B84,Tables!$B$3:$M$36,11,FALSE())*X$1)</f>
        <v>0</v>
      </c>
      <c r="DP84" s="92">
        <f>IF(AO84="",0,VLOOKUP(C84,Tables!$B$3:$M$36,11,FALSE())*Y$1)</f>
        <v>0</v>
      </c>
      <c r="DQ84" s="92">
        <f>IF(AP84="",0,VLOOKUP(D84,Tables!$B$3:$M$36,11,FALSE())*Z$1)</f>
        <v>0</v>
      </c>
      <c r="DR84" s="91">
        <f>IF(AQ84="",0,VLOOKUP(E84,Tables!$B$3:$M$36,11,FALSE())*AA$1)</f>
        <v>0</v>
      </c>
      <c r="DS84" s="92">
        <f>IF(AR84="",0,VLOOKUP(F84,Tables!$B$3:$M$36,11,FALSE())*AB$1)</f>
        <v>0</v>
      </c>
      <c r="DT84" s="92">
        <f>IF(AS84="",0,VLOOKUP(G84,Tables!$B$3:$M$36,11,FALSE())*AC$1)</f>
        <v>0</v>
      </c>
      <c r="DU84" s="92">
        <f>IF(AT84="",0,VLOOKUP(H84,Tables!$B$3:$M$36,11,FALSE())*AD$1)</f>
        <v>0</v>
      </c>
      <c r="DV84" s="92">
        <f>IF(AU84="",0,VLOOKUP(I84,Tables!$B$3:$M$36,11,FALSE())*AE$1)</f>
        <v>0</v>
      </c>
      <c r="DW84" s="91">
        <f>IF(AV84="",0,VLOOKUP(J84,Tables!$B$3:$M$36,11,FALSE())*AF$1)</f>
        <v>0</v>
      </c>
      <c r="DX84" s="92">
        <f>IF(AW84="",0,VLOOKUP(K84,Tables!$B$3:$M$36,11,FALSE())*AG$1)</f>
        <v>0</v>
      </c>
      <c r="DY84" s="92">
        <f>IF(AX84="",0,VLOOKUP(L84,Tables!$B$3:$M$36,11,FALSE())*AH$1)</f>
        <v>0</v>
      </c>
      <c r="DZ84" s="91">
        <f>IF(AY84="",0,VLOOKUP(M84,Tables!$B$3:$M$36,11,FALSE())*AI$1)</f>
        <v>126.00000000000001</v>
      </c>
      <c r="EA84" s="92">
        <f>IF(AZ84="",0,VLOOKUP(N84,Tables!$B$3:$M$36,11,FALSE())*AJ$1)</f>
        <v>27</v>
      </c>
      <c r="EB84" s="92">
        <f>IF(BA84="",0,VLOOKUP(O84,Tables!$B$3:$M$36,11,FALSE())*AK$1)</f>
        <v>0</v>
      </c>
      <c r="EC84" s="93">
        <f>IF(BB84="",0,VLOOKUP(P84,Tables!$B$3:$M$36,11,FALSE())*AL$1)</f>
        <v>0</v>
      </c>
      <c r="ED84" s="91">
        <f>IF(AN84="",0,VLOOKUP(B84,Tables!$B$3:$M$36,12,FALSE())*X$1)</f>
        <v>0</v>
      </c>
      <c r="EE84" s="92">
        <f>IF(AO84="",0,VLOOKUP(C84,Tables!$B$3:$M$36,12,FALSE())*Y$1)</f>
        <v>0</v>
      </c>
      <c r="EF84" s="92">
        <f>IF(AP84="",0,VLOOKUP(D84,Tables!$B$3:$M$36,12,FALSE())*Z$1)</f>
        <v>0</v>
      </c>
      <c r="EG84" s="91">
        <f>IF(AQ84="",0,VLOOKUP(E84,Tables!$B$3:$M$36,12,FALSE())*AA$1)</f>
        <v>0</v>
      </c>
      <c r="EH84" s="92">
        <f>IF(AR84="",0,VLOOKUP(F84,Tables!$B$3:$M$36,12,FALSE())*AB$1)</f>
        <v>0</v>
      </c>
      <c r="EI84" s="92">
        <f>IF(AS84="",0,VLOOKUP(G84,Tables!$B$3:$M$36,12,FALSE())*AC$1)</f>
        <v>0</v>
      </c>
      <c r="EJ84" s="92">
        <f>IF(AT84="",0,VLOOKUP(H84,Tables!$B$3:$M$36,12,FALSE())*AD$1)</f>
        <v>0</v>
      </c>
      <c r="EK84" s="92">
        <f>IF(AU84="",0,VLOOKUP(I84,Tables!$B$3:$M$36,12,FALSE())*AE$1)</f>
        <v>0</v>
      </c>
      <c r="EL84" s="91">
        <f>IF(AV84="",0,VLOOKUP(J84,Tables!$B$3:$M$36,12,FALSE())*AF$1)</f>
        <v>0</v>
      </c>
      <c r="EM84" s="92">
        <f>IF(AW84="",0,VLOOKUP(K84,Tables!$B$3:$M$36,12,FALSE())*AG$1)</f>
        <v>0</v>
      </c>
      <c r="EN84" s="92">
        <f>IF(AX84="",0,VLOOKUP(L84,Tables!$B$3:$M$36,12,FALSE())*AH$1)</f>
        <v>0</v>
      </c>
      <c r="EO84" s="91">
        <f>IF(AY84="",0,VLOOKUP(M84,Tables!$B$3:$M$36,12,FALSE())*AI$1)</f>
        <v>105.00000000000001</v>
      </c>
      <c r="EP84" s="92">
        <f>IF(AZ84="",0,VLOOKUP(N84,Tables!$B$3:$M$36,12,FALSE())*AJ$1)</f>
        <v>22.5</v>
      </c>
      <c r="EQ84" s="92">
        <f>IF(BA84="",0,VLOOKUP(O84,Tables!$B$3:$M$36,12,FALSE())*AK$1)</f>
        <v>0</v>
      </c>
      <c r="ER84" s="93">
        <f>IF(BB84="",0,VLOOKUP(P84,Tables!$B$3:$M$36,12,FALSE())*AL$1)</f>
        <v>0</v>
      </c>
      <c r="ES84" s="94">
        <f t="shared" si="111"/>
        <v>0</v>
      </c>
      <c r="ET84" s="95">
        <f>IF(AN84="",10,MIN(VLOOKUP(B84,MATERIAL,13,FALSE()),'Item Builder'!$W84))</f>
        <v>10</v>
      </c>
      <c r="EU84" s="95">
        <f>IF(AO84="",10,MIN(VLOOKUP(C84,MATERIAL,13,FALSE()),'Item Builder'!$W84))</f>
        <v>10</v>
      </c>
      <c r="EV84" s="95">
        <f>IF(AP84="",10,MIN(VLOOKUP(D84,MATERIAL,13,FALSE()),'Item Builder'!$W84))</f>
        <v>10</v>
      </c>
      <c r="EW84" s="95">
        <f>IF(AQ84="",10,MIN(VLOOKUP(E84,MATERIAL,13,FALSE()),'Item Builder'!$W84))</f>
        <v>10</v>
      </c>
      <c r="EX84" s="95">
        <f>IF(AR84="",10,MIN(VLOOKUP(F84,MATERIAL,13,FALSE()),'Item Builder'!$W84))</f>
        <v>10</v>
      </c>
      <c r="EY84" s="95">
        <f>IF(AS84="",10,MIN(VLOOKUP(G84,MATERIAL,13,FALSE()),'Item Builder'!$W84))</f>
        <v>10</v>
      </c>
      <c r="EZ84" s="95">
        <f>IF(AT84="",10,MIN(VLOOKUP(H84,MATERIAL,13,FALSE()),'Item Builder'!$W84))</f>
        <v>10</v>
      </c>
      <c r="FA84" s="95">
        <f>IF(AU84="",10,MIN(VLOOKUP(I84,MATERIAL,13,FALSE()),'Item Builder'!$W84))</f>
        <v>10</v>
      </c>
      <c r="FB84" s="95">
        <f>IF(AV84="",10,MIN(VLOOKUP(J84,MATERIAL,13,FALSE()),'Item Builder'!$W84))</f>
        <v>10</v>
      </c>
      <c r="FC84" s="95">
        <f>IF(AW84="",10,MIN(VLOOKUP(K84,MATERIAL,13,FALSE()),'Item Builder'!$W84))</f>
        <v>10</v>
      </c>
      <c r="FD84" s="95">
        <f>IF(AX84="",10,MIN(VLOOKUP(L84,MATERIAL,13,FALSE()),'Item Builder'!$W84))</f>
        <v>10</v>
      </c>
      <c r="FE84" s="95">
        <f>IF(AY84="",10,MIN(VLOOKUP(M84,MATERIAL,13,FALSE()),'Item Builder'!$W84))</f>
        <v>0</v>
      </c>
      <c r="FF84" s="95">
        <f>IF(AZ84="",10,MIN(VLOOKUP(N84,MATERIAL,13,FALSE()),'Item Builder'!$W84))</f>
        <v>0</v>
      </c>
      <c r="FG84" s="95">
        <f>IF(BA84="",10,MIN(VLOOKUP(O84,MATERIAL,13,FALSE()),'Item Builder'!$W84))</f>
        <v>10</v>
      </c>
      <c r="FH84" s="95">
        <f>IF(BB84="",10,MIN(VLOOKUP(P84,MATERIAL,13,FALSE()),'Item Builder'!$W84))</f>
        <v>10</v>
      </c>
    </row>
    <row r="85" spans="1:164" x14ac:dyDescent="0.25">
      <c r="A85" s="67" t="s">
        <v>48</v>
      </c>
      <c r="B85" s="68"/>
      <c r="C85" s="69"/>
      <c r="D85" s="70"/>
      <c r="E85" s="68"/>
      <c r="F85" s="69"/>
      <c r="G85" s="69"/>
      <c r="H85" s="69"/>
      <c r="I85" s="70"/>
      <c r="J85" s="68"/>
      <c r="K85" s="69"/>
      <c r="L85" s="70"/>
      <c r="M85" s="68" t="s">
        <v>108</v>
      </c>
      <c r="N85" s="69" t="s">
        <v>108</v>
      </c>
      <c r="O85" s="69" t="s">
        <v>108</v>
      </c>
      <c r="P85" s="71" t="s">
        <v>108</v>
      </c>
      <c r="Q85" s="72">
        <f>SUM(BV85:CJ85)*VLOOKUP(W85,Tables!$W$3:$Z$8,4)</f>
        <v>540</v>
      </c>
      <c r="R85" s="73">
        <f t="shared" si="56"/>
        <v>16.200000000000003</v>
      </c>
      <c r="S85" s="102">
        <f t="shared" si="57"/>
        <v>10</v>
      </c>
      <c r="T85" s="74">
        <f t="shared" si="58"/>
        <v>0</v>
      </c>
      <c r="U85" s="75">
        <f t="shared" si="59"/>
        <v>324</v>
      </c>
      <c r="V85" s="76">
        <f t="shared" si="60"/>
        <v>270</v>
      </c>
      <c r="W85" s="77">
        <v>0</v>
      </c>
      <c r="X85" s="78">
        <f t="shared" si="61"/>
        <v>0</v>
      </c>
      <c r="Y85" s="79">
        <f t="shared" si="62"/>
        <v>0</v>
      </c>
      <c r="Z85" s="79">
        <f t="shared" si="63"/>
        <v>0</v>
      </c>
      <c r="AA85" s="78">
        <f t="shared" si="64"/>
        <v>0</v>
      </c>
      <c r="AB85" s="79">
        <f t="shared" si="65"/>
        <v>0</v>
      </c>
      <c r="AC85" s="79">
        <f t="shared" si="66"/>
        <v>0</v>
      </c>
      <c r="AD85" s="79">
        <f t="shared" si="67"/>
        <v>0</v>
      </c>
      <c r="AE85" s="79">
        <f t="shared" si="68"/>
        <v>0</v>
      </c>
      <c r="AF85" s="78">
        <f t="shared" si="69"/>
        <v>0</v>
      </c>
      <c r="AG85" s="79">
        <f t="shared" si="70"/>
        <v>0</v>
      </c>
      <c r="AH85" s="79">
        <f t="shared" si="71"/>
        <v>0</v>
      </c>
      <c r="AI85" s="78">
        <f t="shared" si="72"/>
        <v>1</v>
      </c>
      <c r="AJ85" s="79">
        <f t="shared" si="73"/>
        <v>1</v>
      </c>
      <c r="AK85" s="79">
        <f t="shared" si="74"/>
        <v>1</v>
      </c>
      <c r="AL85" s="80">
        <f t="shared" si="75"/>
        <v>1</v>
      </c>
      <c r="AM85" s="81">
        <f t="shared" si="76"/>
        <v>0.36000000000000004</v>
      </c>
      <c r="AN85" s="82" t="str">
        <f t="shared" si="77"/>
        <v/>
      </c>
      <c r="AO85" s="79" t="str">
        <f t="shared" si="78"/>
        <v/>
      </c>
      <c r="AP85" t="str">
        <f t="shared" si="79"/>
        <v/>
      </c>
      <c r="AQ85" s="82" t="str">
        <f t="shared" si="80"/>
        <v/>
      </c>
      <c r="AR85" t="str">
        <f t="shared" si="81"/>
        <v/>
      </c>
      <c r="AS85" t="str">
        <f t="shared" si="82"/>
        <v/>
      </c>
      <c r="AT85" t="str">
        <f t="shared" si="83"/>
        <v/>
      </c>
      <c r="AU85" t="str">
        <f t="shared" si="84"/>
        <v/>
      </c>
      <c r="AV85" s="82" t="str">
        <f t="shared" si="85"/>
        <v/>
      </c>
      <c r="AW85" t="str">
        <f t="shared" si="86"/>
        <v/>
      </c>
      <c r="AX85" t="str">
        <f t="shared" si="87"/>
        <v/>
      </c>
      <c r="AY85" s="82" t="str">
        <f t="shared" si="88"/>
        <v>M</v>
      </c>
      <c r="AZ85" t="str">
        <f t="shared" si="89"/>
        <v>M</v>
      </c>
      <c r="BA85" t="str">
        <f t="shared" si="90"/>
        <v>M</v>
      </c>
      <c r="BB85" s="83" t="str">
        <f t="shared" si="91"/>
        <v>M</v>
      </c>
      <c r="BC85" s="84">
        <f t="shared" si="92"/>
        <v>0</v>
      </c>
      <c r="BD85" s="84">
        <f t="shared" si="93"/>
        <v>0</v>
      </c>
      <c r="BE85" s="84">
        <f t="shared" si="94"/>
        <v>0</v>
      </c>
      <c r="BF85" s="84">
        <f t="shared" si="95"/>
        <v>1</v>
      </c>
      <c r="BG85" s="78">
        <f>IF(AN85="",0,VLOOKUP(AN85,Tables!$AB$3:$AC$12,2))</f>
        <v>0</v>
      </c>
      <c r="BH85" s="79">
        <f>IF(AO85="",0,VLOOKUP(AO85,Tables!$AB$3:$AC$12,2))</f>
        <v>0</v>
      </c>
      <c r="BI85" s="79">
        <f>IF(AP85="",0,VLOOKUP(AP85,Tables!$AB$3:$AC$12,2))</f>
        <v>0</v>
      </c>
      <c r="BJ85" s="78">
        <f>IF(AQ85="",0,VLOOKUP(AQ85,Tables!$AB$3:$AC$12,2))</f>
        <v>0</v>
      </c>
      <c r="BK85" s="79">
        <f>IF(AR85="",0,VLOOKUP(AR85,Tables!$AB$3:$AC$12,2))</f>
        <v>0</v>
      </c>
      <c r="BL85" s="79">
        <f>IF(AS85="",0,VLOOKUP(AS85,Tables!$AB$3:$AC$12,2))</f>
        <v>0</v>
      </c>
      <c r="BM85" s="79">
        <f>IF(AT85="",0,VLOOKUP(AT85,Tables!$AB$3:$AC$12,2))</f>
        <v>0</v>
      </c>
      <c r="BN85" s="79">
        <f>IF(AU85="",0,VLOOKUP(AU85,Tables!$AB$3:$AC$12,2))</f>
        <v>0</v>
      </c>
      <c r="BO85" s="78">
        <f>IF(AV85="",0,VLOOKUP(AV85,Tables!$AB$3:$AC$12,2))</f>
        <v>0</v>
      </c>
      <c r="BP85" s="79">
        <f>IF(AW85="",0,VLOOKUP(AW85,Tables!$AB$3:$AC$12,2))</f>
        <v>0</v>
      </c>
      <c r="BQ85" s="79">
        <f>IF(AX85="",0,VLOOKUP(AX85,Tables!$AB$3:$AC$12,2))</f>
        <v>0</v>
      </c>
      <c r="BR85" s="78">
        <f>IF(AY85="",0,VLOOKUP(AY85,Tables!$AB$3:$AC$12,2))</f>
        <v>1</v>
      </c>
      <c r="BS85" s="79">
        <f>IF(AZ85="",0,VLOOKUP(AZ85,Tables!$AB$3:$AC$12,2))</f>
        <v>1</v>
      </c>
      <c r="BT85" s="79">
        <f>IF(BA85="",0,VLOOKUP(BA85,Tables!$AB$3:$AC$12,2))</f>
        <v>1</v>
      </c>
      <c r="BU85" s="80">
        <f>IF(BB85="",0,VLOOKUP(BB85,Tables!$AB$3:$AC$12,2))</f>
        <v>1</v>
      </c>
      <c r="BV85" s="85">
        <f>IF(AN85="",0,VLOOKUP(B85,Tables!$B$3:$D$36,2,FALSE())*X$1)</f>
        <v>0</v>
      </c>
      <c r="BW85" s="72">
        <f>IF(AO85="",0,VLOOKUP(C85,Tables!$B$3:$D$36,2,FALSE())*Y$1)</f>
        <v>0</v>
      </c>
      <c r="BX85" s="72">
        <f>IF(AP85="",0,VLOOKUP(D85,Tables!$B$3:$D$36,2,FALSE())*Z$1)</f>
        <v>0</v>
      </c>
      <c r="BY85" s="85">
        <f>IF(AQ85="",0,VLOOKUP(E85,Tables!$B$3:$D$36,2,FALSE())*AA$1)</f>
        <v>0</v>
      </c>
      <c r="BZ85" s="72">
        <f>IF(AR85="",0,VLOOKUP(F85,Tables!$B$3:$D$36,2,FALSE())*AB$1)</f>
        <v>0</v>
      </c>
      <c r="CA85" s="72">
        <f>IF(AS85="",0,VLOOKUP(G85,Tables!$B$3:$D$36,2,FALSE())*AC$1)</f>
        <v>0</v>
      </c>
      <c r="CB85" s="72">
        <f>IF(AT85="",0,VLOOKUP(H85,Tables!$B$3:$D$36,2,FALSE())*AD$1)</f>
        <v>0</v>
      </c>
      <c r="CC85" s="72">
        <f>IF(AU85="",0,VLOOKUP(I85,Tables!$B$3:$D$36,2,FALSE())*AE$1)</f>
        <v>0</v>
      </c>
      <c r="CD85" s="85">
        <f>IF(AV85="",0,VLOOKUP(J85,Tables!$B$3:$D$36,2,FALSE())*AF$1)</f>
        <v>0</v>
      </c>
      <c r="CE85" s="72">
        <f>IF(AW85="",0,VLOOKUP(K85,Tables!$B$3:$D$36,2,FALSE())*AG$1)</f>
        <v>0</v>
      </c>
      <c r="CF85" s="72">
        <f>IF(AX85="",0,VLOOKUP(L85,Tables!$B$3:$D$36,2,FALSE())*AH$1)</f>
        <v>0</v>
      </c>
      <c r="CG85" s="85">
        <f>IF(AY85="",0,VLOOKUP(M85,Tables!$B$3:$D$36,2,FALSE())*AI$1)</f>
        <v>210.00000000000003</v>
      </c>
      <c r="CH85" s="72">
        <f>IF(AZ85="",0,VLOOKUP(N85,Tables!$B$3:$D$36,2,FALSE())*AJ$1)</f>
        <v>45</v>
      </c>
      <c r="CI85" s="72">
        <f>IF(BA85="",0,VLOOKUP(O85,Tables!$B$3:$D$36,2,FALSE())*AK$1)</f>
        <v>180</v>
      </c>
      <c r="CJ85" s="86">
        <f>IF(BB85="",0,VLOOKUP(P85,Tables!$B$3:$D$36,2,FALSE())*AL$1)</f>
        <v>105.00000000000001</v>
      </c>
      <c r="CK85" s="87">
        <f>IF(AN85="",0,VLOOKUP(B85,Tables!$B$3:$D$36,3,FALSE())*X$1)*IF(OR(AN85="K",AN85="P"),2,1)</f>
        <v>0</v>
      </c>
      <c r="CL85" s="73">
        <f>IF(AO85="",0,VLOOKUP(C85,Tables!$B$3:$D$36,3,FALSE())*Y$1)*IF(OR(AO85="K",AO85="P"),2,1)</f>
        <v>0</v>
      </c>
      <c r="CM85" s="73">
        <f>IF(AP85="",0,VLOOKUP(D85,Tables!$B$3:$D$36,3,FALSE())*Z$1)*IF(OR(AP85="K",AP85="P"),2,1)</f>
        <v>0</v>
      </c>
      <c r="CN85" s="87">
        <f>IF(AQ85="",0,VLOOKUP(E85,Tables!$B$3:$D$36,3,FALSE())*AA$1)</f>
        <v>0</v>
      </c>
      <c r="CO85" s="73">
        <f>IF(AR85="",0,VLOOKUP(F85,Tables!$B$3:$D$36,3,FALSE())*AB$1)</f>
        <v>0</v>
      </c>
      <c r="CP85" s="73">
        <f>IF(AS85="",0,VLOOKUP(G85,Tables!$B$3:$D$36,3,FALSE())*AC$1)</f>
        <v>0</v>
      </c>
      <c r="CQ85" s="73">
        <f>IF(AT85="",0,VLOOKUP(H85,Tables!$B$3:$D$36,3,FALSE())*AD$1)</f>
        <v>0</v>
      </c>
      <c r="CR85" s="73">
        <f>IF(AU85="",0,VLOOKUP(I85,Tables!$B$3:$D$36,3,FALSE())*AE$1)</f>
        <v>0</v>
      </c>
      <c r="CS85" s="87">
        <f>IF(AV85="",0,VLOOKUP(J85,Tables!$B$3:$D$36,3,FALSE())*AF$1)</f>
        <v>0</v>
      </c>
      <c r="CT85" s="73">
        <f>IF(AW85="",0,VLOOKUP(K85,Tables!$B$3:$D$36,3,FALSE())*AG$1)</f>
        <v>0</v>
      </c>
      <c r="CU85" s="73">
        <f>IF(AX85="",0,VLOOKUP(L85,Tables!$B$3:$D$36,3,FALSE())*AH$1)</f>
        <v>0</v>
      </c>
      <c r="CV85" s="87">
        <f>IF(AY85="",0,VLOOKUP(M85,Tables!$B$3:$D$36,3,FALSE())*AI$1)</f>
        <v>6.3000000000000007</v>
      </c>
      <c r="CW85" s="73">
        <f>IF(AZ85="",0,VLOOKUP(N85,Tables!$B$3:$D$36,3,FALSE())*AJ$1)</f>
        <v>1.3499999999999999</v>
      </c>
      <c r="CX85" s="73">
        <f>IF(BA85="",0,VLOOKUP(O85,Tables!$B$3:$D$36,3,FALSE())*AK$1)</f>
        <v>5.3999999999999995</v>
      </c>
      <c r="CY85" s="88">
        <f>IF(BB85="",0,VLOOKUP(P85,Tables!$B$3:$D$36,3,FALSE())*AL$1)</f>
        <v>3.1500000000000004</v>
      </c>
      <c r="CZ85" s="89">
        <f t="shared" si="96"/>
        <v>0</v>
      </c>
      <c r="DA85" s="75">
        <f t="shared" si="97"/>
        <v>0</v>
      </c>
      <c r="DB85" s="75">
        <f t="shared" si="98"/>
        <v>0</v>
      </c>
      <c r="DC85" s="89">
        <f t="shared" si="99"/>
        <v>0</v>
      </c>
      <c r="DD85" s="75">
        <f t="shared" si="100"/>
        <v>0</v>
      </c>
      <c r="DE85" s="75">
        <f t="shared" si="101"/>
        <v>0</v>
      </c>
      <c r="DF85" s="75">
        <f t="shared" si="102"/>
        <v>0</v>
      </c>
      <c r="DG85" s="75">
        <f t="shared" si="103"/>
        <v>0</v>
      </c>
      <c r="DH85" s="89">
        <f t="shared" si="104"/>
        <v>0</v>
      </c>
      <c r="DI85" s="75">
        <f t="shared" si="105"/>
        <v>0</v>
      </c>
      <c r="DJ85" s="75">
        <f t="shared" si="106"/>
        <v>0</v>
      </c>
      <c r="DK85" s="89">
        <f t="shared" si="107"/>
        <v>1</v>
      </c>
      <c r="DL85" s="75">
        <f t="shared" si="108"/>
        <v>1</v>
      </c>
      <c r="DM85" s="75">
        <f t="shared" si="109"/>
        <v>1</v>
      </c>
      <c r="DN85" s="90">
        <f t="shared" si="110"/>
        <v>1</v>
      </c>
      <c r="DO85" s="91">
        <f>IF(AN85="",0,VLOOKUP(B85,Tables!$B$3:$M$36,11,FALSE())*X$1)</f>
        <v>0</v>
      </c>
      <c r="DP85" s="92">
        <f>IF(AO85="",0,VLOOKUP(C85,Tables!$B$3:$M$36,11,FALSE())*Y$1)</f>
        <v>0</v>
      </c>
      <c r="DQ85" s="92">
        <f>IF(AP85="",0,VLOOKUP(D85,Tables!$B$3:$M$36,11,FALSE())*Z$1)</f>
        <v>0</v>
      </c>
      <c r="DR85" s="91">
        <f>IF(AQ85="",0,VLOOKUP(E85,Tables!$B$3:$M$36,11,FALSE())*AA$1)</f>
        <v>0</v>
      </c>
      <c r="DS85" s="92">
        <f>IF(AR85="",0,VLOOKUP(F85,Tables!$B$3:$M$36,11,FALSE())*AB$1)</f>
        <v>0</v>
      </c>
      <c r="DT85" s="92">
        <f>IF(AS85="",0,VLOOKUP(G85,Tables!$B$3:$M$36,11,FALSE())*AC$1)</f>
        <v>0</v>
      </c>
      <c r="DU85" s="92">
        <f>IF(AT85="",0,VLOOKUP(H85,Tables!$B$3:$M$36,11,FALSE())*AD$1)</f>
        <v>0</v>
      </c>
      <c r="DV85" s="92">
        <f>IF(AU85="",0,VLOOKUP(I85,Tables!$B$3:$M$36,11,FALSE())*AE$1)</f>
        <v>0</v>
      </c>
      <c r="DW85" s="91">
        <f>IF(AV85="",0,VLOOKUP(J85,Tables!$B$3:$M$36,11,FALSE())*AF$1)</f>
        <v>0</v>
      </c>
      <c r="DX85" s="92">
        <f>IF(AW85="",0,VLOOKUP(K85,Tables!$B$3:$M$36,11,FALSE())*AG$1)</f>
        <v>0</v>
      </c>
      <c r="DY85" s="92">
        <f>IF(AX85="",0,VLOOKUP(L85,Tables!$B$3:$M$36,11,FALSE())*AH$1)</f>
        <v>0</v>
      </c>
      <c r="DZ85" s="91">
        <f>IF(AY85="",0,VLOOKUP(M85,Tables!$B$3:$M$36,11,FALSE())*AI$1)</f>
        <v>126.00000000000001</v>
      </c>
      <c r="EA85" s="92">
        <f>IF(AZ85="",0,VLOOKUP(N85,Tables!$B$3:$M$36,11,FALSE())*AJ$1)</f>
        <v>27</v>
      </c>
      <c r="EB85" s="92">
        <f>IF(BA85="",0,VLOOKUP(O85,Tables!$B$3:$M$36,11,FALSE())*AK$1)</f>
        <v>108</v>
      </c>
      <c r="EC85" s="93">
        <f>IF(BB85="",0,VLOOKUP(P85,Tables!$B$3:$M$36,11,FALSE())*AL$1)</f>
        <v>63.000000000000007</v>
      </c>
      <c r="ED85" s="91">
        <f>IF(AN85="",0,VLOOKUP(B85,Tables!$B$3:$M$36,12,FALSE())*X$1)</f>
        <v>0</v>
      </c>
      <c r="EE85" s="92">
        <f>IF(AO85="",0,VLOOKUP(C85,Tables!$B$3:$M$36,12,FALSE())*Y$1)</f>
        <v>0</v>
      </c>
      <c r="EF85" s="92">
        <f>IF(AP85="",0,VLOOKUP(D85,Tables!$B$3:$M$36,12,FALSE())*Z$1)</f>
        <v>0</v>
      </c>
      <c r="EG85" s="91">
        <f>IF(AQ85="",0,VLOOKUP(E85,Tables!$B$3:$M$36,12,FALSE())*AA$1)</f>
        <v>0</v>
      </c>
      <c r="EH85" s="92">
        <f>IF(AR85="",0,VLOOKUP(F85,Tables!$B$3:$M$36,12,FALSE())*AB$1)</f>
        <v>0</v>
      </c>
      <c r="EI85" s="92">
        <f>IF(AS85="",0,VLOOKUP(G85,Tables!$B$3:$M$36,12,FALSE())*AC$1)</f>
        <v>0</v>
      </c>
      <c r="EJ85" s="92">
        <f>IF(AT85="",0,VLOOKUP(H85,Tables!$B$3:$M$36,12,FALSE())*AD$1)</f>
        <v>0</v>
      </c>
      <c r="EK85" s="92">
        <f>IF(AU85="",0,VLOOKUP(I85,Tables!$B$3:$M$36,12,FALSE())*AE$1)</f>
        <v>0</v>
      </c>
      <c r="EL85" s="91">
        <f>IF(AV85="",0,VLOOKUP(J85,Tables!$B$3:$M$36,12,FALSE())*AF$1)</f>
        <v>0</v>
      </c>
      <c r="EM85" s="92">
        <f>IF(AW85="",0,VLOOKUP(K85,Tables!$B$3:$M$36,12,FALSE())*AG$1)</f>
        <v>0</v>
      </c>
      <c r="EN85" s="92">
        <f>IF(AX85="",0,VLOOKUP(L85,Tables!$B$3:$M$36,12,FALSE())*AH$1)</f>
        <v>0</v>
      </c>
      <c r="EO85" s="91">
        <f>IF(AY85="",0,VLOOKUP(M85,Tables!$B$3:$M$36,12,FALSE())*AI$1)</f>
        <v>105.00000000000001</v>
      </c>
      <c r="EP85" s="92">
        <f>IF(AZ85="",0,VLOOKUP(N85,Tables!$B$3:$M$36,12,FALSE())*AJ$1)</f>
        <v>22.5</v>
      </c>
      <c r="EQ85" s="92">
        <f>IF(BA85="",0,VLOOKUP(O85,Tables!$B$3:$M$36,12,FALSE())*AK$1)</f>
        <v>90</v>
      </c>
      <c r="ER85" s="93">
        <f>IF(BB85="",0,VLOOKUP(P85,Tables!$B$3:$M$36,12,FALSE())*AL$1)</f>
        <v>52.500000000000007</v>
      </c>
      <c r="ES85" s="94">
        <f t="shared" si="111"/>
        <v>0</v>
      </c>
      <c r="ET85" s="95">
        <f>IF(AN85="",10,MIN(VLOOKUP(B85,MATERIAL,13,FALSE()),'Item Builder'!$W85))</f>
        <v>10</v>
      </c>
      <c r="EU85" s="95">
        <f>IF(AO85="",10,MIN(VLOOKUP(C85,MATERIAL,13,FALSE()),'Item Builder'!$W85))</f>
        <v>10</v>
      </c>
      <c r="EV85" s="95">
        <f>IF(AP85="",10,MIN(VLOOKUP(D85,MATERIAL,13,FALSE()),'Item Builder'!$W85))</f>
        <v>10</v>
      </c>
      <c r="EW85" s="95">
        <f>IF(AQ85="",10,MIN(VLOOKUP(E85,MATERIAL,13,FALSE()),'Item Builder'!$W85))</f>
        <v>10</v>
      </c>
      <c r="EX85" s="95">
        <f>IF(AR85="",10,MIN(VLOOKUP(F85,MATERIAL,13,FALSE()),'Item Builder'!$W85))</f>
        <v>10</v>
      </c>
      <c r="EY85" s="95">
        <f>IF(AS85="",10,MIN(VLOOKUP(G85,MATERIAL,13,FALSE()),'Item Builder'!$W85))</f>
        <v>10</v>
      </c>
      <c r="EZ85" s="95">
        <f>IF(AT85="",10,MIN(VLOOKUP(H85,MATERIAL,13,FALSE()),'Item Builder'!$W85))</f>
        <v>10</v>
      </c>
      <c r="FA85" s="95">
        <f>IF(AU85="",10,MIN(VLOOKUP(I85,MATERIAL,13,FALSE()),'Item Builder'!$W85))</f>
        <v>10</v>
      </c>
      <c r="FB85" s="95">
        <f>IF(AV85="",10,MIN(VLOOKUP(J85,MATERIAL,13,FALSE()),'Item Builder'!$W85))</f>
        <v>10</v>
      </c>
      <c r="FC85" s="95">
        <f>IF(AW85="",10,MIN(VLOOKUP(K85,MATERIAL,13,FALSE()),'Item Builder'!$W85))</f>
        <v>10</v>
      </c>
      <c r="FD85" s="95">
        <f>IF(AX85="",10,MIN(VLOOKUP(L85,MATERIAL,13,FALSE()),'Item Builder'!$W85))</f>
        <v>10</v>
      </c>
      <c r="FE85" s="95">
        <f>IF(AY85="",10,MIN(VLOOKUP(M85,MATERIAL,13,FALSE()),'Item Builder'!$W85))</f>
        <v>0</v>
      </c>
      <c r="FF85" s="95">
        <f>IF(AZ85="",10,MIN(VLOOKUP(N85,MATERIAL,13,FALSE()),'Item Builder'!$W85))</f>
        <v>0</v>
      </c>
      <c r="FG85" s="95">
        <f>IF(BA85="",10,MIN(VLOOKUP(O85,MATERIAL,13,FALSE()),'Item Builder'!$W85))</f>
        <v>0</v>
      </c>
      <c r="FH85" s="95">
        <f>IF(BB85="",10,MIN(VLOOKUP(P85,MATERIAL,13,FALSE()),'Item Builder'!$W85))</f>
        <v>0</v>
      </c>
    </row>
    <row r="86" spans="1:164" x14ac:dyDescent="0.25">
      <c r="A86" s="67" t="s">
        <v>17</v>
      </c>
      <c r="B86" s="68" t="s">
        <v>30</v>
      </c>
      <c r="C86" s="69"/>
      <c r="D86" s="70"/>
      <c r="E86" s="68"/>
      <c r="F86" s="69"/>
      <c r="G86" s="69"/>
      <c r="H86" s="69"/>
      <c r="I86" s="70"/>
      <c r="J86" s="68"/>
      <c r="K86" s="69"/>
      <c r="L86" s="70"/>
      <c r="M86" s="68"/>
      <c r="N86" s="69"/>
      <c r="O86" s="69"/>
      <c r="P86" s="71"/>
      <c r="Q86" s="72">
        <f>SUM(BV86:CJ86)*VLOOKUP(W86,Tables!$W$3:$Z$8,4)</f>
        <v>80</v>
      </c>
      <c r="R86" s="73">
        <f t="shared" si="56"/>
        <v>3.04</v>
      </c>
      <c r="S86" s="74">
        <f t="shared" si="57"/>
        <v>0</v>
      </c>
      <c r="T86" s="74">
        <f t="shared" si="58"/>
        <v>0</v>
      </c>
      <c r="U86" s="75">
        <f t="shared" si="59"/>
        <v>96</v>
      </c>
      <c r="V86" s="76">
        <f t="shared" si="60"/>
        <v>9.6</v>
      </c>
      <c r="W86" s="77">
        <v>0</v>
      </c>
      <c r="X86" s="78">
        <f t="shared" si="61"/>
        <v>1</v>
      </c>
      <c r="Y86" s="79">
        <f t="shared" si="62"/>
        <v>0</v>
      </c>
      <c r="Z86" s="79">
        <f t="shared" si="63"/>
        <v>0</v>
      </c>
      <c r="AA86" s="78">
        <f t="shared" si="64"/>
        <v>0</v>
      </c>
      <c r="AB86" s="79">
        <f t="shared" si="65"/>
        <v>0</v>
      </c>
      <c r="AC86" s="79">
        <f t="shared" si="66"/>
        <v>0</v>
      </c>
      <c r="AD86" s="79">
        <f t="shared" si="67"/>
        <v>0</v>
      </c>
      <c r="AE86" s="79">
        <f t="shared" si="68"/>
        <v>0</v>
      </c>
      <c r="AF86" s="78">
        <f t="shared" si="69"/>
        <v>0</v>
      </c>
      <c r="AG86" s="79">
        <f t="shared" si="70"/>
        <v>0</v>
      </c>
      <c r="AH86" s="79">
        <f t="shared" si="71"/>
        <v>0</v>
      </c>
      <c r="AI86" s="78">
        <f t="shared" si="72"/>
        <v>0</v>
      </c>
      <c r="AJ86" s="79">
        <f t="shared" si="73"/>
        <v>0</v>
      </c>
      <c r="AK86" s="79">
        <f t="shared" si="74"/>
        <v>0</v>
      </c>
      <c r="AL86" s="80">
        <f t="shared" si="75"/>
        <v>0</v>
      </c>
      <c r="AM86" s="81">
        <f t="shared" si="76"/>
        <v>0.04</v>
      </c>
      <c r="AN86" s="82" t="str">
        <f t="shared" si="77"/>
        <v>P</v>
      </c>
      <c r="AO86" s="79" t="str">
        <f t="shared" si="78"/>
        <v/>
      </c>
      <c r="AP86" t="str">
        <f t="shared" si="79"/>
        <v/>
      </c>
      <c r="AQ86" s="82" t="str">
        <f t="shared" si="80"/>
        <v/>
      </c>
      <c r="AR86" t="str">
        <f t="shared" si="81"/>
        <v/>
      </c>
      <c r="AS86" t="str">
        <f t="shared" si="82"/>
        <v/>
      </c>
      <c r="AT86" t="str">
        <f t="shared" si="83"/>
        <v/>
      </c>
      <c r="AU86" t="str">
        <f t="shared" si="84"/>
        <v/>
      </c>
      <c r="AV86" s="82" t="str">
        <f t="shared" si="85"/>
        <v/>
      </c>
      <c r="AW86" t="str">
        <f t="shared" si="86"/>
        <v/>
      </c>
      <c r="AX86" t="str">
        <f t="shared" si="87"/>
        <v/>
      </c>
      <c r="AY86" s="82" t="str">
        <f t="shared" si="88"/>
        <v/>
      </c>
      <c r="AZ86" t="str">
        <f t="shared" si="89"/>
        <v/>
      </c>
      <c r="BA86" t="str">
        <f t="shared" si="90"/>
        <v/>
      </c>
      <c r="BB86" s="83" t="str">
        <f t="shared" si="91"/>
        <v/>
      </c>
      <c r="BC86" s="84">
        <f t="shared" si="92"/>
        <v>0.44444444444444442</v>
      </c>
      <c r="BD86" s="84">
        <f t="shared" si="93"/>
        <v>0</v>
      </c>
      <c r="BE86" s="84">
        <f t="shared" si="94"/>
        <v>0</v>
      </c>
      <c r="BF86" s="84">
        <f t="shared" si="95"/>
        <v>0</v>
      </c>
      <c r="BG86" s="78">
        <f>IF(AN86="",0,VLOOKUP(AN86,Tables!$AB$3:$AC$12,2))</f>
        <v>1</v>
      </c>
      <c r="BH86" s="79">
        <f>IF(AO86="",0,VLOOKUP(AO86,Tables!$AB$3:$AC$12,2))</f>
        <v>0</v>
      </c>
      <c r="BI86" s="79">
        <f>IF(AP86="",0,VLOOKUP(AP86,Tables!$AB$3:$AC$12,2))</f>
        <v>0</v>
      </c>
      <c r="BJ86" s="78">
        <f>IF(AQ86="",0,VLOOKUP(AQ86,Tables!$AB$3:$AC$12,2))</f>
        <v>0</v>
      </c>
      <c r="BK86" s="79">
        <f>IF(AR86="",0,VLOOKUP(AR86,Tables!$AB$3:$AC$12,2))</f>
        <v>0</v>
      </c>
      <c r="BL86" s="79">
        <f>IF(AS86="",0,VLOOKUP(AS86,Tables!$AB$3:$AC$12,2))</f>
        <v>0</v>
      </c>
      <c r="BM86" s="79">
        <f>IF(AT86="",0,VLOOKUP(AT86,Tables!$AB$3:$AC$12,2))</f>
        <v>0</v>
      </c>
      <c r="BN86" s="79">
        <f>IF(AU86="",0,VLOOKUP(AU86,Tables!$AB$3:$AC$12,2))</f>
        <v>0</v>
      </c>
      <c r="BO86" s="78">
        <f>IF(AV86="",0,VLOOKUP(AV86,Tables!$AB$3:$AC$12,2))</f>
        <v>0</v>
      </c>
      <c r="BP86" s="79">
        <f>IF(AW86="",0,VLOOKUP(AW86,Tables!$AB$3:$AC$12,2))</f>
        <v>0</v>
      </c>
      <c r="BQ86" s="79">
        <f>IF(AX86="",0,VLOOKUP(AX86,Tables!$AB$3:$AC$12,2))</f>
        <v>0</v>
      </c>
      <c r="BR86" s="78">
        <f>IF(AY86="",0,VLOOKUP(AY86,Tables!$AB$3:$AC$12,2))</f>
        <v>0</v>
      </c>
      <c r="BS86" s="79">
        <f>IF(AZ86="",0,VLOOKUP(AZ86,Tables!$AB$3:$AC$12,2))</f>
        <v>0</v>
      </c>
      <c r="BT86" s="79">
        <f>IF(BA86="",0,VLOOKUP(BA86,Tables!$AB$3:$AC$12,2))</f>
        <v>0</v>
      </c>
      <c r="BU86" s="80">
        <f>IF(BB86="",0,VLOOKUP(BB86,Tables!$AB$3:$AC$12,2))</f>
        <v>0</v>
      </c>
      <c r="BV86" s="85">
        <f>IF(AN86="",0,VLOOKUP(B86,Tables!$B$3:$D$36,2,FALSE())*X$1)</f>
        <v>80</v>
      </c>
      <c r="BW86" s="72">
        <f>IF(AO86="",0,VLOOKUP(C86,Tables!$B$3:$D$36,2,FALSE())*Y$1)</f>
        <v>0</v>
      </c>
      <c r="BX86" s="72">
        <f>IF(AP86="",0,VLOOKUP(D86,Tables!$B$3:$D$36,2,FALSE())*Z$1)</f>
        <v>0</v>
      </c>
      <c r="BY86" s="85">
        <f>IF(AQ86="",0,VLOOKUP(E86,Tables!$B$3:$D$36,2,FALSE())*AA$1)</f>
        <v>0</v>
      </c>
      <c r="BZ86" s="72">
        <f>IF(AR86="",0,VLOOKUP(F86,Tables!$B$3:$D$36,2,FALSE())*AB$1)</f>
        <v>0</v>
      </c>
      <c r="CA86" s="72">
        <f>IF(AS86="",0,VLOOKUP(G86,Tables!$B$3:$D$36,2,FALSE())*AC$1)</f>
        <v>0</v>
      </c>
      <c r="CB86" s="72">
        <f>IF(AT86="",0,VLOOKUP(H86,Tables!$B$3:$D$36,2,FALSE())*AD$1)</f>
        <v>0</v>
      </c>
      <c r="CC86" s="72">
        <f>IF(AU86="",0,VLOOKUP(I86,Tables!$B$3:$D$36,2,FALSE())*AE$1)</f>
        <v>0</v>
      </c>
      <c r="CD86" s="85">
        <f>IF(AV86="",0,VLOOKUP(J86,Tables!$B$3:$D$36,2,FALSE())*AF$1)</f>
        <v>0</v>
      </c>
      <c r="CE86" s="72">
        <f>IF(AW86="",0,VLOOKUP(K86,Tables!$B$3:$D$36,2,FALSE())*AG$1)</f>
        <v>0</v>
      </c>
      <c r="CF86" s="72">
        <f>IF(AX86="",0,VLOOKUP(L86,Tables!$B$3:$D$36,2,FALSE())*AH$1)</f>
        <v>0</v>
      </c>
      <c r="CG86" s="85">
        <f>IF(AY86="",0,VLOOKUP(M86,Tables!$B$3:$D$36,2,FALSE())*AI$1)</f>
        <v>0</v>
      </c>
      <c r="CH86" s="72">
        <f>IF(AZ86="",0,VLOOKUP(N86,Tables!$B$3:$D$36,2,FALSE())*AJ$1)</f>
        <v>0</v>
      </c>
      <c r="CI86" s="72">
        <f>IF(BA86="",0,VLOOKUP(O86,Tables!$B$3:$D$36,2,FALSE())*AK$1)</f>
        <v>0</v>
      </c>
      <c r="CJ86" s="86">
        <f>IF(BB86="",0,VLOOKUP(P86,Tables!$B$3:$D$36,2,FALSE())*AL$1)</f>
        <v>0</v>
      </c>
      <c r="CK86" s="87">
        <f>IF(AN86="",0,VLOOKUP(B86,Tables!$B$3:$D$36,3,FALSE())*X$1)*IF(OR(AN86="K",AN86="P"),2,1)</f>
        <v>3.04</v>
      </c>
      <c r="CL86" s="73">
        <f>IF(AO86="",0,VLOOKUP(C86,Tables!$B$3:$D$36,3,FALSE())*Y$1)*IF(OR(AO86="K",AO86="P"),2,1)</f>
        <v>0</v>
      </c>
      <c r="CM86" s="73">
        <f>IF(AP86="",0,VLOOKUP(D86,Tables!$B$3:$D$36,3,FALSE())*Z$1)*IF(OR(AP86="K",AP86="P"),2,1)</f>
        <v>0</v>
      </c>
      <c r="CN86" s="87">
        <f>IF(AQ86="",0,VLOOKUP(E86,Tables!$B$3:$D$36,3,FALSE())*AA$1)</f>
        <v>0</v>
      </c>
      <c r="CO86" s="73">
        <f>IF(AR86="",0,VLOOKUP(F86,Tables!$B$3:$D$36,3,FALSE())*AB$1)</f>
        <v>0</v>
      </c>
      <c r="CP86" s="73">
        <f>IF(AS86="",0,VLOOKUP(G86,Tables!$B$3:$D$36,3,FALSE())*AC$1)</f>
        <v>0</v>
      </c>
      <c r="CQ86" s="73">
        <f>IF(AT86="",0,VLOOKUP(H86,Tables!$B$3:$D$36,3,FALSE())*AD$1)</f>
        <v>0</v>
      </c>
      <c r="CR86" s="73">
        <f>IF(AU86="",0,VLOOKUP(I86,Tables!$B$3:$D$36,3,FALSE())*AE$1)</f>
        <v>0</v>
      </c>
      <c r="CS86" s="87">
        <f>IF(AV86="",0,VLOOKUP(J86,Tables!$B$3:$D$36,3,FALSE())*AF$1)</f>
        <v>0</v>
      </c>
      <c r="CT86" s="73">
        <f>IF(AW86="",0,VLOOKUP(K86,Tables!$B$3:$D$36,3,FALSE())*AG$1)</f>
        <v>0</v>
      </c>
      <c r="CU86" s="73">
        <f>IF(AX86="",0,VLOOKUP(L86,Tables!$B$3:$D$36,3,FALSE())*AH$1)</f>
        <v>0</v>
      </c>
      <c r="CV86" s="87">
        <f>IF(AY86="",0,VLOOKUP(M86,Tables!$B$3:$D$36,3,FALSE())*AI$1)</f>
        <v>0</v>
      </c>
      <c r="CW86" s="73">
        <f>IF(AZ86="",0,VLOOKUP(N86,Tables!$B$3:$D$36,3,FALSE())*AJ$1)</f>
        <v>0</v>
      </c>
      <c r="CX86" s="73">
        <f>IF(BA86="",0,VLOOKUP(O86,Tables!$B$3:$D$36,3,FALSE())*AK$1)</f>
        <v>0</v>
      </c>
      <c r="CY86" s="88">
        <f>IF(BB86="",0,VLOOKUP(P86,Tables!$B$3:$D$36,3,FALSE())*AL$1)</f>
        <v>0</v>
      </c>
      <c r="CZ86" s="89">
        <f t="shared" si="96"/>
        <v>1.5</v>
      </c>
      <c r="DA86" s="75">
        <f t="shared" si="97"/>
        <v>0</v>
      </c>
      <c r="DB86" s="75">
        <f t="shared" si="98"/>
        <v>0</v>
      </c>
      <c r="DC86" s="89">
        <f t="shared" si="99"/>
        <v>0</v>
      </c>
      <c r="DD86" s="75">
        <f t="shared" si="100"/>
        <v>0</v>
      </c>
      <c r="DE86" s="75">
        <f t="shared" si="101"/>
        <v>0</v>
      </c>
      <c r="DF86" s="75">
        <f t="shared" si="102"/>
        <v>0</v>
      </c>
      <c r="DG86" s="75">
        <f t="shared" si="103"/>
        <v>0</v>
      </c>
      <c r="DH86" s="89">
        <f t="shared" si="104"/>
        <v>0</v>
      </c>
      <c r="DI86" s="75">
        <f t="shared" si="105"/>
        <v>0</v>
      </c>
      <c r="DJ86" s="75">
        <f t="shared" si="106"/>
        <v>0</v>
      </c>
      <c r="DK86" s="89">
        <f t="shared" si="107"/>
        <v>0</v>
      </c>
      <c r="DL86" s="75">
        <f t="shared" si="108"/>
        <v>0</v>
      </c>
      <c r="DM86" s="75">
        <f t="shared" si="109"/>
        <v>0</v>
      </c>
      <c r="DN86" s="90">
        <f t="shared" si="110"/>
        <v>0</v>
      </c>
      <c r="DO86" s="91">
        <f>IF(AN86="",0,VLOOKUP(B86,Tables!$B$3:$M$36,11,FALSE())*X$1)</f>
        <v>96</v>
      </c>
      <c r="DP86" s="92">
        <f>IF(AO86="",0,VLOOKUP(C86,Tables!$B$3:$M$36,11,FALSE())*Y$1)</f>
        <v>0</v>
      </c>
      <c r="DQ86" s="92">
        <f>IF(AP86="",0,VLOOKUP(D86,Tables!$B$3:$M$36,11,FALSE())*Z$1)</f>
        <v>0</v>
      </c>
      <c r="DR86" s="91">
        <f>IF(AQ86="",0,VLOOKUP(E86,Tables!$B$3:$M$36,11,FALSE())*AA$1)</f>
        <v>0</v>
      </c>
      <c r="DS86" s="92">
        <f>IF(AR86="",0,VLOOKUP(F86,Tables!$B$3:$M$36,11,FALSE())*AB$1)</f>
        <v>0</v>
      </c>
      <c r="DT86" s="92">
        <f>IF(AS86="",0,VLOOKUP(G86,Tables!$B$3:$M$36,11,FALSE())*AC$1)</f>
        <v>0</v>
      </c>
      <c r="DU86" s="92">
        <f>IF(AT86="",0,VLOOKUP(H86,Tables!$B$3:$M$36,11,FALSE())*AD$1)</f>
        <v>0</v>
      </c>
      <c r="DV86" s="92">
        <f>IF(AU86="",0,VLOOKUP(I86,Tables!$B$3:$M$36,11,FALSE())*AE$1)</f>
        <v>0</v>
      </c>
      <c r="DW86" s="91">
        <f>IF(AV86="",0,VLOOKUP(J86,Tables!$B$3:$M$36,11,FALSE())*AF$1)</f>
        <v>0</v>
      </c>
      <c r="DX86" s="92">
        <f>IF(AW86="",0,VLOOKUP(K86,Tables!$B$3:$M$36,11,FALSE())*AG$1)</f>
        <v>0</v>
      </c>
      <c r="DY86" s="92">
        <f>IF(AX86="",0,VLOOKUP(L86,Tables!$B$3:$M$36,11,FALSE())*AH$1)</f>
        <v>0</v>
      </c>
      <c r="DZ86" s="91">
        <f>IF(AY86="",0,VLOOKUP(M86,Tables!$B$3:$M$36,11,FALSE())*AI$1)</f>
        <v>0</v>
      </c>
      <c r="EA86" s="92">
        <f>IF(AZ86="",0,VLOOKUP(N86,Tables!$B$3:$M$36,11,FALSE())*AJ$1)</f>
        <v>0</v>
      </c>
      <c r="EB86" s="92">
        <f>IF(BA86="",0,VLOOKUP(O86,Tables!$B$3:$M$36,11,FALSE())*AK$1)</f>
        <v>0</v>
      </c>
      <c r="EC86" s="93">
        <f>IF(BB86="",0,VLOOKUP(P86,Tables!$B$3:$M$36,11,FALSE())*AL$1)</f>
        <v>0</v>
      </c>
      <c r="ED86" s="91">
        <f>IF(AN86="",0,VLOOKUP(B86,Tables!$B$3:$M$36,12,FALSE())*X$1)</f>
        <v>9.6</v>
      </c>
      <c r="EE86" s="92">
        <f>IF(AO86="",0,VLOOKUP(C86,Tables!$B$3:$M$36,12,FALSE())*Y$1)</f>
        <v>0</v>
      </c>
      <c r="EF86" s="92">
        <f>IF(AP86="",0,VLOOKUP(D86,Tables!$B$3:$M$36,12,FALSE())*Z$1)</f>
        <v>0</v>
      </c>
      <c r="EG86" s="91">
        <f>IF(AQ86="",0,VLOOKUP(E86,Tables!$B$3:$M$36,12,FALSE())*AA$1)</f>
        <v>0</v>
      </c>
      <c r="EH86" s="92">
        <f>IF(AR86="",0,VLOOKUP(F86,Tables!$B$3:$M$36,12,FALSE())*AB$1)</f>
        <v>0</v>
      </c>
      <c r="EI86" s="92">
        <f>IF(AS86="",0,VLOOKUP(G86,Tables!$B$3:$M$36,12,FALSE())*AC$1)</f>
        <v>0</v>
      </c>
      <c r="EJ86" s="92">
        <f>IF(AT86="",0,VLOOKUP(H86,Tables!$B$3:$M$36,12,FALSE())*AD$1)</f>
        <v>0</v>
      </c>
      <c r="EK86" s="92">
        <f>IF(AU86="",0,VLOOKUP(I86,Tables!$B$3:$M$36,12,FALSE())*AE$1)</f>
        <v>0</v>
      </c>
      <c r="EL86" s="91">
        <f>IF(AV86="",0,VLOOKUP(J86,Tables!$B$3:$M$36,12,FALSE())*AF$1)</f>
        <v>0</v>
      </c>
      <c r="EM86" s="92">
        <f>IF(AW86="",0,VLOOKUP(K86,Tables!$B$3:$M$36,12,FALSE())*AG$1)</f>
        <v>0</v>
      </c>
      <c r="EN86" s="92">
        <f>IF(AX86="",0,VLOOKUP(L86,Tables!$B$3:$M$36,12,FALSE())*AH$1)</f>
        <v>0</v>
      </c>
      <c r="EO86" s="91">
        <f>IF(AY86="",0,VLOOKUP(M86,Tables!$B$3:$M$36,12,FALSE())*AI$1)</f>
        <v>0</v>
      </c>
      <c r="EP86" s="92">
        <f>IF(AZ86="",0,VLOOKUP(N86,Tables!$B$3:$M$36,12,FALSE())*AJ$1)</f>
        <v>0</v>
      </c>
      <c r="EQ86" s="92">
        <f>IF(BA86="",0,VLOOKUP(O86,Tables!$B$3:$M$36,12,FALSE())*AK$1)</f>
        <v>0</v>
      </c>
      <c r="ER86" s="93">
        <f>IF(BB86="",0,VLOOKUP(P86,Tables!$B$3:$M$36,12,FALSE())*AL$1)</f>
        <v>0</v>
      </c>
      <c r="ES86" s="94">
        <f t="shared" si="111"/>
        <v>0</v>
      </c>
      <c r="ET86" s="95">
        <f>IF(AN86="",10,MIN(VLOOKUP(B86,MATERIAL,13,FALSE()),'Item Builder'!$W86))</f>
        <v>0</v>
      </c>
      <c r="EU86" s="95">
        <f>IF(AO86="",10,MIN(VLOOKUP(C86,MATERIAL,13,FALSE()),'Item Builder'!$W86))</f>
        <v>10</v>
      </c>
      <c r="EV86" s="95">
        <f>IF(AP86="",10,MIN(VLOOKUP(D86,MATERIAL,13,FALSE()),'Item Builder'!$W86))</f>
        <v>10</v>
      </c>
      <c r="EW86" s="95">
        <f>IF(AQ86="",10,MIN(VLOOKUP(E86,MATERIAL,13,FALSE()),'Item Builder'!$W86))</f>
        <v>10</v>
      </c>
      <c r="EX86" s="95">
        <f>IF(AR86="",10,MIN(VLOOKUP(F86,MATERIAL,13,FALSE()),'Item Builder'!$W86))</f>
        <v>10</v>
      </c>
      <c r="EY86" s="95">
        <f>IF(AS86="",10,MIN(VLOOKUP(G86,MATERIAL,13,FALSE()),'Item Builder'!$W86))</f>
        <v>10</v>
      </c>
      <c r="EZ86" s="95">
        <f>IF(AT86="",10,MIN(VLOOKUP(H86,MATERIAL,13,FALSE()),'Item Builder'!$W86))</f>
        <v>10</v>
      </c>
      <c r="FA86" s="95">
        <f>IF(AU86="",10,MIN(VLOOKUP(I86,MATERIAL,13,FALSE()),'Item Builder'!$W86))</f>
        <v>10</v>
      </c>
      <c r="FB86" s="95">
        <f>IF(AV86="",10,MIN(VLOOKUP(J86,MATERIAL,13,FALSE()),'Item Builder'!$W86))</f>
        <v>10</v>
      </c>
      <c r="FC86" s="95">
        <f>IF(AW86="",10,MIN(VLOOKUP(K86,MATERIAL,13,FALSE()),'Item Builder'!$W86))</f>
        <v>10</v>
      </c>
      <c r="FD86" s="95">
        <f>IF(AX86="",10,MIN(VLOOKUP(L86,MATERIAL,13,FALSE()),'Item Builder'!$W86))</f>
        <v>10</v>
      </c>
      <c r="FE86" s="95">
        <f>IF(AY86="",10,MIN(VLOOKUP(M86,MATERIAL,13,FALSE()),'Item Builder'!$W86))</f>
        <v>10</v>
      </c>
      <c r="FF86" s="95">
        <f>IF(AZ86="",10,MIN(VLOOKUP(N86,MATERIAL,13,FALSE()),'Item Builder'!$W86))</f>
        <v>10</v>
      </c>
      <c r="FG86" s="95">
        <f>IF(BA86="",10,MIN(VLOOKUP(O86,MATERIAL,13,FALSE()),'Item Builder'!$W86))</f>
        <v>10</v>
      </c>
      <c r="FH86" s="95">
        <f>IF(BB86="",10,MIN(VLOOKUP(P86,MATERIAL,13,FALSE()),'Item Builder'!$W86))</f>
        <v>10</v>
      </c>
    </row>
    <row r="87" spans="1:164" x14ac:dyDescent="0.25">
      <c r="A87" s="67" t="s">
        <v>69</v>
      </c>
      <c r="B87" s="68" t="s">
        <v>30</v>
      </c>
      <c r="C87" s="69" t="s">
        <v>30</v>
      </c>
      <c r="D87" s="70"/>
      <c r="E87" s="68"/>
      <c r="F87" s="69"/>
      <c r="G87" s="69"/>
      <c r="H87" s="69"/>
      <c r="I87" s="70"/>
      <c r="J87" s="68"/>
      <c r="K87" s="69"/>
      <c r="L87" s="70"/>
      <c r="M87" s="68"/>
      <c r="N87" s="69"/>
      <c r="O87" s="69"/>
      <c r="P87" s="71"/>
      <c r="Q87" s="72">
        <f>SUM(BV87:CJ87)*VLOOKUP(W87,Tables!$W$3:$Z$8,4)</f>
        <v>140</v>
      </c>
      <c r="R87" s="73">
        <f t="shared" si="56"/>
        <v>5.32</v>
      </c>
      <c r="S87" s="74">
        <f t="shared" si="57"/>
        <v>0</v>
      </c>
      <c r="T87" s="74">
        <f t="shared" si="58"/>
        <v>5</v>
      </c>
      <c r="U87" s="75">
        <f t="shared" si="59"/>
        <v>168</v>
      </c>
      <c r="V87" s="76">
        <f t="shared" si="60"/>
        <v>16.799999999999997</v>
      </c>
      <c r="W87" s="77">
        <v>0</v>
      </c>
      <c r="X87" s="78">
        <f t="shared" si="61"/>
        <v>1</v>
      </c>
      <c r="Y87" s="79">
        <f t="shared" si="62"/>
        <v>1</v>
      </c>
      <c r="Z87" s="79">
        <f t="shared" si="63"/>
        <v>0</v>
      </c>
      <c r="AA87" s="78">
        <f t="shared" si="64"/>
        <v>0</v>
      </c>
      <c r="AB87" s="79">
        <f t="shared" si="65"/>
        <v>0</v>
      </c>
      <c r="AC87" s="79">
        <f t="shared" si="66"/>
        <v>0</v>
      </c>
      <c r="AD87" s="79">
        <f t="shared" si="67"/>
        <v>0</v>
      </c>
      <c r="AE87" s="79">
        <f t="shared" si="68"/>
        <v>0</v>
      </c>
      <c r="AF87" s="78">
        <f t="shared" si="69"/>
        <v>0</v>
      </c>
      <c r="AG87" s="79">
        <f t="shared" si="70"/>
        <v>0</v>
      </c>
      <c r="AH87" s="79">
        <f t="shared" si="71"/>
        <v>0</v>
      </c>
      <c r="AI87" s="78">
        <f t="shared" si="72"/>
        <v>0</v>
      </c>
      <c r="AJ87" s="79">
        <f t="shared" si="73"/>
        <v>0</v>
      </c>
      <c r="AK87" s="79">
        <f t="shared" si="74"/>
        <v>0</v>
      </c>
      <c r="AL87" s="80">
        <f t="shared" si="75"/>
        <v>0</v>
      </c>
      <c r="AM87" s="81">
        <f t="shared" si="76"/>
        <v>7.0000000000000007E-2</v>
      </c>
      <c r="AN87" s="82" t="str">
        <f t="shared" si="77"/>
        <v>P</v>
      </c>
      <c r="AO87" s="79" t="str">
        <f t="shared" si="78"/>
        <v>P</v>
      </c>
      <c r="AP87" t="str">
        <f t="shared" si="79"/>
        <v/>
      </c>
      <c r="AQ87" s="82" t="str">
        <f t="shared" si="80"/>
        <v/>
      </c>
      <c r="AR87" t="str">
        <f t="shared" si="81"/>
        <v/>
      </c>
      <c r="AS87" t="str">
        <f t="shared" si="82"/>
        <v/>
      </c>
      <c r="AT87" t="str">
        <f t="shared" si="83"/>
        <v/>
      </c>
      <c r="AU87" t="str">
        <f t="shared" si="84"/>
        <v/>
      </c>
      <c r="AV87" s="82" t="str">
        <f t="shared" si="85"/>
        <v/>
      </c>
      <c r="AW87" t="str">
        <f t="shared" si="86"/>
        <v/>
      </c>
      <c r="AX87" t="str">
        <f t="shared" si="87"/>
        <v/>
      </c>
      <c r="AY87" s="82" t="str">
        <f t="shared" si="88"/>
        <v/>
      </c>
      <c r="AZ87" t="str">
        <f t="shared" si="89"/>
        <v/>
      </c>
      <c r="BA87" t="str">
        <f t="shared" si="90"/>
        <v/>
      </c>
      <c r="BB87" s="83" t="str">
        <f t="shared" si="91"/>
        <v/>
      </c>
      <c r="BC87" s="84">
        <f t="shared" si="92"/>
        <v>0.77777777777777779</v>
      </c>
      <c r="BD87" s="84">
        <f t="shared" si="93"/>
        <v>0</v>
      </c>
      <c r="BE87" s="84">
        <f t="shared" si="94"/>
        <v>0</v>
      </c>
      <c r="BF87" s="84">
        <f t="shared" si="95"/>
        <v>0</v>
      </c>
      <c r="BG87" s="78">
        <f>IF(AN87="",0,VLOOKUP(AN87,Tables!$AB$3:$AC$12,2))</f>
        <v>1</v>
      </c>
      <c r="BH87" s="79">
        <f>IF(AO87="",0,VLOOKUP(AO87,Tables!$AB$3:$AC$12,2))</f>
        <v>1</v>
      </c>
      <c r="BI87" s="79">
        <f>IF(AP87="",0,VLOOKUP(AP87,Tables!$AB$3:$AC$12,2))</f>
        <v>0</v>
      </c>
      <c r="BJ87" s="78">
        <f>IF(AQ87="",0,VLOOKUP(AQ87,Tables!$AB$3:$AC$12,2))</f>
        <v>0</v>
      </c>
      <c r="BK87" s="79">
        <f>IF(AR87="",0,VLOOKUP(AR87,Tables!$AB$3:$AC$12,2))</f>
        <v>0</v>
      </c>
      <c r="BL87" s="79">
        <f>IF(AS87="",0,VLOOKUP(AS87,Tables!$AB$3:$AC$12,2))</f>
        <v>0</v>
      </c>
      <c r="BM87" s="79">
        <f>IF(AT87="",0,VLOOKUP(AT87,Tables!$AB$3:$AC$12,2))</f>
        <v>0</v>
      </c>
      <c r="BN87" s="79">
        <f>IF(AU87="",0,VLOOKUP(AU87,Tables!$AB$3:$AC$12,2))</f>
        <v>0</v>
      </c>
      <c r="BO87" s="78">
        <f>IF(AV87="",0,VLOOKUP(AV87,Tables!$AB$3:$AC$12,2))</f>
        <v>0</v>
      </c>
      <c r="BP87" s="79">
        <f>IF(AW87="",0,VLOOKUP(AW87,Tables!$AB$3:$AC$12,2))</f>
        <v>0</v>
      </c>
      <c r="BQ87" s="79">
        <f>IF(AX87="",0,VLOOKUP(AX87,Tables!$AB$3:$AC$12,2))</f>
        <v>0</v>
      </c>
      <c r="BR87" s="78">
        <f>IF(AY87="",0,VLOOKUP(AY87,Tables!$AB$3:$AC$12,2))</f>
        <v>0</v>
      </c>
      <c r="BS87" s="79">
        <f>IF(AZ87="",0,VLOOKUP(AZ87,Tables!$AB$3:$AC$12,2))</f>
        <v>0</v>
      </c>
      <c r="BT87" s="79">
        <f>IF(BA87="",0,VLOOKUP(BA87,Tables!$AB$3:$AC$12,2))</f>
        <v>0</v>
      </c>
      <c r="BU87" s="80">
        <f>IF(BB87="",0,VLOOKUP(BB87,Tables!$AB$3:$AC$12,2))</f>
        <v>0</v>
      </c>
      <c r="BV87" s="85">
        <f>IF(AN87="",0,VLOOKUP(B87,Tables!$B$3:$D$36,2,FALSE())*X$1)</f>
        <v>80</v>
      </c>
      <c r="BW87" s="72">
        <f>IF(AO87="",0,VLOOKUP(C87,Tables!$B$3:$D$36,2,FALSE())*Y$1)</f>
        <v>60</v>
      </c>
      <c r="BX87" s="72">
        <f>IF(AP87="",0,VLOOKUP(D87,Tables!$B$3:$D$36,2,FALSE())*Z$1)</f>
        <v>0</v>
      </c>
      <c r="BY87" s="85">
        <f>IF(AQ87="",0,VLOOKUP(E87,Tables!$B$3:$D$36,2,FALSE())*AA$1)</f>
        <v>0</v>
      </c>
      <c r="BZ87" s="72">
        <f>IF(AR87="",0,VLOOKUP(F87,Tables!$B$3:$D$36,2,FALSE())*AB$1)</f>
        <v>0</v>
      </c>
      <c r="CA87" s="72">
        <f>IF(AS87="",0,VLOOKUP(G87,Tables!$B$3:$D$36,2,FALSE())*AC$1)</f>
        <v>0</v>
      </c>
      <c r="CB87" s="72">
        <f>IF(AT87="",0,VLOOKUP(H87,Tables!$B$3:$D$36,2,FALSE())*AD$1)</f>
        <v>0</v>
      </c>
      <c r="CC87" s="72">
        <f>IF(AU87="",0,VLOOKUP(I87,Tables!$B$3:$D$36,2,FALSE())*AE$1)</f>
        <v>0</v>
      </c>
      <c r="CD87" s="85">
        <f>IF(AV87="",0,VLOOKUP(J87,Tables!$B$3:$D$36,2,FALSE())*AF$1)</f>
        <v>0</v>
      </c>
      <c r="CE87" s="72">
        <f>IF(AW87="",0,VLOOKUP(K87,Tables!$B$3:$D$36,2,FALSE())*AG$1)</f>
        <v>0</v>
      </c>
      <c r="CF87" s="72">
        <f>IF(AX87="",0,VLOOKUP(L87,Tables!$B$3:$D$36,2,FALSE())*AH$1)</f>
        <v>0</v>
      </c>
      <c r="CG87" s="85">
        <f>IF(AY87="",0,VLOOKUP(M87,Tables!$B$3:$D$36,2,FALSE())*AI$1)</f>
        <v>0</v>
      </c>
      <c r="CH87" s="72">
        <f>IF(AZ87="",0,VLOOKUP(N87,Tables!$B$3:$D$36,2,FALSE())*AJ$1)</f>
        <v>0</v>
      </c>
      <c r="CI87" s="72">
        <f>IF(BA87="",0,VLOOKUP(O87,Tables!$B$3:$D$36,2,FALSE())*AK$1)</f>
        <v>0</v>
      </c>
      <c r="CJ87" s="86">
        <f>IF(BB87="",0,VLOOKUP(P87,Tables!$B$3:$D$36,2,FALSE())*AL$1)</f>
        <v>0</v>
      </c>
      <c r="CK87" s="87">
        <f>IF(AN87="",0,VLOOKUP(B87,Tables!$B$3:$D$36,3,FALSE())*X$1)*IF(OR(AN87="K",AN87="P"),2,1)</f>
        <v>3.04</v>
      </c>
      <c r="CL87" s="73">
        <f>IF(AO87="",0,VLOOKUP(C87,Tables!$B$3:$D$36,3,FALSE())*Y$1)*IF(OR(AO87="K",AO87="P"),2,1)</f>
        <v>2.2799999999999998</v>
      </c>
      <c r="CM87" s="73">
        <f>IF(AP87="",0,VLOOKUP(D87,Tables!$B$3:$D$36,3,FALSE())*Z$1)*IF(OR(AP87="K",AP87="P"),2,1)</f>
        <v>0</v>
      </c>
      <c r="CN87" s="87">
        <f>IF(AQ87="",0,VLOOKUP(E87,Tables!$B$3:$D$36,3,FALSE())*AA$1)</f>
        <v>0</v>
      </c>
      <c r="CO87" s="73">
        <f>IF(AR87="",0,VLOOKUP(F87,Tables!$B$3:$D$36,3,FALSE())*AB$1)</f>
        <v>0</v>
      </c>
      <c r="CP87" s="73">
        <f>IF(AS87="",0,VLOOKUP(G87,Tables!$B$3:$D$36,3,FALSE())*AC$1)</f>
        <v>0</v>
      </c>
      <c r="CQ87" s="73">
        <f>IF(AT87="",0,VLOOKUP(H87,Tables!$B$3:$D$36,3,FALSE())*AD$1)</f>
        <v>0</v>
      </c>
      <c r="CR87" s="73">
        <f>IF(AU87="",0,VLOOKUP(I87,Tables!$B$3:$D$36,3,FALSE())*AE$1)</f>
        <v>0</v>
      </c>
      <c r="CS87" s="87">
        <f>IF(AV87="",0,VLOOKUP(J87,Tables!$B$3:$D$36,3,FALSE())*AF$1)</f>
        <v>0</v>
      </c>
      <c r="CT87" s="73">
        <f>IF(AW87="",0,VLOOKUP(K87,Tables!$B$3:$D$36,3,FALSE())*AG$1)</f>
        <v>0</v>
      </c>
      <c r="CU87" s="73">
        <f>IF(AX87="",0,VLOOKUP(L87,Tables!$B$3:$D$36,3,FALSE())*AH$1)</f>
        <v>0</v>
      </c>
      <c r="CV87" s="87">
        <f>IF(AY87="",0,VLOOKUP(M87,Tables!$B$3:$D$36,3,FALSE())*AI$1)</f>
        <v>0</v>
      </c>
      <c r="CW87" s="73">
        <f>IF(AZ87="",0,VLOOKUP(N87,Tables!$B$3:$D$36,3,FALSE())*AJ$1)</f>
        <v>0</v>
      </c>
      <c r="CX87" s="73">
        <f>IF(BA87="",0,VLOOKUP(O87,Tables!$B$3:$D$36,3,FALSE())*AK$1)</f>
        <v>0</v>
      </c>
      <c r="CY87" s="88">
        <f>IF(BB87="",0,VLOOKUP(P87,Tables!$B$3:$D$36,3,FALSE())*AL$1)</f>
        <v>0</v>
      </c>
      <c r="CZ87" s="89">
        <f t="shared" si="96"/>
        <v>1.5</v>
      </c>
      <c r="DA87" s="75">
        <f t="shared" si="97"/>
        <v>1.5</v>
      </c>
      <c r="DB87" s="75">
        <f t="shared" si="98"/>
        <v>0</v>
      </c>
      <c r="DC87" s="89">
        <f t="shared" si="99"/>
        <v>0</v>
      </c>
      <c r="DD87" s="75">
        <f t="shared" si="100"/>
        <v>0</v>
      </c>
      <c r="DE87" s="75">
        <f t="shared" si="101"/>
        <v>0</v>
      </c>
      <c r="DF87" s="75">
        <f t="shared" si="102"/>
        <v>0</v>
      </c>
      <c r="DG87" s="75">
        <f t="shared" si="103"/>
        <v>0</v>
      </c>
      <c r="DH87" s="89">
        <f t="shared" si="104"/>
        <v>0</v>
      </c>
      <c r="DI87" s="75">
        <f t="shared" si="105"/>
        <v>0</v>
      </c>
      <c r="DJ87" s="75">
        <f t="shared" si="106"/>
        <v>0</v>
      </c>
      <c r="DK87" s="89">
        <f t="shared" si="107"/>
        <v>0</v>
      </c>
      <c r="DL87" s="75">
        <f t="shared" si="108"/>
        <v>0</v>
      </c>
      <c r="DM87" s="75">
        <f t="shared" si="109"/>
        <v>0</v>
      </c>
      <c r="DN87" s="90">
        <f t="shared" si="110"/>
        <v>0</v>
      </c>
      <c r="DO87" s="91">
        <f>IF(AN87="",0,VLOOKUP(B87,Tables!$B$3:$M$36,11,FALSE())*X$1)</f>
        <v>96</v>
      </c>
      <c r="DP87" s="92">
        <f>IF(AO87="",0,VLOOKUP(C87,Tables!$B$3:$M$36,11,FALSE())*Y$1)</f>
        <v>72</v>
      </c>
      <c r="DQ87" s="92">
        <f>IF(AP87="",0,VLOOKUP(D87,Tables!$B$3:$M$36,11,FALSE())*Z$1)</f>
        <v>0</v>
      </c>
      <c r="DR87" s="91">
        <f>IF(AQ87="",0,VLOOKUP(E87,Tables!$B$3:$M$36,11,FALSE())*AA$1)</f>
        <v>0</v>
      </c>
      <c r="DS87" s="92">
        <f>IF(AR87="",0,VLOOKUP(F87,Tables!$B$3:$M$36,11,FALSE())*AB$1)</f>
        <v>0</v>
      </c>
      <c r="DT87" s="92">
        <f>IF(AS87="",0,VLOOKUP(G87,Tables!$B$3:$M$36,11,FALSE())*AC$1)</f>
        <v>0</v>
      </c>
      <c r="DU87" s="92">
        <f>IF(AT87="",0,VLOOKUP(H87,Tables!$B$3:$M$36,11,FALSE())*AD$1)</f>
        <v>0</v>
      </c>
      <c r="DV87" s="92">
        <f>IF(AU87="",0,VLOOKUP(I87,Tables!$B$3:$M$36,11,FALSE())*AE$1)</f>
        <v>0</v>
      </c>
      <c r="DW87" s="91">
        <f>IF(AV87="",0,VLOOKUP(J87,Tables!$B$3:$M$36,11,FALSE())*AF$1)</f>
        <v>0</v>
      </c>
      <c r="DX87" s="92">
        <f>IF(AW87="",0,VLOOKUP(K87,Tables!$B$3:$M$36,11,FALSE())*AG$1)</f>
        <v>0</v>
      </c>
      <c r="DY87" s="92">
        <f>IF(AX87="",0,VLOOKUP(L87,Tables!$B$3:$M$36,11,FALSE())*AH$1)</f>
        <v>0</v>
      </c>
      <c r="DZ87" s="91">
        <f>IF(AY87="",0,VLOOKUP(M87,Tables!$B$3:$M$36,11,FALSE())*AI$1)</f>
        <v>0</v>
      </c>
      <c r="EA87" s="92">
        <f>IF(AZ87="",0,VLOOKUP(N87,Tables!$B$3:$M$36,11,FALSE())*AJ$1)</f>
        <v>0</v>
      </c>
      <c r="EB87" s="92">
        <f>IF(BA87="",0,VLOOKUP(O87,Tables!$B$3:$M$36,11,FALSE())*AK$1)</f>
        <v>0</v>
      </c>
      <c r="EC87" s="93">
        <f>IF(BB87="",0,VLOOKUP(P87,Tables!$B$3:$M$36,11,FALSE())*AL$1)</f>
        <v>0</v>
      </c>
      <c r="ED87" s="91">
        <f>IF(AN87="",0,VLOOKUP(B87,Tables!$B$3:$M$36,12,FALSE())*X$1)</f>
        <v>9.6</v>
      </c>
      <c r="EE87" s="92">
        <f>IF(AO87="",0,VLOOKUP(C87,Tables!$B$3:$M$36,12,FALSE())*Y$1)</f>
        <v>7.1999999999999993</v>
      </c>
      <c r="EF87" s="92">
        <f>IF(AP87="",0,VLOOKUP(D87,Tables!$B$3:$M$36,12,FALSE())*Z$1)</f>
        <v>0</v>
      </c>
      <c r="EG87" s="91">
        <f>IF(AQ87="",0,VLOOKUP(E87,Tables!$B$3:$M$36,12,FALSE())*AA$1)</f>
        <v>0</v>
      </c>
      <c r="EH87" s="92">
        <f>IF(AR87="",0,VLOOKUP(F87,Tables!$B$3:$M$36,12,FALSE())*AB$1)</f>
        <v>0</v>
      </c>
      <c r="EI87" s="92">
        <f>IF(AS87="",0,VLOOKUP(G87,Tables!$B$3:$M$36,12,FALSE())*AC$1)</f>
        <v>0</v>
      </c>
      <c r="EJ87" s="92">
        <f>IF(AT87="",0,VLOOKUP(H87,Tables!$B$3:$M$36,12,FALSE())*AD$1)</f>
        <v>0</v>
      </c>
      <c r="EK87" s="92">
        <f>IF(AU87="",0,VLOOKUP(I87,Tables!$B$3:$M$36,12,FALSE())*AE$1)</f>
        <v>0</v>
      </c>
      <c r="EL87" s="91">
        <f>IF(AV87="",0,VLOOKUP(J87,Tables!$B$3:$M$36,12,FALSE())*AF$1)</f>
        <v>0</v>
      </c>
      <c r="EM87" s="92">
        <f>IF(AW87="",0,VLOOKUP(K87,Tables!$B$3:$M$36,12,FALSE())*AG$1)</f>
        <v>0</v>
      </c>
      <c r="EN87" s="92">
        <f>IF(AX87="",0,VLOOKUP(L87,Tables!$B$3:$M$36,12,FALSE())*AH$1)</f>
        <v>0</v>
      </c>
      <c r="EO87" s="91">
        <f>IF(AY87="",0,VLOOKUP(M87,Tables!$B$3:$M$36,12,FALSE())*AI$1)</f>
        <v>0</v>
      </c>
      <c r="EP87" s="92">
        <f>IF(AZ87="",0,VLOOKUP(N87,Tables!$B$3:$M$36,12,FALSE())*AJ$1)</f>
        <v>0</v>
      </c>
      <c r="EQ87" s="92">
        <f>IF(BA87="",0,VLOOKUP(O87,Tables!$B$3:$M$36,12,FALSE())*AK$1)</f>
        <v>0</v>
      </c>
      <c r="ER87" s="93">
        <f>IF(BB87="",0,VLOOKUP(P87,Tables!$B$3:$M$36,12,FALSE())*AL$1)</f>
        <v>0</v>
      </c>
      <c r="ES87" s="94">
        <f t="shared" si="111"/>
        <v>0</v>
      </c>
      <c r="ET87" s="95">
        <f>IF(AN87="",10,MIN(VLOOKUP(B87,MATERIAL,13,FALSE()),'Item Builder'!$W87))</f>
        <v>0</v>
      </c>
      <c r="EU87" s="95">
        <f>IF(AO87="",10,MIN(VLOOKUP(C87,MATERIAL,13,FALSE()),'Item Builder'!$W87))</f>
        <v>0</v>
      </c>
      <c r="EV87" s="95">
        <f>IF(AP87="",10,MIN(VLOOKUP(D87,MATERIAL,13,FALSE()),'Item Builder'!$W87))</f>
        <v>10</v>
      </c>
      <c r="EW87" s="95">
        <f>IF(AQ87="",10,MIN(VLOOKUP(E87,MATERIAL,13,FALSE()),'Item Builder'!$W87))</f>
        <v>10</v>
      </c>
      <c r="EX87" s="95">
        <f>IF(AR87="",10,MIN(VLOOKUP(F87,MATERIAL,13,FALSE()),'Item Builder'!$W87))</f>
        <v>10</v>
      </c>
      <c r="EY87" s="95">
        <f>IF(AS87="",10,MIN(VLOOKUP(G87,MATERIAL,13,FALSE()),'Item Builder'!$W87))</f>
        <v>10</v>
      </c>
      <c r="EZ87" s="95">
        <f>IF(AT87="",10,MIN(VLOOKUP(H87,MATERIAL,13,FALSE()),'Item Builder'!$W87))</f>
        <v>10</v>
      </c>
      <c r="FA87" s="95">
        <f>IF(AU87="",10,MIN(VLOOKUP(I87,MATERIAL,13,FALSE()),'Item Builder'!$W87))</f>
        <v>10</v>
      </c>
      <c r="FB87" s="95">
        <f>IF(AV87="",10,MIN(VLOOKUP(J87,MATERIAL,13,FALSE()),'Item Builder'!$W87))</f>
        <v>10</v>
      </c>
      <c r="FC87" s="95">
        <f>IF(AW87="",10,MIN(VLOOKUP(K87,MATERIAL,13,FALSE()),'Item Builder'!$W87))</f>
        <v>10</v>
      </c>
      <c r="FD87" s="95">
        <f>IF(AX87="",10,MIN(VLOOKUP(L87,MATERIAL,13,FALSE()),'Item Builder'!$W87))</f>
        <v>10</v>
      </c>
      <c r="FE87" s="95">
        <f>IF(AY87="",10,MIN(VLOOKUP(M87,MATERIAL,13,FALSE()),'Item Builder'!$W87))</f>
        <v>10</v>
      </c>
      <c r="FF87" s="95">
        <f>IF(AZ87="",10,MIN(VLOOKUP(N87,MATERIAL,13,FALSE()),'Item Builder'!$W87))</f>
        <v>10</v>
      </c>
      <c r="FG87" s="95">
        <f>IF(BA87="",10,MIN(VLOOKUP(O87,MATERIAL,13,FALSE()),'Item Builder'!$W87))</f>
        <v>10</v>
      </c>
      <c r="FH87" s="95">
        <f>IF(BB87="",10,MIN(VLOOKUP(P87,MATERIAL,13,FALSE()),'Item Builder'!$W87))</f>
        <v>10</v>
      </c>
    </row>
    <row r="88" spans="1:164" x14ac:dyDescent="0.25">
      <c r="A88" s="67" t="s">
        <v>82</v>
      </c>
      <c r="B88" s="68" t="s">
        <v>30</v>
      </c>
      <c r="C88" s="69" t="s">
        <v>30</v>
      </c>
      <c r="D88" s="70" t="s">
        <v>30</v>
      </c>
      <c r="E88" s="68"/>
      <c r="F88" s="69"/>
      <c r="G88" s="69"/>
      <c r="H88" s="69"/>
      <c r="I88" s="70"/>
      <c r="J88" s="68"/>
      <c r="K88" s="69"/>
      <c r="L88" s="70"/>
      <c r="M88" s="68"/>
      <c r="N88" s="69"/>
      <c r="O88" s="69"/>
      <c r="P88" s="71"/>
      <c r="Q88" s="72">
        <f>SUM(BV88:CJ88)*VLOOKUP(W88,Tables!$W$3:$Z$8,4)</f>
        <v>180</v>
      </c>
      <c r="R88" s="73">
        <f t="shared" si="56"/>
        <v>6.84</v>
      </c>
      <c r="S88" s="74">
        <f t="shared" si="57"/>
        <v>0</v>
      </c>
      <c r="T88" s="74">
        <f t="shared" si="58"/>
        <v>10</v>
      </c>
      <c r="U88" s="75">
        <f t="shared" si="59"/>
        <v>216</v>
      </c>
      <c r="V88" s="76">
        <f t="shared" si="60"/>
        <v>21.599999999999998</v>
      </c>
      <c r="W88" s="77">
        <v>0</v>
      </c>
      <c r="X88" s="78">
        <f t="shared" si="61"/>
        <v>1</v>
      </c>
      <c r="Y88" s="79">
        <f t="shared" si="62"/>
        <v>1</v>
      </c>
      <c r="Z88" s="79">
        <f t="shared" si="63"/>
        <v>1</v>
      </c>
      <c r="AA88" s="78">
        <f t="shared" si="64"/>
        <v>0</v>
      </c>
      <c r="AB88" s="79">
        <f t="shared" si="65"/>
        <v>0</v>
      </c>
      <c r="AC88" s="79">
        <f t="shared" si="66"/>
        <v>0</v>
      </c>
      <c r="AD88" s="79">
        <f t="shared" si="67"/>
        <v>0</v>
      </c>
      <c r="AE88" s="79">
        <f t="shared" si="68"/>
        <v>0</v>
      </c>
      <c r="AF88" s="78">
        <f t="shared" si="69"/>
        <v>0</v>
      </c>
      <c r="AG88" s="79">
        <f t="shared" si="70"/>
        <v>0</v>
      </c>
      <c r="AH88" s="79">
        <f t="shared" si="71"/>
        <v>0</v>
      </c>
      <c r="AI88" s="78">
        <f t="shared" si="72"/>
        <v>0</v>
      </c>
      <c r="AJ88" s="79">
        <f t="shared" si="73"/>
        <v>0</v>
      </c>
      <c r="AK88" s="79">
        <f t="shared" si="74"/>
        <v>0</v>
      </c>
      <c r="AL88" s="80">
        <f t="shared" si="75"/>
        <v>0</v>
      </c>
      <c r="AM88" s="81">
        <f t="shared" si="76"/>
        <v>9.0000000000000011E-2</v>
      </c>
      <c r="AN88" s="82" t="str">
        <f t="shared" si="77"/>
        <v>P</v>
      </c>
      <c r="AO88" s="79" t="str">
        <f t="shared" si="78"/>
        <v>P</v>
      </c>
      <c r="AP88" t="str">
        <f t="shared" si="79"/>
        <v>P</v>
      </c>
      <c r="AQ88" s="82" t="str">
        <f t="shared" si="80"/>
        <v/>
      </c>
      <c r="AR88" t="str">
        <f t="shared" si="81"/>
        <v/>
      </c>
      <c r="AS88" t="str">
        <f t="shared" si="82"/>
        <v/>
      </c>
      <c r="AT88" t="str">
        <f t="shared" si="83"/>
        <v/>
      </c>
      <c r="AU88" t="str">
        <f t="shared" si="84"/>
        <v/>
      </c>
      <c r="AV88" s="82" t="str">
        <f t="shared" si="85"/>
        <v/>
      </c>
      <c r="AW88" t="str">
        <f t="shared" si="86"/>
        <v/>
      </c>
      <c r="AX88" t="str">
        <f t="shared" si="87"/>
        <v/>
      </c>
      <c r="AY88" s="82" t="str">
        <f t="shared" si="88"/>
        <v/>
      </c>
      <c r="AZ88" t="str">
        <f t="shared" si="89"/>
        <v/>
      </c>
      <c r="BA88" t="str">
        <f t="shared" si="90"/>
        <v/>
      </c>
      <c r="BB88" s="83" t="str">
        <f t="shared" si="91"/>
        <v/>
      </c>
      <c r="BC88" s="84">
        <f t="shared" si="92"/>
        <v>1</v>
      </c>
      <c r="BD88" s="84">
        <f t="shared" si="93"/>
        <v>0</v>
      </c>
      <c r="BE88" s="84">
        <f t="shared" si="94"/>
        <v>0</v>
      </c>
      <c r="BF88" s="84">
        <f t="shared" si="95"/>
        <v>0</v>
      </c>
      <c r="BG88" s="78">
        <f>IF(AN88="",0,VLOOKUP(AN88,Tables!$AB$3:$AC$12,2))</f>
        <v>1</v>
      </c>
      <c r="BH88" s="79">
        <f>IF(AO88="",0,VLOOKUP(AO88,Tables!$AB$3:$AC$12,2))</f>
        <v>1</v>
      </c>
      <c r="BI88" s="79">
        <f>IF(AP88="",0,VLOOKUP(AP88,Tables!$AB$3:$AC$12,2))</f>
        <v>1</v>
      </c>
      <c r="BJ88" s="78">
        <f>IF(AQ88="",0,VLOOKUP(AQ88,Tables!$AB$3:$AC$12,2))</f>
        <v>0</v>
      </c>
      <c r="BK88" s="79">
        <f>IF(AR88="",0,VLOOKUP(AR88,Tables!$AB$3:$AC$12,2))</f>
        <v>0</v>
      </c>
      <c r="BL88" s="79">
        <f>IF(AS88="",0,VLOOKUP(AS88,Tables!$AB$3:$AC$12,2))</f>
        <v>0</v>
      </c>
      <c r="BM88" s="79">
        <f>IF(AT88="",0,VLOOKUP(AT88,Tables!$AB$3:$AC$12,2))</f>
        <v>0</v>
      </c>
      <c r="BN88" s="79">
        <f>IF(AU88="",0,VLOOKUP(AU88,Tables!$AB$3:$AC$12,2))</f>
        <v>0</v>
      </c>
      <c r="BO88" s="78">
        <f>IF(AV88="",0,VLOOKUP(AV88,Tables!$AB$3:$AC$12,2))</f>
        <v>0</v>
      </c>
      <c r="BP88" s="79">
        <f>IF(AW88="",0,VLOOKUP(AW88,Tables!$AB$3:$AC$12,2))</f>
        <v>0</v>
      </c>
      <c r="BQ88" s="79">
        <f>IF(AX88="",0,VLOOKUP(AX88,Tables!$AB$3:$AC$12,2))</f>
        <v>0</v>
      </c>
      <c r="BR88" s="78">
        <f>IF(AY88="",0,VLOOKUP(AY88,Tables!$AB$3:$AC$12,2))</f>
        <v>0</v>
      </c>
      <c r="BS88" s="79">
        <f>IF(AZ88="",0,VLOOKUP(AZ88,Tables!$AB$3:$AC$12,2))</f>
        <v>0</v>
      </c>
      <c r="BT88" s="79">
        <f>IF(BA88="",0,VLOOKUP(BA88,Tables!$AB$3:$AC$12,2))</f>
        <v>0</v>
      </c>
      <c r="BU88" s="80">
        <f>IF(BB88="",0,VLOOKUP(BB88,Tables!$AB$3:$AC$12,2))</f>
        <v>0</v>
      </c>
      <c r="BV88" s="85">
        <f>IF(AN88="",0,VLOOKUP(B88,Tables!$B$3:$D$36,2,FALSE())*X$1)</f>
        <v>80</v>
      </c>
      <c r="BW88" s="72">
        <f>IF(AO88="",0,VLOOKUP(C88,Tables!$B$3:$D$36,2,FALSE())*Y$1)</f>
        <v>60</v>
      </c>
      <c r="BX88" s="72">
        <f>IF(AP88="",0,VLOOKUP(D88,Tables!$B$3:$D$36,2,FALSE())*Z$1)</f>
        <v>40</v>
      </c>
      <c r="BY88" s="85">
        <f>IF(AQ88="",0,VLOOKUP(E88,Tables!$B$3:$D$36,2,FALSE())*AA$1)</f>
        <v>0</v>
      </c>
      <c r="BZ88" s="72">
        <f>IF(AR88="",0,VLOOKUP(F88,Tables!$B$3:$D$36,2,FALSE())*AB$1)</f>
        <v>0</v>
      </c>
      <c r="CA88" s="72">
        <f>IF(AS88="",0,VLOOKUP(G88,Tables!$B$3:$D$36,2,FALSE())*AC$1)</f>
        <v>0</v>
      </c>
      <c r="CB88" s="72">
        <f>IF(AT88="",0,VLOOKUP(H88,Tables!$B$3:$D$36,2,FALSE())*AD$1)</f>
        <v>0</v>
      </c>
      <c r="CC88" s="72">
        <f>IF(AU88="",0,VLOOKUP(I88,Tables!$B$3:$D$36,2,FALSE())*AE$1)</f>
        <v>0</v>
      </c>
      <c r="CD88" s="85">
        <f>IF(AV88="",0,VLOOKUP(J88,Tables!$B$3:$D$36,2,FALSE())*AF$1)</f>
        <v>0</v>
      </c>
      <c r="CE88" s="72">
        <f>IF(AW88="",0,VLOOKUP(K88,Tables!$B$3:$D$36,2,FALSE())*AG$1)</f>
        <v>0</v>
      </c>
      <c r="CF88" s="72">
        <f>IF(AX88="",0,VLOOKUP(L88,Tables!$B$3:$D$36,2,FALSE())*AH$1)</f>
        <v>0</v>
      </c>
      <c r="CG88" s="85">
        <f>IF(AY88="",0,VLOOKUP(M88,Tables!$B$3:$D$36,2,FALSE())*AI$1)</f>
        <v>0</v>
      </c>
      <c r="CH88" s="72">
        <f>IF(AZ88="",0,VLOOKUP(N88,Tables!$B$3:$D$36,2,FALSE())*AJ$1)</f>
        <v>0</v>
      </c>
      <c r="CI88" s="72">
        <f>IF(BA88="",0,VLOOKUP(O88,Tables!$B$3:$D$36,2,FALSE())*AK$1)</f>
        <v>0</v>
      </c>
      <c r="CJ88" s="86">
        <f>IF(BB88="",0,VLOOKUP(P88,Tables!$B$3:$D$36,2,FALSE())*AL$1)</f>
        <v>0</v>
      </c>
      <c r="CK88" s="87">
        <f>IF(AN88="",0,VLOOKUP(B88,Tables!$B$3:$D$36,3,FALSE())*X$1)*IF(OR(AN88="K",AN88="P"),2,1)</f>
        <v>3.04</v>
      </c>
      <c r="CL88" s="73">
        <f>IF(AO88="",0,VLOOKUP(C88,Tables!$B$3:$D$36,3,FALSE())*Y$1)*IF(OR(AO88="K",AO88="P"),2,1)</f>
        <v>2.2799999999999998</v>
      </c>
      <c r="CM88" s="73">
        <f>IF(AP88="",0,VLOOKUP(D88,Tables!$B$3:$D$36,3,FALSE())*Z$1)*IF(OR(AP88="K",AP88="P"),2,1)</f>
        <v>1.52</v>
      </c>
      <c r="CN88" s="87">
        <f>IF(AQ88="",0,VLOOKUP(E88,Tables!$B$3:$D$36,3,FALSE())*AA$1)</f>
        <v>0</v>
      </c>
      <c r="CO88" s="73">
        <f>IF(AR88="",0,VLOOKUP(F88,Tables!$B$3:$D$36,3,FALSE())*AB$1)</f>
        <v>0</v>
      </c>
      <c r="CP88" s="73">
        <f>IF(AS88="",0,VLOOKUP(G88,Tables!$B$3:$D$36,3,FALSE())*AC$1)</f>
        <v>0</v>
      </c>
      <c r="CQ88" s="73">
        <f>IF(AT88="",0,VLOOKUP(H88,Tables!$B$3:$D$36,3,FALSE())*AD$1)</f>
        <v>0</v>
      </c>
      <c r="CR88" s="73">
        <f>IF(AU88="",0,VLOOKUP(I88,Tables!$B$3:$D$36,3,FALSE())*AE$1)</f>
        <v>0</v>
      </c>
      <c r="CS88" s="87">
        <f>IF(AV88="",0,VLOOKUP(J88,Tables!$B$3:$D$36,3,FALSE())*AF$1)</f>
        <v>0</v>
      </c>
      <c r="CT88" s="73">
        <f>IF(AW88="",0,VLOOKUP(K88,Tables!$B$3:$D$36,3,FALSE())*AG$1)</f>
        <v>0</v>
      </c>
      <c r="CU88" s="73">
        <f>IF(AX88="",0,VLOOKUP(L88,Tables!$B$3:$D$36,3,FALSE())*AH$1)</f>
        <v>0</v>
      </c>
      <c r="CV88" s="87">
        <f>IF(AY88="",0,VLOOKUP(M88,Tables!$B$3:$D$36,3,FALSE())*AI$1)</f>
        <v>0</v>
      </c>
      <c r="CW88" s="73">
        <f>IF(AZ88="",0,VLOOKUP(N88,Tables!$B$3:$D$36,3,FALSE())*AJ$1)</f>
        <v>0</v>
      </c>
      <c r="CX88" s="73">
        <f>IF(BA88="",0,VLOOKUP(O88,Tables!$B$3:$D$36,3,FALSE())*AK$1)</f>
        <v>0</v>
      </c>
      <c r="CY88" s="88">
        <f>IF(BB88="",0,VLOOKUP(P88,Tables!$B$3:$D$36,3,FALSE())*AL$1)</f>
        <v>0</v>
      </c>
      <c r="CZ88" s="89">
        <f t="shared" si="96"/>
        <v>1.5</v>
      </c>
      <c r="DA88" s="75">
        <f t="shared" si="97"/>
        <v>1.5</v>
      </c>
      <c r="DB88" s="75">
        <f t="shared" si="98"/>
        <v>1.5</v>
      </c>
      <c r="DC88" s="89">
        <f t="shared" si="99"/>
        <v>0</v>
      </c>
      <c r="DD88" s="75">
        <f t="shared" si="100"/>
        <v>0</v>
      </c>
      <c r="DE88" s="75">
        <f t="shared" si="101"/>
        <v>0</v>
      </c>
      <c r="DF88" s="75">
        <f t="shared" si="102"/>
        <v>0</v>
      </c>
      <c r="DG88" s="75">
        <f t="shared" si="103"/>
        <v>0</v>
      </c>
      <c r="DH88" s="89">
        <f t="shared" si="104"/>
        <v>0</v>
      </c>
      <c r="DI88" s="75">
        <f t="shared" si="105"/>
        <v>0</v>
      </c>
      <c r="DJ88" s="75">
        <f t="shared" si="106"/>
        <v>0</v>
      </c>
      <c r="DK88" s="89">
        <f t="shared" si="107"/>
        <v>0</v>
      </c>
      <c r="DL88" s="75">
        <f t="shared" si="108"/>
        <v>0</v>
      </c>
      <c r="DM88" s="75">
        <f t="shared" si="109"/>
        <v>0</v>
      </c>
      <c r="DN88" s="90">
        <f t="shared" si="110"/>
        <v>0</v>
      </c>
      <c r="DO88" s="91">
        <f>IF(AN88="",0,VLOOKUP(B88,Tables!$B$3:$M$36,11,FALSE())*X$1)</f>
        <v>96</v>
      </c>
      <c r="DP88" s="92">
        <f>IF(AO88="",0,VLOOKUP(C88,Tables!$B$3:$M$36,11,FALSE())*Y$1)</f>
        <v>72</v>
      </c>
      <c r="DQ88" s="92">
        <f>IF(AP88="",0,VLOOKUP(D88,Tables!$B$3:$M$36,11,FALSE())*Z$1)</f>
        <v>48</v>
      </c>
      <c r="DR88" s="91">
        <f>IF(AQ88="",0,VLOOKUP(E88,Tables!$B$3:$M$36,11,FALSE())*AA$1)</f>
        <v>0</v>
      </c>
      <c r="DS88" s="92">
        <f>IF(AR88="",0,VLOOKUP(F88,Tables!$B$3:$M$36,11,FALSE())*AB$1)</f>
        <v>0</v>
      </c>
      <c r="DT88" s="92">
        <f>IF(AS88="",0,VLOOKUP(G88,Tables!$B$3:$M$36,11,FALSE())*AC$1)</f>
        <v>0</v>
      </c>
      <c r="DU88" s="92">
        <f>IF(AT88="",0,VLOOKUP(H88,Tables!$B$3:$M$36,11,FALSE())*AD$1)</f>
        <v>0</v>
      </c>
      <c r="DV88" s="92">
        <f>IF(AU88="",0,VLOOKUP(I88,Tables!$B$3:$M$36,11,FALSE())*AE$1)</f>
        <v>0</v>
      </c>
      <c r="DW88" s="91">
        <f>IF(AV88="",0,VLOOKUP(J88,Tables!$B$3:$M$36,11,FALSE())*AF$1)</f>
        <v>0</v>
      </c>
      <c r="DX88" s="92">
        <f>IF(AW88="",0,VLOOKUP(K88,Tables!$B$3:$M$36,11,FALSE())*AG$1)</f>
        <v>0</v>
      </c>
      <c r="DY88" s="92">
        <f>IF(AX88="",0,VLOOKUP(L88,Tables!$B$3:$M$36,11,FALSE())*AH$1)</f>
        <v>0</v>
      </c>
      <c r="DZ88" s="91">
        <f>IF(AY88="",0,VLOOKUP(M88,Tables!$B$3:$M$36,11,FALSE())*AI$1)</f>
        <v>0</v>
      </c>
      <c r="EA88" s="92">
        <f>IF(AZ88="",0,VLOOKUP(N88,Tables!$B$3:$M$36,11,FALSE())*AJ$1)</f>
        <v>0</v>
      </c>
      <c r="EB88" s="92">
        <f>IF(BA88="",0,VLOOKUP(O88,Tables!$B$3:$M$36,11,FALSE())*AK$1)</f>
        <v>0</v>
      </c>
      <c r="EC88" s="93">
        <f>IF(BB88="",0,VLOOKUP(P88,Tables!$B$3:$M$36,11,FALSE())*AL$1)</f>
        <v>0</v>
      </c>
      <c r="ED88" s="91">
        <f>IF(AN88="",0,VLOOKUP(B88,Tables!$B$3:$M$36,12,FALSE())*X$1)</f>
        <v>9.6</v>
      </c>
      <c r="EE88" s="92">
        <f>IF(AO88="",0,VLOOKUP(C88,Tables!$B$3:$M$36,12,FALSE())*Y$1)</f>
        <v>7.1999999999999993</v>
      </c>
      <c r="EF88" s="92">
        <f>IF(AP88="",0,VLOOKUP(D88,Tables!$B$3:$M$36,12,FALSE())*Z$1)</f>
        <v>4.8</v>
      </c>
      <c r="EG88" s="91">
        <f>IF(AQ88="",0,VLOOKUP(E88,Tables!$B$3:$M$36,12,FALSE())*AA$1)</f>
        <v>0</v>
      </c>
      <c r="EH88" s="92">
        <f>IF(AR88="",0,VLOOKUP(F88,Tables!$B$3:$M$36,12,FALSE())*AB$1)</f>
        <v>0</v>
      </c>
      <c r="EI88" s="92">
        <f>IF(AS88="",0,VLOOKUP(G88,Tables!$B$3:$M$36,12,FALSE())*AC$1)</f>
        <v>0</v>
      </c>
      <c r="EJ88" s="92">
        <f>IF(AT88="",0,VLOOKUP(H88,Tables!$B$3:$M$36,12,FALSE())*AD$1)</f>
        <v>0</v>
      </c>
      <c r="EK88" s="92">
        <f>IF(AU88="",0,VLOOKUP(I88,Tables!$B$3:$M$36,12,FALSE())*AE$1)</f>
        <v>0</v>
      </c>
      <c r="EL88" s="91">
        <f>IF(AV88="",0,VLOOKUP(J88,Tables!$B$3:$M$36,12,FALSE())*AF$1)</f>
        <v>0</v>
      </c>
      <c r="EM88" s="92">
        <f>IF(AW88="",0,VLOOKUP(K88,Tables!$B$3:$M$36,12,FALSE())*AG$1)</f>
        <v>0</v>
      </c>
      <c r="EN88" s="92">
        <f>IF(AX88="",0,VLOOKUP(L88,Tables!$B$3:$M$36,12,FALSE())*AH$1)</f>
        <v>0</v>
      </c>
      <c r="EO88" s="91">
        <f>IF(AY88="",0,VLOOKUP(M88,Tables!$B$3:$M$36,12,FALSE())*AI$1)</f>
        <v>0</v>
      </c>
      <c r="EP88" s="92">
        <f>IF(AZ88="",0,VLOOKUP(N88,Tables!$B$3:$M$36,12,FALSE())*AJ$1)</f>
        <v>0</v>
      </c>
      <c r="EQ88" s="92">
        <f>IF(BA88="",0,VLOOKUP(O88,Tables!$B$3:$M$36,12,FALSE())*AK$1)</f>
        <v>0</v>
      </c>
      <c r="ER88" s="93">
        <f>IF(BB88="",0,VLOOKUP(P88,Tables!$B$3:$M$36,12,FALSE())*AL$1)</f>
        <v>0</v>
      </c>
      <c r="ES88" s="94">
        <f t="shared" si="111"/>
        <v>0</v>
      </c>
      <c r="ET88" s="95">
        <f>IF(AN88="",10,MIN(VLOOKUP(B88,MATERIAL,13,FALSE()),'Item Builder'!$W88))</f>
        <v>0</v>
      </c>
      <c r="EU88" s="95">
        <f>IF(AO88="",10,MIN(VLOOKUP(C88,MATERIAL,13,FALSE()),'Item Builder'!$W88))</f>
        <v>0</v>
      </c>
      <c r="EV88" s="95">
        <f>IF(AP88="",10,MIN(VLOOKUP(D88,MATERIAL,13,FALSE()),'Item Builder'!$W88))</f>
        <v>0</v>
      </c>
      <c r="EW88" s="95">
        <f>IF(AQ88="",10,MIN(VLOOKUP(E88,MATERIAL,13,FALSE()),'Item Builder'!$W88))</f>
        <v>10</v>
      </c>
      <c r="EX88" s="95">
        <f>IF(AR88="",10,MIN(VLOOKUP(F88,MATERIAL,13,FALSE()),'Item Builder'!$W88))</f>
        <v>10</v>
      </c>
      <c r="EY88" s="95">
        <f>IF(AS88="",10,MIN(VLOOKUP(G88,MATERIAL,13,FALSE()),'Item Builder'!$W88))</f>
        <v>10</v>
      </c>
      <c r="EZ88" s="95">
        <f>IF(AT88="",10,MIN(VLOOKUP(H88,MATERIAL,13,FALSE()),'Item Builder'!$W88))</f>
        <v>10</v>
      </c>
      <c r="FA88" s="95">
        <f>IF(AU88="",10,MIN(VLOOKUP(I88,MATERIAL,13,FALSE()),'Item Builder'!$W88))</f>
        <v>10</v>
      </c>
      <c r="FB88" s="95">
        <f>IF(AV88="",10,MIN(VLOOKUP(J88,MATERIAL,13,FALSE()),'Item Builder'!$W88))</f>
        <v>10</v>
      </c>
      <c r="FC88" s="95">
        <f>IF(AW88="",10,MIN(VLOOKUP(K88,MATERIAL,13,FALSE()),'Item Builder'!$W88))</f>
        <v>10</v>
      </c>
      <c r="FD88" s="95">
        <f>IF(AX88="",10,MIN(VLOOKUP(L88,MATERIAL,13,FALSE()),'Item Builder'!$W88))</f>
        <v>10</v>
      </c>
      <c r="FE88" s="95">
        <f>IF(AY88="",10,MIN(VLOOKUP(M88,MATERIAL,13,FALSE()),'Item Builder'!$W88))</f>
        <v>10</v>
      </c>
      <c r="FF88" s="95">
        <f>IF(AZ88="",10,MIN(VLOOKUP(N88,MATERIAL,13,FALSE()),'Item Builder'!$W88))</f>
        <v>10</v>
      </c>
      <c r="FG88" s="95">
        <f>IF(BA88="",10,MIN(VLOOKUP(O88,MATERIAL,13,FALSE()),'Item Builder'!$W88))</f>
        <v>10</v>
      </c>
      <c r="FH88" s="95">
        <f>IF(BB88="",10,MIN(VLOOKUP(P88,MATERIAL,13,FALSE()),'Item Builder'!$W88))</f>
        <v>10</v>
      </c>
    </row>
    <row r="89" spans="1:164" x14ac:dyDescent="0.25">
      <c r="A89" s="67" t="s">
        <v>84</v>
      </c>
      <c r="B89" s="68"/>
      <c r="C89" s="69"/>
      <c r="D89" s="70"/>
      <c r="E89" s="68" t="s">
        <v>30</v>
      </c>
      <c r="F89" s="69"/>
      <c r="G89" s="69"/>
      <c r="H89" s="69"/>
      <c r="I89" s="70"/>
      <c r="J89" s="68"/>
      <c r="K89" s="69"/>
      <c r="L89" s="70"/>
      <c r="M89" s="68"/>
      <c r="N89" s="69"/>
      <c r="O89" s="69"/>
      <c r="P89" s="71"/>
      <c r="Q89" s="72">
        <f>SUM(BV89:CJ89)*VLOOKUP(W89,Tables!$W$3:$Z$8,4)</f>
        <v>60</v>
      </c>
      <c r="R89" s="73">
        <f t="shared" si="56"/>
        <v>1.1399999999999999</v>
      </c>
      <c r="S89" s="74">
        <f t="shared" si="57"/>
        <v>0</v>
      </c>
      <c r="T89" s="74">
        <f t="shared" si="58"/>
        <v>0</v>
      </c>
      <c r="U89" s="75">
        <f t="shared" si="59"/>
        <v>72</v>
      </c>
      <c r="V89" s="76">
        <f t="shared" si="60"/>
        <v>7.1999999999999993</v>
      </c>
      <c r="W89" s="77">
        <v>0</v>
      </c>
      <c r="X89" s="78">
        <f t="shared" si="61"/>
        <v>0</v>
      </c>
      <c r="Y89" s="79">
        <f t="shared" si="62"/>
        <v>0</v>
      </c>
      <c r="Z89" s="79">
        <f t="shared" si="63"/>
        <v>0</v>
      </c>
      <c r="AA89" s="78">
        <f t="shared" si="64"/>
        <v>1</v>
      </c>
      <c r="AB89" s="79">
        <f t="shared" si="65"/>
        <v>0</v>
      </c>
      <c r="AC89" s="79">
        <f t="shared" si="66"/>
        <v>0</v>
      </c>
      <c r="AD89" s="79">
        <f t="shared" si="67"/>
        <v>0</v>
      </c>
      <c r="AE89" s="79">
        <f t="shared" si="68"/>
        <v>0</v>
      </c>
      <c r="AF89" s="78">
        <f t="shared" si="69"/>
        <v>0</v>
      </c>
      <c r="AG89" s="79">
        <f t="shared" si="70"/>
        <v>0</v>
      </c>
      <c r="AH89" s="79">
        <f t="shared" si="71"/>
        <v>0</v>
      </c>
      <c r="AI89" s="78">
        <f t="shared" si="72"/>
        <v>0</v>
      </c>
      <c r="AJ89" s="79">
        <f t="shared" si="73"/>
        <v>0</v>
      </c>
      <c r="AK89" s="79">
        <f t="shared" si="74"/>
        <v>0</v>
      </c>
      <c r="AL89" s="80">
        <f t="shared" si="75"/>
        <v>0</v>
      </c>
      <c r="AM89" s="81">
        <f t="shared" si="76"/>
        <v>0.03</v>
      </c>
      <c r="AN89" s="82" t="str">
        <f t="shared" si="77"/>
        <v/>
      </c>
      <c r="AO89" s="79" t="str">
        <f t="shared" si="78"/>
        <v/>
      </c>
      <c r="AP89" t="str">
        <f t="shared" si="79"/>
        <v/>
      </c>
      <c r="AQ89" s="82" t="str">
        <f t="shared" si="80"/>
        <v>P</v>
      </c>
      <c r="AR89" t="str">
        <f t="shared" si="81"/>
        <v/>
      </c>
      <c r="AS89" t="str">
        <f t="shared" si="82"/>
        <v/>
      </c>
      <c r="AT89" t="str">
        <f t="shared" si="83"/>
        <v/>
      </c>
      <c r="AU89" t="str">
        <f t="shared" si="84"/>
        <v/>
      </c>
      <c r="AV89" s="82" t="str">
        <f t="shared" si="85"/>
        <v/>
      </c>
      <c r="AW89" t="str">
        <f t="shared" si="86"/>
        <v/>
      </c>
      <c r="AX89" t="str">
        <f t="shared" si="87"/>
        <v/>
      </c>
      <c r="AY89" s="82" t="str">
        <f t="shared" si="88"/>
        <v/>
      </c>
      <c r="AZ89" t="str">
        <f t="shared" si="89"/>
        <v/>
      </c>
      <c r="BA89" t="str">
        <f t="shared" si="90"/>
        <v/>
      </c>
      <c r="BB89" s="83" t="str">
        <f t="shared" si="91"/>
        <v/>
      </c>
      <c r="BC89" s="84">
        <f t="shared" si="92"/>
        <v>0</v>
      </c>
      <c r="BD89" s="84">
        <f t="shared" si="93"/>
        <v>0.14285714285714285</v>
      </c>
      <c r="BE89" s="84">
        <f t="shared" si="94"/>
        <v>0</v>
      </c>
      <c r="BF89" s="84">
        <f t="shared" si="95"/>
        <v>0</v>
      </c>
      <c r="BG89" s="78">
        <f>IF(AN89="",0,VLOOKUP(AN89,Tables!$AB$3:$AC$12,2))</f>
        <v>0</v>
      </c>
      <c r="BH89" s="79">
        <f>IF(AO89="",0,VLOOKUP(AO89,Tables!$AB$3:$AC$12,2))</f>
        <v>0</v>
      </c>
      <c r="BI89" s="79">
        <f>IF(AP89="",0,VLOOKUP(AP89,Tables!$AB$3:$AC$12,2))</f>
        <v>0</v>
      </c>
      <c r="BJ89" s="78">
        <f>IF(AQ89="",0,VLOOKUP(AQ89,Tables!$AB$3:$AC$12,2))</f>
        <v>1</v>
      </c>
      <c r="BK89" s="79">
        <f>IF(AR89="",0,VLOOKUP(AR89,Tables!$AB$3:$AC$12,2))</f>
        <v>0</v>
      </c>
      <c r="BL89" s="79">
        <f>IF(AS89="",0,VLOOKUP(AS89,Tables!$AB$3:$AC$12,2))</f>
        <v>0</v>
      </c>
      <c r="BM89" s="79">
        <f>IF(AT89="",0,VLOOKUP(AT89,Tables!$AB$3:$AC$12,2))</f>
        <v>0</v>
      </c>
      <c r="BN89" s="79">
        <f>IF(AU89="",0,VLOOKUP(AU89,Tables!$AB$3:$AC$12,2))</f>
        <v>0</v>
      </c>
      <c r="BO89" s="78">
        <f>IF(AV89="",0,VLOOKUP(AV89,Tables!$AB$3:$AC$12,2))</f>
        <v>0</v>
      </c>
      <c r="BP89" s="79">
        <f>IF(AW89="",0,VLOOKUP(AW89,Tables!$AB$3:$AC$12,2))</f>
        <v>0</v>
      </c>
      <c r="BQ89" s="79">
        <f>IF(AX89="",0,VLOOKUP(AX89,Tables!$AB$3:$AC$12,2))</f>
        <v>0</v>
      </c>
      <c r="BR89" s="78">
        <f>IF(AY89="",0,VLOOKUP(AY89,Tables!$AB$3:$AC$12,2))</f>
        <v>0</v>
      </c>
      <c r="BS89" s="79">
        <f>IF(AZ89="",0,VLOOKUP(AZ89,Tables!$AB$3:$AC$12,2))</f>
        <v>0</v>
      </c>
      <c r="BT89" s="79">
        <f>IF(BA89="",0,VLOOKUP(BA89,Tables!$AB$3:$AC$12,2))</f>
        <v>0</v>
      </c>
      <c r="BU89" s="80">
        <f>IF(BB89="",0,VLOOKUP(BB89,Tables!$AB$3:$AC$12,2))</f>
        <v>0</v>
      </c>
      <c r="BV89" s="85">
        <f>IF(AN89="",0,VLOOKUP(B89,Tables!$B$3:$D$36,2,FALSE())*X$1)</f>
        <v>0</v>
      </c>
      <c r="BW89" s="72">
        <f>IF(AO89="",0,VLOOKUP(C89,Tables!$B$3:$D$36,2,FALSE())*Y$1)</f>
        <v>0</v>
      </c>
      <c r="BX89" s="72">
        <f>IF(AP89="",0,VLOOKUP(D89,Tables!$B$3:$D$36,2,FALSE())*Z$1)</f>
        <v>0</v>
      </c>
      <c r="BY89" s="85">
        <f>IF(AQ89="",0,VLOOKUP(E89,Tables!$B$3:$D$36,2,FALSE())*AA$1)</f>
        <v>60</v>
      </c>
      <c r="BZ89" s="72">
        <f>IF(AR89="",0,VLOOKUP(F89,Tables!$B$3:$D$36,2,FALSE())*AB$1)</f>
        <v>0</v>
      </c>
      <c r="CA89" s="72">
        <f>IF(AS89="",0,VLOOKUP(G89,Tables!$B$3:$D$36,2,FALSE())*AC$1)</f>
        <v>0</v>
      </c>
      <c r="CB89" s="72">
        <f>IF(AT89="",0,VLOOKUP(H89,Tables!$B$3:$D$36,2,FALSE())*AD$1)</f>
        <v>0</v>
      </c>
      <c r="CC89" s="72">
        <f>IF(AU89="",0,VLOOKUP(I89,Tables!$B$3:$D$36,2,FALSE())*AE$1)</f>
        <v>0</v>
      </c>
      <c r="CD89" s="85">
        <f>IF(AV89="",0,VLOOKUP(J89,Tables!$B$3:$D$36,2,FALSE())*AF$1)</f>
        <v>0</v>
      </c>
      <c r="CE89" s="72">
        <f>IF(AW89="",0,VLOOKUP(K89,Tables!$B$3:$D$36,2,FALSE())*AG$1)</f>
        <v>0</v>
      </c>
      <c r="CF89" s="72">
        <f>IF(AX89="",0,VLOOKUP(L89,Tables!$B$3:$D$36,2,FALSE())*AH$1)</f>
        <v>0</v>
      </c>
      <c r="CG89" s="85">
        <f>IF(AY89="",0,VLOOKUP(M89,Tables!$B$3:$D$36,2,FALSE())*AI$1)</f>
        <v>0</v>
      </c>
      <c r="CH89" s="72">
        <f>IF(AZ89="",0,VLOOKUP(N89,Tables!$B$3:$D$36,2,FALSE())*AJ$1)</f>
        <v>0</v>
      </c>
      <c r="CI89" s="72">
        <f>IF(BA89="",0,VLOOKUP(O89,Tables!$B$3:$D$36,2,FALSE())*AK$1)</f>
        <v>0</v>
      </c>
      <c r="CJ89" s="86">
        <f>IF(BB89="",0,VLOOKUP(P89,Tables!$B$3:$D$36,2,FALSE())*AL$1)</f>
        <v>0</v>
      </c>
      <c r="CK89" s="87">
        <f>IF(AN89="",0,VLOOKUP(B89,Tables!$B$3:$D$36,3,FALSE())*X$1)*IF(OR(AN89="K",AN89="P"),2,1)</f>
        <v>0</v>
      </c>
      <c r="CL89" s="73">
        <f>IF(AO89="",0,VLOOKUP(C89,Tables!$B$3:$D$36,3,FALSE())*Y$1)*IF(OR(AO89="K",AO89="P"),2,1)</f>
        <v>0</v>
      </c>
      <c r="CM89" s="73">
        <f>IF(AP89="",0,VLOOKUP(D89,Tables!$B$3:$D$36,3,FALSE())*Z$1)*IF(OR(AP89="K",AP89="P"),2,1)</f>
        <v>0</v>
      </c>
      <c r="CN89" s="87">
        <f>IF(AQ89="",0,VLOOKUP(E89,Tables!$B$3:$D$36,3,FALSE())*AA$1)</f>
        <v>1.1399999999999999</v>
      </c>
      <c r="CO89" s="73">
        <f>IF(AR89="",0,VLOOKUP(F89,Tables!$B$3:$D$36,3,FALSE())*AB$1)</f>
        <v>0</v>
      </c>
      <c r="CP89" s="73">
        <f>IF(AS89="",0,VLOOKUP(G89,Tables!$B$3:$D$36,3,FALSE())*AC$1)</f>
        <v>0</v>
      </c>
      <c r="CQ89" s="73">
        <f>IF(AT89="",0,VLOOKUP(H89,Tables!$B$3:$D$36,3,FALSE())*AD$1)</f>
        <v>0</v>
      </c>
      <c r="CR89" s="73">
        <f>IF(AU89="",0,VLOOKUP(I89,Tables!$B$3:$D$36,3,FALSE())*AE$1)</f>
        <v>0</v>
      </c>
      <c r="CS89" s="87">
        <f>IF(AV89="",0,VLOOKUP(J89,Tables!$B$3:$D$36,3,FALSE())*AF$1)</f>
        <v>0</v>
      </c>
      <c r="CT89" s="73">
        <f>IF(AW89="",0,VLOOKUP(K89,Tables!$B$3:$D$36,3,FALSE())*AG$1)</f>
        <v>0</v>
      </c>
      <c r="CU89" s="73">
        <f>IF(AX89="",0,VLOOKUP(L89,Tables!$B$3:$D$36,3,FALSE())*AH$1)</f>
        <v>0</v>
      </c>
      <c r="CV89" s="87">
        <f>IF(AY89="",0,VLOOKUP(M89,Tables!$B$3:$D$36,3,FALSE())*AI$1)</f>
        <v>0</v>
      </c>
      <c r="CW89" s="73">
        <f>IF(AZ89="",0,VLOOKUP(N89,Tables!$B$3:$D$36,3,FALSE())*AJ$1)</f>
        <v>0</v>
      </c>
      <c r="CX89" s="73">
        <f>IF(BA89="",0,VLOOKUP(O89,Tables!$B$3:$D$36,3,FALSE())*AK$1)</f>
        <v>0</v>
      </c>
      <c r="CY89" s="88">
        <f>IF(BB89="",0,VLOOKUP(P89,Tables!$B$3:$D$36,3,FALSE())*AL$1)</f>
        <v>0</v>
      </c>
      <c r="CZ89" s="89">
        <f t="shared" si="96"/>
        <v>0</v>
      </c>
      <c r="DA89" s="75">
        <f t="shared" si="97"/>
        <v>0</v>
      </c>
      <c r="DB89" s="75">
        <f t="shared" si="98"/>
        <v>0</v>
      </c>
      <c r="DC89" s="89">
        <f t="shared" si="99"/>
        <v>1.5</v>
      </c>
      <c r="DD89" s="75">
        <f t="shared" si="100"/>
        <v>0</v>
      </c>
      <c r="DE89" s="75">
        <f t="shared" si="101"/>
        <v>0</v>
      </c>
      <c r="DF89" s="75">
        <f t="shared" si="102"/>
        <v>0</v>
      </c>
      <c r="DG89" s="75">
        <f t="shared" si="103"/>
        <v>0</v>
      </c>
      <c r="DH89" s="89">
        <f t="shared" si="104"/>
        <v>0</v>
      </c>
      <c r="DI89" s="75">
        <f t="shared" si="105"/>
        <v>0</v>
      </c>
      <c r="DJ89" s="75">
        <f t="shared" si="106"/>
        <v>0</v>
      </c>
      <c r="DK89" s="89">
        <f t="shared" si="107"/>
        <v>0</v>
      </c>
      <c r="DL89" s="75">
        <f t="shared" si="108"/>
        <v>0</v>
      </c>
      <c r="DM89" s="75">
        <f t="shared" si="109"/>
        <v>0</v>
      </c>
      <c r="DN89" s="90">
        <f t="shared" si="110"/>
        <v>0</v>
      </c>
      <c r="DO89" s="91">
        <f>IF(AN89="",0,VLOOKUP(B89,Tables!$B$3:$M$36,11,FALSE())*X$1)</f>
        <v>0</v>
      </c>
      <c r="DP89" s="92">
        <f>IF(AO89="",0,VLOOKUP(C89,Tables!$B$3:$M$36,11,FALSE())*Y$1)</f>
        <v>0</v>
      </c>
      <c r="DQ89" s="92">
        <f>IF(AP89="",0,VLOOKUP(D89,Tables!$B$3:$M$36,11,FALSE())*Z$1)</f>
        <v>0</v>
      </c>
      <c r="DR89" s="91">
        <f>IF(AQ89="",0,VLOOKUP(E89,Tables!$B$3:$M$36,11,FALSE())*AA$1)</f>
        <v>72</v>
      </c>
      <c r="DS89" s="92">
        <f>IF(AR89="",0,VLOOKUP(F89,Tables!$B$3:$M$36,11,FALSE())*AB$1)</f>
        <v>0</v>
      </c>
      <c r="DT89" s="92">
        <f>IF(AS89="",0,VLOOKUP(G89,Tables!$B$3:$M$36,11,FALSE())*AC$1)</f>
        <v>0</v>
      </c>
      <c r="DU89" s="92">
        <f>IF(AT89="",0,VLOOKUP(H89,Tables!$B$3:$M$36,11,FALSE())*AD$1)</f>
        <v>0</v>
      </c>
      <c r="DV89" s="92">
        <f>IF(AU89="",0,VLOOKUP(I89,Tables!$B$3:$M$36,11,FALSE())*AE$1)</f>
        <v>0</v>
      </c>
      <c r="DW89" s="91">
        <f>IF(AV89="",0,VLOOKUP(J89,Tables!$B$3:$M$36,11,FALSE())*AF$1)</f>
        <v>0</v>
      </c>
      <c r="DX89" s="92">
        <f>IF(AW89="",0,VLOOKUP(K89,Tables!$B$3:$M$36,11,FALSE())*AG$1)</f>
        <v>0</v>
      </c>
      <c r="DY89" s="92">
        <f>IF(AX89="",0,VLOOKUP(L89,Tables!$B$3:$M$36,11,FALSE())*AH$1)</f>
        <v>0</v>
      </c>
      <c r="DZ89" s="91">
        <f>IF(AY89="",0,VLOOKUP(M89,Tables!$B$3:$M$36,11,FALSE())*AI$1)</f>
        <v>0</v>
      </c>
      <c r="EA89" s="92">
        <f>IF(AZ89="",0,VLOOKUP(N89,Tables!$B$3:$M$36,11,FALSE())*AJ$1)</f>
        <v>0</v>
      </c>
      <c r="EB89" s="92">
        <f>IF(BA89="",0,VLOOKUP(O89,Tables!$B$3:$M$36,11,FALSE())*AK$1)</f>
        <v>0</v>
      </c>
      <c r="EC89" s="93">
        <f>IF(BB89="",0,VLOOKUP(P89,Tables!$B$3:$M$36,11,FALSE())*AL$1)</f>
        <v>0</v>
      </c>
      <c r="ED89" s="91">
        <f>IF(AN89="",0,VLOOKUP(B89,Tables!$B$3:$M$36,12,FALSE())*X$1)</f>
        <v>0</v>
      </c>
      <c r="EE89" s="92">
        <f>IF(AO89="",0,VLOOKUP(C89,Tables!$B$3:$M$36,12,FALSE())*Y$1)</f>
        <v>0</v>
      </c>
      <c r="EF89" s="92">
        <f>IF(AP89="",0,VLOOKUP(D89,Tables!$B$3:$M$36,12,FALSE())*Z$1)</f>
        <v>0</v>
      </c>
      <c r="EG89" s="91">
        <f>IF(AQ89="",0,VLOOKUP(E89,Tables!$B$3:$M$36,12,FALSE())*AA$1)</f>
        <v>7.1999999999999993</v>
      </c>
      <c r="EH89" s="92">
        <f>IF(AR89="",0,VLOOKUP(F89,Tables!$B$3:$M$36,12,FALSE())*AB$1)</f>
        <v>0</v>
      </c>
      <c r="EI89" s="92">
        <f>IF(AS89="",0,VLOOKUP(G89,Tables!$B$3:$M$36,12,FALSE())*AC$1)</f>
        <v>0</v>
      </c>
      <c r="EJ89" s="92">
        <f>IF(AT89="",0,VLOOKUP(H89,Tables!$B$3:$M$36,12,FALSE())*AD$1)</f>
        <v>0</v>
      </c>
      <c r="EK89" s="92">
        <f>IF(AU89="",0,VLOOKUP(I89,Tables!$B$3:$M$36,12,FALSE())*AE$1)</f>
        <v>0</v>
      </c>
      <c r="EL89" s="91">
        <f>IF(AV89="",0,VLOOKUP(J89,Tables!$B$3:$M$36,12,FALSE())*AF$1)</f>
        <v>0</v>
      </c>
      <c r="EM89" s="92">
        <f>IF(AW89="",0,VLOOKUP(K89,Tables!$B$3:$M$36,12,FALSE())*AG$1)</f>
        <v>0</v>
      </c>
      <c r="EN89" s="92">
        <f>IF(AX89="",0,VLOOKUP(L89,Tables!$B$3:$M$36,12,FALSE())*AH$1)</f>
        <v>0</v>
      </c>
      <c r="EO89" s="91">
        <f>IF(AY89="",0,VLOOKUP(M89,Tables!$B$3:$M$36,12,FALSE())*AI$1)</f>
        <v>0</v>
      </c>
      <c r="EP89" s="92">
        <f>IF(AZ89="",0,VLOOKUP(N89,Tables!$B$3:$M$36,12,FALSE())*AJ$1)</f>
        <v>0</v>
      </c>
      <c r="EQ89" s="92">
        <f>IF(BA89="",0,VLOOKUP(O89,Tables!$B$3:$M$36,12,FALSE())*AK$1)</f>
        <v>0</v>
      </c>
      <c r="ER89" s="93">
        <f>IF(BB89="",0,VLOOKUP(P89,Tables!$B$3:$M$36,12,FALSE())*AL$1)</f>
        <v>0</v>
      </c>
      <c r="ES89" s="94">
        <f t="shared" si="111"/>
        <v>0</v>
      </c>
      <c r="ET89" s="95">
        <f>IF(AN89="",10,MIN(VLOOKUP(B89,MATERIAL,13,FALSE()),'Item Builder'!$W89))</f>
        <v>10</v>
      </c>
      <c r="EU89" s="95">
        <f>IF(AO89="",10,MIN(VLOOKUP(C89,MATERIAL,13,FALSE()),'Item Builder'!$W89))</f>
        <v>10</v>
      </c>
      <c r="EV89" s="95">
        <f>IF(AP89="",10,MIN(VLOOKUP(D89,MATERIAL,13,FALSE()),'Item Builder'!$W89))</f>
        <v>10</v>
      </c>
      <c r="EW89" s="95">
        <f>IF(AQ89="",10,MIN(VLOOKUP(E89,MATERIAL,13,FALSE()),'Item Builder'!$W89))</f>
        <v>0</v>
      </c>
      <c r="EX89" s="95">
        <f>IF(AR89="",10,MIN(VLOOKUP(F89,MATERIAL,13,FALSE()),'Item Builder'!$W89))</f>
        <v>10</v>
      </c>
      <c r="EY89" s="95">
        <f>IF(AS89="",10,MIN(VLOOKUP(G89,MATERIAL,13,FALSE()),'Item Builder'!$W89))</f>
        <v>10</v>
      </c>
      <c r="EZ89" s="95">
        <f>IF(AT89="",10,MIN(VLOOKUP(H89,MATERIAL,13,FALSE()),'Item Builder'!$W89))</f>
        <v>10</v>
      </c>
      <c r="FA89" s="95">
        <f>IF(AU89="",10,MIN(VLOOKUP(I89,MATERIAL,13,FALSE()),'Item Builder'!$W89))</f>
        <v>10</v>
      </c>
      <c r="FB89" s="95">
        <f>IF(AV89="",10,MIN(VLOOKUP(J89,MATERIAL,13,FALSE()),'Item Builder'!$W89))</f>
        <v>10</v>
      </c>
      <c r="FC89" s="95">
        <f>IF(AW89="",10,MIN(VLOOKUP(K89,MATERIAL,13,FALSE()),'Item Builder'!$W89))</f>
        <v>10</v>
      </c>
      <c r="FD89" s="95">
        <f>IF(AX89="",10,MIN(VLOOKUP(L89,MATERIAL,13,FALSE()),'Item Builder'!$W89))</f>
        <v>10</v>
      </c>
      <c r="FE89" s="95">
        <f>IF(AY89="",10,MIN(VLOOKUP(M89,MATERIAL,13,FALSE()),'Item Builder'!$W89))</f>
        <v>10</v>
      </c>
      <c r="FF89" s="95">
        <f>IF(AZ89="",10,MIN(VLOOKUP(N89,MATERIAL,13,FALSE()),'Item Builder'!$W89))</f>
        <v>10</v>
      </c>
      <c r="FG89" s="95">
        <f>IF(BA89="",10,MIN(VLOOKUP(O89,MATERIAL,13,FALSE()),'Item Builder'!$W89))</f>
        <v>10</v>
      </c>
      <c r="FH89" s="95">
        <f>IF(BB89="",10,MIN(VLOOKUP(P89,MATERIAL,13,FALSE()),'Item Builder'!$W89))</f>
        <v>10</v>
      </c>
    </row>
    <row r="90" spans="1:164" x14ac:dyDescent="0.25">
      <c r="A90" s="67" t="s">
        <v>85</v>
      </c>
      <c r="B90" s="68"/>
      <c r="C90" s="69"/>
      <c r="D90" s="70"/>
      <c r="E90" s="68"/>
      <c r="F90" s="69" t="s">
        <v>30</v>
      </c>
      <c r="G90" s="69"/>
      <c r="H90" s="69"/>
      <c r="I90" s="70"/>
      <c r="J90" s="68"/>
      <c r="K90" s="69"/>
      <c r="L90" s="70"/>
      <c r="M90" s="68"/>
      <c r="N90" s="69"/>
      <c r="O90" s="69"/>
      <c r="P90" s="71"/>
      <c r="Q90" s="72">
        <f>SUM(BV90:CJ90)*VLOOKUP(W90,Tables!$W$3:$Z$8,4)</f>
        <v>120</v>
      </c>
      <c r="R90" s="73">
        <f t="shared" si="56"/>
        <v>2.2799999999999998</v>
      </c>
      <c r="S90" s="74">
        <f t="shared" si="57"/>
        <v>0</v>
      </c>
      <c r="T90" s="74">
        <f t="shared" si="58"/>
        <v>0</v>
      </c>
      <c r="U90" s="75">
        <f t="shared" si="59"/>
        <v>144</v>
      </c>
      <c r="V90" s="76">
        <f t="shared" si="60"/>
        <v>14.399999999999999</v>
      </c>
      <c r="W90" s="77">
        <v>0</v>
      </c>
      <c r="X90" s="78">
        <f t="shared" si="61"/>
        <v>0</v>
      </c>
      <c r="Y90" s="79">
        <f t="shared" si="62"/>
        <v>0</v>
      </c>
      <c r="Z90" s="79">
        <f t="shared" si="63"/>
        <v>0</v>
      </c>
      <c r="AA90" s="78">
        <f t="shared" si="64"/>
        <v>0</v>
      </c>
      <c r="AB90" s="79">
        <f t="shared" si="65"/>
        <v>1</v>
      </c>
      <c r="AC90" s="79">
        <f t="shared" si="66"/>
        <v>0</v>
      </c>
      <c r="AD90" s="79">
        <f t="shared" si="67"/>
        <v>0</v>
      </c>
      <c r="AE90" s="79">
        <f t="shared" si="68"/>
        <v>0</v>
      </c>
      <c r="AF90" s="78">
        <f t="shared" si="69"/>
        <v>0</v>
      </c>
      <c r="AG90" s="79">
        <f t="shared" si="70"/>
        <v>0</v>
      </c>
      <c r="AH90" s="79">
        <f t="shared" si="71"/>
        <v>0</v>
      </c>
      <c r="AI90" s="78">
        <f t="shared" si="72"/>
        <v>0</v>
      </c>
      <c r="AJ90" s="79">
        <f t="shared" si="73"/>
        <v>0</v>
      </c>
      <c r="AK90" s="79">
        <f t="shared" si="74"/>
        <v>0</v>
      </c>
      <c r="AL90" s="80">
        <f t="shared" si="75"/>
        <v>0</v>
      </c>
      <c r="AM90" s="81">
        <f t="shared" si="76"/>
        <v>0.06</v>
      </c>
      <c r="AN90" s="82" t="str">
        <f t="shared" si="77"/>
        <v/>
      </c>
      <c r="AO90" s="79" t="str">
        <f t="shared" si="78"/>
        <v/>
      </c>
      <c r="AP90" t="str">
        <f t="shared" si="79"/>
        <v/>
      </c>
      <c r="AQ90" s="82" t="str">
        <f t="shared" si="80"/>
        <v/>
      </c>
      <c r="AR90" t="str">
        <f t="shared" si="81"/>
        <v>P</v>
      </c>
      <c r="AS90" t="str">
        <f t="shared" si="82"/>
        <v/>
      </c>
      <c r="AT90" t="str">
        <f t="shared" si="83"/>
        <v/>
      </c>
      <c r="AU90" t="str">
        <f t="shared" si="84"/>
        <v/>
      </c>
      <c r="AV90" s="82" t="str">
        <f t="shared" si="85"/>
        <v/>
      </c>
      <c r="AW90" t="str">
        <f t="shared" si="86"/>
        <v/>
      </c>
      <c r="AX90" t="str">
        <f t="shared" si="87"/>
        <v/>
      </c>
      <c r="AY90" s="82" t="str">
        <f t="shared" si="88"/>
        <v/>
      </c>
      <c r="AZ90" t="str">
        <f t="shared" si="89"/>
        <v/>
      </c>
      <c r="BA90" t="str">
        <f t="shared" si="90"/>
        <v/>
      </c>
      <c r="BB90" s="83" t="str">
        <f t="shared" si="91"/>
        <v/>
      </c>
      <c r="BC90" s="84">
        <f t="shared" si="92"/>
        <v>0</v>
      </c>
      <c r="BD90" s="84">
        <f t="shared" si="93"/>
        <v>0.2857142857142857</v>
      </c>
      <c r="BE90" s="84">
        <f t="shared" si="94"/>
        <v>0</v>
      </c>
      <c r="BF90" s="84">
        <f t="shared" si="95"/>
        <v>0</v>
      </c>
      <c r="BG90" s="78">
        <f>IF(AN90="",0,VLOOKUP(AN90,Tables!$AB$3:$AC$12,2))</f>
        <v>0</v>
      </c>
      <c r="BH90" s="79">
        <f>IF(AO90="",0,VLOOKUP(AO90,Tables!$AB$3:$AC$12,2))</f>
        <v>0</v>
      </c>
      <c r="BI90" s="79">
        <f>IF(AP90="",0,VLOOKUP(AP90,Tables!$AB$3:$AC$12,2))</f>
        <v>0</v>
      </c>
      <c r="BJ90" s="78">
        <f>IF(AQ90="",0,VLOOKUP(AQ90,Tables!$AB$3:$AC$12,2))</f>
        <v>0</v>
      </c>
      <c r="BK90" s="79">
        <f>IF(AR90="",0,VLOOKUP(AR90,Tables!$AB$3:$AC$12,2))</f>
        <v>1</v>
      </c>
      <c r="BL90" s="79">
        <f>IF(AS90="",0,VLOOKUP(AS90,Tables!$AB$3:$AC$12,2))</f>
        <v>0</v>
      </c>
      <c r="BM90" s="79">
        <f>IF(AT90="",0,VLOOKUP(AT90,Tables!$AB$3:$AC$12,2))</f>
        <v>0</v>
      </c>
      <c r="BN90" s="79">
        <f>IF(AU90="",0,VLOOKUP(AU90,Tables!$AB$3:$AC$12,2))</f>
        <v>0</v>
      </c>
      <c r="BO90" s="78">
        <f>IF(AV90="",0,VLOOKUP(AV90,Tables!$AB$3:$AC$12,2))</f>
        <v>0</v>
      </c>
      <c r="BP90" s="79">
        <f>IF(AW90="",0,VLOOKUP(AW90,Tables!$AB$3:$AC$12,2))</f>
        <v>0</v>
      </c>
      <c r="BQ90" s="79">
        <f>IF(AX90="",0,VLOOKUP(AX90,Tables!$AB$3:$AC$12,2))</f>
        <v>0</v>
      </c>
      <c r="BR90" s="78">
        <f>IF(AY90="",0,VLOOKUP(AY90,Tables!$AB$3:$AC$12,2))</f>
        <v>0</v>
      </c>
      <c r="BS90" s="79">
        <f>IF(AZ90="",0,VLOOKUP(AZ90,Tables!$AB$3:$AC$12,2))</f>
        <v>0</v>
      </c>
      <c r="BT90" s="79">
        <f>IF(BA90="",0,VLOOKUP(BA90,Tables!$AB$3:$AC$12,2))</f>
        <v>0</v>
      </c>
      <c r="BU90" s="80">
        <f>IF(BB90="",0,VLOOKUP(BB90,Tables!$AB$3:$AC$12,2))</f>
        <v>0</v>
      </c>
      <c r="BV90" s="85">
        <f>IF(AN90="",0,VLOOKUP(B90,Tables!$B$3:$D$36,2,FALSE())*X$1)</f>
        <v>0</v>
      </c>
      <c r="BW90" s="72">
        <f>IF(AO90="",0,VLOOKUP(C90,Tables!$B$3:$D$36,2,FALSE())*Y$1)</f>
        <v>0</v>
      </c>
      <c r="BX90" s="72">
        <f>IF(AP90="",0,VLOOKUP(D90,Tables!$B$3:$D$36,2,FALSE())*Z$1)</f>
        <v>0</v>
      </c>
      <c r="BY90" s="85">
        <f>IF(AQ90="",0,VLOOKUP(E90,Tables!$B$3:$D$36,2,FALSE())*AA$1)</f>
        <v>0</v>
      </c>
      <c r="BZ90" s="72">
        <f>IF(AR90="",0,VLOOKUP(F90,Tables!$B$3:$D$36,2,FALSE())*AB$1)</f>
        <v>120</v>
      </c>
      <c r="CA90" s="72">
        <f>IF(AS90="",0,VLOOKUP(G90,Tables!$B$3:$D$36,2,FALSE())*AC$1)</f>
        <v>0</v>
      </c>
      <c r="CB90" s="72">
        <f>IF(AT90="",0,VLOOKUP(H90,Tables!$B$3:$D$36,2,FALSE())*AD$1)</f>
        <v>0</v>
      </c>
      <c r="CC90" s="72">
        <f>IF(AU90="",0,VLOOKUP(I90,Tables!$B$3:$D$36,2,FALSE())*AE$1)</f>
        <v>0</v>
      </c>
      <c r="CD90" s="85">
        <f>IF(AV90="",0,VLOOKUP(J90,Tables!$B$3:$D$36,2,FALSE())*AF$1)</f>
        <v>0</v>
      </c>
      <c r="CE90" s="72">
        <f>IF(AW90="",0,VLOOKUP(K90,Tables!$B$3:$D$36,2,FALSE())*AG$1)</f>
        <v>0</v>
      </c>
      <c r="CF90" s="72">
        <f>IF(AX90="",0,VLOOKUP(L90,Tables!$B$3:$D$36,2,FALSE())*AH$1)</f>
        <v>0</v>
      </c>
      <c r="CG90" s="85">
        <f>IF(AY90="",0,VLOOKUP(M90,Tables!$B$3:$D$36,2,FALSE())*AI$1)</f>
        <v>0</v>
      </c>
      <c r="CH90" s="72">
        <f>IF(AZ90="",0,VLOOKUP(N90,Tables!$B$3:$D$36,2,FALSE())*AJ$1)</f>
        <v>0</v>
      </c>
      <c r="CI90" s="72">
        <f>IF(BA90="",0,VLOOKUP(O90,Tables!$B$3:$D$36,2,FALSE())*AK$1)</f>
        <v>0</v>
      </c>
      <c r="CJ90" s="86">
        <f>IF(BB90="",0,VLOOKUP(P90,Tables!$B$3:$D$36,2,FALSE())*AL$1)</f>
        <v>0</v>
      </c>
      <c r="CK90" s="87">
        <f>IF(AN90="",0,VLOOKUP(B90,Tables!$B$3:$D$36,3,FALSE())*X$1)*IF(OR(AN90="K",AN90="P"),2,1)</f>
        <v>0</v>
      </c>
      <c r="CL90" s="73">
        <f>IF(AO90="",0,VLOOKUP(C90,Tables!$B$3:$D$36,3,FALSE())*Y$1)*IF(OR(AO90="K",AO90="P"),2,1)</f>
        <v>0</v>
      </c>
      <c r="CM90" s="73">
        <f>IF(AP90="",0,VLOOKUP(D90,Tables!$B$3:$D$36,3,FALSE())*Z$1)*IF(OR(AP90="K",AP90="P"),2,1)</f>
        <v>0</v>
      </c>
      <c r="CN90" s="87">
        <f>IF(AQ90="",0,VLOOKUP(E90,Tables!$B$3:$D$36,3,FALSE())*AA$1)</f>
        <v>0</v>
      </c>
      <c r="CO90" s="73">
        <f>IF(AR90="",0,VLOOKUP(F90,Tables!$B$3:$D$36,3,FALSE())*AB$1)</f>
        <v>2.2799999999999998</v>
      </c>
      <c r="CP90" s="73">
        <f>IF(AS90="",0,VLOOKUP(G90,Tables!$B$3:$D$36,3,FALSE())*AC$1)</f>
        <v>0</v>
      </c>
      <c r="CQ90" s="73">
        <f>IF(AT90="",0,VLOOKUP(H90,Tables!$B$3:$D$36,3,FALSE())*AD$1)</f>
        <v>0</v>
      </c>
      <c r="CR90" s="73">
        <f>IF(AU90="",0,VLOOKUP(I90,Tables!$B$3:$D$36,3,FALSE())*AE$1)</f>
        <v>0</v>
      </c>
      <c r="CS90" s="87">
        <f>IF(AV90="",0,VLOOKUP(J90,Tables!$B$3:$D$36,3,FALSE())*AF$1)</f>
        <v>0</v>
      </c>
      <c r="CT90" s="73">
        <f>IF(AW90="",0,VLOOKUP(K90,Tables!$B$3:$D$36,3,FALSE())*AG$1)</f>
        <v>0</v>
      </c>
      <c r="CU90" s="73">
        <f>IF(AX90="",0,VLOOKUP(L90,Tables!$B$3:$D$36,3,FALSE())*AH$1)</f>
        <v>0</v>
      </c>
      <c r="CV90" s="87">
        <f>IF(AY90="",0,VLOOKUP(M90,Tables!$B$3:$D$36,3,FALSE())*AI$1)</f>
        <v>0</v>
      </c>
      <c r="CW90" s="73">
        <f>IF(AZ90="",0,VLOOKUP(N90,Tables!$B$3:$D$36,3,FALSE())*AJ$1)</f>
        <v>0</v>
      </c>
      <c r="CX90" s="73">
        <f>IF(BA90="",0,VLOOKUP(O90,Tables!$B$3:$D$36,3,FALSE())*AK$1)</f>
        <v>0</v>
      </c>
      <c r="CY90" s="88">
        <f>IF(BB90="",0,VLOOKUP(P90,Tables!$B$3:$D$36,3,FALSE())*AL$1)</f>
        <v>0</v>
      </c>
      <c r="CZ90" s="89">
        <f t="shared" si="96"/>
        <v>0</v>
      </c>
      <c r="DA90" s="75">
        <f t="shared" si="97"/>
        <v>0</v>
      </c>
      <c r="DB90" s="75">
        <f t="shared" si="98"/>
        <v>0</v>
      </c>
      <c r="DC90" s="89">
        <f t="shared" si="99"/>
        <v>0</v>
      </c>
      <c r="DD90" s="75">
        <f t="shared" si="100"/>
        <v>1.5</v>
      </c>
      <c r="DE90" s="75">
        <f t="shared" si="101"/>
        <v>0</v>
      </c>
      <c r="DF90" s="75">
        <f t="shared" si="102"/>
        <v>0</v>
      </c>
      <c r="DG90" s="75">
        <f t="shared" si="103"/>
        <v>0</v>
      </c>
      <c r="DH90" s="89">
        <f t="shared" si="104"/>
        <v>0</v>
      </c>
      <c r="DI90" s="75">
        <f t="shared" si="105"/>
        <v>0</v>
      </c>
      <c r="DJ90" s="75">
        <f t="shared" si="106"/>
        <v>0</v>
      </c>
      <c r="DK90" s="89">
        <f t="shared" si="107"/>
        <v>0</v>
      </c>
      <c r="DL90" s="75">
        <f t="shared" si="108"/>
        <v>0</v>
      </c>
      <c r="DM90" s="75">
        <f t="shared" si="109"/>
        <v>0</v>
      </c>
      <c r="DN90" s="90">
        <f t="shared" si="110"/>
        <v>0</v>
      </c>
      <c r="DO90" s="91">
        <f>IF(AN90="",0,VLOOKUP(B90,Tables!$B$3:$M$36,11,FALSE())*X$1)</f>
        <v>0</v>
      </c>
      <c r="DP90" s="92">
        <f>IF(AO90="",0,VLOOKUP(C90,Tables!$B$3:$M$36,11,FALSE())*Y$1)</f>
        <v>0</v>
      </c>
      <c r="DQ90" s="92">
        <f>IF(AP90="",0,VLOOKUP(D90,Tables!$B$3:$M$36,11,FALSE())*Z$1)</f>
        <v>0</v>
      </c>
      <c r="DR90" s="91">
        <f>IF(AQ90="",0,VLOOKUP(E90,Tables!$B$3:$M$36,11,FALSE())*AA$1)</f>
        <v>0</v>
      </c>
      <c r="DS90" s="92">
        <f>IF(AR90="",0,VLOOKUP(F90,Tables!$B$3:$M$36,11,FALSE())*AB$1)</f>
        <v>144</v>
      </c>
      <c r="DT90" s="92">
        <f>IF(AS90="",0,VLOOKUP(G90,Tables!$B$3:$M$36,11,FALSE())*AC$1)</f>
        <v>0</v>
      </c>
      <c r="DU90" s="92">
        <f>IF(AT90="",0,VLOOKUP(H90,Tables!$B$3:$M$36,11,FALSE())*AD$1)</f>
        <v>0</v>
      </c>
      <c r="DV90" s="92">
        <f>IF(AU90="",0,VLOOKUP(I90,Tables!$B$3:$M$36,11,FALSE())*AE$1)</f>
        <v>0</v>
      </c>
      <c r="DW90" s="91">
        <f>IF(AV90="",0,VLOOKUP(J90,Tables!$B$3:$M$36,11,FALSE())*AF$1)</f>
        <v>0</v>
      </c>
      <c r="DX90" s="92">
        <f>IF(AW90="",0,VLOOKUP(K90,Tables!$B$3:$M$36,11,FALSE())*AG$1)</f>
        <v>0</v>
      </c>
      <c r="DY90" s="92">
        <f>IF(AX90="",0,VLOOKUP(L90,Tables!$B$3:$M$36,11,FALSE())*AH$1)</f>
        <v>0</v>
      </c>
      <c r="DZ90" s="91">
        <f>IF(AY90="",0,VLOOKUP(M90,Tables!$B$3:$M$36,11,FALSE())*AI$1)</f>
        <v>0</v>
      </c>
      <c r="EA90" s="92">
        <f>IF(AZ90="",0,VLOOKUP(N90,Tables!$B$3:$M$36,11,FALSE())*AJ$1)</f>
        <v>0</v>
      </c>
      <c r="EB90" s="92">
        <f>IF(BA90="",0,VLOOKUP(O90,Tables!$B$3:$M$36,11,FALSE())*AK$1)</f>
        <v>0</v>
      </c>
      <c r="EC90" s="93">
        <f>IF(BB90="",0,VLOOKUP(P90,Tables!$B$3:$M$36,11,FALSE())*AL$1)</f>
        <v>0</v>
      </c>
      <c r="ED90" s="91">
        <f>IF(AN90="",0,VLOOKUP(B90,Tables!$B$3:$M$36,12,FALSE())*X$1)</f>
        <v>0</v>
      </c>
      <c r="EE90" s="92">
        <f>IF(AO90="",0,VLOOKUP(C90,Tables!$B$3:$M$36,12,FALSE())*Y$1)</f>
        <v>0</v>
      </c>
      <c r="EF90" s="92">
        <f>IF(AP90="",0,VLOOKUP(D90,Tables!$B$3:$M$36,12,FALSE())*Z$1)</f>
        <v>0</v>
      </c>
      <c r="EG90" s="91">
        <f>IF(AQ90="",0,VLOOKUP(E90,Tables!$B$3:$M$36,12,FALSE())*AA$1)</f>
        <v>0</v>
      </c>
      <c r="EH90" s="92">
        <f>IF(AR90="",0,VLOOKUP(F90,Tables!$B$3:$M$36,12,FALSE())*AB$1)</f>
        <v>14.399999999999999</v>
      </c>
      <c r="EI90" s="92">
        <f>IF(AS90="",0,VLOOKUP(G90,Tables!$B$3:$M$36,12,FALSE())*AC$1)</f>
        <v>0</v>
      </c>
      <c r="EJ90" s="92">
        <f>IF(AT90="",0,VLOOKUP(H90,Tables!$B$3:$M$36,12,FALSE())*AD$1)</f>
        <v>0</v>
      </c>
      <c r="EK90" s="92">
        <f>IF(AU90="",0,VLOOKUP(I90,Tables!$B$3:$M$36,12,FALSE())*AE$1)</f>
        <v>0</v>
      </c>
      <c r="EL90" s="91">
        <f>IF(AV90="",0,VLOOKUP(J90,Tables!$B$3:$M$36,12,FALSE())*AF$1)</f>
        <v>0</v>
      </c>
      <c r="EM90" s="92">
        <f>IF(AW90="",0,VLOOKUP(K90,Tables!$B$3:$M$36,12,FALSE())*AG$1)</f>
        <v>0</v>
      </c>
      <c r="EN90" s="92">
        <f>IF(AX90="",0,VLOOKUP(L90,Tables!$B$3:$M$36,12,FALSE())*AH$1)</f>
        <v>0</v>
      </c>
      <c r="EO90" s="91">
        <f>IF(AY90="",0,VLOOKUP(M90,Tables!$B$3:$M$36,12,FALSE())*AI$1)</f>
        <v>0</v>
      </c>
      <c r="EP90" s="92">
        <f>IF(AZ90="",0,VLOOKUP(N90,Tables!$B$3:$M$36,12,FALSE())*AJ$1)</f>
        <v>0</v>
      </c>
      <c r="EQ90" s="92">
        <f>IF(BA90="",0,VLOOKUP(O90,Tables!$B$3:$M$36,12,FALSE())*AK$1)</f>
        <v>0</v>
      </c>
      <c r="ER90" s="93">
        <f>IF(BB90="",0,VLOOKUP(P90,Tables!$B$3:$M$36,12,FALSE())*AL$1)</f>
        <v>0</v>
      </c>
      <c r="ES90" s="94">
        <f t="shared" si="111"/>
        <v>0</v>
      </c>
      <c r="ET90" s="95">
        <f>IF(AN90="",10,MIN(VLOOKUP(B90,MATERIAL,13,FALSE()),'Item Builder'!$W90))</f>
        <v>10</v>
      </c>
      <c r="EU90" s="95">
        <f>IF(AO90="",10,MIN(VLOOKUP(C90,MATERIAL,13,FALSE()),'Item Builder'!$W90))</f>
        <v>10</v>
      </c>
      <c r="EV90" s="95">
        <f>IF(AP90="",10,MIN(VLOOKUP(D90,MATERIAL,13,FALSE()),'Item Builder'!$W90))</f>
        <v>10</v>
      </c>
      <c r="EW90" s="95">
        <f>IF(AQ90="",10,MIN(VLOOKUP(E90,MATERIAL,13,FALSE()),'Item Builder'!$W90))</f>
        <v>10</v>
      </c>
      <c r="EX90" s="95">
        <f>IF(AR90="",10,MIN(VLOOKUP(F90,MATERIAL,13,FALSE()),'Item Builder'!$W90))</f>
        <v>0</v>
      </c>
      <c r="EY90" s="95">
        <f>IF(AS90="",10,MIN(VLOOKUP(G90,MATERIAL,13,FALSE()),'Item Builder'!$W90))</f>
        <v>10</v>
      </c>
      <c r="EZ90" s="95">
        <f>IF(AT90="",10,MIN(VLOOKUP(H90,MATERIAL,13,FALSE()),'Item Builder'!$W90))</f>
        <v>10</v>
      </c>
      <c r="FA90" s="95">
        <f>IF(AU90="",10,MIN(VLOOKUP(I90,MATERIAL,13,FALSE()),'Item Builder'!$W90))</f>
        <v>10</v>
      </c>
      <c r="FB90" s="95">
        <f>IF(AV90="",10,MIN(VLOOKUP(J90,MATERIAL,13,FALSE()),'Item Builder'!$W90))</f>
        <v>10</v>
      </c>
      <c r="FC90" s="95">
        <f>IF(AW90="",10,MIN(VLOOKUP(K90,MATERIAL,13,FALSE()),'Item Builder'!$W90))</f>
        <v>10</v>
      </c>
      <c r="FD90" s="95">
        <f>IF(AX90="",10,MIN(VLOOKUP(L90,MATERIAL,13,FALSE()),'Item Builder'!$W90))</f>
        <v>10</v>
      </c>
      <c r="FE90" s="95">
        <f>IF(AY90="",10,MIN(VLOOKUP(M90,MATERIAL,13,FALSE()),'Item Builder'!$W90))</f>
        <v>10</v>
      </c>
      <c r="FF90" s="95">
        <f>IF(AZ90="",10,MIN(VLOOKUP(N90,MATERIAL,13,FALSE()),'Item Builder'!$W90))</f>
        <v>10</v>
      </c>
      <c r="FG90" s="95">
        <f>IF(BA90="",10,MIN(VLOOKUP(O90,MATERIAL,13,FALSE()),'Item Builder'!$W90))</f>
        <v>10</v>
      </c>
      <c r="FH90" s="95">
        <f>IF(BB90="",10,MIN(VLOOKUP(P90,MATERIAL,13,FALSE()),'Item Builder'!$W90))</f>
        <v>10</v>
      </c>
    </row>
    <row r="91" spans="1:164" x14ac:dyDescent="0.25">
      <c r="A91" s="67" t="s">
        <v>25</v>
      </c>
      <c r="B91" s="68"/>
      <c r="C91" s="69"/>
      <c r="D91" s="70"/>
      <c r="E91" s="68"/>
      <c r="F91" s="69"/>
      <c r="G91" s="69" t="s">
        <v>30</v>
      </c>
      <c r="H91" s="69"/>
      <c r="I91" s="70"/>
      <c r="J91" s="68"/>
      <c r="K91" s="69"/>
      <c r="L91" s="70"/>
      <c r="M91" s="68"/>
      <c r="N91" s="69"/>
      <c r="O91" s="69"/>
      <c r="P91" s="71"/>
      <c r="Q91" s="72">
        <f>SUM(BV91:CJ91)*VLOOKUP(W91,Tables!$W$3:$Z$8,4)</f>
        <v>40</v>
      </c>
      <c r="R91" s="73">
        <f t="shared" si="56"/>
        <v>0.76</v>
      </c>
      <c r="S91" s="74">
        <f t="shared" si="57"/>
        <v>0</v>
      </c>
      <c r="T91" s="74">
        <f t="shared" si="58"/>
        <v>0</v>
      </c>
      <c r="U91" s="75">
        <f t="shared" si="59"/>
        <v>48</v>
      </c>
      <c r="V91" s="76">
        <f t="shared" si="60"/>
        <v>4.8</v>
      </c>
      <c r="W91" s="77">
        <v>0</v>
      </c>
      <c r="X91" s="78">
        <f t="shared" si="61"/>
        <v>0</v>
      </c>
      <c r="Y91" s="79">
        <f t="shared" si="62"/>
        <v>0</v>
      </c>
      <c r="Z91" s="79">
        <f t="shared" si="63"/>
        <v>0</v>
      </c>
      <c r="AA91" s="78">
        <f t="shared" si="64"/>
        <v>0</v>
      </c>
      <c r="AB91" s="79">
        <f t="shared" si="65"/>
        <v>0</v>
      </c>
      <c r="AC91" s="79">
        <f t="shared" si="66"/>
        <v>1</v>
      </c>
      <c r="AD91" s="79">
        <f t="shared" si="67"/>
        <v>0</v>
      </c>
      <c r="AE91" s="79">
        <f t="shared" si="68"/>
        <v>0</v>
      </c>
      <c r="AF91" s="78">
        <f t="shared" si="69"/>
        <v>0</v>
      </c>
      <c r="AG91" s="79">
        <f t="shared" si="70"/>
        <v>0</v>
      </c>
      <c r="AH91" s="79">
        <f t="shared" si="71"/>
        <v>0</v>
      </c>
      <c r="AI91" s="78">
        <f t="shared" si="72"/>
        <v>0</v>
      </c>
      <c r="AJ91" s="79">
        <f t="shared" si="73"/>
        <v>0</v>
      </c>
      <c r="AK91" s="79">
        <f t="shared" si="74"/>
        <v>0</v>
      </c>
      <c r="AL91" s="80">
        <f t="shared" si="75"/>
        <v>0</v>
      </c>
      <c r="AM91" s="81">
        <f t="shared" si="76"/>
        <v>0.02</v>
      </c>
      <c r="AN91" s="82" t="str">
        <f t="shared" si="77"/>
        <v/>
      </c>
      <c r="AO91" s="79" t="str">
        <f t="shared" si="78"/>
        <v/>
      </c>
      <c r="AP91" t="str">
        <f t="shared" si="79"/>
        <v/>
      </c>
      <c r="AQ91" s="82" t="str">
        <f t="shared" si="80"/>
        <v/>
      </c>
      <c r="AR91" t="str">
        <f t="shared" si="81"/>
        <v/>
      </c>
      <c r="AS91" t="str">
        <f t="shared" si="82"/>
        <v>P</v>
      </c>
      <c r="AT91" t="str">
        <f t="shared" si="83"/>
        <v/>
      </c>
      <c r="AU91" t="str">
        <f t="shared" si="84"/>
        <v/>
      </c>
      <c r="AV91" s="82" t="str">
        <f t="shared" si="85"/>
        <v/>
      </c>
      <c r="AW91" t="str">
        <f t="shared" si="86"/>
        <v/>
      </c>
      <c r="AX91" t="str">
        <f t="shared" si="87"/>
        <v/>
      </c>
      <c r="AY91" s="82" t="str">
        <f t="shared" si="88"/>
        <v/>
      </c>
      <c r="AZ91" t="str">
        <f t="shared" si="89"/>
        <v/>
      </c>
      <c r="BA91" t="str">
        <f t="shared" si="90"/>
        <v/>
      </c>
      <c r="BB91" s="83" t="str">
        <f t="shared" si="91"/>
        <v/>
      </c>
      <c r="BC91" s="84">
        <f t="shared" si="92"/>
        <v>0</v>
      </c>
      <c r="BD91" s="84">
        <f t="shared" si="93"/>
        <v>9.5238095238095233E-2</v>
      </c>
      <c r="BE91" s="84">
        <f t="shared" si="94"/>
        <v>0</v>
      </c>
      <c r="BF91" s="84">
        <f t="shared" si="95"/>
        <v>0</v>
      </c>
      <c r="BG91" s="78">
        <f>IF(AN91="",0,VLOOKUP(AN91,Tables!$AB$3:$AC$12,2))</f>
        <v>0</v>
      </c>
      <c r="BH91" s="79">
        <f>IF(AO91="",0,VLOOKUP(AO91,Tables!$AB$3:$AC$12,2))</f>
        <v>0</v>
      </c>
      <c r="BI91" s="79">
        <f>IF(AP91="",0,VLOOKUP(AP91,Tables!$AB$3:$AC$12,2))</f>
        <v>0</v>
      </c>
      <c r="BJ91" s="78">
        <f>IF(AQ91="",0,VLOOKUP(AQ91,Tables!$AB$3:$AC$12,2))</f>
        <v>0</v>
      </c>
      <c r="BK91" s="79">
        <f>IF(AR91="",0,VLOOKUP(AR91,Tables!$AB$3:$AC$12,2))</f>
        <v>0</v>
      </c>
      <c r="BL91" s="79">
        <f>IF(AS91="",0,VLOOKUP(AS91,Tables!$AB$3:$AC$12,2))</f>
        <v>1</v>
      </c>
      <c r="BM91" s="79">
        <f>IF(AT91="",0,VLOOKUP(AT91,Tables!$AB$3:$AC$12,2))</f>
        <v>0</v>
      </c>
      <c r="BN91" s="79">
        <f>IF(AU91="",0,VLOOKUP(AU91,Tables!$AB$3:$AC$12,2))</f>
        <v>0</v>
      </c>
      <c r="BO91" s="78">
        <f>IF(AV91="",0,VLOOKUP(AV91,Tables!$AB$3:$AC$12,2))</f>
        <v>0</v>
      </c>
      <c r="BP91" s="79">
        <f>IF(AW91="",0,VLOOKUP(AW91,Tables!$AB$3:$AC$12,2))</f>
        <v>0</v>
      </c>
      <c r="BQ91" s="79">
        <f>IF(AX91="",0,VLOOKUP(AX91,Tables!$AB$3:$AC$12,2))</f>
        <v>0</v>
      </c>
      <c r="BR91" s="78">
        <f>IF(AY91="",0,VLOOKUP(AY91,Tables!$AB$3:$AC$12,2))</f>
        <v>0</v>
      </c>
      <c r="BS91" s="79">
        <f>IF(AZ91="",0,VLOOKUP(AZ91,Tables!$AB$3:$AC$12,2))</f>
        <v>0</v>
      </c>
      <c r="BT91" s="79">
        <f>IF(BA91="",0,VLOOKUP(BA91,Tables!$AB$3:$AC$12,2))</f>
        <v>0</v>
      </c>
      <c r="BU91" s="80">
        <f>IF(BB91="",0,VLOOKUP(BB91,Tables!$AB$3:$AC$12,2))</f>
        <v>0</v>
      </c>
      <c r="BV91" s="85">
        <f>IF(AN91="",0,VLOOKUP(B91,Tables!$B$3:$D$36,2,FALSE())*X$1)</f>
        <v>0</v>
      </c>
      <c r="BW91" s="72">
        <f>IF(AO91="",0,VLOOKUP(C91,Tables!$B$3:$D$36,2,FALSE())*Y$1)</f>
        <v>0</v>
      </c>
      <c r="BX91" s="72">
        <f>IF(AP91="",0,VLOOKUP(D91,Tables!$B$3:$D$36,2,FALSE())*Z$1)</f>
        <v>0</v>
      </c>
      <c r="BY91" s="85">
        <f>IF(AQ91="",0,VLOOKUP(E91,Tables!$B$3:$D$36,2,FALSE())*AA$1)</f>
        <v>0</v>
      </c>
      <c r="BZ91" s="72">
        <f>IF(AR91="",0,VLOOKUP(F91,Tables!$B$3:$D$36,2,FALSE())*AB$1)</f>
        <v>0</v>
      </c>
      <c r="CA91" s="72">
        <f>IF(AS91="",0,VLOOKUP(G91,Tables!$B$3:$D$36,2,FALSE())*AC$1)</f>
        <v>40</v>
      </c>
      <c r="CB91" s="72">
        <f>IF(AT91="",0,VLOOKUP(H91,Tables!$B$3:$D$36,2,FALSE())*AD$1)</f>
        <v>0</v>
      </c>
      <c r="CC91" s="72">
        <f>IF(AU91="",0,VLOOKUP(I91,Tables!$B$3:$D$36,2,FALSE())*AE$1)</f>
        <v>0</v>
      </c>
      <c r="CD91" s="85">
        <f>IF(AV91="",0,VLOOKUP(J91,Tables!$B$3:$D$36,2,FALSE())*AF$1)</f>
        <v>0</v>
      </c>
      <c r="CE91" s="72">
        <f>IF(AW91="",0,VLOOKUP(K91,Tables!$B$3:$D$36,2,FALSE())*AG$1)</f>
        <v>0</v>
      </c>
      <c r="CF91" s="72">
        <f>IF(AX91="",0,VLOOKUP(L91,Tables!$B$3:$D$36,2,FALSE())*AH$1)</f>
        <v>0</v>
      </c>
      <c r="CG91" s="85">
        <f>IF(AY91="",0,VLOOKUP(M91,Tables!$B$3:$D$36,2,FALSE())*AI$1)</f>
        <v>0</v>
      </c>
      <c r="CH91" s="72">
        <f>IF(AZ91="",0,VLOOKUP(N91,Tables!$B$3:$D$36,2,FALSE())*AJ$1)</f>
        <v>0</v>
      </c>
      <c r="CI91" s="72">
        <f>IF(BA91="",0,VLOOKUP(O91,Tables!$B$3:$D$36,2,FALSE())*AK$1)</f>
        <v>0</v>
      </c>
      <c r="CJ91" s="86">
        <f>IF(BB91="",0,VLOOKUP(P91,Tables!$B$3:$D$36,2,FALSE())*AL$1)</f>
        <v>0</v>
      </c>
      <c r="CK91" s="87">
        <f>IF(AN91="",0,VLOOKUP(B91,Tables!$B$3:$D$36,3,FALSE())*X$1)*IF(OR(AN91="K",AN91="P"),2,1)</f>
        <v>0</v>
      </c>
      <c r="CL91" s="73">
        <f>IF(AO91="",0,VLOOKUP(C91,Tables!$B$3:$D$36,3,FALSE())*Y$1)*IF(OR(AO91="K",AO91="P"),2,1)</f>
        <v>0</v>
      </c>
      <c r="CM91" s="73">
        <f>IF(AP91="",0,VLOOKUP(D91,Tables!$B$3:$D$36,3,FALSE())*Z$1)*IF(OR(AP91="K",AP91="P"),2,1)</f>
        <v>0</v>
      </c>
      <c r="CN91" s="87">
        <f>IF(AQ91="",0,VLOOKUP(E91,Tables!$B$3:$D$36,3,FALSE())*AA$1)</f>
        <v>0</v>
      </c>
      <c r="CO91" s="73">
        <f>IF(AR91="",0,VLOOKUP(F91,Tables!$B$3:$D$36,3,FALSE())*AB$1)</f>
        <v>0</v>
      </c>
      <c r="CP91" s="73">
        <f>IF(AS91="",0,VLOOKUP(G91,Tables!$B$3:$D$36,3,FALSE())*AC$1)</f>
        <v>0.76</v>
      </c>
      <c r="CQ91" s="73">
        <f>IF(AT91="",0,VLOOKUP(H91,Tables!$B$3:$D$36,3,FALSE())*AD$1)</f>
        <v>0</v>
      </c>
      <c r="CR91" s="73">
        <f>IF(AU91="",0,VLOOKUP(I91,Tables!$B$3:$D$36,3,FALSE())*AE$1)</f>
        <v>0</v>
      </c>
      <c r="CS91" s="87">
        <f>IF(AV91="",0,VLOOKUP(J91,Tables!$B$3:$D$36,3,FALSE())*AF$1)</f>
        <v>0</v>
      </c>
      <c r="CT91" s="73">
        <f>IF(AW91="",0,VLOOKUP(K91,Tables!$B$3:$D$36,3,FALSE())*AG$1)</f>
        <v>0</v>
      </c>
      <c r="CU91" s="73">
        <f>IF(AX91="",0,VLOOKUP(L91,Tables!$B$3:$D$36,3,FALSE())*AH$1)</f>
        <v>0</v>
      </c>
      <c r="CV91" s="87">
        <f>IF(AY91="",0,VLOOKUP(M91,Tables!$B$3:$D$36,3,FALSE())*AI$1)</f>
        <v>0</v>
      </c>
      <c r="CW91" s="73">
        <f>IF(AZ91="",0,VLOOKUP(N91,Tables!$B$3:$D$36,3,FALSE())*AJ$1)</f>
        <v>0</v>
      </c>
      <c r="CX91" s="73">
        <f>IF(BA91="",0,VLOOKUP(O91,Tables!$B$3:$D$36,3,FALSE())*AK$1)</f>
        <v>0</v>
      </c>
      <c r="CY91" s="88">
        <f>IF(BB91="",0,VLOOKUP(P91,Tables!$B$3:$D$36,3,FALSE())*AL$1)</f>
        <v>0</v>
      </c>
      <c r="CZ91" s="89">
        <f t="shared" si="96"/>
        <v>0</v>
      </c>
      <c r="DA91" s="75">
        <f t="shared" si="97"/>
        <v>0</v>
      </c>
      <c r="DB91" s="75">
        <f t="shared" si="98"/>
        <v>0</v>
      </c>
      <c r="DC91" s="89">
        <f t="shared" si="99"/>
        <v>0</v>
      </c>
      <c r="DD91" s="75">
        <f t="shared" si="100"/>
        <v>0</v>
      </c>
      <c r="DE91" s="75">
        <f t="shared" si="101"/>
        <v>1.5</v>
      </c>
      <c r="DF91" s="75">
        <f t="shared" si="102"/>
        <v>0</v>
      </c>
      <c r="DG91" s="75">
        <f t="shared" si="103"/>
        <v>0</v>
      </c>
      <c r="DH91" s="89">
        <f t="shared" si="104"/>
        <v>0</v>
      </c>
      <c r="DI91" s="75">
        <f t="shared" si="105"/>
        <v>0</v>
      </c>
      <c r="DJ91" s="75">
        <f t="shared" si="106"/>
        <v>0</v>
      </c>
      <c r="DK91" s="89">
        <f t="shared" si="107"/>
        <v>0</v>
      </c>
      <c r="DL91" s="75">
        <f t="shared" si="108"/>
        <v>0</v>
      </c>
      <c r="DM91" s="75">
        <f t="shared" si="109"/>
        <v>0</v>
      </c>
      <c r="DN91" s="90">
        <f t="shared" si="110"/>
        <v>0</v>
      </c>
      <c r="DO91" s="91">
        <f>IF(AN91="",0,VLOOKUP(B91,Tables!$B$3:$M$36,11,FALSE())*X$1)</f>
        <v>0</v>
      </c>
      <c r="DP91" s="92">
        <f>IF(AO91="",0,VLOOKUP(C91,Tables!$B$3:$M$36,11,FALSE())*Y$1)</f>
        <v>0</v>
      </c>
      <c r="DQ91" s="92">
        <f>IF(AP91="",0,VLOOKUP(D91,Tables!$B$3:$M$36,11,FALSE())*Z$1)</f>
        <v>0</v>
      </c>
      <c r="DR91" s="91">
        <f>IF(AQ91="",0,VLOOKUP(E91,Tables!$B$3:$M$36,11,FALSE())*AA$1)</f>
        <v>0</v>
      </c>
      <c r="DS91" s="92">
        <f>IF(AR91="",0,VLOOKUP(F91,Tables!$B$3:$M$36,11,FALSE())*AB$1)</f>
        <v>0</v>
      </c>
      <c r="DT91" s="92">
        <f>IF(AS91="",0,VLOOKUP(G91,Tables!$B$3:$M$36,11,FALSE())*AC$1)</f>
        <v>48</v>
      </c>
      <c r="DU91" s="92">
        <f>IF(AT91="",0,VLOOKUP(H91,Tables!$B$3:$M$36,11,FALSE())*AD$1)</f>
        <v>0</v>
      </c>
      <c r="DV91" s="92">
        <f>IF(AU91="",0,VLOOKUP(I91,Tables!$B$3:$M$36,11,FALSE())*AE$1)</f>
        <v>0</v>
      </c>
      <c r="DW91" s="91">
        <f>IF(AV91="",0,VLOOKUP(J91,Tables!$B$3:$M$36,11,FALSE())*AF$1)</f>
        <v>0</v>
      </c>
      <c r="DX91" s="92">
        <f>IF(AW91="",0,VLOOKUP(K91,Tables!$B$3:$M$36,11,FALSE())*AG$1)</f>
        <v>0</v>
      </c>
      <c r="DY91" s="92">
        <f>IF(AX91="",0,VLOOKUP(L91,Tables!$B$3:$M$36,11,FALSE())*AH$1)</f>
        <v>0</v>
      </c>
      <c r="DZ91" s="91">
        <f>IF(AY91="",0,VLOOKUP(M91,Tables!$B$3:$M$36,11,FALSE())*AI$1)</f>
        <v>0</v>
      </c>
      <c r="EA91" s="92">
        <f>IF(AZ91="",0,VLOOKUP(N91,Tables!$B$3:$M$36,11,FALSE())*AJ$1)</f>
        <v>0</v>
      </c>
      <c r="EB91" s="92">
        <f>IF(BA91="",0,VLOOKUP(O91,Tables!$B$3:$M$36,11,FALSE())*AK$1)</f>
        <v>0</v>
      </c>
      <c r="EC91" s="93">
        <f>IF(BB91="",0,VLOOKUP(P91,Tables!$B$3:$M$36,11,FALSE())*AL$1)</f>
        <v>0</v>
      </c>
      <c r="ED91" s="91">
        <f>IF(AN91="",0,VLOOKUP(B91,Tables!$B$3:$M$36,12,FALSE())*X$1)</f>
        <v>0</v>
      </c>
      <c r="EE91" s="92">
        <f>IF(AO91="",0,VLOOKUP(C91,Tables!$B$3:$M$36,12,FALSE())*Y$1)</f>
        <v>0</v>
      </c>
      <c r="EF91" s="92">
        <f>IF(AP91="",0,VLOOKUP(D91,Tables!$B$3:$M$36,12,FALSE())*Z$1)</f>
        <v>0</v>
      </c>
      <c r="EG91" s="91">
        <f>IF(AQ91="",0,VLOOKUP(E91,Tables!$B$3:$M$36,12,FALSE())*AA$1)</f>
        <v>0</v>
      </c>
      <c r="EH91" s="92">
        <f>IF(AR91="",0,VLOOKUP(F91,Tables!$B$3:$M$36,12,FALSE())*AB$1)</f>
        <v>0</v>
      </c>
      <c r="EI91" s="92">
        <f>IF(AS91="",0,VLOOKUP(G91,Tables!$B$3:$M$36,12,FALSE())*AC$1)</f>
        <v>4.8</v>
      </c>
      <c r="EJ91" s="92">
        <f>IF(AT91="",0,VLOOKUP(H91,Tables!$B$3:$M$36,12,FALSE())*AD$1)</f>
        <v>0</v>
      </c>
      <c r="EK91" s="92">
        <f>IF(AU91="",0,VLOOKUP(I91,Tables!$B$3:$M$36,12,FALSE())*AE$1)</f>
        <v>0</v>
      </c>
      <c r="EL91" s="91">
        <f>IF(AV91="",0,VLOOKUP(J91,Tables!$B$3:$M$36,12,FALSE())*AF$1)</f>
        <v>0</v>
      </c>
      <c r="EM91" s="92">
        <f>IF(AW91="",0,VLOOKUP(K91,Tables!$B$3:$M$36,12,FALSE())*AG$1)</f>
        <v>0</v>
      </c>
      <c r="EN91" s="92">
        <f>IF(AX91="",0,VLOOKUP(L91,Tables!$B$3:$M$36,12,FALSE())*AH$1)</f>
        <v>0</v>
      </c>
      <c r="EO91" s="91">
        <f>IF(AY91="",0,VLOOKUP(M91,Tables!$B$3:$M$36,12,FALSE())*AI$1)</f>
        <v>0</v>
      </c>
      <c r="EP91" s="92">
        <f>IF(AZ91="",0,VLOOKUP(N91,Tables!$B$3:$M$36,12,FALSE())*AJ$1)</f>
        <v>0</v>
      </c>
      <c r="EQ91" s="92">
        <f>IF(BA91="",0,VLOOKUP(O91,Tables!$B$3:$M$36,12,FALSE())*AK$1)</f>
        <v>0</v>
      </c>
      <c r="ER91" s="93">
        <f>IF(BB91="",0,VLOOKUP(P91,Tables!$B$3:$M$36,12,FALSE())*AL$1)</f>
        <v>0</v>
      </c>
      <c r="ES91" s="94">
        <f t="shared" si="111"/>
        <v>0</v>
      </c>
      <c r="ET91" s="95">
        <f>IF(AN91="",10,MIN(VLOOKUP(B91,MATERIAL,13,FALSE()),'Item Builder'!$W91))</f>
        <v>10</v>
      </c>
      <c r="EU91" s="95">
        <f>IF(AO91="",10,MIN(VLOOKUP(C91,MATERIAL,13,FALSE()),'Item Builder'!$W91))</f>
        <v>10</v>
      </c>
      <c r="EV91" s="95">
        <f>IF(AP91="",10,MIN(VLOOKUP(D91,MATERIAL,13,FALSE()),'Item Builder'!$W91))</f>
        <v>10</v>
      </c>
      <c r="EW91" s="95">
        <f>IF(AQ91="",10,MIN(VLOOKUP(E91,MATERIAL,13,FALSE()),'Item Builder'!$W91))</f>
        <v>10</v>
      </c>
      <c r="EX91" s="95">
        <f>IF(AR91="",10,MIN(VLOOKUP(F91,MATERIAL,13,FALSE()),'Item Builder'!$W91))</f>
        <v>10</v>
      </c>
      <c r="EY91" s="95">
        <f>IF(AS91="",10,MIN(VLOOKUP(G91,MATERIAL,13,FALSE()),'Item Builder'!$W91))</f>
        <v>0</v>
      </c>
      <c r="EZ91" s="95">
        <f>IF(AT91="",10,MIN(VLOOKUP(H91,MATERIAL,13,FALSE()),'Item Builder'!$W91))</f>
        <v>10</v>
      </c>
      <c r="FA91" s="95">
        <f>IF(AU91="",10,MIN(VLOOKUP(I91,MATERIAL,13,FALSE()),'Item Builder'!$W91))</f>
        <v>10</v>
      </c>
      <c r="FB91" s="95">
        <f>IF(AV91="",10,MIN(VLOOKUP(J91,MATERIAL,13,FALSE()),'Item Builder'!$W91))</f>
        <v>10</v>
      </c>
      <c r="FC91" s="95">
        <f>IF(AW91="",10,MIN(VLOOKUP(K91,MATERIAL,13,FALSE()),'Item Builder'!$W91))</f>
        <v>10</v>
      </c>
      <c r="FD91" s="95">
        <f>IF(AX91="",10,MIN(VLOOKUP(L91,MATERIAL,13,FALSE()),'Item Builder'!$W91))</f>
        <v>10</v>
      </c>
      <c r="FE91" s="95">
        <f>IF(AY91="",10,MIN(VLOOKUP(M91,MATERIAL,13,FALSE()),'Item Builder'!$W91))</f>
        <v>10</v>
      </c>
      <c r="FF91" s="95">
        <f>IF(AZ91="",10,MIN(VLOOKUP(N91,MATERIAL,13,FALSE()),'Item Builder'!$W91))</f>
        <v>10</v>
      </c>
      <c r="FG91" s="95">
        <f>IF(BA91="",10,MIN(VLOOKUP(O91,MATERIAL,13,FALSE()),'Item Builder'!$W91))</f>
        <v>10</v>
      </c>
      <c r="FH91" s="95">
        <f>IF(BB91="",10,MIN(VLOOKUP(P91,MATERIAL,13,FALSE()),'Item Builder'!$W91))</f>
        <v>10</v>
      </c>
    </row>
    <row r="92" spans="1:164" x14ac:dyDescent="0.25">
      <c r="A92" s="67" t="s">
        <v>87</v>
      </c>
      <c r="B92" s="68"/>
      <c r="C92" s="69"/>
      <c r="D92" s="70"/>
      <c r="E92" s="68"/>
      <c r="F92" s="69"/>
      <c r="G92" s="69"/>
      <c r="H92" s="69" t="s">
        <v>30</v>
      </c>
      <c r="I92" s="70"/>
      <c r="J92" s="68"/>
      <c r="K92" s="69"/>
      <c r="L92" s="70"/>
      <c r="M92" s="68"/>
      <c r="N92" s="69"/>
      <c r="O92" s="69"/>
      <c r="P92" s="71"/>
      <c r="Q92" s="72">
        <f>SUM(BV92:CJ92)*VLOOKUP(W92,Tables!$W$3:$Z$8,4)</f>
        <v>100</v>
      </c>
      <c r="R92" s="73">
        <f t="shared" si="56"/>
        <v>1.9000000000000001</v>
      </c>
      <c r="S92" s="74">
        <f t="shared" si="57"/>
        <v>0</v>
      </c>
      <c r="T92" s="74">
        <f t="shared" si="58"/>
        <v>0</v>
      </c>
      <c r="U92" s="75">
        <f t="shared" si="59"/>
        <v>120</v>
      </c>
      <c r="V92" s="76">
        <f t="shared" si="60"/>
        <v>12</v>
      </c>
      <c r="W92" s="77">
        <v>0</v>
      </c>
      <c r="X92" s="78">
        <f t="shared" si="61"/>
        <v>0</v>
      </c>
      <c r="Y92" s="79">
        <f t="shared" si="62"/>
        <v>0</v>
      </c>
      <c r="Z92" s="79">
        <f t="shared" si="63"/>
        <v>0</v>
      </c>
      <c r="AA92" s="78">
        <f t="shared" si="64"/>
        <v>0</v>
      </c>
      <c r="AB92" s="79">
        <f t="shared" si="65"/>
        <v>0</v>
      </c>
      <c r="AC92" s="79">
        <f t="shared" si="66"/>
        <v>0</v>
      </c>
      <c r="AD92" s="79">
        <f t="shared" si="67"/>
        <v>1</v>
      </c>
      <c r="AE92" s="79">
        <f t="shared" si="68"/>
        <v>0</v>
      </c>
      <c r="AF92" s="78">
        <f t="shared" si="69"/>
        <v>0</v>
      </c>
      <c r="AG92" s="79">
        <f t="shared" si="70"/>
        <v>0</v>
      </c>
      <c r="AH92" s="79">
        <f t="shared" si="71"/>
        <v>0</v>
      </c>
      <c r="AI92" s="78">
        <f t="shared" si="72"/>
        <v>0</v>
      </c>
      <c r="AJ92" s="79">
        <f t="shared" si="73"/>
        <v>0</v>
      </c>
      <c r="AK92" s="79">
        <f t="shared" si="74"/>
        <v>0</v>
      </c>
      <c r="AL92" s="80">
        <f t="shared" si="75"/>
        <v>0</v>
      </c>
      <c r="AM92" s="81">
        <f t="shared" si="76"/>
        <v>0.05</v>
      </c>
      <c r="AN92" s="82" t="str">
        <f t="shared" si="77"/>
        <v/>
      </c>
      <c r="AO92" s="79" t="str">
        <f t="shared" si="78"/>
        <v/>
      </c>
      <c r="AP92" t="str">
        <f t="shared" si="79"/>
        <v/>
      </c>
      <c r="AQ92" s="82" t="str">
        <f t="shared" si="80"/>
        <v/>
      </c>
      <c r="AR92" t="str">
        <f t="shared" si="81"/>
        <v/>
      </c>
      <c r="AS92" t="str">
        <f t="shared" si="82"/>
        <v/>
      </c>
      <c r="AT92" t="str">
        <f t="shared" si="83"/>
        <v>P</v>
      </c>
      <c r="AU92" t="str">
        <f t="shared" si="84"/>
        <v/>
      </c>
      <c r="AV92" s="82" t="str">
        <f t="shared" si="85"/>
        <v/>
      </c>
      <c r="AW92" t="str">
        <f t="shared" si="86"/>
        <v/>
      </c>
      <c r="AX92" t="str">
        <f t="shared" si="87"/>
        <v/>
      </c>
      <c r="AY92" s="82" t="str">
        <f t="shared" si="88"/>
        <v/>
      </c>
      <c r="AZ92" t="str">
        <f t="shared" si="89"/>
        <v/>
      </c>
      <c r="BA92" t="str">
        <f t="shared" si="90"/>
        <v/>
      </c>
      <c r="BB92" s="83" t="str">
        <f t="shared" si="91"/>
        <v/>
      </c>
      <c r="BC92" s="84">
        <f t="shared" si="92"/>
        <v>0</v>
      </c>
      <c r="BD92" s="84">
        <f t="shared" si="93"/>
        <v>0.23809523809523808</v>
      </c>
      <c r="BE92" s="84">
        <f t="shared" si="94"/>
        <v>0</v>
      </c>
      <c r="BF92" s="84">
        <f t="shared" si="95"/>
        <v>0</v>
      </c>
      <c r="BG92" s="78">
        <f>IF(AN92="",0,VLOOKUP(AN92,Tables!$AB$3:$AC$12,2))</f>
        <v>0</v>
      </c>
      <c r="BH92" s="79">
        <f>IF(AO92="",0,VLOOKUP(AO92,Tables!$AB$3:$AC$12,2))</f>
        <v>0</v>
      </c>
      <c r="BI92" s="79">
        <f>IF(AP92="",0,VLOOKUP(AP92,Tables!$AB$3:$AC$12,2))</f>
        <v>0</v>
      </c>
      <c r="BJ92" s="78">
        <f>IF(AQ92="",0,VLOOKUP(AQ92,Tables!$AB$3:$AC$12,2))</f>
        <v>0</v>
      </c>
      <c r="BK92" s="79">
        <f>IF(AR92="",0,VLOOKUP(AR92,Tables!$AB$3:$AC$12,2))</f>
        <v>0</v>
      </c>
      <c r="BL92" s="79">
        <f>IF(AS92="",0,VLOOKUP(AS92,Tables!$AB$3:$AC$12,2))</f>
        <v>0</v>
      </c>
      <c r="BM92" s="79">
        <f>IF(AT92="",0,VLOOKUP(AT92,Tables!$AB$3:$AC$12,2))</f>
        <v>1</v>
      </c>
      <c r="BN92" s="79">
        <f>IF(AU92="",0,VLOOKUP(AU92,Tables!$AB$3:$AC$12,2))</f>
        <v>0</v>
      </c>
      <c r="BO92" s="78">
        <f>IF(AV92="",0,VLOOKUP(AV92,Tables!$AB$3:$AC$12,2))</f>
        <v>0</v>
      </c>
      <c r="BP92" s="79">
        <f>IF(AW92="",0,VLOOKUP(AW92,Tables!$AB$3:$AC$12,2))</f>
        <v>0</v>
      </c>
      <c r="BQ92" s="79">
        <f>IF(AX92="",0,VLOOKUP(AX92,Tables!$AB$3:$AC$12,2))</f>
        <v>0</v>
      </c>
      <c r="BR92" s="78">
        <f>IF(AY92="",0,VLOOKUP(AY92,Tables!$AB$3:$AC$12,2))</f>
        <v>0</v>
      </c>
      <c r="BS92" s="79">
        <f>IF(AZ92="",0,VLOOKUP(AZ92,Tables!$AB$3:$AC$12,2))</f>
        <v>0</v>
      </c>
      <c r="BT92" s="79">
        <f>IF(BA92="",0,VLOOKUP(BA92,Tables!$AB$3:$AC$12,2))</f>
        <v>0</v>
      </c>
      <c r="BU92" s="80">
        <f>IF(BB92="",0,VLOOKUP(BB92,Tables!$AB$3:$AC$12,2))</f>
        <v>0</v>
      </c>
      <c r="BV92" s="85">
        <f>IF(AN92="",0,VLOOKUP(B92,Tables!$B$3:$D$36,2,FALSE())*X$1)</f>
        <v>0</v>
      </c>
      <c r="BW92" s="72">
        <f>IF(AO92="",0,VLOOKUP(C92,Tables!$B$3:$D$36,2,FALSE())*Y$1)</f>
        <v>0</v>
      </c>
      <c r="BX92" s="72">
        <f>IF(AP92="",0,VLOOKUP(D92,Tables!$B$3:$D$36,2,FALSE())*Z$1)</f>
        <v>0</v>
      </c>
      <c r="BY92" s="85">
        <f>IF(AQ92="",0,VLOOKUP(E92,Tables!$B$3:$D$36,2,FALSE())*AA$1)</f>
        <v>0</v>
      </c>
      <c r="BZ92" s="72">
        <f>IF(AR92="",0,VLOOKUP(F92,Tables!$B$3:$D$36,2,FALSE())*AB$1)</f>
        <v>0</v>
      </c>
      <c r="CA92" s="72">
        <f>IF(AS92="",0,VLOOKUP(G92,Tables!$B$3:$D$36,2,FALSE())*AC$1)</f>
        <v>0</v>
      </c>
      <c r="CB92" s="72">
        <f>IF(AT92="",0,VLOOKUP(H92,Tables!$B$3:$D$36,2,FALSE())*AD$1)</f>
        <v>100</v>
      </c>
      <c r="CC92" s="72">
        <f>IF(AU92="",0,VLOOKUP(I92,Tables!$B$3:$D$36,2,FALSE())*AE$1)</f>
        <v>0</v>
      </c>
      <c r="CD92" s="85">
        <f>IF(AV92="",0,VLOOKUP(J92,Tables!$B$3:$D$36,2,FALSE())*AF$1)</f>
        <v>0</v>
      </c>
      <c r="CE92" s="72">
        <f>IF(AW92="",0,VLOOKUP(K92,Tables!$B$3:$D$36,2,FALSE())*AG$1)</f>
        <v>0</v>
      </c>
      <c r="CF92" s="72">
        <f>IF(AX92="",0,VLOOKUP(L92,Tables!$B$3:$D$36,2,FALSE())*AH$1)</f>
        <v>0</v>
      </c>
      <c r="CG92" s="85">
        <f>IF(AY92="",0,VLOOKUP(M92,Tables!$B$3:$D$36,2,FALSE())*AI$1)</f>
        <v>0</v>
      </c>
      <c r="CH92" s="72">
        <f>IF(AZ92="",0,VLOOKUP(N92,Tables!$B$3:$D$36,2,FALSE())*AJ$1)</f>
        <v>0</v>
      </c>
      <c r="CI92" s="72">
        <f>IF(BA92="",0,VLOOKUP(O92,Tables!$B$3:$D$36,2,FALSE())*AK$1)</f>
        <v>0</v>
      </c>
      <c r="CJ92" s="86">
        <f>IF(BB92="",0,VLOOKUP(P92,Tables!$B$3:$D$36,2,FALSE())*AL$1)</f>
        <v>0</v>
      </c>
      <c r="CK92" s="87">
        <f>IF(AN92="",0,VLOOKUP(B92,Tables!$B$3:$D$36,3,FALSE())*X$1)*IF(OR(AN92="K",AN92="P"),2,1)</f>
        <v>0</v>
      </c>
      <c r="CL92" s="73">
        <f>IF(AO92="",0,VLOOKUP(C92,Tables!$B$3:$D$36,3,FALSE())*Y$1)*IF(OR(AO92="K",AO92="P"),2,1)</f>
        <v>0</v>
      </c>
      <c r="CM92" s="73">
        <f>IF(AP92="",0,VLOOKUP(D92,Tables!$B$3:$D$36,3,FALSE())*Z$1)*IF(OR(AP92="K",AP92="P"),2,1)</f>
        <v>0</v>
      </c>
      <c r="CN92" s="87">
        <f>IF(AQ92="",0,VLOOKUP(E92,Tables!$B$3:$D$36,3,FALSE())*AA$1)</f>
        <v>0</v>
      </c>
      <c r="CO92" s="73">
        <f>IF(AR92="",0,VLOOKUP(F92,Tables!$B$3:$D$36,3,FALSE())*AB$1)</f>
        <v>0</v>
      </c>
      <c r="CP92" s="73">
        <f>IF(AS92="",0,VLOOKUP(G92,Tables!$B$3:$D$36,3,FALSE())*AC$1)</f>
        <v>0</v>
      </c>
      <c r="CQ92" s="73">
        <f>IF(AT92="",0,VLOOKUP(H92,Tables!$B$3:$D$36,3,FALSE())*AD$1)</f>
        <v>1.9000000000000001</v>
      </c>
      <c r="CR92" s="73">
        <f>IF(AU92="",0,VLOOKUP(I92,Tables!$B$3:$D$36,3,FALSE())*AE$1)</f>
        <v>0</v>
      </c>
      <c r="CS92" s="87">
        <f>IF(AV92="",0,VLOOKUP(J92,Tables!$B$3:$D$36,3,FALSE())*AF$1)</f>
        <v>0</v>
      </c>
      <c r="CT92" s="73">
        <f>IF(AW92="",0,VLOOKUP(K92,Tables!$B$3:$D$36,3,FALSE())*AG$1)</f>
        <v>0</v>
      </c>
      <c r="CU92" s="73">
        <f>IF(AX92="",0,VLOOKUP(L92,Tables!$B$3:$D$36,3,FALSE())*AH$1)</f>
        <v>0</v>
      </c>
      <c r="CV92" s="87">
        <f>IF(AY92="",0,VLOOKUP(M92,Tables!$B$3:$D$36,3,FALSE())*AI$1)</f>
        <v>0</v>
      </c>
      <c r="CW92" s="73">
        <f>IF(AZ92="",0,VLOOKUP(N92,Tables!$B$3:$D$36,3,FALSE())*AJ$1)</f>
        <v>0</v>
      </c>
      <c r="CX92" s="73">
        <f>IF(BA92="",0,VLOOKUP(O92,Tables!$B$3:$D$36,3,FALSE())*AK$1)</f>
        <v>0</v>
      </c>
      <c r="CY92" s="88">
        <f>IF(BB92="",0,VLOOKUP(P92,Tables!$B$3:$D$36,3,FALSE())*AL$1)</f>
        <v>0</v>
      </c>
      <c r="CZ92" s="89">
        <f t="shared" si="96"/>
        <v>0</v>
      </c>
      <c r="DA92" s="75">
        <f t="shared" si="97"/>
        <v>0</v>
      </c>
      <c r="DB92" s="75">
        <f t="shared" si="98"/>
        <v>0</v>
      </c>
      <c r="DC92" s="89">
        <f t="shared" si="99"/>
        <v>0</v>
      </c>
      <c r="DD92" s="75">
        <f t="shared" si="100"/>
        <v>0</v>
      </c>
      <c r="DE92" s="75">
        <f t="shared" si="101"/>
        <v>0</v>
      </c>
      <c r="DF92" s="75">
        <f t="shared" si="102"/>
        <v>1.5</v>
      </c>
      <c r="DG92" s="75">
        <f t="shared" si="103"/>
        <v>0</v>
      </c>
      <c r="DH92" s="89">
        <f t="shared" si="104"/>
        <v>0</v>
      </c>
      <c r="DI92" s="75">
        <f t="shared" si="105"/>
        <v>0</v>
      </c>
      <c r="DJ92" s="75">
        <f t="shared" si="106"/>
        <v>0</v>
      </c>
      <c r="DK92" s="89">
        <f t="shared" si="107"/>
        <v>0</v>
      </c>
      <c r="DL92" s="75">
        <f t="shared" si="108"/>
        <v>0</v>
      </c>
      <c r="DM92" s="75">
        <f t="shared" si="109"/>
        <v>0</v>
      </c>
      <c r="DN92" s="90">
        <f t="shared" si="110"/>
        <v>0</v>
      </c>
      <c r="DO92" s="91">
        <f>IF(AN92="",0,VLOOKUP(B92,Tables!$B$3:$M$36,11,FALSE())*X$1)</f>
        <v>0</v>
      </c>
      <c r="DP92" s="92">
        <f>IF(AO92="",0,VLOOKUP(C92,Tables!$B$3:$M$36,11,FALSE())*Y$1)</f>
        <v>0</v>
      </c>
      <c r="DQ92" s="92">
        <f>IF(AP92="",0,VLOOKUP(D92,Tables!$B$3:$M$36,11,FALSE())*Z$1)</f>
        <v>0</v>
      </c>
      <c r="DR92" s="91">
        <f>IF(AQ92="",0,VLOOKUP(E92,Tables!$B$3:$M$36,11,FALSE())*AA$1)</f>
        <v>0</v>
      </c>
      <c r="DS92" s="92">
        <f>IF(AR92="",0,VLOOKUP(F92,Tables!$B$3:$M$36,11,FALSE())*AB$1)</f>
        <v>0</v>
      </c>
      <c r="DT92" s="92">
        <f>IF(AS92="",0,VLOOKUP(G92,Tables!$B$3:$M$36,11,FALSE())*AC$1)</f>
        <v>0</v>
      </c>
      <c r="DU92" s="92">
        <f>IF(AT92="",0,VLOOKUP(H92,Tables!$B$3:$M$36,11,FALSE())*AD$1)</f>
        <v>120</v>
      </c>
      <c r="DV92" s="92">
        <f>IF(AU92="",0,VLOOKUP(I92,Tables!$B$3:$M$36,11,FALSE())*AE$1)</f>
        <v>0</v>
      </c>
      <c r="DW92" s="91">
        <f>IF(AV92="",0,VLOOKUP(J92,Tables!$B$3:$M$36,11,FALSE())*AF$1)</f>
        <v>0</v>
      </c>
      <c r="DX92" s="92">
        <f>IF(AW92="",0,VLOOKUP(K92,Tables!$B$3:$M$36,11,FALSE())*AG$1)</f>
        <v>0</v>
      </c>
      <c r="DY92" s="92">
        <f>IF(AX92="",0,VLOOKUP(L92,Tables!$B$3:$M$36,11,FALSE())*AH$1)</f>
        <v>0</v>
      </c>
      <c r="DZ92" s="91">
        <f>IF(AY92="",0,VLOOKUP(M92,Tables!$B$3:$M$36,11,FALSE())*AI$1)</f>
        <v>0</v>
      </c>
      <c r="EA92" s="92">
        <f>IF(AZ92="",0,VLOOKUP(N92,Tables!$B$3:$M$36,11,FALSE())*AJ$1)</f>
        <v>0</v>
      </c>
      <c r="EB92" s="92">
        <f>IF(BA92="",0,VLOOKUP(O92,Tables!$B$3:$M$36,11,FALSE())*AK$1)</f>
        <v>0</v>
      </c>
      <c r="EC92" s="93">
        <f>IF(BB92="",0,VLOOKUP(P92,Tables!$B$3:$M$36,11,FALSE())*AL$1)</f>
        <v>0</v>
      </c>
      <c r="ED92" s="91">
        <f>IF(AN92="",0,VLOOKUP(B92,Tables!$B$3:$M$36,12,FALSE())*X$1)</f>
        <v>0</v>
      </c>
      <c r="EE92" s="92">
        <f>IF(AO92="",0,VLOOKUP(C92,Tables!$B$3:$M$36,12,FALSE())*Y$1)</f>
        <v>0</v>
      </c>
      <c r="EF92" s="92">
        <f>IF(AP92="",0,VLOOKUP(D92,Tables!$B$3:$M$36,12,FALSE())*Z$1)</f>
        <v>0</v>
      </c>
      <c r="EG92" s="91">
        <f>IF(AQ92="",0,VLOOKUP(E92,Tables!$B$3:$M$36,12,FALSE())*AA$1)</f>
        <v>0</v>
      </c>
      <c r="EH92" s="92">
        <f>IF(AR92="",0,VLOOKUP(F92,Tables!$B$3:$M$36,12,FALSE())*AB$1)</f>
        <v>0</v>
      </c>
      <c r="EI92" s="92">
        <f>IF(AS92="",0,VLOOKUP(G92,Tables!$B$3:$M$36,12,FALSE())*AC$1)</f>
        <v>0</v>
      </c>
      <c r="EJ92" s="92">
        <f>IF(AT92="",0,VLOOKUP(H92,Tables!$B$3:$M$36,12,FALSE())*AD$1)</f>
        <v>12</v>
      </c>
      <c r="EK92" s="92">
        <f>IF(AU92="",0,VLOOKUP(I92,Tables!$B$3:$M$36,12,FALSE())*AE$1)</f>
        <v>0</v>
      </c>
      <c r="EL92" s="91">
        <f>IF(AV92="",0,VLOOKUP(J92,Tables!$B$3:$M$36,12,FALSE())*AF$1)</f>
        <v>0</v>
      </c>
      <c r="EM92" s="92">
        <f>IF(AW92="",0,VLOOKUP(K92,Tables!$B$3:$M$36,12,FALSE())*AG$1)</f>
        <v>0</v>
      </c>
      <c r="EN92" s="92">
        <f>IF(AX92="",0,VLOOKUP(L92,Tables!$B$3:$M$36,12,FALSE())*AH$1)</f>
        <v>0</v>
      </c>
      <c r="EO92" s="91">
        <f>IF(AY92="",0,VLOOKUP(M92,Tables!$B$3:$M$36,12,FALSE())*AI$1)</f>
        <v>0</v>
      </c>
      <c r="EP92" s="92">
        <f>IF(AZ92="",0,VLOOKUP(N92,Tables!$B$3:$M$36,12,FALSE())*AJ$1)</f>
        <v>0</v>
      </c>
      <c r="EQ92" s="92">
        <f>IF(BA92="",0,VLOOKUP(O92,Tables!$B$3:$M$36,12,FALSE())*AK$1)</f>
        <v>0</v>
      </c>
      <c r="ER92" s="93">
        <f>IF(BB92="",0,VLOOKUP(P92,Tables!$B$3:$M$36,12,FALSE())*AL$1)</f>
        <v>0</v>
      </c>
      <c r="ES92" s="94">
        <f t="shared" si="111"/>
        <v>0</v>
      </c>
      <c r="ET92" s="95">
        <f>IF(AN92="",10,MIN(VLOOKUP(B92,MATERIAL,13,FALSE()),'Item Builder'!$W92))</f>
        <v>10</v>
      </c>
      <c r="EU92" s="95">
        <f>IF(AO92="",10,MIN(VLOOKUP(C92,MATERIAL,13,FALSE()),'Item Builder'!$W92))</f>
        <v>10</v>
      </c>
      <c r="EV92" s="95">
        <f>IF(AP92="",10,MIN(VLOOKUP(D92,MATERIAL,13,FALSE()),'Item Builder'!$W92))</f>
        <v>10</v>
      </c>
      <c r="EW92" s="95">
        <f>IF(AQ92="",10,MIN(VLOOKUP(E92,MATERIAL,13,FALSE()),'Item Builder'!$W92))</f>
        <v>10</v>
      </c>
      <c r="EX92" s="95">
        <f>IF(AR92="",10,MIN(VLOOKUP(F92,MATERIAL,13,FALSE()),'Item Builder'!$W92))</f>
        <v>10</v>
      </c>
      <c r="EY92" s="95">
        <f>IF(AS92="",10,MIN(VLOOKUP(G92,MATERIAL,13,FALSE()),'Item Builder'!$W92))</f>
        <v>10</v>
      </c>
      <c r="EZ92" s="95">
        <f>IF(AT92="",10,MIN(VLOOKUP(H92,MATERIAL,13,FALSE()),'Item Builder'!$W92))</f>
        <v>0</v>
      </c>
      <c r="FA92" s="95">
        <f>IF(AU92="",10,MIN(VLOOKUP(I92,MATERIAL,13,FALSE()),'Item Builder'!$W92))</f>
        <v>10</v>
      </c>
      <c r="FB92" s="95">
        <f>IF(AV92="",10,MIN(VLOOKUP(J92,MATERIAL,13,FALSE()),'Item Builder'!$W92))</f>
        <v>10</v>
      </c>
      <c r="FC92" s="95">
        <f>IF(AW92="",10,MIN(VLOOKUP(K92,MATERIAL,13,FALSE()),'Item Builder'!$W92))</f>
        <v>10</v>
      </c>
      <c r="FD92" s="95">
        <f>IF(AX92="",10,MIN(VLOOKUP(L92,MATERIAL,13,FALSE()),'Item Builder'!$W92))</f>
        <v>10</v>
      </c>
      <c r="FE92" s="95">
        <f>IF(AY92="",10,MIN(VLOOKUP(M92,MATERIAL,13,FALSE()),'Item Builder'!$W92))</f>
        <v>10</v>
      </c>
      <c r="FF92" s="95">
        <f>IF(AZ92="",10,MIN(VLOOKUP(N92,MATERIAL,13,FALSE()),'Item Builder'!$W92))</f>
        <v>10</v>
      </c>
      <c r="FG92" s="95">
        <f>IF(BA92="",10,MIN(VLOOKUP(O92,MATERIAL,13,FALSE()),'Item Builder'!$W92))</f>
        <v>10</v>
      </c>
      <c r="FH92" s="95">
        <f>IF(BB92="",10,MIN(VLOOKUP(P92,MATERIAL,13,FALSE()),'Item Builder'!$W92))</f>
        <v>10</v>
      </c>
    </row>
    <row r="93" spans="1:164" x14ac:dyDescent="0.25">
      <c r="A93" s="67" t="s">
        <v>88</v>
      </c>
      <c r="B93" s="68"/>
      <c r="C93" s="69"/>
      <c r="D93" s="70"/>
      <c r="E93" s="68"/>
      <c r="F93" s="69"/>
      <c r="G93" s="69"/>
      <c r="H93" s="69"/>
      <c r="I93" s="70"/>
      <c r="J93" s="68" t="s">
        <v>30</v>
      </c>
      <c r="K93" s="69" t="s">
        <v>30</v>
      </c>
      <c r="L93" s="70"/>
      <c r="M93" s="68"/>
      <c r="N93" s="69"/>
      <c r="O93" s="69"/>
      <c r="P93" s="71"/>
      <c r="Q93" s="72">
        <f>SUM(BV93:CJ93)*VLOOKUP(W93,Tables!$W$3:$Z$8,4)</f>
        <v>480</v>
      </c>
      <c r="R93" s="73">
        <f t="shared" si="56"/>
        <v>9.1199999999999992</v>
      </c>
      <c r="S93" s="101">
        <f t="shared" si="57"/>
        <v>5</v>
      </c>
      <c r="T93" s="74">
        <f t="shared" si="58"/>
        <v>0</v>
      </c>
      <c r="U93" s="75">
        <f t="shared" si="59"/>
        <v>576</v>
      </c>
      <c r="V93" s="76">
        <f t="shared" si="60"/>
        <v>57.599999999999994</v>
      </c>
      <c r="W93" s="77">
        <v>0</v>
      </c>
      <c r="X93" s="78">
        <f t="shared" si="61"/>
        <v>0</v>
      </c>
      <c r="Y93" s="79">
        <f t="shared" si="62"/>
        <v>0</v>
      </c>
      <c r="Z93" s="79">
        <f t="shared" si="63"/>
        <v>0</v>
      </c>
      <c r="AA93" s="78">
        <f t="shared" si="64"/>
        <v>0</v>
      </c>
      <c r="AB93" s="79">
        <f t="shared" si="65"/>
        <v>0</v>
      </c>
      <c r="AC93" s="79">
        <f t="shared" si="66"/>
        <v>0</v>
      </c>
      <c r="AD93" s="79">
        <f t="shared" si="67"/>
        <v>0</v>
      </c>
      <c r="AE93" s="79">
        <f t="shared" si="68"/>
        <v>0</v>
      </c>
      <c r="AF93" s="78">
        <f t="shared" si="69"/>
        <v>1</v>
      </c>
      <c r="AG93" s="79">
        <f t="shared" si="70"/>
        <v>1</v>
      </c>
      <c r="AH93" s="79">
        <f t="shared" si="71"/>
        <v>0</v>
      </c>
      <c r="AI93" s="78">
        <f t="shared" si="72"/>
        <v>0</v>
      </c>
      <c r="AJ93" s="79">
        <f t="shared" si="73"/>
        <v>0</v>
      </c>
      <c r="AK93" s="79">
        <f t="shared" si="74"/>
        <v>0</v>
      </c>
      <c r="AL93" s="80">
        <f t="shared" si="75"/>
        <v>0</v>
      </c>
      <c r="AM93" s="81">
        <f t="shared" si="76"/>
        <v>0.24</v>
      </c>
      <c r="AN93" s="82" t="str">
        <f t="shared" si="77"/>
        <v/>
      </c>
      <c r="AO93" s="79" t="str">
        <f t="shared" si="78"/>
        <v/>
      </c>
      <c r="AP93" t="str">
        <f t="shared" si="79"/>
        <v/>
      </c>
      <c r="AQ93" s="82" t="str">
        <f t="shared" si="80"/>
        <v/>
      </c>
      <c r="AR93" t="str">
        <f t="shared" si="81"/>
        <v/>
      </c>
      <c r="AS93" t="str">
        <f t="shared" si="82"/>
        <v/>
      </c>
      <c r="AT93" t="str">
        <f t="shared" si="83"/>
        <v/>
      </c>
      <c r="AU93" t="str">
        <f t="shared" si="84"/>
        <v/>
      </c>
      <c r="AV93" s="82" t="str">
        <f t="shared" si="85"/>
        <v>P</v>
      </c>
      <c r="AW93" t="str">
        <f t="shared" si="86"/>
        <v>P</v>
      </c>
      <c r="AX93" t="str">
        <f t="shared" si="87"/>
        <v/>
      </c>
      <c r="AY93" s="82" t="str">
        <f t="shared" si="88"/>
        <v/>
      </c>
      <c r="AZ93" t="str">
        <f t="shared" si="89"/>
        <v/>
      </c>
      <c r="BA93" t="str">
        <f t="shared" si="90"/>
        <v/>
      </c>
      <c r="BB93" s="83" t="str">
        <f t="shared" si="91"/>
        <v/>
      </c>
      <c r="BC93" s="84">
        <f t="shared" si="92"/>
        <v>0</v>
      </c>
      <c r="BD93" s="84">
        <f t="shared" si="93"/>
        <v>0</v>
      </c>
      <c r="BE93" s="84">
        <f t="shared" si="94"/>
        <v>0.70588235294117652</v>
      </c>
      <c r="BF93" s="84">
        <f t="shared" si="95"/>
        <v>0</v>
      </c>
      <c r="BG93" s="78">
        <f>IF(AN93="",0,VLOOKUP(AN93,Tables!$AB$3:$AC$12,2))</f>
        <v>0</v>
      </c>
      <c r="BH93" s="79">
        <f>IF(AO93="",0,VLOOKUP(AO93,Tables!$AB$3:$AC$12,2))</f>
        <v>0</v>
      </c>
      <c r="BI93" s="79">
        <f>IF(AP93="",0,VLOOKUP(AP93,Tables!$AB$3:$AC$12,2))</f>
        <v>0</v>
      </c>
      <c r="BJ93" s="78">
        <f>IF(AQ93="",0,VLOOKUP(AQ93,Tables!$AB$3:$AC$12,2))</f>
        <v>0</v>
      </c>
      <c r="BK93" s="79">
        <f>IF(AR93="",0,VLOOKUP(AR93,Tables!$AB$3:$AC$12,2))</f>
        <v>0</v>
      </c>
      <c r="BL93" s="79">
        <f>IF(AS93="",0,VLOOKUP(AS93,Tables!$AB$3:$AC$12,2))</f>
        <v>0</v>
      </c>
      <c r="BM93" s="79">
        <f>IF(AT93="",0,VLOOKUP(AT93,Tables!$AB$3:$AC$12,2))</f>
        <v>0</v>
      </c>
      <c r="BN93" s="79">
        <f>IF(AU93="",0,VLOOKUP(AU93,Tables!$AB$3:$AC$12,2))</f>
        <v>0</v>
      </c>
      <c r="BO93" s="78">
        <f>IF(AV93="",0,VLOOKUP(AV93,Tables!$AB$3:$AC$12,2))</f>
        <v>1</v>
      </c>
      <c r="BP93" s="79">
        <f>IF(AW93="",0,VLOOKUP(AW93,Tables!$AB$3:$AC$12,2))</f>
        <v>1</v>
      </c>
      <c r="BQ93" s="79">
        <f>IF(AX93="",0,VLOOKUP(AX93,Tables!$AB$3:$AC$12,2))</f>
        <v>0</v>
      </c>
      <c r="BR93" s="78">
        <f>IF(AY93="",0,VLOOKUP(AY93,Tables!$AB$3:$AC$12,2))</f>
        <v>0</v>
      </c>
      <c r="BS93" s="79">
        <f>IF(AZ93="",0,VLOOKUP(AZ93,Tables!$AB$3:$AC$12,2))</f>
        <v>0</v>
      </c>
      <c r="BT93" s="79">
        <f>IF(BA93="",0,VLOOKUP(BA93,Tables!$AB$3:$AC$12,2))</f>
        <v>0</v>
      </c>
      <c r="BU93" s="80">
        <f>IF(BB93="",0,VLOOKUP(BB93,Tables!$AB$3:$AC$12,2))</f>
        <v>0</v>
      </c>
      <c r="BV93" s="85">
        <f>IF(AN93="",0,VLOOKUP(B93,Tables!$B$3:$D$36,2,FALSE())*X$1)</f>
        <v>0</v>
      </c>
      <c r="BW93" s="72">
        <f>IF(AO93="",0,VLOOKUP(C93,Tables!$B$3:$D$36,2,FALSE())*Y$1)</f>
        <v>0</v>
      </c>
      <c r="BX93" s="72">
        <f>IF(AP93="",0,VLOOKUP(D93,Tables!$B$3:$D$36,2,FALSE())*Z$1)</f>
        <v>0</v>
      </c>
      <c r="BY93" s="85">
        <f>IF(AQ93="",0,VLOOKUP(E93,Tables!$B$3:$D$36,2,FALSE())*AA$1)</f>
        <v>0</v>
      </c>
      <c r="BZ93" s="72">
        <f>IF(AR93="",0,VLOOKUP(F93,Tables!$B$3:$D$36,2,FALSE())*AB$1)</f>
        <v>0</v>
      </c>
      <c r="CA93" s="72">
        <f>IF(AS93="",0,VLOOKUP(G93,Tables!$B$3:$D$36,2,FALSE())*AC$1)</f>
        <v>0</v>
      </c>
      <c r="CB93" s="72">
        <f>IF(AT93="",0,VLOOKUP(H93,Tables!$B$3:$D$36,2,FALSE())*AD$1)</f>
        <v>0</v>
      </c>
      <c r="CC93" s="72">
        <f>IF(AU93="",0,VLOOKUP(I93,Tables!$B$3:$D$36,2,FALSE())*AE$1)</f>
        <v>0</v>
      </c>
      <c r="CD93" s="85">
        <f>IF(AV93="",0,VLOOKUP(J93,Tables!$B$3:$D$36,2,FALSE())*AF$1)</f>
        <v>240</v>
      </c>
      <c r="CE93" s="72">
        <f>IF(AW93="",0,VLOOKUP(K93,Tables!$B$3:$D$36,2,FALSE())*AG$1)</f>
        <v>240</v>
      </c>
      <c r="CF93" s="72">
        <f>IF(AX93="",0,VLOOKUP(L93,Tables!$B$3:$D$36,2,FALSE())*AH$1)</f>
        <v>0</v>
      </c>
      <c r="CG93" s="85">
        <f>IF(AY93="",0,VLOOKUP(M93,Tables!$B$3:$D$36,2,FALSE())*AI$1)</f>
        <v>0</v>
      </c>
      <c r="CH93" s="72">
        <f>IF(AZ93="",0,VLOOKUP(N93,Tables!$B$3:$D$36,2,FALSE())*AJ$1)</f>
        <v>0</v>
      </c>
      <c r="CI93" s="72">
        <f>IF(BA93="",0,VLOOKUP(O93,Tables!$B$3:$D$36,2,FALSE())*AK$1)</f>
        <v>0</v>
      </c>
      <c r="CJ93" s="86">
        <f>IF(BB93="",0,VLOOKUP(P93,Tables!$B$3:$D$36,2,FALSE())*AL$1)</f>
        <v>0</v>
      </c>
      <c r="CK93" s="87">
        <f>IF(AN93="",0,VLOOKUP(B93,Tables!$B$3:$D$36,3,FALSE())*X$1)*IF(OR(AN93="K",AN93="P"),2,1)</f>
        <v>0</v>
      </c>
      <c r="CL93" s="73">
        <f>IF(AO93="",0,VLOOKUP(C93,Tables!$B$3:$D$36,3,FALSE())*Y$1)*IF(OR(AO93="K",AO93="P"),2,1)</f>
        <v>0</v>
      </c>
      <c r="CM93" s="73">
        <f>IF(AP93="",0,VLOOKUP(D93,Tables!$B$3:$D$36,3,FALSE())*Z$1)*IF(OR(AP93="K",AP93="P"),2,1)</f>
        <v>0</v>
      </c>
      <c r="CN93" s="87">
        <f>IF(AQ93="",0,VLOOKUP(E93,Tables!$B$3:$D$36,3,FALSE())*AA$1)</f>
        <v>0</v>
      </c>
      <c r="CO93" s="73">
        <f>IF(AR93="",0,VLOOKUP(F93,Tables!$B$3:$D$36,3,FALSE())*AB$1)</f>
        <v>0</v>
      </c>
      <c r="CP93" s="73">
        <f>IF(AS93="",0,VLOOKUP(G93,Tables!$B$3:$D$36,3,FALSE())*AC$1)</f>
        <v>0</v>
      </c>
      <c r="CQ93" s="73">
        <f>IF(AT93="",0,VLOOKUP(H93,Tables!$B$3:$D$36,3,FALSE())*AD$1)</f>
        <v>0</v>
      </c>
      <c r="CR93" s="73">
        <f>IF(AU93="",0,VLOOKUP(I93,Tables!$B$3:$D$36,3,FALSE())*AE$1)</f>
        <v>0</v>
      </c>
      <c r="CS93" s="87">
        <f>IF(AV93="",0,VLOOKUP(J93,Tables!$B$3:$D$36,3,FALSE())*AF$1)</f>
        <v>4.5599999999999996</v>
      </c>
      <c r="CT93" s="73">
        <f>IF(AW93="",0,VLOOKUP(K93,Tables!$B$3:$D$36,3,FALSE())*AG$1)</f>
        <v>4.5599999999999996</v>
      </c>
      <c r="CU93" s="73">
        <f>IF(AX93="",0,VLOOKUP(L93,Tables!$B$3:$D$36,3,FALSE())*AH$1)</f>
        <v>0</v>
      </c>
      <c r="CV93" s="87">
        <f>IF(AY93="",0,VLOOKUP(M93,Tables!$B$3:$D$36,3,FALSE())*AI$1)</f>
        <v>0</v>
      </c>
      <c r="CW93" s="73">
        <f>IF(AZ93="",0,VLOOKUP(N93,Tables!$B$3:$D$36,3,FALSE())*AJ$1)</f>
        <v>0</v>
      </c>
      <c r="CX93" s="73">
        <f>IF(BA93="",0,VLOOKUP(O93,Tables!$B$3:$D$36,3,FALSE())*AK$1)</f>
        <v>0</v>
      </c>
      <c r="CY93" s="88">
        <f>IF(BB93="",0,VLOOKUP(P93,Tables!$B$3:$D$36,3,FALSE())*AL$1)</f>
        <v>0</v>
      </c>
      <c r="CZ93" s="89">
        <f t="shared" si="96"/>
        <v>0</v>
      </c>
      <c r="DA93" s="75">
        <f t="shared" si="97"/>
        <v>0</v>
      </c>
      <c r="DB93" s="75">
        <f t="shared" si="98"/>
        <v>0</v>
      </c>
      <c r="DC93" s="89">
        <f t="shared" si="99"/>
        <v>0</v>
      </c>
      <c r="DD93" s="75">
        <f t="shared" si="100"/>
        <v>0</v>
      </c>
      <c r="DE93" s="75">
        <f t="shared" si="101"/>
        <v>0</v>
      </c>
      <c r="DF93" s="75">
        <f t="shared" si="102"/>
        <v>0</v>
      </c>
      <c r="DG93" s="75">
        <f t="shared" si="103"/>
        <v>0</v>
      </c>
      <c r="DH93" s="89">
        <f t="shared" si="104"/>
        <v>1.5</v>
      </c>
      <c r="DI93" s="75">
        <f t="shared" si="105"/>
        <v>1.5</v>
      </c>
      <c r="DJ93" s="75">
        <f t="shared" si="106"/>
        <v>0</v>
      </c>
      <c r="DK93" s="89">
        <f t="shared" si="107"/>
        <v>0</v>
      </c>
      <c r="DL93" s="75">
        <f t="shared" si="108"/>
        <v>0</v>
      </c>
      <c r="DM93" s="75">
        <f t="shared" si="109"/>
        <v>0</v>
      </c>
      <c r="DN93" s="90">
        <f t="shared" si="110"/>
        <v>0</v>
      </c>
      <c r="DO93" s="91">
        <f>IF(AN93="",0,VLOOKUP(B93,Tables!$B$3:$M$36,11,FALSE())*X$1)</f>
        <v>0</v>
      </c>
      <c r="DP93" s="92">
        <f>IF(AO93="",0,VLOOKUP(C93,Tables!$B$3:$M$36,11,FALSE())*Y$1)</f>
        <v>0</v>
      </c>
      <c r="DQ93" s="92">
        <f>IF(AP93="",0,VLOOKUP(D93,Tables!$B$3:$M$36,11,FALSE())*Z$1)</f>
        <v>0</v>
      </c>
      <c r="DR93" s="91">
        <f>IF(AQ93="",0,VLOOKUP(E93,Tables!$B$3:$M$36,11,FALSE())*AA$1)</f>
        <v>0</v>
      </c>
      <c r="DS93" s="92">
        <f>IF(AR93="",0,VLOOKUP(F93,Tables!$B$3:$M$36,11,FALSE())*AB$1)</f>
        <v>0</v>
      </c>
      <c r="DT93" s="92">
        <f>IF(AS93="",0,VLOOKUP(G93,Tables!$B$3:$M$36,11,FALSE())*AC$1)</f>
        <v>0</v>
      </c>
      <c r="DU93" s="92">
        <f>IF(AT93="",0,VLOOKUP(H93,Tables!$B$3:$M$36,11,FALSE())*AD$1)</f>
        <v>0</v>
      </c>
      <c r="DV93" s="92">
        <f>IF(AU93="",0,VLOOKUP(I93,Tables!$B$3:$M$36,11,FALSE())*AE$1)</f>
        <v>0</v>
      </c>
      <c r="DW93" s="91">
        <f>IF(AV93="",0,VLOOKUP(J93,Tables!$B$3:$M$36,11,FALSE())*AF$1)</f>
        <v>288</v>
      </c>
      <c r="DX93" s="92">
        <f>IF(AW93="",0,VLOOKUP(K93,Tables!$B$3:$M$36,11,FALSE())*AG$1)</f>
        <v>288</v>
      </c>
      <c r="DY93" s="92">
        <f>IF(AX93="",0,VLOOKUP(L93,Tables!$B$3:$M$36,11,FALSE())*AH$1)</f>
        <v>0</v>
      </c>
      <c r="DZ93" s="91">
        <f>IF(AY93="",0,VLOOKUP(M93,Tables!$B$3:$M$36,11,FALSE())*AI$1)</f>
        <v>0</v>
      </c>
      <c r="EA93" s="92">
        <f>IF(AZ93="",0,VLOOKUP(N93,Tables!$B$3:$M$36,11,FALSE())*AJ$1)</f>
        <v>0</v>
      </c>
      <c r="EB93" s="92">
        <f>IF(BA93="",0,VLOOKUP(O93,Tables!$B$3:$M$36,11,FALSE())*AK$1)</f>
        <v>0</v>
      </c>
      <c r="EC93" s="93">
        <f>IF(BB93="",0,VLOOKUP(P93,Tables!$B$3:$M$36,11,FALSE())*AL$1)</f>
        <v>0</v>
      </c>
      <c r="ED93" s="91">
        <f>IF(AN93="",0,VLOOKUP(B93,Tables!$B$3:$M$36,12,FALSE())*X$1)</f>
        <v>0</v>
      </c>
      <c r="EE93" s="92">
        <f>IF(AO93="",0,VLOOKUP(C93,Tables!$B$3:$M$36,12,FALSE())*Y$1)</f>
        <v>0</v>
      </c>
      <c r="EF93" s="92">
        <f>IF(AP93="",0,VLOOKUP(D93,Tables!$B$3:$M$36,12,FALSE())*Z$1)</f>
        <v>0</v>
      </c>
      <c r="EG93" s="91">
        <f>IF(AQ93="",0,VLOOKUP(E93,Tables!$B$3:$M$36,12,FALSE())*AA$1)</f>
        <v>0</v>
      </c>
      <c r="EH93" s="92">
        <f>IF(AR93="",0,VLOOKUP(F93,Tables!$B$3:$M$36,12,FALSE())*AB$1)</f>
        <v>0</v>
      </c>
      <c r="EI93" s="92">
        <f>IF(AS93="",0,VLOOKUP(G93,Tables!$B$3:$M$36,12,FALSE())*AC$1)</f>
        <v>0</v>
      </c>
      <c r="EJ93" s="92">
        <f>IF(AT93="",0,VLOOKUP(H93,Tables!$B$3:$M$36,12,FALSE())*AD$1)</f>
        <v>0</v>
      </c>
      <c r="EK93" s="92">
        <f>IF(AU93="",0,VLOOKUP(I93,Tables!$B$3:$M$36,12,FALSE())*AE$1)</f>
        <v>0</v>
      </c>
      <c r="EL93" s="91">
        <f>IF(AV93="",0,VLOOKUP(J93,Tables!$B$3:$M$36,12,FALSE())*AF$1)</f>
        <v>28.799999999999997</v>
      </c>
      <c r="EM93" s="92">
        <f>IF(AW93="",0,VLOOKUP(K93,Tables!$B$3:$M$36,12,FALSE())*AG$1)</f>
        <v>28.799999999999997</v>
      </c>
      <c r="EN93" s="92">
        <f>IF(AX93="",0,VLOOKUP(L93,Tables!$B$3:$M$36,12,FALSE())*AH$1)</f>
        <v>0</v>
      </c>
      <c r="EO93" s="91">
        <f>IF(AY93="",0,VLOOKUP(M93,Tables!$B$3:$M$36,12,FALSE())*AI$1)</f>
        <v>0</v>
      </c>
      <c r="EP93" s="92">
        <f>IF(AZ93="",0,VLOOKUP(N93,Tables!$B$3:$M$36,12,FALSE())*AJ$1)</f>
        <v>0</v>
      </c>
      <c r="EQ93" s="92">
        <f>IF(BA93="",0,VLOOKUP(O93,Tables!$B$3:$M$36,12,FALSE())*AK$1)</f>
        <v>0</v>
      </c>
      <c r="ER93" s="93">
        <f>IF(BB93="",0,VLOOKUP(P93,Tables!$B$3:$M$36,12,FALSE())*AL$1)</f>
        <v>0</v>
      </c>
      <c r="ES93" s="94">
        <f t="shared" si="111"/>
        <v>0</v>
      </c>
      <c r="ET93" s="95">
        <f>IF(AN93="",10,MIN(VLOOKUP(B93,MATERIAL,13,FALSE()),'Item Builder'!$W93))</f>
        <v>10</v>
      </c>
      <c r="EU93" s="95">
        <f>IF(AO93="",10,MIN(VLOOKUP(C93,MATERIAL,13,FALSE()),'Item Builder'!$W93))</f>
        <v>10</v>
      </c>
      <c r="EV93" s="95">
        <f>IF(AP93="",10,MIN(VLOOKUP(D93,MATERIAL,13,FALSE()),'Item Builder'!$W93))</f>
        <v>10</v>
      </c>
      <c r="EW93" s="95">
        <f>IF(AQ93="",10,MIN(VLOOKUP(E93,MATERIAL,13,FALSE()),'Item Builder'!$W93))</f>
        <v>10</v>
      </c>
      <c r="EX93" s="95">
        <f>IF(AR93="",10,MIN(VLOOKUP(F93,MATERIAL,13,FALSE()),'Item Builder'!$W93))</f>
        <v>10</v>
      </c>
      <c r="EY93" s="95">
        <f>IF(AS93="",10,MIN(VLOOKUP(G93,MATERIAL,13,FALSE()),'Item Builder'!$W93))</f>
        <v>10</v>
      </c>
      <c r="EZ93" s="95">
        <f>IF(AT93="",10,MIN(VLOOKUP(H93,MATERIAL,13,FALSE()),'Item Builder'!$W93))</f>
        <v>10</v>
      </c>
      <c r="FA93" s="95">
        <f>IF(AU93="",10,MIN(VLOOKUP(I93,MATERIAL,13,FALSE()),'Item Builder'!$W93))</f>
        <v>10</v>
      </c>
      <c r="FB93" s="95">
        <f>IF(AV93="",10,MIN(VLOOKUP(J93,MATERIAL,13,FALSE()),'Item Builder'!$W93))</f>
        <v>0</v>
      </c>
      <c r="FC93" s="95">
        <f>IF(AW93="",10,MIN(VLOOKUP(K93,MATERIAL,13,FALSE()),'Item Builder'!$W93))</f>
        <v>0</v>
      </c>
      <c r="FD93" s="95">
        <f>IF(AX93="",10,MIN(VLOOKUP(L93,MATERIAL,13,FALSE()),'Item Builder'!$W93))</f>
        <v>10</v>
      </c>
      <c r="FE93" s="95">
        <f>IF(AY93="",10,MIN(VLOOKUP(M93,MATERIAL,13,FALSE()),'Item Builder'!$W93))</f>
        <v>10</v>
      </c>
      <c r="FF93" s="95">
        <f>IF(AZ93="",10,MIN(VLOOKUP(N93,MATERIAL,13,FALSE()),'Item Builder'!$W93))</f>
        <v>10</v>
      </c>
      <c r="FG93" s="95">
        <f>IF(BA93="",10,MIN(VLOOKUP(O93,MATERIAL,13,FALSE()),'Item Builder'!$W93))</f>
        <v>10</v>
      </c>
      <c r="FH93" s="95">
        <f>IF(BB93="",10,MIN(VLOOKUP(P93,MATERIAL,13,FALSE()),'Item Builder'!$W93))</f>
        <v>10</v>
      </c>
    </row>
    <row r="94" spans="1:164" x14ac:dyDescent="0.25">
      <c r="A94" s="67" t="s">
        <v>46</v>
      </c>
      <c r="B94" s="68"/>
      <c r="C94" s="69"/>
      <c r="D94" s="70"/>
      <c r="E94" s="68"/>
      <c r="F94" s="69"/>
      <c r="G94" s="69"/>
      <c r="H94" s="69"/>
      <c r="I94" s="70"/>
      <c r="J94" s="68"/>
      <c r="K94" s="69"/>
      <c r="L94" s="70"/>
      <c r="M94" s="68"/>
      <c r="N94" s="69" t="s">
        <v>30</v>
      </c>
      <c r="O94" s="69"/>
      <c r="P94" s="71"/>
      <c r="Q94" s="72">
        <f>SUM(BV94:CJ94)*VLOOKUP(W94,Tables!$W$3:$Z$8,4)</f>
        <v>60</v>
      </c>
      <c r="R94" s="73">
        <f t="shared" si="56"/>
        <v>1.1399999999999999</v>
      </c>
      <c r="S94" s="74">
        <f t="shared" si="57"/>
        <v>0</v>
      </c>
      <c r="T94" s="74">
        <f t="shared" si="58"/>
        <v>0</v>
      </c>
      <c r="U94" s="75">
        <f t="shared" si="59"/>
        <v>72</v>
      </c>
      <c r="V94" s="76">
        <f t="shared" si="60"/>
        <v>7.1999999999999993</v>
      </c>
      <c r="W94" s="77">
        <v>0</v>
      </c>
      <c r="X94" s="78">
        <f t="shared" si="61"/>
        <v>0</v>
      </c>
      <c r="Y94" s="79">
        <f t="shared" si="62"/>
        <v>0</v>
      </c>
      <c r="Z94" s="79">
        <f t="shared" si="63"/>
        <v>0</v>
      </c>
      <c r="AA94" s="78">
        <f t="shared" si="64"/>
        <v>0</v>
      </c>
      <c r="AB94" s="79">
        <f t="shared" si="65"/>
        <v>0</v>
      </c>
      <c r="AC94" s="79">
        <f t="shared" si="66"/>
        <v>0</v>
      </c>
      <c r="AD94" s="79">
        <f t="shared" si="67"/>
        <v>0</v>
      </c>
      <c r="AE94" s="79">
        <f t="shared" si="68"/>
        <v>0</v>
      </c>
      <c r="AF94" s="78">
        <f t="shared" si="69"/>
        <v>0</v>
      </c>
      <c r="AG94" s="79">
        <f t="shared" si="70"/>
        <v>0</v>
      </c>
      <c r="AH94" s="79">
        <f t="shared" si="71"/>
        <v>0</v>
      </c>
      <c r="AI94" s="78">
        <f t="shared" si="72"/>
        <v>0</v>
      </c>
      <c r="AJ94" s="79">
        <f t="shared" si="73"/>
        <v>1</v>
      </c>
      <c r="AK94" s="79">
        <f t="shared" si="74"/>
        <v>0</v>
      </c>
      <c r="AL94" s="80">
        <f t="shared" si="75"/>
        <v>0</v>
      </c>
      <c r="AM94" s="81">
        <f t="shared" si="76"/>
        <v>0.03</v>
      </c>
      <c r="AN94" s="82" t="str">
        <f t="shared" si="77"/>
        <v/>
      </c>
      <c r="AO94" s="79" t="str">
        <f t="shared" si="78"/>
        <v/>
      </c>
      <c r="AP94" t="str">
        <f t="shared" si="79"/>
        <v/>
      </c>
      <c r="AQ94" s="82" t="str">
        <f t="shared" si="80"/>
        <v/>
      </c>
      <c r="AR94" t="str">
        <f t="shared" si="81"/>
        <v/>
      </c>
      <c r="AS94" t="str">
        <f t="shared" si="82"/>
        <v/>
      </c>
      <c r="AT94" t="str">
        <f t="shared" si="83"/>
        <v/>
      </c>
      <c r="AU94" t="str">
        <f t="shared" si="84"/>
        <v/>
      </c>
      <c r="AV94" s="82" t="str">
        <f t="shared" si="85"/>
        <v/>
      </c>
      <c r="AW94" t="str">
        <f t="shared" si="86"/>
        <v/>
      </c>
      <c r="AX94" t="str">
        <f t="shared" si="87"/>
        <v/>
      </c>
      <c r="AY94" s="82" t="str">
        <f t="shared" si="88"/>
        <v/>
      </c>
      <c r="AZ94" t="str">
        <f t="shared" si="89"/>
        <v>P</v>
      </c>
      <c r="BA94" t="str">
        <f t="shared" si="90"/>
        <v/>
      </c>
      <c r="BB94" s="83" t="str">
        <f t="shared" si="91"/>
        <v/>
      </c>
      <c r="BC94" s="84">
        <f t="shared" si="92"/>
        <v>0</v>
      </c>
      <c r="BD94" s="84">
        <f t="shared" si="93"/>
        <v>0</v>
      </c>
      <c r="BE94" s="84">
        <f t="shared" si="94"/>
        <v>0</v>
      </c>
      <c r="BF94" s="84">
        <f t="shared" si="95"/>
        <v>8.3333333333333315E-2</v>
      </c>
      <c r="BG94" s="78">
        <f>IF(AN94="",0,VLOOKUP(AN94,Tables!$AB$3:$AC$12,2))</f>
        <v>0</v>
      </c>
      <c r="BH94" s="79">
        <f>IF(AO94="",0,VLOOKUP(AO94,Tables!$AB$3:$AC$12,2))</f>
        <v>0</v>
      </c>
      <c r="BI94" s="79">
        <f>IF(AP94="",0,VLOOKUP(AP94,Tables!$AB$3:$AC$12,2))</f>
        <v>0</v>
      </c>
      <c r="BJ94" s="78">
        <f>IF(AQ94="",0,VLOOKUP(AQ94,Tables!$AB$3:$AC$12,2))</f>
        <v>0</v>
      </c>
      <c r="BK94" s="79">
        <f>IF(AR94="",0,VLOOKUP(AR94,Tables!$AB$3:$AC$12,2))</f>
        <v>0</v>
      </c>
      <c r="BL94" s="79">
        <f>IF(AS94="",0,VLOOKUP(AS94,Tables!$AB$3:$AC$12,2))</f>
        <v>0</v>
      </c>
      <c r="BM94" s="79">
        <f>IF(AT94="",0,VLOOKUP(AT94,Tables!$AB$3:$AC$12,2))</f>
        <v>0</v>
      </c>
      <c r="BN94" s="79">
        <f>IF(AU94="",0,VLOOKUP(AU94,Tables!$AB$3:$AC$12,2))</f>
        <v>0</v>
      </c>
      <c r="BO94" s="78">
        <f>IF(AV94="",0,VLOOKUP(AV94,Tables!$AB$3:$AC$12,2))</f>
        <v>0</v>
      </c>
      <c r="BP94" s="79">
        <f>IF(AW94="",0,VLOOKUP(AW94,Tables!$AB$3:$AC$12,2))</f>
        <v>0</v>
      </c>
      <c r="BQ94" s="79">
        <f>IF(AX94="",0,VLOOKUP(AX94,Tables!$AB$3:$AC$12,2))</f>
        <v>0</v>
      </c>
      <c r="BR94" s="78">
        <f>IF(AY94="",0,VLOOKUP(AY94,Tables!$AB$3:$AC$12,2))</f>
        <v>0</v>
      </c>
      <c r="BS94" s="79">
        <f>IF(AZ94="",0,VLOOKUP(AZ94,Tables!$AB$3:$AC$12,2))</f>
        <v>1</v>
      </c>
      <c r="BT94" s="79">
        <f>IF(BA94="",0,VLOOKUP(BA94,Tables!$AB$3:$AC$12,2))</f>
        <v>0</v>
      </c>
      <c r="BU94" s="80">
        <f>IF(BB94="",0,VLOOKUP(BB94,Tables!$AB$3:$AC$12,2))</f>
        <v>0</v>
      </c>
      <c r="BV94" s="85">
        <f>IF(AN94="",0,VLOOKUP(B94,Tables!$B$3:$D$36,2,FALSE())*X$1)</f>
        <v>0</v>
      </c>
      <c r="BW94" s="72">
        <f>IF(AO94="",0,VLOOKUP(C94,Tables!$B$3:$D$36,2,FALSE())*Y$1)</f>
        <v>0</v>
      </c>
      <c r="BX94" s="72">
        <f>IF(AP94="",0,VLOOKUP(D94,Tables!$B$3:$D$36,2,FALSE())*Z$1)</f>
        <v>0</v>
      </c>
      <c r="BY94" s="85">
        <f>IF(AQ94="",0,VLOOKUP(E94,Tables!$B$3:$D$36,2,FALSE())*AA$1)</f>
        <v>0</v>
      </c>
      <c r="BZ94" s="72">
        <f>IF(AR94="",0,VLOOKUP(F94,Tables!$B$3:$D$36,2,FALSE())*AB$1)</f>
        <v>0</v>
      </c>
      <c r="CA94" s="72">
        <f>IF(AS94="",0,VLOOKUP(G94,Tables!$B$3:$D$36,2,FALSE())*AC$1)</f>
        <v>0</v>
      </c>
      <c r="CB94" s="72">
        <f>IF(AT94="",0,VLOOKUP(H94,Tables!$B$3:$D$36,2,FALSE())*AD$1)</f>
        <v>0</v>
      </c>
      <c r="CC94" s="72">
        <f>IF(AU94="",0,VLOOKUP(I94,Tables!$B$3:$D$36,2,FALSE())*AE$1)</f>
        <v>0</v>
      </c>
      <c r="CD94" s="85">
        <f>IF(AV94="",0,VLOOKUP(J94,Tables!$B$3:$D$36,2,FALSE())*AF$1)</f>
        <v>0</v>
      </c>
      <c r="CE94" s="72">
        <f>IF(AW94="",0,VLOOKUP(K94,Tables!$B$3:$D$36,2,FALSE())*AG$1)</f>
        <v>0</v>
      </c>
      <c r="CF94" s="72">
        <f>IF(AX94="",0,VLOOKUP(L94,Tables!$B$3:$D$36,2,FALSE())*AH$1)</f>
        <v>0</v>
      </c>
      <c r="CG94" s="85">
        <f>IF(AY94="",0,VLOOKUP(M94,Tables!$B$3:$D$36,2,FALSE())*AI$1)</f>
        <v>0</v>
      </c>
      <c r="CH94" s="72">
        <f>IF(AZ94="",0,VLOOKUP(N94,Tables!$B$3:$D$36,2,FALSE())*AJ$1)</f>
        <v>60</v>
      </c>
      <c r="CI94" s="72">
        <f>IF(BA94="",0,VLOOKUP(O94,Tables!$B$3:$D$36,2,FALSE())*AK$1)</f>
        <v>0</v>
      </c>
      <c r="CJ94" s="86">
        <f>IF(BB94="",0,VLOOKUP(P94,Tables!$B$3:$D$36,2,FALSE())*AL$1)</f>
        <v>0</v>
      </c>
      <c r="CK94" s="87">
        <f>IF(AN94="",0,VLOOKUP(B94,Tables!$B$3:$D$36,3,FALSE())*X$1)*IF(OR(AN94="K",AN94="P"),2,1)</f>
        <v>0</v>
      </c>
      <c r="CL94" s="73">
        <f>IF(AO94="",0,VLOOKUP(C94,Tables!$B$3:$D$36,3,FALSE())*Y$1)*IF(OR(AO94="K",AO94="P"),2,1)</f>
        <v>0</v>
      </c>
      <c r="CM94" s="73">
        <f>IF(AP94="",0,VLOOKUP(D94,Tables!$B$3:$D$36,3,FALSE())*Z$1)*IF(OR(AP94="K",AP94="P"),2,1)</f>
        <v>0</v>
      </c>
      <c r="CN94" s="87">
        <f>IF(AQ94="",0,VLOOKUP(E94,Tables!$B$3:$D$36,3,FALSE())*AA$1)</f>
        <v>0</v>
      </c>
      <c r="CO94" s="73">
        <f>IF(AR94="",0,VLOOKUP(F94,Tables!$B$3:$D$36,3,FALSE())*AB$1)</f>
        <v>0</v>
      </c>
      <c r="CP94" s="73">
        <f>IF(AS94="",0,VLOOKUP(G94,Tables!$B$3:$D$36,3,FALSE())*AC$1)</f>
        <v>0</v>
      </c>
      <c r="CQ94" s="73">
        <f>IF(AT94="",0,VLOOKUP(H94,Tables!$B$3:$D$36,3,FALSE())*AD$1)</f>
        <v>0</v>
      </c>
      <c r="CR94" s="73">
        <f>IF(AU94="",0,VLOOKUP(I94,Tables!$B$3:$D$36,3,FALSE())*AE$1)</f>
        <v>0</v>
      </c>
      <c r="CS94" s="87">
        <f>IF(AV94="",0,VLOOKUP(J94,Tables!$B$3:$D$36,3,FALSE())*AF$1)</f>
        <v>0</v>
      </c>
      <c r="CT94" s="73">
        <f>IF(AW94="",0,VLOOKUP(K94,Tables!$B$3:$D$36,3,FALSE())*AG$1)</f>
        <v>0</v>
      </c>
      <c r="CU94" s="73">
        <f>IF(AX94="",0,VLOOKUP(L94,Tables!$B$3:$D$36,3,FALSE())*AH$1)</f>
        <v>0</v>
      </c>
      <c r="CV94" s="87">
        <f>IF(AY94="",0,VLOOKUP(M94,Tables!$B$3:$D$36,3,FALSE())*AI$1)</f>
        <v>0</v>
      </c>
      <c r="CW94" s="73">
        <f>IF(AZ94="",0,VLOOKUP(N94,Tables!$B$3:$D$36,3,FALSE())*AJ$1)</f>
        <v>1.1399999999999999</v>
      </c>
      <c r="CX94" s="73">
        <f>IF(BA94="",0,VLOOKUP(O94,Tables!$B$3:$D$36,3,FALSE())*AK$1)</f>
        <v>0</v>
      </c>
      <c r="CY94" s="88">
        <f>IF(BB94="",0,VLOOKUP(P94,Tables!$B$3:$D$36,3,FALSE())*AL$1)</f>
        <v>0</v>
      </c>
      <c r="CZ94" s="89">
        <f t="shared" si="96"/>
        <v>0</v>
      </c>
      <c r="DA94" s="75">
        <f t="shared" si="97"/>
        <v>0</v>
      </c>
      <c r="DB94" s="75">
        <f t="shared" si="98"/>
        <v>0</v>
      </c>
      <c r="DC94" s="89">
        <f t="shared" si="99"/>
        <v>0</v>
      </c>
      <c r="DD94" s="75">
        <f t="shared" si="100"/>
        <v>0</v>
      </c>
      <c r="DE94" s="75">
        <f t="shared" si="101"/>
        <v>0</v>
      </c>
      <c r="DF94" s="75">
        <f t="shared" si="102"/>
        <v>0</v>
      </c>
      <c r="DG94" s="75">
        <f t="shared" si="103"/>
        <v>0</v>
      </c>
      <c r="DH94" s="89">
        <f t="shared" si="104"/>
        <v>0</v>
      </c>
      <c r="DI94" s="75">
        <f t="shared" si="105"/>
        <v>0</v>
      </c>
      <c r="DJ94" s="75">
        <f t="shared" si="106"/>
        <v>0</v>
      </c>
      <c r="DK94" s="89">
        <f t="shared" si="107"/>
        <v>0</v>
      </c>
      <c r="DL94" s="75">
        <f t="shared" si="108"/>
        <v>1.5</v>
      </c>
      <c r="DM94" s="75">
        <f t="shared" si="109"/>
        <v>0</v>
      </c>
      <c r="DN94" s="90">
        <f t="shared" si="110"/>
        <v>0</v>
      </c>
      <c r="DO94" s="91">
        <f>IF(AN94="",0,VLOOKUP(B94,Tables!$B$3:$M$36,11,FALSE())*X$1)</f>
        <v>0</v>
      </c>
      <c r="DP94" s="92">
        <f>IF(AO94="",0,VLOOKUP(C94,Tables!$B$3:$M$36,11,FALSE())*Y$1)</f>
        <v>0</v>
      </c>
      <c r="DQ94" s="92">
        <f>IF(AP94="",0,VLOOKUP(D94,Tables!$B$3:$M$36,11,FALSE())*Z$1)</f>
        <v>0</v>
      </c>
      <c r="DR94" s="91">
        <f>IF(AQ94="",0,VLOOKUP(E94,Tables!$B$3:$M$36,11,FALSE())*AA$1)</f>
        <v>0</v>
      </c>
      <c r="DS94" s="92">
        <f>IF(AR94="",0,VLOOKUP(F94,Tables!$B$3:$M$36,11,FALSE())*AB$1)</f>
        <v>0</v>
      </c>
      <c r="DT94" s="92">
        <f>IF(AS94="",0,VLOOKUP(G94,Tables!$B$3:$M$36,11,FALSE())*AC$1)</f>
        <v>0</v>
      </c>
      <c r="DU94" s="92">
        <f>IF(AT94="",0,VLOOKUP(H94,Tables!$B$3:$M$36,11,FALSE())*AD$1)</f>
        <v>0</v>
      </c>
      <c r="DV94" s="92">
        <f>IF(AU94="",0,VLOOKUP(I94,Tables!$B$3:$M$36,11,FALSE())*AE$1)</f>
        <v>0</v>
      </c>
      <c r="DW94" s="91">
        <f>IF(AV94="",0,VLOOKUP(J94,Tables!$B$3:$M$36,11,FALSE())*AF$1)</f>
        <v>0</v>
      </c>
      <c r="DX94" s="92">
        <f>IF(AW94="",0,VLOOKUP(K94,Tables!$B$3:$M$36,11,FALSE())*AG$1)</f>
        <v>0</v>
      </c>
      <c r="DY94" s="92">
        <f>IF(AX94="",0,VLOOKUP(L94,Tables!$B$3:$M$36,11,FALSE())*AH$1)</f>
        <v>0</v>
      </c>
      <c r="DZ94" s="91">
        <f>IF(AY94="",0,VLOOKUP(M94,Tables!$B$3:$M$36,11,FALSE())*AI$1)</f>
        <v>0</v>
      </c>
      <c r="EA94" s="92">
        <f>IF(AZ94="",0,VLOOKUP(N94,Tables!$B$3:$M$36,11,FALSE())*AJ$1)</f>
        <v>72</v>
      </c>
      <c r="EB94" s="92">
        <f>IF(BA94="",0,VLOOKUP(O94,Tables!$B$3:$M$36,11,FALSE())*AK$1)</f>
        <v>0</v>
      </c>
      <c r="EC94" s="93">
        <f>IF(BB94="",0,VLOOKUP(P94,Tables!$B$3:$M$36,11,FALSE())*AL$1)</f>
        <v>0</v>
      </c>
      <c r="ED94" s="91">
        <f>IF(AN94="",0,VLOOKUP(B94,Tables!$B$3:$M$36,12,FALSE())*X$1)</f>
        <v>0</v>
      </c>
      <c r="EE94" s="92">
        <f>IF(AO94="",0,VLOOKUP(C94,Tables!$B$3:$M$36,12,FALSE())*Y$1)</f>
        <v>0</v>
      </c>
      <c r="EF94" s="92">
        <f>IF(AP94="",0,VLOOKUP(D94,Tables!$B$3:$M$36,12,FALSE())*Z$1)</f>
        <v>0</v>
      </c>
      <c r="EG94" s="91">
        <f>IF(AQ94="",0,VLOOKUP(E94,Tables!$B$3:$M$36,12,FALSE())*AA$1)</f>
        <v>0</v>
      </c>
      <c r="EH94" s="92">
        <f>IF(AR94="",0,VLOOKUP(F94,Tables!$B$3:$M$36,12,FALSE())*AB$1)</f>
        <v>0</v>
      </c>
      <c r="EI94" s="92">
        <f>IF(AS94="",0,VLOOKUP(G94,Tables!$B$3:$M$36,12,FALSE())*AC$1)</f>
        <v>0</v>
      </c>
      <c r="EJ94" s="92">
        <f>IF(AT94="",0,VLOOKUP(H94,Tables!$B$3:$M$36,12,FALSE())*AD$1)</f>
        <v>0</v>
      </c>
      <c r="EK94" s="92">
        <f>IF(AU94="",0,VLOOKUP(I94,Tables!$B$3:$M$36,12,FALSE())*AE$1)</f>
        <v>0</v>
      </c>
      <c r="EL94" s="91">
        <f>IF(AV94="",0,VLOOKUP(J94,Tables!$B$3:$M$36,12,FALSE())*AF$1)</f>
        <v>0</v>
      </c>
      <c r="EM94" s="92">
        <f>IF(AW94="",0,VLOOKUP(K94,Tables!$B$3:$M$36,12,FALSE())*AG$1)</f>
        <v>0</v>
      </c>
      <c r="EN94" s="92">
        <f>IF(AX94="",0,VLOOKUP(L94,Tables!$B$3:$M$36,12,FALSE())*AH$1)</f>
        <v>0</v>
      </c>
      <c r="EO94" s="91">
        <f>IF(AY94="",0,VLOOKUP(M94,Tables!$B$3:$M$36,12,FALSE())*AI$1)</f>
        <v>0</v>
      </c>
      <c r="EP94" s="92">
        <f>IF(AZ94="",0,VLOOKUP(N94,Tables!$B$3:$M$36,12,FALSE())*AJ$1)</f>
        <v>7.1999999999999993</v>
      </c>
      <c r="EQ94" s="92">
        <f>IF(BA94="",0,VLOOKUP(O94,Tables!$B$3:$M$36,12,FALSE())*AK$1)</f>
        <v>0</v>
      </c>
      <c r="ER94" s="93">
        <f>IF(BB94="",0,VLOOKUP(P94,Tables!$B$3:$M$36,12,FALSE())*AL$1)</f>
        <v>0</v>
      </c>
      <c r="ES94" s="94">
        <f t="shared" si="111"/>
        <v>0</v>
      </c>
      <c r="ET94" s="95">
        <f>IF(AN94="",10,MIN(VLOOKUP(B94,MATERIAL,13,FALSE()),'Item Builder'!$W94))</f>
        <v>10</v>
      </c>
      <c r="EU94" s="95">
        <f>IF(AO94="",10,MIN(VLOOKUP(C94,MATERIAL,13,FALSE()),'Item Builder'!$W94))</f>
        <v>10</v>
      </c>
      <c r="EV94" s="95">
        <f>IF(AP94="",10,MIN(VLOOKUP(D94,MATERIAL,13,FALSE()),'Item Builder'!$W94))</f>
        <v>10</v>
      </c>
      <c r="EW94" s="95">
        <f>IF(AQ94="",10,MIN(VLOOKUP(E94,MATERIAL,13,FALSE()),'Item Builder'!$W94))</f>
        <v>10</v>
      </c>
      <c r="EX94" s="95">
        <f>IF(AR94="",10,MIN(VLOOKUP(F94,MATERIAL,13,FALSE()),'Item Builder'!$W94))</f>
        <v>10</v>
      </c>
      <c r="EY94" s="95">
        <f>IF(AS94="",10,MIN(VLOOKUP(G94,MATERIAL,13,FALSE()),'Item Builder'!$W94))</f>
        <v>10</v>
      </c>
      <c r="EZ94" s="95">
        <f>IF(AT94="",10,MIN(VLOOKUP(H94,MATERIAL,13,FALSE()),'Item Builder'!$W94))</f>
        <v>10</v>
      </c>
      <c r="FA94" s="95">
        <f>IF(AU94="",10,MIN(VLOOKUP(I94,MATERIAL,13,FALSE()),'Item Builder'!$W94))</f>
        <v>10</v>
      </c>
      <c r="FB94" s="95">
        <f>IF(AV94="",10,MIN(VLOOKUP(J94,MATERIAL,13,FALSE()),'Item Builder'!$W94))</f>
        <v>10</v>
      </c>
      <c r="FC94" s="95">
        <f>IF(AW94="",10,MIN(VLOOKUP(K94,MATERIAL,13,FALSE()),'Item Builder'!$W94))</f>
        <v>10</v>
      </c>
      <c r="FD94" s="95">
        <f>IF(AX94="",10,MIN(VLOOKUP(L94,MATERIAL,13,FALSE()),'Item Builder'!$W94))</f>
        <v>10</v>
      </c>
      <c r="FE94" s="95">
        <f>IF(AY94="",10,MIN(VLOOKUP(M94,MATERIAL,13,FALSE()),'Item Builder'!$W94))</f>
        <v>10</v>
      </c>
      <c r="FF94" s="95">
        <f>IF(AZ94="",10,MIN(VLOOKUP(N94,MATERIAL,13,FALSE()),'Item Builder'!$W94))</f>
        <v>0</v>
      </c>
      <c r="FG94" s="95">
        <f>IF(BA94="",10,MIN(VLOOKUP(O94,MATERIAL,13,FALSE()),'Item Builder'!$W94))</f>
        <v>10</v>
      </c>
      <c r="FH94" s="95">
        <f>IF(BB94="",10,MIN(VLOOKUP(P94,MATERIAL,13,FALSE()),'Item Builder'!$W94))</f>
        <v>10</v>
      </c>
    </row>
    <row r="95" spans="1:164" x14ac:dyDescent="0.25">
      <c r="A95" s="67" t="s">
        <v>76</v>
      </c>
      <c r="B95" s="68"/>
      <c r="C95" s="69"/>
      <c r="D95" s="70"/>
      <c r="E95" s="68"/>
      <c r="F95" s="69"/>
      <c r="G95" s="69"/>
      <c r="H95" s="69"/>
      <c r="I95" s="70"/>
      <c r="J95" s="68"/>
      <c r="K95" s="69"/>
      <c r="L95" s="70"/>
      <c r="M95" s="68"/>
      <c r="N95" s="69"/>
      <c r="O95" s="69" t="s">
        <v>30</v>
      </c>
      <c r="P95" s="71"/>
      <c r="Q95" s="72">
        <f>SUM(BV95:CJ95)*VLOOKUP(W95,Tables!$W$3:$Z$8,4)</f>
        <v>240</v>
      </c>
      <c r="R95" s="73">
        <f t="shared" si="56"/>
        <v>4.5599999999999996</v>
      </c>
      <c r="S95" s="101">
        <f t="shared" si="57"/>
        <v>5</v>
      </c>
      <c r="T95" s="74">
        <f t="shared" si="58"/>
        <v>0</v>
      </c>
      <c r="U95" s="75">
        <f t="shared" si="59"/>
        <v>288</v>
      </c>
      <c r="V95" s="76">
        <f t="shared" si="60"/>
        <v>28.799999999999997</v>
      </c>
      <c r="W95" s="77">
        <v>0</v>
      </c>
      <c r="X95" s="78">
        <f t="shared" si="61"/>
        <v>0</v>
      </c>
      <c r="Y95" s="79">
        <f t="shared" si="62"/>
        <v>0</v>
      </c>
      <c r="Z95" s="79">
        <f t="shared" si="63"/>
        <v>0</v>
      </c>
      <c r="AA95" s="78">
        <f t="shared" si="64"/>
        <v>0</v>
      </c>
      <c r="AB95" s="79">
        <f t="shared" si="65"/>
        <v>0</v>
      </c>
      <c r="AC95" s="79">
        <f t="shared" si="66"/>
        <v>0</v>
      </c>
      <c r="AD95" s="79">
        <f t="shared" si="67"/>
        <v>0</v>
      </c>
      <c r="AE95" s="79">
        <f t="shared" si="68"/>
        <v>0</v>
      </c>
      <c r="AF95" s="78">
        <f t="shared" si="69"/>
        <v>0</v>
      </c>
      <c r="AG95" s="79">
        <f t="shared" si="70"/>
        <v>0</v>
      </c>
      <c r="AH95" s="79">
        <f t="shared" si="71"/>
        <v>0</v>
      </c>
      <c r="AI95" s="78">
        <f t="shared" si="72"/>
        <v>0</v>
      </c>
      <c r="AJ95" s="79">
        <f t="shared" si="73"/>
        <v>0</v>
      </c>
      <c r="AK95" s="79">
        <f t="shared" si="74"/>
        <v>1</v>
      </c>
      <c r="AL95" s="80">
        <f t="shared" si="75"/>
        <v>0</v>
      </c>
      <c r="AM95" s="81">
        <f t="shared" si="76"/>
        <v>0.12</v>
      </c>
      <c r="AN95" s="82" t="str">
        <f t="shared" si="77"/>
        <v/>
      </c>
      <c r="AO95" s="79" t="str">
        <f t="shared" si="78"/>
        <v/>
      </c>
      <c r="AP95" t="str">
        <f t="shared" si="79"/>
        <v/>
      </c>
      <c r="AQ95" s="82" t="str">
        <f t="shared" si="80"/>
        <v/>
      </c>
      <c r="AR95" t="str">
        <f t="shared" si="81"/>
        <v/>
      </c>
      <c r="AS95" t="str">
        <f t="shared" si="82"/>
        <v/>
      </c>
      <c r="AT95" t="str">
        <f t="shared" si="83"/>
        <v/>
      </c>
      <c r="AU95" t="str">
        <f t="shared" si="84"/>
        <v/>
      </c>
      <c r="AV95" s="82" t="str">
        <f t="shared" si="85"/>
        <v/>
      </c>
      <c r="AW95" t="str">
        <f t="shared" si="86"/>
        <v/>
      </c>
      <c r="AX95" t="str">
        <f t="shared" si="87"/>
        <v/>
      </c>
      <c r="AY95" s="82" t="str">
        <f t="shared" si="88"/>
        <v/>
      </c>
      <c r="AZ95" t="str">
        <f t="shared" si="89"/>
        <v/>
      </c>
      <c r="BA95" t="str">
        <f t="shared" si="90"/>
        <v>P</v>
      </c>
      <c r="BB95" s="83" t="str">
        <f t="shared" si="91"/>
        <v/>
      </c>
      <c r="BC95" s="84">
        <f t="shared" si="92"/>
        <v>0</v>
      </c>
      <c r="BD95" s="84">
        <f t="shared" si="93"/>
        <v>0</v>
      </c>
      <c r="BE95" s="84">
        <f t="shared" si="94"/>
        <v>0</v>
      </c>
      <c r="BF95" s="84">
        <f t="shared" si="95"/>
        <v>0.33333333333333326</v>
      </c>
      <c r="BG95" s="78">
        <f>IF(AN95="",0,VLOOKUP(AN95,Tables!$AB$3:$AC$12,2))</f>
        <v>0</v>
      </c>
      <c r="BH95" s="79">
        <f>IF(AO95="",0,VLOOKUP(AO95,Tables!$AB$3:$AC$12,2))</f>
        <v>0</v>
      </c>
      <c r="BI95" s="79">
        <f>IF(AP95="",0,VLOOKUP(AP95,Tables!$AB$3:$AC$12,2))</f>
        <v>0</v>
      </c>
      <c r="BJ95" s="78">
        <f>IF(AQ95="",0,VLOOKUP(AQ95,Tables!$AB$3:$AC$12,2))</f>
        <v>0</v>
      </c>
      <c r="BK95" s="79">
        <f>IF(AR95="",0,VLOOKUP(AR95,Tables!$AB$3:$AC$12,2))</f>
        <v>0</v>
      </c>
      <c r="BL95" s="79">
        <f>IF(AS95="",0,VLOOKUP(AS95,Tables!$AB$3:$AC$12,2))</f>
        <v>0</v>
      </c>
      <c r="BM95" s="79">
        <f>IF(AT95="",0,VLOOKUP(AT95,Tables!$AB$3:$AC$12,2))</f>
        <v>0</v>
      </c>
      <c r="BN95" s="79">
        <f>IF(AU95="",0,VLOOKUP(AU95,Tables!$AB$3:$AC$12,2))</f>
        <v>0</v>
      </c>
      <c r="BO95" s="78">
        <f>IF(AV95="",0,VLOOKUP(AV95,Tables!$AB$3:$AC$12,2))</f>
        <v>0</v>
      </c>
      <c r="BP95" s="79">
        <f>IF(AW95="",0,VLOOKUP(AW95,Tables!$AB$3:$AC$12,2))</f>
        <v>0</v>
      </c>
      <c r="BQ95" s="79">
        <f>IF(AX95="",0,VLOOKUP(AX95,Tables!$AB$3:$AC$12,2))</f>
        <v>0</v>
      </c>
      <c r="BR95" s="78">
        <f>IF(AY95="",0,VLOOKUP(AY95,Tables!$AB$3:$AC$12,2))</f>
        <v>0</v>
      </c>
      <c r="BS95" s="79">
        <f>IF(AZ95="",0,VLOOKUP(AZ95,Tables!$AB$3:$AC$12,2))</f>
        <v>0</v>
      </c>
      <c r="BT95" s="79">
        <f>IF(BA95="",0,VLOOKUP(BA95,Tables!$AB$3:$AC$12,2))</f>
        <v>1</v>
      </c>
      <c r="BU95" s="80">
        <f>IF(BB95="",0,VLOOKUP(BB95,Tables!$AB$3:$AC$12,2))</f>
        <v>0</v>
      </c>
      <c r="BV95" s="85">
        <f>IF(AN95="",0,VLOOKUP(B95,Tables!$B$3:$D$36,2,FALSE())*X$1)</f>
        <v>0</v>
      </c>
      <c r="BW95" s="72">
        <f>IF(AO95="",0,VLOOKUP(C95,Tables!$B$3:$D$36,2,FALSE())*Y$1)</f>
        <v>0</v>
      </c>
      <c r="BX95" s="72">
        <f>IF(AP95="",0,VLOOKUP(D95,Tables!$B$3:$D$36,2,FALSE())*Z$1)</f>
        <v>0</v>
      </c>
      <c r="BY95" s="85">
        <f>IF(AQ95="",0,VLOOKUP(E95,Tables!$B$3:$D$36,2,FALSE())*AA$1)</f>
        <v>0</v>
      </c>
      <c r="BZ95" s="72">
        <f>IF(AR95="",0,VLOOKUP(F95,Tables!$B$3:$D$36,2,FALSE())*AB$1)</f>
        <v>0</v>
      </c>
      <c r="CA95" s="72">
        <f>IF(AS95="",0,VLOOKUP(G95,Tables!$B$3:$D$36,2,FALSE())*AC$1)</f>
        <v>0</v>
      </c>
      <c r="CB95" s="72">
        <f>IF(AT95="",0,VLOOKUP(H95,Tables!$B$3:$D$36,2,FALSE())*AD$1)</f>
        <v>0</v>
      </c>
      <c r="CC95" s="72">
        <f>IF(AU95="",0,VLOOKUP(I95,Tables!$B$3:$D$36,2,FALSE())*AE$1)</f>
        <v>0</v>
      </c>
      <c r="CD95" s="85">
        <f>IF(AV95="",0,VLOOKUP(J95,Tables!$B$3:$D$36,2,FALSE())*AF$1)</f>
        <v>0</v>
      </c>
      <c r="CE95" s="72">
        <f>IF(AW95="",0,VLOOKUP(K95,Tables!$B$3:$D$36,2,FALSE())*AG$1)</f>
        <v>0</v>
      </c>
      <c r="CF95" s="72">
        <f>IF(AX95="",0,VLOOKUP(L95,Tables!$B$3:$D$36,2,FALSE())*AH$1)</f>
        <v>0</v>
      </c>
      <c r="CG95" s="85">
        <f>IF(AY95="",0,VLOOKUP(M95,Tables!$B$3:$D$36,2,FALSE())*AI$1)</f>
        <v>0</v>
      </c>
      <c r="CH95" s="72">
        <f>IF(AZ95="",0,VLOOKUP(N95,Tables!$B$3:$D$36,2,FALSE())*AJ$1)</f>
        <v>0</v>
      </c>
      <c r="CI95" s="72">
        <f>IF(BA95="",0,VLOOKUP(O95,Tables!$B$3:$D$36,2,FALSE())*AK$1)</f>
        <v>240</v>
      </c>
      <c r="CJ95" s="86">
        <f>IF(BB95="",0,VLOOKUP(P95,Tables!$B$3:$D$36,2,FALSE())*AL$1)</f>
        <v>0</v>
      </c>
      <c r="CK95" s="87">
        <f>IF(AN95="",0,VLOOKUP(B95,Tables!$B$3:$D$36,3,FALSE())*X$1)*IF(OR(AN95="K",AN95="P"),2,1)</f>
        <v>0</v>
      </c>
      <c r="CL95" s="73">
        <f>IF(AO95="",0,VLOOKUP(C95,Tables!$B$3:$D$36,3,FALSE())*Y$1)*IF(OR(AO95="K",AO95="P"),2,1)</f>
        <v>0</v>
      </c>
      <c r="CM95" s="73">
        <f>IF(AP95="",0,VLOOKUP(D95,Tables!$B$3:$D$36,3,FALSE())*Z$1)*IF(OR(AP95="K",AP95="P"),2,1)</f>
        <v>0</v>
      </c>
      <c r="CN95" s="87">
        <f>IF(AQ95="",0,VLOOKUP(E95,Tables!$B$3:$D$36,3,FALSE())*AA$1)</f>
        <v>0</v>
      </c>
      <c r="CO95" s="73">
        <f>IF(AR95="",0,VLOOKUP(F95,Tables!$B$3:$D$36,3,FALSE())*AB$1)</f>
        <v>0</v>
      </c>
      <c r="CP95" s="73">
        <f>IF(AS95="",0,VLOOKUP(G95,Tables!$B$3:$D$36,3,FALSE())*AC$1)</f>
        <v>0</v>
      </c>
      <c r="CQ95" s="73">
        <f>IF(AT95="",0,VLOOKUP(H95,Tables!$B$3:$D$36,3,FALSE())*AD$1)</f>
        <v>0</v>
      </c>
      <c r="CR95" s="73">
        <f>IF(AU95="",0,VLOOKUP(I95,Tables!$B$3:$D$36,3,FALSE())*AE$1)</f>
        <v>0</v>
      </c>
      <c r="CS95" s="87">
        <f>IF(AV95="",0,VLOOKUP(J95,Tables!$B$3:$D$36,3,FALSE())*AF$1)</f>
        <v>0</v>
      </c>
      <c r="CT95" s="73">
        <f>IF(AW95="",0,VLOOKUP(K95,Tables!$B$3:$D$36,3,FALSE())*AG$1)</f>
        <v>0</v>
      </c>
      <c r="CU95" s="73">
        <f>IF(AX95="",0,VLOOKUP(L95,Tables!$B$3:$D$36,3,FALSE())*AH$1)</f>
        <v>0</v>
      </c>
      <c r="CV95" s="87">
        <f>IF(AY95="",0,VLOOKUP(M95,Tables!$B$3:$D$36,3,FALSE())*AI$1)</f>
        <v>0</v>
      </c>
      <c r="CW95" s="73">
        <f>IF(AZ95="",0,VLOOKUP(N95,Tables!$B$3:$D$36,3,FALSE())*AJ$1)</f>
        <v>0</v>
      </c>
      <c r="CX95" s="73">
        <f>IF(BA95="",0,VLOOKUP(O95,Tables!$B$3:$D$36,3,FALSE())*AK$1)</f>
        <v>4.5599999999999996</v>
      </c>
      <c r="CY95" s="88">
        <f>IF(BB95="",0,VLOOKUP(P95,Tables!$B$3:$D$36,3,FALSE())*AL$1)</f>
        <v>0</v>
      </c>
      <c r="CZ95" s="89">
        <f t="shared" si="96"/>
        <v>0</v>
      </c>
      <c r="DA95" s="75">
        <f t="shared" si="97"/>
        <v>0</v>
      </c>
      <c r="DB95" s="75">
        <f t="shared" si="98"/>
        <v>0</v>
      </c>
      <c r="DC95" s="89">
        <f t="shared" si="99"/>
        <v>0</v>
      </c>
      <c r="DD95" s="75">
        <f t="shared" si="100"/>
        <v>0</v>
      </c>
      <c r="DE95" s="75">
        <f t="shared" si="101"/>
        <v>0</v>
      </c>
      <c r="DF95" s="75">
        <f t="shared" si="102"/>
        <v>0</v>
      </c>
      <c r="DG95" s="75">
        <f t="shared" si="103"/>
        <v>0</v>
      </c>
      <c r="DH95" s="89">
        <f t="shared" si="104"/>
        <v>0</v>
      </c>
      <c r="DI95" s="75">
        <f t="shared" si="105"/>
        <v>0</v>
      </c>
      <c r="DJ95" s="75">
        <f t="shared" si="106"/>
        <v>0</v>
      </c>
      <c r="DK95" s="89">
        <f t="shared" si="107"/>
        <v>0</v>
      </c>
      <c r="DL95" s="75">
        <f t="shared" si="108"/>
        <v>0</v>
      </c>
      <c r="DM95" s="75">
        <f t="shared" si="109"/>
        <v>1.5</v>
      </c>
      <c r="DN95" s="90">
        <f t="shared" si="110"/>
        <v>0</v>
      </c>
      <c r="DO95" s="91">
        <f>IF(AN95="",0,VLOOKUP(B95,Tables!$B$3:$M$36,11,FALSE())*X$1)</f>
        <v>0</v>
      </c>
      <c r="DP95" s="92">
        <f>IF(AO95="",0,VLOOKUP(C95,Tables!$B$3:$M$36,11,FALSE())*Y$1)</f>
        <v>0</v>
      </c>
      <c r="DQ95" s="92">
        <f>IF(AP95="",0,VLOOKUP(D95,Tables!$B$3:$M$36,11,FALSE())*Z$1)</f>
        <v>0</v>
      </c>
      <c r="DR95" s="91">
        <f>IF(AQ95="",0,VLOOKUP(E95,Tables!$B$3:$M$36,11,FALSE())*AA$1)</f>
        <v>0</v>
      </c>
      <c r="DS95" s="92">
        <f>IF(AR95="",0,VLOOKUP(F95,Tables!$B$3:$M$36,11,FALSE())*AB$1)</f>
        <v>0</v>
      </c>
      <c r="DT95" s="92">
        <f>IF(AS95="",0,VLOOKUP(G95,Tables!$B$3:$M$36,11,FALSE())*AC$1)</f>
        <v>0</v>
      </c>
      <c r="DU95" s="92">
        <f>IF(AT95="",0,VLOOKUP(H95,Tables!$B$3:$M$36,11,FALSE())*AD$1)</f>
        <v>0</v>
      </c>
      <c r="DV95" s="92">
        <f>IF(AU95="",0,VLOOKUP(I95,Tables!$B$3:$M$36,11,FALSE())*AE$1)</f>
        <v>0</v>
      </c>
      <c r="DW95" s="91">
        <f>IF(AV95="",0,VLOOKUP(J95,Tables!$B$3:$M$36,11,FALSE())*AF$1)</f>
        <v>0</v>
      </c>
      <c r="DX95" s="92">
        <f>IF(AW95="",0,VLOOKUP(K95,Tables!$B$3:$M$36,11,FALSE())*AG$1)</f>
        <v>0</v>
      </c>
      <c r="DY95" s="92">
        <f>IF(AX95="",0,VLOOKUP(L95,Tables!$B$3:$M$36,11,FALSE())*AH$1)</f>
        <v>0</v>
      </c>
      <c r="DZ95" s="91">
        <f>IF(AY95="",0,VLOOKUP(M95,Tables!$B$3:$M$36,11,FALSE())*AI$1)</f>
        <v>0</v>
      </c>
      <c r="EA95" s="92">
        <f>IF(AZ95="",0,VLOOKUP(N95,Tables!$B$3:$M$36,11,FALSE())*AJ$1)</f>
        <v>0</v>
      </c>
      <c r="EB95" s="92">
        <f>IF(BA95="",0,VLOOKUP(O95,Tables!$B$3:$M$36,11,FALSE())*AK$1)</f>
        <v>288</v>
      </c>
      <c r="EC95" s="93">
        <f>IF(BB95="",0,VLOOKUP(P95,Tables!$B$3:$M$36,11,FALSE())*AL$1)</f>
        <v>0</v>
      </c>
      <c r="ED95" s="91">
        <f>IF(AN95="",0,VLOOKUP(B95,Tables!$B$3:$M$36,12,FALSE())*X$1)</f>
        <v>0</v>
      </c>
      <c r="EE95" s="92">
        <f>IF(AO95="",0,VLOOKUP(C95,Tables!$B$3:$M$36,12,FALSE())*Y$1)</f>
        <v>0</v>
      </c>
      <c r="EF95" s="92">
        <f>IF(AP95="",0,VLOOKUP(D95,Tables!$B$3:$M$36,12,FALSE())*Z$1)</f>
        <v>0</v>
      </c>
      <c r="EG95" s="91">
        <f>IF(AQ95="",0,VLOOKUP(E95,Tables!$B$3:$M$36,12,FALSE())*AA$1)</f>
        <v>0</v>
      </c>
      <c r="EH95" s="92">
        <f>IF(AR95="",0,VLOOKUP(F95,Tables!$B$3:$M$36,12,FALSE())*AB$1)</f>
        <v>0</v>
      </c>
      <c r="EI95" s="92">
        <f>IF(AS95="",0,VLOOKUP(G95,Tables!$B$3:$M$36,12,FALSE())*AC$1)</f>
        <v>0</v>
      </c>
      <c r="EJ95" s="92">
        <f>IF(AT95="",0,VLOOKUP(H95,Tables!$B$3:$M$36,12,FALSE())*AD$1)</f>
        <v>0</v>
      </c>
      <c r="EK95" s="92">
        <f>IF(AU95="",0,VLOOKUP(I95,Tables!$B$3:$M$36,12,FALSE())*AE$1)</f>
        <v>0</v>
      </c>
      <c r="EL95" s="91">
        <f>IF(AV95="",0,VLOOKUP(J95,Tables!$B$3:$M$36,12,FALSE())*AF$1)</f>
        <v>0</v>
      </c>
      <c r="EM95" s="92">
        <f>IF(AW95="",0,VLOOKUP(K95,Tables!$B$3:$M$36,12,FALSE())*AG$1)</f>
        <v>0</v>
      </c>
      <c r="EN95" s="92">
        <f>IF(AX95="",0,VLOOKUP(L95,Tables!$B$3:$M$36,12,FALSE())*AH$1)</f>
        <v>0</v>
      </c>
      <c r="EO95" s="91">
        <f>IF(AY95="",0,VLOOKUP(M95,Tables!$B$3:$M$36,12,FALSE())*AI$1)</f>
        <v>0</v>
      </c>
      <c r="EP95" s="92">
        <f>IF(AZ95="",0,VLOOKUP(N95,Tables!$B$3:$M$36,12,FALSE())*AJ$1)</f>
        <v>0</v>
      </c>
      <c r="EQ95" s="92">
        <f>IF(BA95="",0,VLOOKUP(O95,Tables!$B$3:$M$36,12,FALSE())*AK$1)</f>
        <v>28.799999999999997</v>
      </c>
      <c r="ER95" s="93">
        <f>IF(BB95="",0,VLOOKUP(P95,Tables!$B$3:$M$36,12,FALSE())*AL$1)</f>
        <v>0</v>
      </c>
      <c r="ES95" s="94">
        <f t="shared" si="111"/>
        <v>0</v>
      </c>
      <c r="ET95" s="95">
        <f>IF(AN95="",10,MIN(VLOOKUP(B95,MATERIAL,13,FALSE()),'Item Builder'!$W95))</f>
        <v>10</v>
      </c>
      <c r="EU95" s="95">
        <f>IF(AO95="",10,MIN(VLOOKUP(C95,MATERIAL,13,FALSE()),'Item Builder'!$W95))</f>
        <v>10</v>
      </c>
      <c r="EV95" s="95">
        <f>IF(AP95="",10,MIN(VLOOKUP(D95,MATERIAL,13,FALSE()),'Item Builder'!$W95))</f>
        <v>10</v>
      </c>
      <c r="EW95" s="95">
        <f>IF(AQ95="",10,MIN(VLOOKUP(E95,MATERIAL,13,FALSE()),'Item Builder'!$W95))</f>
        <v>10</v>
      </c>
      <c r="EX95" s="95">
        <f>IF(AR95="",10,MIN(VLOOKUP(F95,MATERIAL,13,FALSE()),'Item Builder'!$W95))</f>
        <v>10</v>
      </c>
      <c r="EY95" s="95">
        <f>IF(AS95="",10,MIN(VLOOKUP(G95,MATERIAL,13,FALSE()),'Item Builder'!$W95))</f>
        <v>10</v>
      </c>
      <c r="EZ95" s="95">
        <f>IF(AT95="",10,MIN(VLOOKUP(H95,MATERIAL,13,FALSE()),'Item Builder'!$W95))</f>
        <v>10</v>
      </c>
      <c r="FA95" s="95">
        <f>IF(AU95="",10,MIN(VLOOKUP(I95,MATERIAL,13,FALSE()),'Item Builder'!$W95))</f>
        <v>10</v>
      </c>
      <c r="FB95" s="95">
        <f>IF(AV95="",10,MIN(VLOOKUP(J95,MATERIAL,13,FALSE()),'Item Builder'!$W95))</f>
        <v>10</v>
      </c>
      <c r="FC95" s="95">
        <f>IF(AW95="",10,MIN(VLOOKUP(K95,MATERIAL,13,FALSE()),'Item Builder'!$W95))</f>
        <v>10</v>
      </c>
      <c r="FD95" s="95">
        <f>IF(AX95="",10,MIN(VLOOKUP(L95,MATERIAL,13,FALSE()),'Item Builder'!$W95))</f>
        <v>10</v>
      </c>
      <c r="FE95" s="95">
        <f>IF(AY95="",10,MIN(VLOOKUP(M95,MATERIAL,13,FALSE()),'Item Builder'!$W95))</f>
        <v>10</v>
      </c>
      <c r="FF95" s="95">
        <f>IF(AZ95="",10,MIN(VLOOKUP(N95,MATERIAL,13,FALSE()),'Item Builder'!$W95))</f>
        <v>10</v>
      </c>
      <c r="FG95" s="95">
        <f>IF(BA95="",10,MIN(VLOOKUP(O95,MATERIAL,13,FALSE()),'Item Builder'!$W95))</f>
        <v>0</v>
      </c>
      <c r="FH95" s="95">
        <f>IF(BB95="",10,MIN(VLOOKUP(P95,MATERIAL,13,FALSE()),'Item Builder'!$W95))</f>
        <v>10</v>
      </c>
    </row>
    <row r="96" spans="1:164" x14ac:dyDescent="0.25">
      <c r="A96" s="67" t="s">
        <v>236</v>
      </c>
      <c r="B96" s="68"/>
      <c r="C96" s="69"/>
      <c r="D96" s="70"/>
      <c r="E96" s="68"/>
      <c r="F96" s="69"/>
      <c r="G96" s="69"/>
      <c r="H96" s="69"/>
      <c r="I96" s="70"/>
      <c r="J96" s="68" t="s">
        <v>197</v>
      </c>
      <c r="K96" s="69"/>
      <c r="L96" s="70"/>
      <c r="M96" s="68"/>
      <c r="N96" s="69"/>
      <c r="O96" s="69"/>
      <c r="P96" s="71"/>
      <c r="Q96" s="72">
        <f>SUM(BV96:CJ96)*VLOOKUP(W96,Tables!$W$3:$Z$8,4)</f>
        <v>120</v>
      </c>
      <c r="R96" s="73">
        <f t="shared" si="56"/>
        <v>2.2799999999999998</v>
      </c>
      <c r="S96" s="74">
        <f t="shared" si="57"/>
        <v>0</v>
      </c>
      <c r="T96" s="74">
        <f t="shared" si="58"/>
        <v>0</v>
      </c>
      <c r="U96" s="75">
        <f t="shared" si="59"/>
        <v>144</v>
      </c>
      <c r="V96" s="76">
        <f t="shared" si="60"/>
        <v>14.399999999999999</v>
      </c>
      <c r="W96" s="77">
        <v>0</v>
      </c>
      <c r="X96" s="78">
        <f t="shared" si="61"/>
        <v>0</v>
      </c>
      <c r="Y96" s="79">
        <f t="shared" si="62"/>
        <v>0</v>
      </c>
      <c r="Z96" s="79">
        <f t="shared" si="63"/>
        <v>0</v>
      </c>
      <c r="AA96" s="78">
        <f t="shared" si="64"/>
        <v>0</v>
      </c>
      <c r="AB96" s="79">
        <f t="shared" si="65"/>
        <v>0</v>
      </c>
      <c r="AC96" s="79">
        <f t="shared" si="66"/>
        <v>0</v>
      </c>
      <c r="AD96" s="79">
        <f t="shared" si="67"/>
        <v>0</v>
      </c>
      <c r="AE96" s="79">
        <f t="shared" si="68"/>
        <v>0</v>
      </c>
      <c r="AF96" s="78">
        <f t="shared" si="69"/>
        <v>1</v>
      </c>
      <c r="AG96" s="79">
        <f t="shared" si="70"/>
        <v>0</v>
      </c>
      <c r="AH96" s="79">
        <f t="shared" si="71"/>
        <v>0</v>
      </c>
      <c r="AI96" s="78">
        <f t="shared" si="72"/>
        <v>0</v>
      </c>
      <c r="AJ96" s="79">
        <f t="shared" si="73"/>
        <v>0</v>
      </c>
      <c r="AK96" s="79">
        <f t="shared" si="74"/>
        <v>0</v>
      </c>
      <c r="AL96" s="80">
        <f t="shared" si="75"/>
        <v>0</v>
      </c>
      <c r="AM96" s="81">
        <f t="shared" si="76"/>
        <v>0.12</v>
      </c>
      <c r="AN96" s="82" t="str">
        <f t="shared" si="77"/>
        <v/>
      </c>
      <c r="AO96" s="79" t="str">
        <f t="shared" si="78"/>
        <v/>
      </c>
      <c r="AP96" t="str">
        <f t="shared" si="79"/>
        <v/>
      </c>
      <c r="AQ96" s="82" t="str">
        <f t="shared" si="80"/>
        <v/>
      </c>
      <c r="AR96" t="str">
        <f t="shared" si="81"/>
        <v/>
      </c>
      <c r="AS96" t="str">
        <f t="shared" si="82"/>
        <v/>
      </c>
      <c r="AT96" t="str">
        <f t="shared" si="83"/>
        <v/>
      </c>
      <c r="AU96" t="str">
        <f t="shared" si="84"/>
        <v/>
      </c>
      <c r="AV96" s="82" t="str">
        <f t="shared" si="85"/>
        <v>P</v>
      </c>
      <c r="AW96" t="str">
        <f t="shared" si="86"/>
        <v/>
      </c>
      <c r="AX96" t="str">
        <f t="shared" si="87"/>
        <v/>
      </c>
      <c r="AY96" s="82" t="str">
        <f t="shared" si="88"/>
        <v/>
      </c>
      <c r="AZ96" t="str">
        <f t="shared" si="89"/>
        <v/>
      </c>
      <c r="BA96" t="str">
        <f t="shared" si="90"/>
        <v/>
      </c>
      <c r="BB96" s="83" t="str">
        <f t="shared" si="91"/>
        <v/>
      </c>
      <c r="BC96" s="84">
        <f t="shared" si="92"/>
        <v>0</v>
      </c>
      <c r="BD96" s="84">
        <f t="shared" si="93"/>
        <v>0</v>
      </c>
      <c r="BE96" s="84">
        <f t="shared" si="94"/>
        <v>0.35294117647058826</v>
      </c>
      <c r="BF96" s="84">
        <f t="shared" si="95"/>
        <v>0</v>
      </c>
      <c r="BG96" s="78">
        <f>IF(AN96="",0,VLOOKUP(AN96,Tables!$AB$3:$AC$12,2))</f>
        <v>0</v>
      </c>
      <c r="BH96" s="79">
        <f>IF(AO96="",0,VLOOKUP(AO96,Tables!$AB$3:$AC$12,2))</f>
        <v>0</v>
      </c>
      <c r="BI96" s="79">
        <f>IF(AP96="",0,VLOOKUP(AP96,Tables!$AB$3:$AC$12,2))</f>
        <v>0</v>
      </c>
      <c r="BJ96" s="78">
        <f>IF(AQ96="",0,VLOOKUP(AQ96,Tables!$AB$3:$AC$12,2))</f>
        <v>0</v>
      </c>
      <c r="BK96" s="79">
        <f>IF(AR96="",0,VLOOKUP(AR96,Tables!$AB$3:$AC$12,2))</f>
        <v>0</v>
      </c>
      <c r="BL96" s="79">
        <f>IF(AS96="",0,VLOOKUP(AS96,Tables!$AB$3:$AC$12,2))</f>
        <v>0</v>
      </c>
      <c r="BM96" s="79">
        <f>IF(AT96="",0,VLOOKUP(AT96,Tables!$AB$3:$AC$12,2))</f>
        <v>0</v>
      </c>
      <c r="BN96" s="79">
        <f>IF(AU96="",0,VLOOKUP(AU96,Tables!$AB$3:$AC$12,2))</f>
        <v>0</v>
      </c>
      <c r="BO96" s="78">
        <f>IF(AV96="",0,VLOOKUP(AV96,Tables!$AB$3:$AC$12,2))</f>
        <v>1</v>
      </c>
      <c r="BP96" s="79">
        <f>IF(AW96="",0,VLOOKUP(AW96,Tables!$AB$3:$AC$12,2))</f>
        <v>0</v>
      </c>
      <c r="BQ96" s="79">
        <f>IF(AX96="",0,VLOOKUP(AX96,Tables!$AB$3:$AC$12,2))</f>
        <v>0</v>
      </c>
      <c r="BR96" s="78">
        <f>IF(AY96="",0,VLOOKUP(AY96,Tables!$AB$3:$AC$12,2))</f>
        <v>0</v>
      </c>
      <c r="BS96" s="79">
        <f>IF(AZ96="",0,VLOOKUP(AZ96,Tables!$AB$3:$AC$12,2))</f>
        <v>0</v>
      </c>
      <c r="BT96" s="79">
        <f>IF(BA96="",0,VLOOKUP(BA96,Tables!$AB$3:$AC$12,2))</f>
        <v>0</v>
      </c>
      <c r="BU96" s="80">
        <f>IF(BB96="",0,VLOOKUP(BB96,Tables!$AB$3:$AC$12,2))</f>
        <v>0</v>
      </c>
      <c r="BV96" s="85">
        <f>IF(AN96="",0,VLOOKUP(B96,Tables!$B$3:$D$36,2,FALSE())*X$1)</f>
        <v>0</v>
      </c>
      <c r="BW96" s="72">
        <f>IF(AO96="",0,VLOOKUP(C96,Tables!$B$3:$D$36,2,FALSE())*Y$1)</f>
        <v>0</v>
      </c>
      <c r="BX96" s="72">
        <f>IF(AP96="",0,VLOOKUP(D96,Tables!$B$3:$D$36,2,FALSE())*Z$1)</f>
        <v>0</v>
      </c>
      <c r="BY96" s="85">
        <f>IF(AQ96="",0,VLOOKUP(E96,Tables!$B$3:$D$36,2,FALSE())*AA$1)</f>
        <v>0</v>
      </c>
      <c r="BZ96" s="72">
        <f>IF(AR96="",0,VLOOKUP(F96,Tables!$B$3:$D$36,2,FALSE())*AB$1)</f>
        <v>0</v>
      </c>
      <c r="CA96" s="72">
        <f>IF(AS96="",0,VLOOKUP(G96,Tables!$B$3:$D$36,2,FALSE())*AC$1)</f>
        <v>0</v>
      </c>
      <c r="CB96" s="72">
        <f>IF(AT96="",0,VLOOKUP(H96,Tables!$B$3:$D$36,2,FALSE())*AD$1)</f>
        <v>0</v>
      </c>
      <c r="CC96" s="72">
        <f>IF(AU96="",0,VLOOKUP(I96,Tables!$B$3:$D$36,2,FALSE())*AE$1)</f>
        <v>0</v>
      </c>
      <c r="CD96" s="85">
        <f>IF(AV96="",0,VLOOKUP(J96,Tables!$B$3:$D$36,2,FALSE())*AF$1)</f>
        <v>120</v>
      </c>
      <c r="CE96" s="72">
        <f>IF(AW96="",0,VLOOKUP(K96,Tables!$B$3:$D$36,2,FALSE())*AG$1)</f>
        <v>0</v>
      </c>
      <c r="CF96" s="72">
        <f>IF(AX96="",0,VLOOKUP(L96,Tables!$B$3:$D$36,2,FALSE())*AH$1)</f>
        <v>0</v>
      </c>
      <c r="CG96" s="85">
        <f>IF(AY96="",0,VLOOKUP(M96,Tables!$B$3:$D$36,2,FALSE())*AI$1)</f>
        <v>0</v>
      </c>
      <c r="CH96" s="72">
        <f>IF(AZ96="",0,VLOOKUP(N96,Tables!$B$3:$D$36,2,FALSE())*AJ$1)</f>
        <v>0</v>
      </c>
      <c r="CI96" s="72">
        <f>IF(BA96="",0,VLOOKUP(O96,Tables!$B$3:$D$36,2,FALSE())*AK$1)</f>
        <v>0</v>
      </c>
      <c r="CJ96" s="86">
        <f>IF(BB96="",0,VLOOKUP(P96,Tables!$B$3:$D$36,2,FALSE())*AL$1)</f>
        <v>0</v>
      </c>
      <c r="CK96" s="87">
        <f>IF(AN96="",0,VLOOKUP(B96,Tables!$B$3:$D$36,3,FALSE())*X$1)*IF(OR(AN96="K",AN96="P"),2,1)</f>
        <v>0</v>
      </c>
      <c r="CL96" s="73">
        <f>IF(AO96="",0,VLOOKUP(C96,Tables!$B$3:$D$36,3,FALSE())*Y$1)*IF(OR(AO96="K",AO96="P"),2,1)</f>
        <v>0</v>
      </c>
      <c r="CM96" s="73">
        <f>IF(AP96="",0,VLOOKUP(D96,Tables!$B$3:$D$36,3,FALSE())*Z$1)*IF(OR(AP96="K",AP96="P"),2,1)</f>
        <v>0</v>
      </c>
      <c r="CN96" s="87">
        <f>IF(AQ96="",0,VLOOKUP(E96,Tables!$B$3:$D$36,3,FALSE())*AA$1)</f>
        <v>0</v>
      </c>
      <c r="CO96" s="73">
        <f>IF(AR96="",0,VLOOKUP(F96,Tables!$B$3:$D$36,3,FALSE())*AB$1)</f>
        <v>0</v>
      </c>
      <c r="CP96" s="73">
        <f>IF(AS96="",0,VLOOKUP(G96,Tables!$B$3:$D$36,3,FALSE())*AC$1)</f>
        <v>0</v>
      </c>
      <c r="CQ96" s="73">
        <f>IF(AT96="",0,VLOOKUP(H96,Tables!$B$3:$D$36,3,FALSE())*AD$1)</f>
        <v>0</v>
      </c>
      <c r="CR96" s="73">
        <f>IF(AU96="",0,VLOOKUP(I96,Tables!$B$3:$D$36,3,FALSE())*AE$1)</f>
        <v>0</v>
      </c>
      <c r="CS96" s="87">
        <f>IF(AV96="",0,VLOOKUP(J96,Tables!$B$3:$D$36,3,FALSE())*AF$1)</f>
        <v>2.2799999999999998</v>
      </c>
      <c r="CT96" s="73">
        <f>IF(AW96="",0,VLOOKUP(K96,Tables!$B$3:$D$36,3,FALSE())*AG$1)</f>
        <v>0</v>
      </c>
      <c r="CU96" s="73">
        <f>IF(AX96="",0,VLOOKUP(L96,Tables!$B$3:$D$36,3,FALSE())*AH$1)</f>
        <v>0</v>
      </c>
      <c r="CV96" s="87">
        <f>IF(AY96="",0,VLOOKUP(M96,Tables!$B$3:$D$36,3,FALSE())*AI$1)</f>
        <v>0</v>
      </c>
      <c r="CW96" s="73">
        <f>IF(AZ96="",0,VLOOKUP(N96,Tables!$B$3:$D$36,3,FALSE())*AJ$1)</f>
        <v>0</v>
      </c>
      <c r="CX96" s="73">
        <f>IF(BA96="",0,VLOOKUP(O96,Tables!$B$3:$D$36,3,FALSE())*AK$1)</f>
        <v>0</v>
      </c>
      <c r="CY96" s="88">
        <f>IF(BB96="",0,VLOOKUP(P96,Tables!$B$3:$D$36,3,FALSE())*AL$1)</f>
        <v>0</v>
      </c>
      <c r="CZ96" s="89">
        <f t="shared" si="96"/>
        <v>0</v>
      </c>
      <c r="DA96" s="75">
        <f t="shared" si="97"/>
        <v>0</v>
      </c>
      <c r="DB96" s="75">
        <f t="shared" si="98"/>
        <v>0</v>
      </c>
      <c r="DC96" s="89">
        <f t="shared" si="99"/>
        <v>0</v>
      </c>
      <c r="DD96" s="75">
        <f t="shared" si="100"/>
        <v>0</v>
      </c>
      <c r="DE96" s="75">
        <f t="shared" si="101"/>
        <v>0</v>
      </c>
      <c r="DF96" s="75">
        <f t="shared" si="102"/>
        <v>0</v>
      </c>
      <c r="DG96" s="75">
        <f t="shared" si="103"/>
        <v>0</v>
      </c>
      <c r="DH96" s="89">
        <f t="shared" si="104"/>
        <v>1.5</v>
      </c>
      <c r="DI96" s="75">
        <f t="shared" si="105"/>
        <v>0</v>
      </c>
      <c r="DJ96" s="75">
        <f t="shared" si="106"/>
        <v>0</v>
      </c>
      <c r="DK96" s="89">
        <f t="shared" si="107"/>
        <v>0</v>
      </c>
      <c r="DL96" s="75">
        <f t="shared" si="108"/>
        <v>0</v>
      </c>
      <c r="DM96" s="75">
        <f t="shared" si="109"/>
        <v>0</v>
      </c>
      <c r="DN96" s="90">
        <f t="shared" si="110"/>
        <v>0</v>
      </c>
      <c r="DO96" s="91">
        <f>IF(AN96="",0,VLOOKUP(B96,Tables!$B$3:$M$36,11,FALSE())*X$1)</f>
        <v>0</v>
      </c>
      <c r="DP96" s="92">
        <f>IF(AO96="",0,VLOOKUP(C96,Tables!$B$3:$M$36,11,FALSE())*Y$1)</f>
        <v>0</v>
      </c>
      <c r="DQ96" s="92">
        <f>IF(AP96="",0,VLOOKUP(D96,Tables!$B$3:$M$36,11,FALSE())*Z$1)</f>
        <v>0</v>
      </c>
      <c r="DR96" s="91">
        <f>IF(AQ96="",0,VLOOKUP(E96,Tables!$B$3:$M$36,11,FALSE())*AA$1)</f>
        <v>0</v>
      </c>
      <c r="DS96" s="92">
        <f>IF(AR96="",0,VLOOKUP(F96,Tables!$B$3:$M$36,11,FALSE())*AB$1)</f>
        <v>0</v>
      </c>
      <c r="DT96" s="92">
        <f>IF(AS96="",0,VLOOKUP(G96,Tables!$B$3:$M$36,11,FALSE())*AC$1)</f>
        <v>0</v>
      </c>
      <c r="DU96" s="92">
        <f>IF(AT96="",0,VLOOKUP(H96,Tables!$B$3:$M$36,11,FALSE())*AD$1)</f>
        <v>0</v>
      </c>
      <c r="DV96" s="92">
        <f>IF(AU96="",0,VLOOKUP(I96,Tables!$B$3:$M$36,11,FALSE())*AE$1)</f>
        <v>0</v>
      </c>
      <c r="DW96" s="91">
        <f>IF(AV96="",0,VLOOKUP(J96,Tables!$B$3:$M$36,11,FALSE())*AF$1)</f>
        <v>144</v>
      </c>
      <c r="DX96" s="92">
        <f>IF(AW96="",0,VLOOKUP(K96,Tables!$B$3:$M$36,11,FALSE())*AG$1)</f>
        <v>0</v>
      </c>
      <c r="DY96" s="92">
        <f>IF(AX96="",0,VLOOKUP(L96,Tables!$B$3:$M$36,11,FALSE())*AH$1)</f>
        <v>0</v>
      </c>
      <c r="DZ96" s="91">
        <f>IF(AY96="",0,VLOOKUP(M96,Tables!$B$3:$M$36,11,FALSE())*AI$1)</f>
        <v>0</v>
      </c>
      <c r="EA96" s="92">
        <f>IF(AZ96="",0,VLOOKUP(N96,Tables!$B$3:$M$36,11,FALSE())*AJ$1)</f>
        <v>0</v>
      </c>
      <c r="EB96" s="92">
        <f>IF(BA96="",0,VLOOKUP(O96,Tables!$B$3:$M$36,11,FALSE())*AK$1)</f>
        <v>0</v>
      </c>
      <c r="EC96" s="93">
        <f>IF(BB96="",0,VLOOKUP(P96,Tables!$B$3:$M$36,11,FALSE())*AL$1)</f>
        <v>0</v>
      </c>
      <c r="ED96" s="91">
        <f>IF(AN96="",0,VLOOKUP(B96,Tables!$B$3:$M$36,12,FALSE())*X$1)</f>
        <v>0</v>
      </c>
      <c r="EE96" s="92">
        <f>IF(AO96="",0,VLOOKUP(C96,Tables!$B$3:$M$36,12,FALSE())*Y$1)</f>
        <v>0</v>
      </c>
      <c r="EF96" s="92">
        <f>IF(AP96="",0,VLOOKUP(D96,Tables!$B$3:$M$36,12,FALSE())*Z$1)</f>
        <v>0</v>
      </c>
      <c r="EG96" s="91">
        <f>IF(AQ96="",0,VLOOKUP(E96,Tables!$B$3:$M$36,12,FALSE())*AA$1)</f>
        <v>0</v>
      </c>
      <c r="EH96" s="92">
        <f>IF(AR96="",0,VLOOKUP(F96,Tables!$B$3:$M$36,12,FALSE())*AB$1)</f>
        <v>0</v>
      </c>
      <c r="EI96" s="92">
        <f>IF(AS96="",0,VLOOKUP(G96,Tables!$B$3:$M$36,12,FALSE())*AC$1)</f>
        <v>0</v>
      </c>
      <c r="EJ96" s="92">
        <f>IF(AT96="",0,VLOOKUP(H96,Tables!$B$3:$M$36,12,FALSE())*AD$1)</f>
        <v>0</v>
      </c>
      <c r="EK96" s="92">
        <f>IF(AU96="",0,VLOOKUP(I96,Tables!$B$3:$M$36,12,FALSE())*AE$1)</f>
        <v>0</v>
      </c>
      <c r="EL96" s="91">
        <f>IF(AV96="",0,VLOOKUP(J96,Tables!$B$3:$M$36,12,FALSE())*AF$1)</f>
        <v>14.399999999999999</v>
      </c>
      <c r="EM96" s="92">
        <f>IF(AW96="",0,VLOOKUP(K96,Tables!$B$3:$M$36,12,FALSE())*AG$1)</f>
        <v>0</v>
      </c>
      <c r="EN96" s="92">
        <f>IF(AX96="",0,VLOOKUP(L96,Tables!$B$3:$M$36,12,FALSE())*AH$1)</f>
        <v>0</v>
      </c>
      <c r="EO96" s="91">
        <f>IF(AY96="",0,VLOOKUP(M96,Tables!$B$3:$M$36,12,FALSE())*AI$1)</f>
        <v>0</v>
      </c>
      <c r="EP96" s="92">
        <f>IF(AZ96="",0,VLOOKUP(N96,Tables!$B$3:$M$36,12,FALSE())*AJ$1)</f>
        <v>0</v>
      </c>
      <c r="EQ96" s="92">
        <f>IF(BA96="",0,VLOOKUP(O96,Tables!$B$3:$M$36,12,FALSE())*AK$1)</f>
        <v>0</v>
      </c>
      <c r="ER96" s="93">
        <f>IF(BB96="",0,VLOOKUP(P96,Tables!$B$3:$M$36,12,FALSE())*AL$1)</f>
        <v>0</v>
      </c>
      <c r="ES96" s="94">
        <f t="shared" si="111"/>
        <v>0</v>
      </c>
      <c r="ET96" s="95">
        <f>IF(AN96="",10,MIN(VLOOKUP(B96,MATERIAL,13,FALSE()),'Item Builder'!$W96))</f>
        <v>10</v>
      </c>
      <c r="EU96" s="95">
        <f>IF(AO96="",10,MIN(VLOOKUP(C96,MATERIAL,13,FALSE()),'Item Builder'!$W96))</f>
        <v>10</v>
      </c>
      <c r="EV96" s="95">
        <f>IF(AP96="",10,MIN(VLOOKUP(D96,MATERIAL,13,FALSE()),'Item Builder'!$W96))</f>
        <v>10</v>
      </c>
      <c r="EW96" s="95">
        <f>IF(AQ96="",10,MIN(VLOOKUP(E96,MATERIAL,13,FALSE()),'Item Builder'!$W96))</f>
        <v>10</v>
      </c>
      <c r="EX96" s="95">
        <f>IF(AR96="",10,MIN(VLOOKUP(F96,MATERIAL,13,FALSE()),'Item Builder'!$W96))</f>
        <v>10</v>
      </c>
      <c r="EY96" s="95">
        <f>IF(AS96="",10,MIN(VLOOKUP(G96,MATERIAL,13,FALSE()),'Item Builder'!$W96))</f>
        <v>10</v>
      </c>
      <c r="EZ96" s="95">
        <f>IF(AT96="",10,MIN(VLOOKUP(H96,MATERIAL,13,FALSE()),'Item Builder'!$W96))</f>
        <v>10</v>
      </c>
      <c r="FA96" s="95">
        <f>IF(AU96="",10,MIN(VLOOKUP(I96,MATERIAL,13,FALSE()),'Item Builder'!$W96))</f>
        <v>10</v>
      </c>
      <c r="FB96" s="95">
        <f>IF(AV96="",10,MIN(VLOOKUP(J96,MATERIAL,13,FALSE()),'Item Builder'!$W96))</f>
        <v>0</v>
      </c>
      <c r="FC96" s="95">
        <f>IF(AW96="",10,MIN(VLOOKUP(K96,MATERIAL,13,FALSE()),'Item Builder'!$W96))</f>
        <v>10</v>
      </c>
      <c r="FD96" s="95">
        <f>IF(AX96="",10,MIN(VLOOKUP(L96,MATERIAL,13,FALSE()),'Item Builder'!$W96))</f>
        <v>10</v>
      </c>
      <c r="FE96" s="95">
        <f>IF(AY96="",10,MIN(VLOOKUP(M96,MATERIAL,13,FALSE()),'Item Builder'!$W96))</f>
        <v>10</v>
      </c>
      <c r="FF96" s="95">
        <f>IF(AZ96="",10,MIN(VLOOKUP(N96,MATERIAL,13,FALSE()),'Item Builder'!$W96))</f>
        <v>10</v>
      </c>
      <c r="FG96" s="95">
        <f>IF(BA96="",10,MIN(VLOOKUP(O96,MATERIAL,13,FALSE()),'Item Builder'!$W96))</f>
        <v>10</v>
      </c>
      <c r="FH96" s="95">
        <f>IF(BB96="",10,MIN(VLOOKUP(P96,MATERIAL,13,FALSE()),'Item Builder'!$W96))</f>
        <v>10</v>
      </c>
    </row>
    <row r="97" spans="1:164" x14ac:dyDescent="0.25">
      <c r="A97" s="67" t="s">
        <v>237</v>
      </c>
      <c r="B97" s="68" t="s">
        <v>155</v>
      </c>
      <c r="C97" s="69"/>
      <c r="D97" s="70"/>
      <c r="E97" s="68"/>
      <c r="F97" s="69"/>
      <c r="G97" s="69"/>
      <c r="H97" s="69"/>
      <c r="I97" s="70"/>
      <c r="J97" s="68"/>
      <c r="K97" s="69"/>
      <c r="L97" s="70"/>
      <c r="M97" s="68"/>
      <c r="N97" s="69"/>
      <c r="O97" s="69"/>
      <c r="P97" s="71"/>
      <c r="Q97" s="72">
        <f>SUM(BV97:CJ97)*VLOOKUP(W97,Tables!$W$3:$Z$8,4)</f>
        <v>3.2</v>
      </c>
      <c r="R97" s="73">
        <f t="shared" si="56"/>
        <v>0.1</v>
      </c>
      <c r="S97" s="74">
        <f t="shared" si="57"/>
        <v>0</v>
      </c>
      <c r="T97" s="74">
        <f t="shared" si="58"/>
        <v>0</v>
      </c>
      <c r="U97" s="75">
        <f t="shared" si="59"/>
        <v>0.8</v>
      </c>
      <c r="V97" s="76">
        <f t="shared" si="60"/>
        <v>2.4</v>
      </c>
      <c r="W97" s="77">
        <v>0</v>
      </c>
      <c r="X97" s="78">
        <f t="shared" si="61"/>
        <v>1</v>
      </c>
      <c r="Y97" s="79">
        <f t="shared" si="62"/>
        <v>0</v>
      </c>
      <c r="Z97" s="79">
        <f t="shared" si="63"/>
        <v>0</v>
      </c>
      <c r="AA97" s="78">
        <f t="shared" si="64"/>
        <v>0</v>
      </c>
      <c r="AB97" s="79">
        <f t="shared" si="65"/>
        <v>0</v>
      </c>
      <c r="AC97" s="79">
        <f t="shared" si="66"/>
        <v>0</v>
      </c>
      <c r="AD97" s="79">
        <f t="shared" si="67"/>
        <v>0</v>
      </c>
      <c r="AE97" s="79">
        <f t="shared" si="68"/>
        <v>0</v>
      </c>
      <c r="AF97" s="78">
        <f t="shared" si="69"/>
        <v>0</v>
      </c>
      <c r="AG97" s="79">
        <f t="shared" si="70"/>
        <v>0</v>
      </c>
      <c r="AH97" s="79">
        <f t="shared" si="71"/>
        <v>0</v>
      </c>
      <c r="AI97" s="78">
        <f t="shared" si="72"/>
        <v>0</v>
      </c>
      <c r="AJ97" s="79">
        <f t="shared" si="73"/>
        <v>0</v>
      </c>
      <c r="AK97" s="79">
        <f t="shared" si="74"/>
        <v>0</v>
      </c>
      <c r="AL97" s="80">
        <f t="shared" si="75"/>
        <v>0</v>
      </c>
      <c r="AM97" s="81">
        <f t="shared" si="76"/>
        <v>0.04</v>
      </c>
      <c r="AN97" s="82" t="str">
        <f t="shared" si="77"/>
        <v>X</v>
      </c>
      <c r="AO97" s="79" t="str">
        <f t="shared" si="78"/>
        <v/>
      </c>
      <c r="AP97" t="str">
        <f t="shared" si="79"/>
        <v/>
      </c>
      <c r="AQ97" s="82" t="str">
        <f t="shared" si="80"/>
        <v/>
      </c>
      <c r="AR97" t="str">
        <f t="shared" si="81"/>
        <v/>
      </c>
      <c r="AS97" t="str">
        <f t="shared" si="82"/>
        <v/>
      </c>
      <c r="AT97" t="str">
        <f t="shared" si="83"/>
        <v/>
      </c>
      <c r="AU97" t="str">
        <f t="shared" si="84"/>
        <v/>
      </c>
      <c r="AV97" s="82" t="str">
        <f t="shared" si="85"/>
        <v/>
      </c>
      <c r="AW97" t="str">
        <f t="shared" si="86"/>
        <v/>
      </c>
      <c r="AX97" t="str">
        <f t="shared" si="87"/>
        <v/>
      </c>
      <c r="AY97" s="82" t="str">
        <f t="shared" si="88"/>
        <v/>
      </c>
      <c r="AZ97" t="str">
        <f t="shared" si="89"/>
        <v/>
      </c>
      <c r="BA97" t="str">
        <f t="shared" si="90"/>
        <v/>
      </c>
      <c r="BB97" s="83" t="str">
        <f t="shared" si="91"/>
        <v/>
      </c>
      <c r="BC97" s="84">
        <f t="shared" si="92"/>
        <v>0.44444444444444442</v>
      </c>
      <c r="BD97" s="84">
        <f t="shared" si="93"/>
        <v>0</v>
      </c>
      <c r="BE97" s="84">
        <f t="shared" si="94"/>
        <v>0</v>
      </c>
      <c r="BF97" s="84">
        <f t="shared" si="95"/>
        <v>0</v>
      </c>
      <c r="BG97" s="78">
        <f>IF(AN97="",0,VLOOKUP(AN97,Tables!$AB$3:$AC$12,2))</f>
        <v>1</v>
      </c>
      <c r="BH97" s="79">
        <f>IF(AO97="",0,VLOOKUP(AO97,Tables!$AB$3:$AC$12,2))</f>
        <v>0</v>
      </c>
      <c r="BI97" s="79">
        <f>IF(AP97="",0,VLOOKUP(AP97,Tables!$AB$3:$AC$12,2))</f>
        <v>0</v>
      </c>
      <c r="BJ97" s="78">
        <f>IF(AQ97="",0,VLOOKUP(AQ97,Tables!$AB$3:$AC$12,2))</f>
        <v>0</v>
      </c>
      <c r="BK97" s="79">
        <f>IF(AR97="",0,VLOOKUP(AR97,Tables!$AB$3:$AC$12,2))</f>
        <v>0</v>
      </c>
      <c r="BL97" s="79">
        <f>IF(AS97="",0,VLOOKUP(AS97,Tables!$AB$3:$AC$12,2))</f>
        <v>0</v>
      </c>
      <c r="BM97" s="79">
        <f>IF(AT97="",0,VLOOKUP(AT97,Tables!$AB$3:$AC$12,2))</f>
        <v>0</v>
      </c>
      <c r="BN97" s="79">
        <f>IF(AU97="",0,VLOOKUP(AU97,Tables!$AB$3:$AC$12,2))</f>
        <v>0</v>
      </c>
      <c r="BO97" s="78">
        <f>IF(AV97="",0,VLOOKUP(AV97,Tables!$AB$3:$AC$12,2))</f>
        <v>0</v>
      </c>
      <c r="BP97" s="79">
        <f>IF(AW97="",0,VLOOKUP(AW97,Tables!$AB$3:$AC$12,2))</f>
        <v>0</v>
      </c>
      <c r="BQ97" s="79">
        <f>IF(AX97="",0,VLOOKUP(AX97,Tables!$AB$3:$AC$12,2))</f>
        <v>0</v>
      </c>
      <c r="BR97" s="78">
        <f>IF(AY97="",0,VLOOKUP(AY97,Tables!$AB$3:$AC$12,2))</f>
        <v>0</v>
      </c>
      <c r="BS97" s="79">
        <f>IF(AZ97="",0,VLOOKUP(AZ97,Tables!$AB$3:$AC$12,2))</f>
        <v>0</v>
      </c>
      <c r="BT97" s="79">
        <f>IF(BA97="",0,VLOOKUP(BA97,Tables!$AB$3:$AC$12,2))</f>
        <v>0</v>
      </c>
      <c r="BU97" s="80">
        <f>IF(BB97="",0,VLOOKUP(BB97,Tables!$AB$3:$AC$12,2))</f>
        <v>0</v>
      </c>
      <c r="BV97" s="85">
        <f>IF(AN97="",0,VLOOKUP(B97,Tables!$B$3:$D$36,2,FALSE())*X$1)</f>
        <v>3.2</v>
      </c>
      <c r="BW97" s="72">
        <f>IF(AO97="",0,VLOOKUP(C97,Tables!$B$3:$D$36,2,FALSE())*Y$1)</f>
        <v>0</v>
      </c>
      <c r="BX97" s="72">
        <f>IF(AP97="",0,VLOOKUP(D97,Tables!$B$3:$D$36,2,FALSE())*Z$1)</f>
        <v>0</v>
      </c>
      <c r="BY97" s="85">
        <f>IF(AQ97="",0,VLOOKUP(E97,Tables!$B$3:$D$36,2,FALSE())*AA$1)</f>
        <v>0</v>
      </c>
      <c r="BZ97" s="72">
        <f>IF(AR97="",0,VLOOKUP(F97,Tables!$B$3:$D$36,2,FALSE())*AB$1)</f>
        <v>0</v>
      </c>
      <c r="CA97" s="72">
        <f>IF(AS97="",0,VLOOKUP(G97,Tables!$B$3:$D$36,2,FALSE())*AC$1)</f>
        <v>0</v>
      </c>
      <c r="CB97" s="72">
        <f>IF(AT97="",0,VLOOKUP(H97,Tables!$B$3:$D$36,2,FALSE())*AD$1)</f>
        <v>0</v>
      </c>
      <c r="CC97" s="72">
        <f>IF(AU97="",0,VLOOKUP(I97,Tables!$B$3:$D$36,2,FALSE())*AE$1)</f>
        <v>0</v>
      </c>
      <c r="CD97" s="85">
        <f>IF(AV97="",0,VLOOKUP(J97,Tables!$B$3:$D$36,2,FALSE())*AF$1)</f>
        <v>0</v>
      </c>
      <c r="CE97" s="72">
        <f>IF(AW97="",0,VLOOKUP(K97,Tables!$B$3:$D$36,2,FALSE())*AG$1)</f>
        <v>0</v>
      </c>
      <c r="CF97" s="72">
        <f>IF(AX97="",0,VLOOKUP(L97,Tables!$B$3:$D$36,2,FALSE())*AH$1)</f>
        <v>0</v>
      </c>
      <c r="CG97" s="85">
        <f>IF(AY97="",0,VLOOKUP(M97,Tables!$B$3:$D$36,2,FALSE())*AI$1)</f>
        <v>0</v>
      </c>
      <c r="CH97" s="72">
        <f>IF(AZ97="",0,VLOOKUP(N97,Tables!$B$3:$D$36,2,FALSE())*AJ$1)</f>
        <v>0</v>
      </c>
      <c r="CI97" s="72">
        <f>IF(BA97="",0,VLOOKUP(O97,Tables!$B$3:$D$36,2,FALSE())*AK$1)</f>
        <v>0</v>
      </c>
      <c r="CJ97" s="86">
        <f>IF(BB97="",0,VLOOKUP(P97,Tables!$B$3:$D$36,2,FALSE())*AL$1)</f>
        <v>0</v>
      </c>
      <c r="CK97" s="87">
        <f>IF(AN97="",0,VLOOKUP(B97,Tables!$B$3:$D$36,3,FALSE())*X$1)*IF(OR(AN97="K",AN97="P"),2,1)</f>
        <v>0.1</v>
      </c>
      <c r="CL97" s="73">
        <f>IF(AO97="",0,VLOOKUP(C97,Tables!$B$3:$D$36,3,FALSE())*Y$1)*IF(OR(AO97="K",AO97="P"),2,1)</f>
        <v>0</v>
      </c>
      <c r="CM97" s="73">
        <f>IF(AP97="",0,VLOOKUP(D97,Tables!$B$3:$D$36,3,FALSE())*Z$1)*IF(OR(AP97="K",AP97="P"),2,1)</f>
        <v>0</v>
      </c>
      <c r="CN97" s="87">
        <f>IF(AQ97="",0,VLOOKUP(E97,Tables!$B$3:$D$36,3,FALSE())*AA$1)</f>
        <v>0</v>
      </c>
      <c r="CO97" s="73">
        <f>IF(AR97="",0,VLOOKUP(F97,Tables!$B$3:$D$36,3,FALSE())*AB$1)</f>
        <v>0</v>
      </c>
      <c r="CP97" s="73">
        <f>IF(AS97="",0,VLOOKUP(G97,Tables!$B$3:$D$36,3,FALSE())*AC$1)</f>
        <v>0</v>
      </c>
      <c r="CQ97" s="73">
        <f>IF(AT97="",0,VLOOKUP(H97,Tables!$B$3:$D$36,3,FALSE())*AD$1)</f>
        <v>0</v>
      </c>
      <c r="CR97" s="73">
        <f>IF(AU97="",0,VLOOKUP(I97,Tables!$B$3:$D$36,3,FALSE())*AE$1)</f>
        <v>0</v>
      </c>
      <c r="CS97" s="87">
        <f>IF(AV97="",0,VLOOKUP(J97,Tables!$B$3:$D$36,3,FALSE())*AF$1)</f>
        <v>0</v>
      </c>
      <c r="CT97" s="73">
        <f>IF(AW97="",0,VLOOKUP(K97,Tables!$B$3:$D$36,3,FALSE())*AG$1)</f>
        <v>0</v>
      </c>
      <c r="CU97" s="73">
        <f>IF(AX97="",0,VLOOKUP(L97,Tables!$B$3:$D$36,3,FALSE())*AH$1)</f>
        <v>0</v>
      </c>
      <c r="CV97" s="87">
        <f>IF(AY97="",0,VLOOKUP(M97,Tables!$B$3:$D$36,3,FALSE())*AI$1)</f>
        <v>0</v>
      </c>
      <c r="CW97" s="73">
        <f>IF(AZ97="",0,VLOOKUP(N97,Tables!$B$3:$D$36,3,FALSE())*AJ$1)</f>
        <v>0</v>
      </c>
      <c r="CX97" s="73">
        <f>IF(BA97="",0,VLOOKUP(O97,Tables!$B$3:$D$36,3,FALSE())*AK$1)</f>
        <v>0</v>
      </c>
      <c r="CY97" s="88">
        <f>IF(BB97="",0,VLOOKUP(P97,Tables!$B$3:$D$36,3,FALSE())*AL$1)</f>
        <v>0</v>
      </c>
      <c r="CZ97" s="89">
        <f t="shared" si="96"/>
        <v>1</v>
      </c>
      <c r="DA97" s="75">
        <f t="shared" si="97"/>
        <v>0</v>
      </c>
      <c r="DB97" s="75">
        <f t="shared" si="98"/>
        <v>0</v>
      </c>
      <c r="DC97" s="89">
        <f t="shared" si="99"/>
        <v>0</v>
      </c>
      <c r="DD97" s="75">
        <f t="shared" si="100"/>
        <v>0</v>
      </c>
      <c r="DE97" s="75">
        <f t="shared" si="101"/>
        <v>0</v>
      </c>
      <c r="DF97" s="75">
        <f t="shared" si="102"/>
        <v>0</v>
      </c>
      <c r="DG97" s="75">
        <f t="shared" si="103"/>
        <v>0</v>
      </c>
      <c r="DH97" s="89">
        <f t="shared" si="104"/>
        <v>0</v>
      </c>
      <c r="DI97" s="75">
        <f t="shared" si="105"/>
        <v>0</v>
      </c>
      <c r="DJ97" s="75">
        <f t="shared" si="106"/>
        <v>0</v>
      </c>
      <c r="DK97" s="89">
        <f t="shared" si="107"/>
        <v>0</v>
      </c>
      <c r="DL97" s="75">
        <f t="shared" si="108"/>
        <v>0</v>
      </c>
      <c r="DM97" s="75">
        <f t="shared" si="109"/>
        <v>0</v>
      </c>
      <c r="DN97" s="90">
        <f t="shared" si="110"/>
        <v>0</v>
      </c>
      <c r="DO97" s="91">
        <f>IF(AN97="",0,VLOOKUP(B97,Tables!$B$3:$M$36,11,FALSE())*X$1)</f>
        <v>0.8</v>
      </c>
      <c r="DP97" s="92">
        <f>IF(AO97="",0,VLOOKUP(C97,Tables!$B$3:$M$36,11,FALSE())*Y$1)</f>
        <v>0</v>
      </c>
      <c r="DQ97" s="92">
        <f>IF(AP97="",0,VLOOKUP(D97,Tables!$B$3:$M$36,11,FALSE())*Z$1)</f>
        <v>0</v>
      </c>
      <c r="DR97" s="91">
        <f>IF(AQ97="",0,VLOOKUP(E97,Tables!$B$3:$M$36,11,FALSE())*AA$1)</f>
        <v>0</v>
      </c>
      <c r="DS97" s="92">
        <f>IF(AR97="",0,VLOOKUP(F97,Tables!$B$3:$M$36,11,FALSE())*AB$1)</f>
        <v>0</v>
      </c>
      <c r="DT97" s="92">
        <f>IF(AS97="",0,VLOOKUP(G97,Tables!$B$3:$M$36,11,FALSE())*AC$1)</f>
        <v>0</v>
      </c>
      <c r="DU97" s="92">
        <f>IF(AT97="",0,VLOOKUP(H97,Tables!$B$3:$M$36,11,FALSE())*AD$1)</f>
        <v>0</v>
      </c>
      <c r="DV97" s="92">
        <f>IF(AU97="",0,VLOOKUP(I97,Tables!$B$3:$M$36,11,FALSE())*AE$1)</f>
        <v>0</v>
      </c>
      <c r="DW97" s="91">
        <f>IF(AV97="",0,VLOOKUP(J97,Tables!$B$3:$M$36,11,FALSE())*AF$1)</f>
        <v>0</v>
      </c>
      <c r="DX97" s="92">
        <f>IF(AW97="",0,VLOOKUP(K97,Tables!$B$3:$M$36,11,FALSE())*AG$1)</f>
        <v>0</v>
      </c>
      <c r="DY97" s="92">
        <f>IF(AX97="",0,VLOOKUP(L97,Tables!$B$3:$M$36,11,FALSE())*AH$1)</f>
        <v>0</v>
      </c>
      <c r="DZ97" s="91">
        <f>IF(AY97="",0,VLOOKUP(M97,Tables!$B$3:$M$36,11,FALSE())*AI$1)</f>
        <v>0</v>
      </c>
      <c r="EA97" s="92">
        <f>IF(AZ97="",0,VLOOKUP(N97,Tables!$B$3:$M$36,11,FALSE())*AJ$1)</f>
        <v>0</v>
      </c>
      <c r="EB97" s="92">
        <f>IF(BA97="",0,VLOOKUP(O97,Tables!$B$3:$M$36,11,FALSE())*AK$1)</f>
        <v>0</v>
      </c>
      <c r="EC97" s="93">
        <f>IF(BB97="",0,VLOOKUP(P97,Tables!$B$3:$M$36,11,FALSE())*AL$1)</f>
        <v>0</v>
      </c>
      <c r="ED97" s="91">
        <f>IF(AN97="",0,VLOOKUP(B97,Tables!$B$3:$M$36,12,FALSE())*X$1)</f>
        <v>2.4</v>
      </c>
      <c r="EE97" s="92">
        <f>IF(AO97="",0,VLOOKUP(C97,Tables!$B$3:$M$36,12,FALSE())*Y$1)</f>
        <v>0</v>
      </c>
      <c r="EF97" s="92">
        <f>IF(AP97="",0,VLOOKUP(D97,Tables!$B$3:$M$36,12,FALSE())*Z$1)</f>
        <v>0</v>
      </c>
      <c r="EG97" s="91">
        <f>IF(AQ97="",0,VLOOKUP(E97,Tables!$B$3:$M$36,12,FALSE())*AA$1)</f>
        <v>0</v>
      </c>
      <c r="EH97" s="92">
        <f>IF(AR97="",0,VLOOKUP(F97,Tables!$B$3:$M$36,12,FALSE())*AB$1)</f>
        <v>0</v>
      </c>
      <c r="EI97" s="92">
        <f>IF(AS97="",0,VLOOKUP(G97,Tables!$B$3:$M$36,12,FALSE())*AC$1)</f>
        <v>0</v>
      </c>
      <c r="EJ97" s="92">
        <f>IF(AT97="",0,VLOOKUP(H97,Tables!$B$3:$M$36,12,FALSE())*AD$1)</f>
        <v>0</v>
      </c>
      <c r="EK97" s="92">
        <f>IF(AU97="",0,VLOOKUP(I97,Tables!$B$3:$M$36,12,FALSE())*AE$1)</f>
        <v>0</v>
      </c>
      <c r="EL97" s="91">
        <f>IF(AV97="",0,VLOOKUP(J97,Tables!$B$3:$M$36,12,FALSE())*AF$1)</f>
        <v>0</v>
      </c>
      <c r="EM97" s="92">
        <f>IF(AW97="",0,VLOOKUP(K97,Tables!$B$3:$M$36,12,FALSE())*AG$1)</f>
        <v>0</v>
      </c>
      <c r="EN97" s="92">
        <f>IF(AX97="",0,VLOOKUP(L97,Tables!$B$3:$M$36,12,FALSE())*AH$1)</f>
        <v>0</v>
      </c>
      <c r="EO97" s="91">
        <f>IF(AY97="",0,VLOOKUP(M97,Tables!$B$3:$M$36,12,FALSE())*AI$1)</f>
        <v>0</v>
      </c>
      <c r="EP97" s="92">
        <f>IF(AZ97="",0,VLOOKUP(N97,Tables!$B$3:$M$36,12,FALSE())*AJ$1)</f>
        <v>0</v>
      </c>
      <c r="EQ97" s="92">
        <f>IF(BA97="",0,VLOOKUP(O97,Tables!$B$3:$M$36,12,FALSE())*AK$1)</f>
        <v>0</v>
      </c>
      <c r="ER97" s="93">
        <f>IF(BB97="",0,VLOOKUP(P97,Tables!$B$3:$M$36,12,FALSE())*AL$1)</f>
        <v>0</v>
      </c>
      <c r="ES97" s="94">
        <f t="shared" si="111"/>
        <v>0</v>
      </c>
      <c r="ET97" s="95">
        <f>IF(AN97="",10,MIN(VLOOKUP(B97,MATERIAL,13,FALSE()),'Item Builder'!$W97))</f>
        <v>0</v>
      </c>
      <c r="EU97" s="95">
        <f>IF(AO97="",10,MIN(VLOOKUP(C97,MATERIAL,13,FALSE()),'Item Builder'!$W97))</f>
        <v>10</v>
      </c>
      <c r="EV97" s="95">
        <f>IF(AP97="",10,MIN(VLOOKUP(D97,MATERIAL,13,FALSE()),'Item Builder'!$W97))</f>
        <v>10</v>
      </c>
      <c r="EW97" s="95">
        <f>IF(AQ97="",10,MIN(VLOOKUP(E97,MATERIAL,13,FALSE()),'Item Builder'!$W97))</f>
        <v>10</v>
      </c>
      <c r="EX97" s="95">
        <f>IF(AR97="",10,MIN(VLOOKUP(F97,MATERIAL,13,FALSE()),'Item Builder'!$W97))</f>
        <v>10</v>
      </c>
      <c r="EY97" s="95">
        <f>IF(AS97="",10,MIN(VLOOKUP(G97,MATERIAL,13,FALSE()),'Item Builder'!$W97))</f>
        <v>10</v>
      </c>
      <c r="EZ97" s="95">
        <f>IF(AT97="",10,MIN(VLOOKUP(H97,MATERIAL,13,FALSE()),'Item Builder'!$W97))</f>
        <v>10</v>
      </c>
      <c r="FA97" s="95">
        <f>IF(AU97="",10,MIN(VLOOKUP(I97,MATERIAL,13,FALSE()),'Item Builder'!$W97))</f>
        <v>10</v>
      </c>
      <c r="FB97" s="95">
        <f>IF(AV97="",10,MIN(VLOOKUP(J97,MATERIAL,13,FALSE()),'Item Builder'!$W97))</f>
        <v>10</v>
      </c>
      <c r="FC97" s="95">
        <f>IF(AW97="",10,MIN(VLOOKUP(K97,MATERIAL,13,FALSE()),'Item Builder'!$W97))</f>
        <v>10</v>
      </c>
      <c r="FD97" s="95">
        <f>IF(AX97="",10,MIN(VLOOKUP(L97,MATERIAL,13,FALSE()),'Item Builder'!$W97))</f>
        <v>10</v>
      </c>
      <c r="FE97" s="95">
        <f>IF(AY97="",10,MIN(VLOOKUP(M97,MATERIAL,13,FALSE()),'Item Builder'!$W97))</f>
        <v>10</v>
      </c>
      <c r="FF97" s="95">
        <f>IF(AZ97="",10,MIN(VLOOKUP(N97,MATERIAL,13,FALSE()),'Item Builder'!$W97))</f>
        <v>10</v>
      </c>
      <c r="FG97" s="95">
        <f>IF(BA97="",10,MIN(VLOOKUP(O97,MATERIAL,13,FALSE()),'Item Builder'!$W97))</f>
        <v>10</v>
      </c>
      <c r="FH97" s="95">
        <f>IF(BB97="",10,MIN(VLOOKUP(P97,MATERIAL,13,FALSE()),'Item Builder'!$W97))</f>
        <v>10</v>
      </c>
    </row>
    <row r="98" spans="1:164" x14ac:dyDescent="0.25">
      <c r="A98" s="67" t="s">
        <v>238</v>
      </c>
      <c r="B98" s="68" t="s">
        <v>155</v>
      </c>
      <c r="C98" s="69"/>
      <c r="D98" s="70" t="s">
        <v>155</v>
      </c>
      <c r="E98" s="68"/>
      <c r="F98" s="69"/>
      <c r="G98" s="69"/>
      <c r="H98" s="69"/>
      <c r="I98" s="70"/>
      <c r="J98" s="68"/>
      <c r="K98" s="69"/>
      <c r="L98" s="70"/>
      <c r="M98" s="68"/>
      <c r="N98" s="69"/>
      <c r="O98" s="69"/>
      <c r="P98" s="71"/>
      <c r="Q98" s="72">
        <f>SUM(BV98:CJ98)*VLOOKUP(W98,Tables!$W$3:$Z$8,4)</f>
        <v>4.8000000000000007</v>
      </c>
      <c r="R98" s="73">
        <f t="shared" si="56"/>
        <v>0.15000000000000002</v>
      </c>
      <c r="S98" s="74">
        <f t="shared" si="57"/>
        <v>0</v>
      </c>
      <c r="T98" s="74">
        <f t="shared" si="58"/>
        <v>5</v>
      </c>
      <c r="U98" s="75">
        <f t="shared" si="59"/>
        <v>1.2000000000000002</v>
      </c>
      <c r="V98" s="76">
        <f t="shared" si="60"/>
        <v>3.5999999999999996</v>
      </c>
      <c r="W98" s="77">
        <v>0</v>
      </c>
      <c r="X98" s="78">
        <f t="shared" si="61"/>
        <v>1</v>
      </c>
      <c r="Y98" s="79">
        <f t="shared" si="62"/>
        <v>0</v>
      </c>
      <c r="Z98" s="79">
        <f t="shared" si="63"/>
        <v>1</v>
      </c>
      <c r="AA98" s="78">
        <f t="shared" si="64"/>
        <v>0</v>
      </c>
      <c r="AB98" s="79">
        <f t="shared" si="65"/>
        <v>0</v>
      </c>
      <c r="AC98" s="79">
        <f t="shared" si="66"/>
        <v>0</v>
      </c>
      <c r="AD98" s="79">
        <f t="shared" si="67"/>
        <v>0</v>
      </c>
      <c r="AE98" s="79">
        <f t="shared" si="68"/>
        <v>0</v>
      </c>
      <c r="AF98" s="78">
        <f t="shared" si="69"/>
        <v>0</v>
      </c>
      <c r="AG98" s="79">
        <f t="shared" si="70"/>
        <v>0</v>
      </c>
      <c r="AH98" s="79">
        <f t="shared" si="71"/>
        <v>0</v>
      </c>
      <c r="AI98" s="78">
        <f t="shared" si="72"/>
        <v>0</v>
      </c>
      <c r="AJ98" s="79">
        <f t="shared" si="73"/>
        <v>0</v>
      </c>
      <c r="AK98" s="79">
        <f t="shared" si="74"/>
        <v>0</v>
      </c>
      <c r="AL98" s="80">
        <f t="shared" si="75"/>
        <v>0</v>
      </c>
      <c r="AM98" s="81">
        <f t="shared" si="76"/>
        <v>0.06</v>
      </c>
      <c r="AN98" s="82" t="str">
        <f t="shared" si="77"/>
        <v>X</v>
      </c>
      <c r="AO98" s="79" t="str">
        <f t="shared" si="78"/>
        <v/>
      </c>
      <c r="AP98" t="str">
        <f t="shared" si="79"/>
        <v>X</v>
      </c>
      <c r="AQ98" s="82" t="str">
        <f t="shared" si="80"/>
        <v/>
      </c>
      <c r="AR98" t="str">
        <f t="shared" si="81"/>
        <v/>
      </c>
      <c r="AS98" t="str">
        <f t="shared" si="82"/>
        <v/>
      </c>
      <c r="AT98" t="str">
        <f t="shared" si="83"/>
        <v/>
      </c>
      <c r="AU98" t="str">
        <f t="shared" si="84"/>
        <v/>
      </c>
      <c r="AV98" s="82" t="str">
        <f t="shared" si="85"/>
        <v/>
      </c>
      <c r="AW98" t="str">
        <f t="shared" si="86"/>
        <v/>
      </c>
      <c r="AX98" t="str">
        <f t="shared" si="87"/>
        <v/>
      </c>
      <c r="AY98" s="82" t="str">
        <f t="shared" si="88"/>
        <v/>
      </c>
      <c r="AZ98" t="str">
        <f t="shared" si="89"/>
        <v/>
      </c>
      <c r="BA98" t="str">
        <f t="shared" si="90"/>
        <v/>
      </c>
      <c r="BB98" s="83" t="str">
        <f t="shared" si="91"/>
        <v/>
      </c>
      <c r="BC98" s="84">
        <f t="shared" si="92"/>
        <v>0.66666666666666652</v>
      </c>
      <c r="BD98" s="84">
        <f t="shared" si="93"/>
        <v>0</v>
      </c>
      <c r="BE98" s="84">
        <f t="shared" si="94"/>
        <v>0</v>
      </c>
      <c r="BF98" s="84">
        <f t="shared" si="95"/>
        <v>0</v>
      </c>
      <c r="BG98" s="78">
        <f>IF(AN98="",0,VLOOKUP(AN98,Tables!$AB$3:$AC$12,2))</f>
        <v>1</v>
      </c>
      <c r="BH98" s="79">
        <f>IF(AO98="",0,VLOOKUP(AO98,Tables!$AB$3:$AC$12,2))</f>
        <v>0</v>
      </c>
      <c r="BI98" s="79">
        <f>IF(AP98="",0,VLOOKUP(AP98,Tables!$AB$3:$AC$12,2))</f>
        <v>1</v>
      </c>
      <c r="BJ98" s="78">
        <f>IF(AQ98="",0,VLOOKUP(AQ98,Tables!$AB$3:$AC$12,2))</f>
        <v>0</v>
      </c>
      <c r="BK98" s="79">
        <f>IF(AR98="",0,VLOOKUP(AR98,Tables!$AB$3:$AC$12,2))</f>
        <v>0</v>
      </c>
      <c r="BL98" s="79">
        <f>IF(AS98="",0,VLOOKUP(AS98,Tables!$AB$3:$AC$12,2))</f>
        <v>0</v>
      </c>
      <c r="BM98" s="79">
        <f>IF(AT98="",0,VLOOKUP(AT98,Tables!$AB$3:$AC$12,2))</f>
        <v>0</v>
      </c>
      <c r="BN98" s="79">
        <f>IF(AU98="",0,VLOOKUP(AU98,Tables!$AB$3:$AC$12,2))</f>
        <v>0</v>
      </c>
      <c r="BO98" s="78">
        <f>IF(AV98="",0,VLOOKUP(AV98,Tables!$AB$3:$AC$12,2))</f>
        <v>0</v>
      </c>
      <c r="BP98" s="79">
        <f>IF(AW98="",0,VLOOKUP(AW98,Tables!$AB$3:$AC$12,2))</f>
        <v>0</v>
      </c>
      <c r="BQ98" s="79">
        <f>IF(AX98="",0,VLOOKUP(AX98,Tables!$AB$3:$AC$12,2))</f>
        <v>0</v>
      </c>
      <c r="BR98" s="78">
        <f>IF(AY98="",0,VLOOKUP(AY98,Tables!$AB$3:$AC$12,2))</f>
        <v>0</v>
      </c>
      <c r="BS98" s="79">
        <f>IF(AZ98="",0,VLOOKUP(AZ98,Tables!$AB$3:$AC$12,2))</f>
        <v>0</v>
      </c>
      <c r="BT98" s="79">
        <f>IF(BA98="",0,VLOOKUP(BA98,Tables!$AB$3:$AC$12,2))</f>
        <v>0</v>
      </c>
      <c r="BU98" s="80">
        <f>IF(BB98="",0,VLOOKUP(BB98,Tables!$AB$3:$AC$12,2))</f>
        <v>0</v>
      </c>
      <c r="BV98" s="85">
        <f>IF(AN98="",0,VLOOKUP(B98,Tables!$B$3:$D$36,2,FALSE())*X$1)</f>
        <v>3.2</v>
      </c>
      <c r="BW98" s="72">
        <f>IF(AO98="",0,VLOOKUP(C98,Tables!$B$3:$D$36,2,FALSE())*Y$1)</f>
        <v>0</v>
      </c>
      <c r="BX98" s="72">
        <f>IF(AP98="",0,VLOOKUP(D98,Tables!$B$3:$D$36,2,FALSE())*Z$1)</f>
        <v>1.6</v>
      </c>
      <c r="BY98" s="85">
        <f>IF(AQ98="",0,VLOOKUP(E98,Tables!$B$3:$D$36,2,FALSE())*AA$1)</f>
        <v>0</v>
      </c>
      <c r="BZ98" s="72">
        <f>IF(AR98="",0,VLOOKUP(F98,Tables!$B$3:$D$36,2,FALSE())*AB$1)</f>
        <v>0</v>
      </c>
      <c r="CA98" s="72">
        <f>IF(AS98="",0,VLOOKUP(G98,Tables!$B$3:$D$36,2,FALSE())*AC$1)</f>
        <v>0</v>
      </c>
      <c r="CB98" s="72">
        <f>IF(AT98="",0,VLOOKUP(H98,Tables!$B$3:$D$36,2,FALSE())*AD$1)</f>
        <v>0</v>
      </c>
      <c r="CC98" s="72">
        <f>IF(AU98="",0,VLOOKUP(I98,Tables!$B$3:$D$36,2,FALSE())*AE$1)</f>
        <v>0</v>
      </c>
      <c r="CD98" s="85">
        <f>IF(AV98="",0,VLOOKUP(J98,Tables!$B$3:$D$36,2,FALSE())*AF$1)</f>
        <v>0</v>
      </c>
      <c r="CE98" s="72">
        <f>IF(AW98="",0,VLOOKUP(K98,Tables!$B$3:$D$36,2,FALSE())*AG$1)</f>
        <v>0</v>
      </c>
      <c r="CF98" s="72">
        <f>IF(AX98="",0,VLOOKUP(L98,Tables!$B$3:$D$36,2,FALSE())*AH$1)</f>
        <v>0</v>
      </c>
      <c r="CG98" s="85">
        <f>IF(AY98="",0,VLOOKUP(M98,Tables!$B$3:$D$36,2,FALSE())*AI$1)</f>
        <v>0</v>
      </c>
      <c r="CH98" s="72">
        <f>IF(AZ98="",0,VLOOKUP(N98,Tables!$B$3:$D$36,2,FALSE())*AJ$1)</f>
        <v>0</v>
      </c>
      <c r="CI98" s="72">
        <f>IF(BA98="",0,VLOOKUP(O98,Tables!$B$3:$D$36,2,FALSE())*AK$1)</f>
        <v>0</v>
      </c>
      <c r="CJ98" s="86">
        <f>IF(BB98="",0,VLOOKUP(P98,Tables!$B$3:$D$36,2,FALSE())*AL$1)</f>
        <v>0</v>
      </c>
      <c r="CK98" s="87">
        <f>IF(AN98="",0,VLOOKUP(B98,Tables!$B$3:$D$36,3,FALSE())*X$1)*IF(OR(AN98="K",AN98="P"),2,1)</f>
        <v>0.1</v>
      </c>
      <c r="CL98" s="73">
        <f>IF(AO98="",0,VLOOKUP(C98,Tables!$B$3:$D$36,3,FALSE())*Y$1)*IF(OR(AO98="K",AO98="P"),2,1)</f>
        <v>0</v>
      </c>
      <c r="CM98" s="73">
        <f>IF(AP98="",0,VLOOKUP(D98,Tables!$B$3:$D$36,3,FALSE())*Z$1)*IF(OR(AP98="K",AP98="P"),2,1)</f>
        <v>0.05</v>
      </c>
      <c r="CN98" s="87">
        <f>IF(AQ98="",0,VLOOKUP(E98,Tables!$B$3:$D$36,3,FALSE())*AA$1)</f>
        <v>0</v>
      </c>
      <c r="CO98" s="73">
        <f>IF(AR98="",0,VLOOKUP(F98,Tables!$B$3:$D$36,3,FALSE())*AB$1)</f>
        <v>0</v>
      </c>
      <c r="CP98" s="73">
        <f>IF(AS98="",0,VLOOKUP(G98,Tables!$B$3:$D$36,3,FALSE())*AC$1)</f>
        <v>0</v>
      </c>
      <c r="CQ98" s="73">
        <f>IF(AT98="",0,VLOOKUP(H98,Tables!$B$3:$D$36,3,FALSE())*AD$1)</f>
        <v>0</v>
      </c>
      <c r="CR98" s="73">
        <f>IF(AU98="",0,VLOOKUP(I98,Tables!$B$3:$D$36,3,FALSE())*AE$1)</f>
        <v>0</v>
      </c>
      <c r="CS98" s="87">
        <f>IF(AV98="",0,VLOOKUP(J98,Tables!$B$3:$D$36,3,FALSE())*AF$1)</f>
        <v>0</v>
      </c>
      <c r="CT98" s="73">
        <f>IF(AW98="",0,VLOOKUP(K98,Tables!$B$3:$D$36,3,FALSE())*AG$1)</f>
        <v>0</v>
      </c>
      <c r="CU98" s="73">
        <f>IF(AX98="",0,VLOOKUP(L98,Tables!$B$3:$D$36,3,FALSE())*AH$1)</f>
        <v>0</v>
      </c>
      <c r="CV98" s="87">
        <f>IF(AY98="",0,VLOOKUP(M98,Tables!$B$3:$D$36,3,FALSE())*AI$1)</f>
        <v>0</v>
      </c>
      <c r="CW98" s="73">
        <f>IF(AZ98="",0,VLOOKUP(N98,Tables!$B$3:$D$36,3,FALSE())*AJ$1)</f>
        <v>0</v>
      </c>
      <c r="CX98" s="73">
        <f>IF(BA98="",0,VLOOKUP(O98,Tables!$B$3:$D$36,3,FALSE())*AK$1)</f>
        <v>0</v>
      </c>
      <c r="CY98" s="88">
        <f>IF(BB98="",0,VLOOKUP(P98,Tables!$B$3:$D$36,3,FALSE())*AL$1)</f>
        <v>0</v>
      </c>
      <c r="CZ98" s="89">
        <f t="shared" si="96"/>
        <v>1</v>
      </c>
      <c r="DA98" s="75">
        <f t="shared" si="97"/>
        <v>0</v>
      </c>
      <c r="DB98" s="75">
        <f t="shared" si="98"/>
        <v>1</v>
      </c>
      <c r="DC98" s="89">
        <f t="shared" si="99"/>
        <v>0</v>
      </c>
      <c r="DD98" s="75">
        <f t="shared" si="100"/>
        <v>0</v>
      </c>
      <c r="DE98" s="75">
        <f t="shared" si="101"/>
        <v>0</v>
      </c>
      <c r="DF98" s="75">
        <f t="shared" si="102"/>
        <v>0</v>
      </c>
      <c r="DG98" s="75">
        <f t="shared" si="103"/>
        <v>0</v>
      </c>
      <c r="DH98" s="89">
        <f t="shared" si="104"/>
        <v>0</v>
      </c>
      <c r="DI98" s="75">
        <f t="shared" si="105"/>
        <v>0</v>
      </c>
      <c r="DJ98" s="75">
        <f t="shared" si="106"/>
        <v>0</v>
      </c>
      <c r="DK98" s="89">
        <f t="shared" si="107"/>
        <v>0</v>
      </c>
      <c r="DL98" s="75">
        <f t="shared" si="108"/>
        <v>0</v>
      </c>
      <c r="DM98" s="75">
        <f t="shared" si="109"/>
        <v>0</v>
      </c>
      <c r="DN98" s="90">
        <f t="shared" si="110"/>
        <v>0</v>
      </c>
      <c r="DO98" s="91">
        <f>IF(AN98="",0,VLOOKUP(B98,Tables!$B$3:$M$36,11,FALSE())*X$1)</f>
        <v>0.8</v>
      </c>
      <c r="DP98" s="92">
        <f>IF(AO98="",0,VLOOKUP(C98,Tables!$B$3:$M$36,11,FALSE())*Y$1)</f>
        <v>0</v>
      </c>
      <c r="DQ98" s="92">
        <f>IF(AP98="",0,VLOOKUP(D98,Tables!$B$3:$M$36,11,FALSE())*Z$1)</f>
        <v>0.4</v>
      </c>
      <c r="DR98" s="91">
        <f>IF(AQ98="",0,VLOOKUP(E98,Tables!$B$3:$M$36,11,FALSE())*AA$1)</f>
        <v>0</v>
      </c>
      <c r="DS98" s="92">
        <f>IF(AR98="",0,VLOOKUP(F98,Tables!$B$3:$M$36,11,FALSE())*AB$1)</f>
        <v>0</v>
      </c>
      <c r="DT98" s="92">
        <f>IF(AS98="",0,VLOOKUP(G98,Tables!$B$3:$M$36,11,FALSE())*AC$1)</f>
        <v>0</v>
      </c>
      <c r="DU98" s="92">
        <f>IF(AT98="",0,VLOOKUP(H98,Tables!$B$3:$M$36,11,FALSE())*AD$1)</f>
        <v>0</v>
      </c>
      <c r="DV98" s="92">
        <f>IF(AU98="",0,VLOOKUP(I98,Tables!$B$3:$M$36,11,FALSE())*AE$1)</f>
        <v>0</v>
      </c>
      <c r="DW98" s="91">
        <f>IF(AV98="",0,VLOOKUP(J98,Tables!$B$3:$M$36,11,FALSE())*AF$1)</f>
        <v>0</v>
      </c>
      <c r="DX98" s="92">
        <f>IF(AW98="",0,VLOOKUP(K98,Tables!$B$3:$M$36,11,FALSE())*AG$1)</f>
        <v>0</v>
      </c>
      <c r="DY98" s="92">
        <f>IF(AX98="",0,VLOOKUP(L98,Tables!$B$3:$M$36,11,FALSE())*AH$1)</f>
        <v>0</v>
      </c>
      <c r="DZ98" s="91">
        <f>IF(AY98="",0,VLOOKUP(M98,Tables!$B$3:$M$36,11,FALSE())*AI$1)</f>
        <v>0</v>
      </c>
      <c r="EA98" s="92">
        <f>IF(AZ98="",0,VLOOKUP(N98,Tables!$B$3:$M$36,11,FALSE())*AJ$1)</f>
        <v>0</v>
      </c>
      <c r="EB98" s="92">
        <f>IF(BA98="",0,VLOOKUP(O98,Tables!$B$3:$M$36,11,FALSE())*AK$1)</f>
        <v>0</v>
      </c>
      <c r="EC98" s="93">
        <f>IF(BB98="",0,VLOOKUP(P98,Tables!$B$3:$M$36,11,FALSE())*AL$1)</f>
        <v>0</v>
      </c>
      <c r="ED98" s="91">
        <f>IF(AN98="",0,VLOOKUP(B98,Tables!$B$3:$M$36,12,FALSE())*X$1)</f>
        <v>2.4</v>
      </c>
      <c r="EE98" s="92">
        <f>IF(AO98="",0,VLOOKUP(C98,Tables!$B$3:$M$36,12,FALSE())*Y$1)</f>
        <v>0</v>
      </c>
      <c r="EF98" s="92">
        <f>IF(AP98="",0,VLOOKUP(D98,Tables!$B$3:$M$36,12,FALSE())*Z$1)</f>
        <v>1.2</v>
      </c>
      <c r="EG98" s="91">
        <f>IF(AQ98="",0,VLOOKUP(E98,Tables!$B$3:$M$36,12,FALSE())*AA$1)</f>
        <v>0</v>
      </c>
      <c r="EH98" s="92">
        <f>IF(AR98="",0,VLOOKUP(F98,Tables!$B$3:$M$36,12,FALSE())*AB$1)</f>
        <v>0</v>
      </c>
      <c r="EI98" s="92">
        <f>IF(AS98="",0,VLOOKUP(G98,Tables!$B$3:$M$36,12,FALSE())*AC$1)</f>
        <v>0</v>
      </c>
      <c r="EJ98" s="92">
        <f>IF(AT98="",0,VLOOKUP(H98,Tables!$B$3:$M$36,12,FALSE())*AD$1)</f>
        <v>0</v>
      </c>
      <c r="EK98" s="92">
        <f>IF(AU98="",0,VLOOKUP(I98,Tables!$B$3:$M$36,12,FALSE())*AE$1)</f>
        <v>0</v>
      </c>
      <c r="EL98" s="91">
        <f>IF(AV98="",0,VLOOKUP(J98,Tables!$B$3:$M$36,12,FALSE())*AF$1)</f>
        <v>0</v>
      </c>
      <c r="EM98" s="92">
        <f>IF(AW98="",0,VLOOKUP(K98,Tables!$B$3:$M$36,12,FALSE())*AG$1)</f>
        <v>0</v>
      </c>
      <c r="EN98" s="92">
        <f>IF(AX98="",0,VLOOKUP(L98,Tables!$B$3:$M$36,12,FALSE())*AH$1)</f>
        <v>0</v>
      </c>
      <c r="EO98" s="91">
        <f>IF(AY98="",0,VLOOKUP(M98,Tables!$B$3:$M$36,12,FALSE())*AI$1)</f>
        <v>0</v>
      </c>
      <c r="EP98" s="92">
        <f>IF(AZ98="",0,VLOOKUP(N98,Tables!$B$3:$M$36,12,FALSE())*AJ$1)</f>
        <v>0</v>
      </c>
      <c r="EQ98" s="92">
        <f>IF(BA98="",0,VLOOKUP(O98,Tables!$B$3:$M$36,12,FALSE())*AK$1)</f>
        <v>0</v>
      </c>
      <c r="ER98" s="93">
        <f>IF(BB98="",0,VLOOKUP(P98,Tables!$B$3:$M$36,12,FALSE())*AL$1)</f>
        <v>0</v>
      </c>
      <c r="ES98" s="94">
        <f t="shared" si="111"/>
        <v>0</v>
      </c>
      <c r="ET98" s="95">
        <f>IF(AN98="",10,MIN(VLOOKUP(B98,MATERIAL,13,FALSE()),'Item Builder'!$W98))</f>
        <v>0</v>
      </c>
      <c r="EU98" s="95">
        <f>IF(AO98="",10,MIN(VLOOKUP(C98,MATERIAL,13,FALSE()),'Item Builder'!$W98))</f>
        <v>10</v>
      </c>
      <c r="EV98" s="95">
        <f>IF(AP98="",10,MIN(VLOOKUP(D98,MATERIAL,13,FALSE()),'Item Builder'!$W98))</f>
        <v>0</v>
      </c>
      <c r="EW98" s="95">
        <f>IF(AQ98="",10,MIN(VLOOKUP(E98,MATERIAL,13,FALSE()),'Item Builder'!$W98))</f>
        <v>10</v>
      </c>
      <c r="EX98" s="95">
        <f>IF(AR98="",10,MIN(VLOOKUP(F98,MATERIAL,13,FALSE()),'Item Builder'!$W98))</f>
        <v>10</v>
      </c>
      <c r="EY98" s="95">
        <f>IF(AS98="",10,MIN(VLOOKUP(G98,MATERIAL,13,FALSE()),'Item Builder'!$W98))</f>
        <v>10</v>
      </c>
      <c r="EZ98" s="95">
        <f>IF(AT98="",10,MIN(VLOOKUP(H98,MATERIAL,13,FALSE()),'Item Builder'!$W98))</f>
        <v>10</v>
      </c>
      <c r="FA98" s="95">
        <f>IF(AU98="",10,MIN(VLOOKUP(I98,MATERIAL,13,FALSE()),'Item Builder'!$W98))</f>
        <v>10</v>
      </c>
      <c r="FB98" s="95">
        <f>IF(AV98="",10,MIN(VLOOKUP(J98,MATERIAL,13,FALSE()),'Item Builder'!$W98))</f>
        <v>10</v>
      </c>
      <c r="FC98" s="95">
        <f>IF(AW98="",10,MIN(VLOOKUP(K98,MATERIAL,13,FALSE()),'Item Builder'!$W98))</f>
        <v>10</v>
      </c>
      <c r="FD98" s="95">
        <f>IF(AX98="",10,MIN(VLOOKUP(L98,MATERIAL,13,FALSE()),'Item Builder'!$W98))</f>
        <v>10</v>
      </c>
      <c r="FE98" s="95">
        <f>IF(AY98="",10,MIN(VLOOKUP(M98,MATERIAL,13,FALSE()),'Item Builder'!$W98))</f>
        <v>10</v>
      </c>
      <c r="FF98" s="95">
        <f>IF(AZ98="",10,MIN(VLOOKUP(N98,MATERIAL,13,FALSE()),'Item Builder'!$W98))</f>
        <v>10</v>
      </c>
      <c r="FG98" s="95">
        <f>IF(BA98="",10,MIN(VLOOKUP(O98,MATERIAL,13,FALSE()),'Item Builder'!$W98))</f>
        <v>10</v>
      </c>
      <c r="FH98" s="95">
        <f>IF(BB98="",10,MIN(VLOOKUP(P98,MATERIAL,13,FALSE()),'Item Builder'!$W98))</f>
        <v>10</v>
      </c>
    </row>
    <row r="99" spans="1:164" x14ac:dyDescent="0.25">
      <c r="A99" s="67" t="s">
        <v>239</v>
      </c>
      <c r="B99" s="68"/>
      <c r="C99" s="69"/>
      <c r="D99" s="70"/>
      <c r="E99" s="68" t="s">
        <v>155</v>
      </c>
      <c r="F99" s="69" t="s">
        <v>155</v>
      </c>
      <c r="G99" s="69"/>
      <c r="H99" s="69"/>
      <c r="I99" s="70"/>
      <c r="J99" s="68" t="s">
        <v>155</v>
      </c>
      <c r="K99" s="69"/>
      <c r="L99" s="70"/>
      <c r="M99" s="68"/>
      <c r="N99" s="69"/>
      <c r="O99" s="69"/>
      <c r="P99" s="71"/>
      <c r="Q99" s="72">
        <f>SUM(BV99:CJ99)*VLOOKUP(W99,Tables!$W$3:$Z$8,4)</f>
        <v>16.799999999999997</v>
      </c>
      <c r="R99" s="73">
        <f t="shared" si="56"/>
        <v>0.52499999999999991</v>
      </c>
      <c r="S99" s="74">
        <f t="shared" si="57"/>
        <v>0</v>
      </c>
      <c r="T99" s="74">
        <f t="shared" si="58"/>
        <v>0</v>
      </c>
      <c r="U99" s="75">
        <f t="shared" si="59"/>
        <v>4.1999999999999993</v>
      </c>
      <c r="V99" s="76">
        <f t="shared" si="60"/>
        <v>12.599999999999998</v>
      </c>
      <c r="W99" s="77">
        <v>0</v>
      </c>
      <c r="X99" s="78">
        <f t="shared" si="61"/>
        <v>0</v>
      </c>
      <c r="Y99" s="79">
        <f t="shared" si="62"/>
        <v>0</v>
      </c>
      <c r="Z99" s="79">
        <f t="shared" si="63"/>
        <v>0</v>
      </c>
      <c r="AA99" s="78">
        <f t="shared" si="64"/>
        <v>1</v>
      </c>
      <c r="AB99" s="79">
        <f t="shared" si="65"/>
        <v>1</v>
      </c>
      <c r="AC99" s="79">
        <f t="shared" si="66"/>
        <v>0</v>
      </c>
      <c r="AD99" s="79">
        <f t="shared" si="67"/>
        <v>0</v>
      </c>
      <c r="AE99" s="79">
        <f t="shared" si="68"/>
        <v>0</v>
      </c>
      <c r="AF99" s="78">
        <f t="shared" si="69"/>
        <v>1</v>
      </c>
      <c r="AG99" s="79">
        <f t="shared" si="70"/>
        <v>0</v>
      </c>
      <c r="AH99" s="79">
        <f t="shared" si="71"/>
        <v>0</v>
      </c>
      <c r="AI99" s="78">
        <f t="shared" si="72"/>
        <v>0</v>
      </c>
      <c r="AJ99" s="79">
        <f t="shared" si="73"/>
        <v>0</v>
      </c>
      <c r="AK99" s="79">
        <f t="shared" si="74"/>
        <v>0</v>
      </c>
      <c r="AL99" s="80">
        <f t="shared" si="75"/>
        <v>0</v>
      </c>
      <c r="AM99" s="81">
        <f t="shared" si="76"/>
        <v>0.21</v>
      </c>
      <c r="AN99" s="82" t="str">
        <f t="shared" si="77"/>
        <v/>
      </c>
      <c r="AO99" s="79" t="str">
        <f t="shared" si="78"/>
        <v/>
      </c>
      <c r="AP99" t="str">
        <f t="shared" si="79"/>
        <v/>
      </c>
      <c r="AQ99" s="82" t="str">
        <f t="shared" si="80"/>
        <v>X</v>
      </c>
      <c r="AR99" t="str">
        <f t="shared" si="81"/>
        <v>X</v>
      </c>
      <c r="AS99" t="str">
        <f t="shared" si="82"/>
        <v/>
      </c>
      <c r="AT99" t="str">
        <f t="shared" si="83"/>
        <v/>
      </c>
      <c r="AU99" t="str">
        <f t="shared" si="84"/>
        <v/>
      </c>
      <c r="AV99" s="82" t="str">
        <f t="shared" si="85"/>
        <v>X</v>
      </c>
      <c r="AW99" t="str">
        <f t="shared" si="86"/>
        <v/>
      </c>
      <c r="AX99" t="str">
        <f t="shared" si="87"/>
        <v/>
      </c>
      <c r="AY99" s="82" t="str">
        <f t="shared" si="88"/>
        <v/>
      </c>
      <c r="AZ99" t="str">
        <f t="shared" si="89"/>
        <v/>
      </c>
      <c r="BA99" t="str">
        <f t="shared" si="90"/>
        <v/>
      </c>
      <c r="BB99" s="83" t="str">
        <f t="shared" si="91"/>
        <v/>
      </c>
      <c r="BC99" s="84">
        <f t="shared" si="92"/>
        <v>0</v>
      </c>
      <c r="BD99" s="84">
        <f t="shared" si="93"/>
        <v>0.42857142857142849</v>
      </c>
      <c r="BE99" s="84">
        <f t="shared" si="94"/>
        <v>0.35294117647058826</v>
      </c>
      <c r="BF99" s="84">
        <f t="shared" si="95"/>
        <v>0</v>
      </c>
      <c r="BG99" s="78">
        <f>IF(AN99="",0,VLOOKUP(AN99,Tables!$AB$3:$AC$12,2))</f>
        <v>0</v>
      </c>
      <c r="BH99" s="79">
        <f>IF(AO99="",0,VLOOKUP(AO99,Tables!$AB$3:$AC$12,2))</f>
        <v>0</v>
      </c>
      <c r="BI99" s="79">
        <f>IF(AP99="",0,VLOOKUP(AP99,Tables!$AB$3:$AC$12,2))</f>
        <v>0</v>
      </c>
      <c r="BJ99" s="78">
        <f>IF(AQ99="",0,VLOOKUP(AQ99,Tables!$AB$3:$AC$12,2))</f>
        <v>1</v>
      </c>
      <c r="BK99" s="79">
        <f>IF(AR99="",0,VLOOKUP(AR99,Tables!$AB$3:$AC$12,2))</f>
        <v>1</v>
      </c>
      <c r="BL99" s="79">
        <f>IF(AS99="",0,VLOOKUP(AS99,Tables!$AB$3:$AC$12,2))</f>
        <v>0</v>
      </c>
      <c r="BM99" s="79">
        <f>IF(AT99="",0,VLOOKUP(AT99,Tables!$AB$3:$AC$12,2))</f>
        <v>0</v>
      </c>
      <c r="BN99" s="79">
        <f>IF(AU99="",0,VLOOKUP(AU99,Tables!$AB$3:$AC$12,2))</f>
        <v>0</v>
      </c>
      <c r="BO99" s="78">
        <f>IF(AV99="",0,VLOOKUP(AV99,Tables!$AB$3:$AC$12,2))</f>
        <v>1</v>
      </c>
      <c r="BP99" s="79">
        <f>IF(AW99="",0,VLOOKUP(AW99,Tables!$AB$3:$AC$12,2))</f>
        <v>0</v>
      </c>
      <c r="BQ99" s="79">
        <f>IF(AX99="",0,VLOOKUP(AX99,Tables!$AB$3:$AC$12,2))</f>
        <v>0</v>
      </c>
      <c r="BR99" s="78">
        <f>IF(AY99="",0,VLOOKUP(AY99,Tables!$AB$3:$AC$12,2))</f>
        <v>0</v>
      </c>
      <c r="BS99" s="79">
        <f>IF(AZ99="",0,VLOOKUP(AZ99,Tables!$AB$3:$AC$12,2))</f>
        <v>0</v>
      </c>
      <c r="BT99" s="79">
        <f>IF(BA99="",0,VLOOKUP(BA99,Tables!$AB$3:$AC$12,2))</f>
        <v>0</v>
      </c>
      <c r="BU99" s="80">
        <f>IF(BB99="",0,VLOOKUP(BB99,Tables!$AB$3:$AC$12,2))</f>
        <v>0</v>
      </c>
      <c r="BV99" s="85">
        <f>IF(AN99="",0,VLOOKUP(B99,Tables!$B$3:$D$36,2,FALSE())*X$1)</f>
        <v>0</v>
      </c>
      <c r="BW99" s="72">
        <f>IF(AO99="",0,VLOOKUP(C99,Tables!$B$3:$D$36,2,FALSE())*Y$1)</f>
        <v>0</v>
      </c>
      <c r="BX99" s="72">
        <f>IF(AP99="",0,VLOOKUP(D99,Tables!$B$3:$D$36,2,FALSE())*Z$1)</f>
        <v>0</v>
      </c>
      <c r="BY99" s="85">
        <f>IF(AQ99="",0,VLOOKUP(E99,Tables!$B$3:$D$36,2,FALSE())*AA$1)</f>
        <v>2.4</v>
      </c>
      <c r="BZ99" s="72">
        <f>IF(AR99="",0,VLOOKUP(F99,Tables!$B$3:$D$36,2,FALSE())*AB$1)</f>
        <v>4.8</v>
      </c>
      <c r="CA99" s="72">
        <f>IF(AS99="",0,VLOOKUP(G99,Tables!$B$3:$D$36,2,FALSE())*AC$1)</f>
        <v>0</v>
      </c>
      <c r="CB99" s="72">
        <f>IF(AT99="",0,VLOOKUP(H99,Tables!$B$3:$D$36,2,FALSE())*AD$1)</f>
        <v>0</v>
      </c>
      <c r="CC99" s="72">
        <f>IF(AU99="",0,VLOOKUP(I99,Tables!$B$3:$D$36,2,FALSE())*AE$1)</f>
        <v>0</v>
      </c>
      <c r="CD99" s="85">
        <f>IF(AV99="",0,VLOOKUP(J99,Tables!$B$3:$D$36,2,FALSE())*AF$1)</f>
        <v>9.6</v>
      </c>
      <c r="CE99" s="72">
        <f>IF(AW99="",0,VLOOKUP(K99,Tables!$B$3:$D$36,2,FALSE())*AG$1)</f>
        <v>0</v>
      </c>
      <c r="CF99" s="72">
        <f>IF(AX99="",0,VLOOKUP(L99,Tables!$B$3:$D$36,2,FALSE())*AH$1)</f>
        <v>0</v>
      </c>
      <c r="CG99" s="85">
        <f>IF(AY99="",0,VLOOKUP(M99,Tables!$B$3:$D$36,2,FALSE())*AI$1)</f>
        <v>0</v>
      </c>
      <c r="CH99" s="72">
        <f>IF(AZ99="",0,VLOOKUP(N99,Tables!$B$3:$D$36,2,FALSE())*AJ$1)</f>
        <v>0</v>
      </c>
      <c r="CI99" s="72">
        <f>IF(BA99="",0,VLOOKUP(O99,Tables!$B$3:$D$36,2,FALSE())*AK$1)</f>
        <v>0</v>
      </c>
      <c r="CJ99" s="86">
        <f>IF(BB99="",0,VLOOKUP(P99,Tables!$B$3:$D$36,2,FALSE())*AL$1)</f>
        <v>0</v>
      </c>
      <c r="CK99" s="87">
        <f>IF(AN99="",0,VLOOKUP(B99,Tables!$B$3:$D$36,3,FALSE())*X$1)*IF(OR(AN99="K",AN99="P"),2,1)</f>
        <v>0</v>
      </c>
      <c r="CL99" s="73">
        <f>IF(AO99="",0,VLOOKUP(C99,Tables!$B$3:$D$36,3,FALSE())*Y$1)*IF(OR(AO99="K",AO99="P"),2,1)</f>
        <v>0</v>
      </c>
      <c r="CM99" s="73">
        <f>IF(AP99="",0,VLOOKUP(D99,Tables!$B$3:$D$36,3,FALSE())*Z$1)*IF(OR(AP99="K",AP99="P"),2,1)</f>
        <v>0</v>
      </c>
      <c r="CN99" s="87">
        <f>IF(AQ99="",0,VLOOKUP(E99,Tables!$B$3:$D$36,3,FALSE())*AA$1)</f>
        <v>7.4999999999999997E-2</v>
      </c>
      <c r="CO99" s="73">
        <f>IF(AR99="",0,VLOOKUP(F99,Tables!$B$3:$D$36,3,FALSE())*AB$1)</f>
        <v>0.15</v>
      </c>
      <c r="CP99" s="73">
        <f>IF(AS99="",0,VLOOKUP(G99,Tables!$B$3:$D$36,3,FALSE())*AC$1)</f>
        <v>0</v>
      </c>
      <c r="CQ99" s="73">
        <f>IF(AT99="",0,VLOOKUP(H99,Tables!$B$3:$D$36,3,FALSE())*AD$1)</f>
        <v>0</v>
      </c>
      <c r="CR99" s="73">
        <f>IF(AU99="",0,VLOOKUP(I99,Tables!$B$3:$D$36,3,FALSE())*AE$1)</f>
        <v>0</v>
      </c>
      <c r="CS99" s="87">
        <f>IF(AV99="",0,VLOOKUP(J99,Tables!$B$3:$D$36,3,FALSE())*AF$1)</f>
        <v>0.3</v>
      </c>
      <c r="CT99" s="73">
        <f>IF(AW99="",0,VLOOKUP(K99,Tables!$B$3:$D$36,3,FALSE())*AG$1)</f>
        <v>0</v>
      </c>
      <c r="CU99" s="73">
        <f>IF(AX99="",0,VLOOKUP(L99,Tables!$B$3:$D$36,3,FALSE())*AH$1)</f>
        <v>0</v>
      </c>
      <c r="CV99" s="87">
        <f>IF(AY99="",0,VLOOKUP(M99,Tables!$B$3:$D$36,3,FALSE())*AI$1)</f>
        <v>0</v>
      </c>
      <c r="CW99" s="73">
        <f>IF(AZ99="",0,VLOOKUP(N99,Tables!$B$3:$D$36,3,FALSE())*AJ$1)</f>
        <v>0</v>
      </c>
      <c r="CX99" s="73">
        <f>IF(BA99="",0,VLOOKUP(O99,Tables!$B$3:$D$36,3,FALSE())*AK$1)</f>
        <v>0</v>
      </c>
      <c r="CY99" s="88">
        <f>IF(BB99="",0,VLOOKUP(P99,Tables!$B$3:$D$36,3,FALSE())*AL$1)</f>
        <v>0</v>
      </c>
      <c r="CZ99" s="89">
        <f t="shared" si="96"/>
        <v>0</v>
      </c>
      <c r="DA99" s="75">
        <f t="shared" si="97"/>
        <v>0</v>
      </c>
      <c r="DB99" s="75">
        <f t="shared" si="98"/>
        <v>0</v>
      </c>
      <c r="DC99" s="89">
        <f t="shared" si="99"/>
        <v>1</v>
      </c>
      <c r="DD99" s="75">
        <f t="shared" si="100"/>
        <v>1</v>
      </c>
      <c r="DE99" s="75">
        <f t="shared" si="101"/>
        <v>0</v>
      </c>
      <c r="DF99" s="75">
        <f t="shared" si="102"/>
        <v>0</v>
      </c>
      <c r="DG99" s="75">
        <f t="shared" si="103"/>
        <v>0</v>
      </c>
      <c r="DH99" s="89">
        <f t="shared" si="104"/>
        <v>1</v>
      </c>
      <c r="DI99" s="75">
        <f t="shared" si="105"/>
        <v>0</v>
      </c>
      <c r="DJ99" s="75">
        <f t="shared" si="106"/>
        <v>0</v>
      </c>
      <c r="DK99" s="89">
        <f t="shared" si="107"/>
        <v>0</v>
      </c>
      <c r="DL99" s="75">
        <f t="shared" si="108"/>
        <v>0</v>
      </c>
      <c r="DM99" s="75">
        <f t="shared" si="109"/>
        <v>0</v>
      </c>
      <c r="DN99" s="90">
        <f t="shared" si="110"/>
        <v>0</v>
      </c>
      <c r="DO99" s="91">
        <f>IF(AN99="",0,VLOOKUP(B99,Tables!$B$3:$M$36,11,FALSE())*X$1)</f>
        <v>0</v>
      </c>
      <c r="DP99" s="92">
        <f>IF(AO99="",0,VLOOKUP(C99,Tables!$B$3:$M$36,11,FALSE())*Y$1)</f>
        <v>0</v>
      </c>
      <c r="DQ99" s="92">
        <f>IF(AP99="",0,VLOOKUP(D99,Tables!$B$3:$M$36,11,FALSE())*Z$1)</f>
        <v>0</v>
      </c>
      <c r="DR99" s="91">
        <f>IF(AQ99="",0,VLOOKUP(E99,Tables!$B$3:$M$36,11,FALSE())*AA$1)</f>
        <v>0.6</v>
      </c>
      <c r="DS99" s="92">
        <f>IF(AR99="",0,VLOOKUP(F99,Tables!$B$3:$M$36,11,FALSE())*AB$1)</f>
        <v>1.2</v>
      </c>
      <c r="DT99" s="92">
        <f>IF(AS99="",0,VLOOKUP(G99,Tables!$B$3:$M$36,11,FALSE())*AC$1)</f>
        <v>0</v>
      </c>
      <c r="DU99" s="92">
        <f>IF(AT99="",0,VLOOKUP(H99,Tables!$B$3:$M$36,11,FALSE())*AD$1)</f>
        <v>0</v>
      </c>
      <c r="DV99" s="92">
        <f>IF(AU99="",0,VLOOKUP(I99,Tables!$B$3:$M$36,11,FALSE())*AE$1)</f>
        <v>0</v>
      </c>
      <c r="DW99" s="91">
        <f>IF(AV99="",0,VLOOKUP(J99,Tables!$B$3:$M$36,11,FALSE())*AF$1)</f>
        <v>2.4</v>
      </c>
      <c r="DX99" s="92">
        <f>IF(AW99="",0,VLOOKUP(K99,Tables!$B$3:$M$36,11,FALSE())*AG$1)</f>
        <v>0</v>
      </c>
      <c r="DY99" s="92">
        <f>IF(AX99="",0,VLOOKUP(L99,Tables!$B$3:$M$36,11,FALSE())*AH$1)</f>
        <v>0</v>
      </c>
      <c r="DZ99" s="91">
        <f>IF(AY99="",0,VLOOKUP(M99,Tables!$B$3:$M$36,11,FALSE())*AI$1)</f>
        <v>0</v>
      </c>
      <c r="EA99" s="92">
        <f>IF(AZ99="",0,VLOOKUP(N99,Tables!$B$3:$M$36,11,FALSE())*AJ$1)</f>
        <v>0</v>
      </c>
      <c r="EB99" s="92">
        <f>IF(BA99="",0,VLOOKUP(O99,Tables!$B$3:$M$36,11,FALSE())*AK$1)</f>
        <v>0</v>
      </c>
      <c r="EC99" s="93">
        <f>IF(BB99="",0,VLOOKUP(P99,Tables!$B$3:$M$36,11,FALSE())*AL$1)</f>
        <v>0</v>
      </c>
      <c r="ED99" s="91">
        <f>IF(AN99="",0,VLOOKUP(B99,Tables!$B$3:$M$36,12,FALSE())*X$1)</f>
        <v>0</v>
      </c>
      <c r="EE99" s="92">
        <f>IF(AO99="",0,VLOOKUP(C99,Tables!$B$3:$M$36,12,FALSE())*Y$1)</f>
        <v>0</v>
      </c>
      <c r="EF99" s="92">
        <f>IF(AP99="",0,VLOOKUP(D99,Tables!$B$3:$M$36,12,FALSE())*Z$1)</f>
        <v>0</v>
      </c>
      <c r="EG99" s="91">
        <f>IF(AQ99="",0,VLOOKUP(E99,Tables!$B$3:$M$36,12,FALSE())*AA$1)</f>
        <v>1.7999999999999998</v>
      </c>
      <c r="EH99" s="92">
        <f>IF(AR99="",0,VLOOKUP(F99,Tables!$B$3:$M$36,12,FALSE())*AB$1)</f>
        <v>3.5999999999999996</v>
      </c>
      <c r="EI99" s="92">
        <f>IF(AS99="",0,VLOOKUP(G99,Tables!$B$3:$M$36,12,FALSE())*AC$1)</f>
        <v>0</v>
      </c>
      <c r="EJ99" s="92">
        <f>IF(AT99="",0,VLOOKUP(H99,Tables!$B$3:$M$36,12,FALSE())*AD$1)</f>
        <v>0</v>
      </c>
      <c r="EK99" s="92">
        <f>IF(AU99="",0,VLOOKUP(I99,Tables!$B$3:$M$36,12,FALSE())*AE$1)</f>
        <v>0</v>
      </c>
      <c r="EL99" s="91">
        <f>IF(AV99="",0,VLOOKUP(J99,Tables!$B$3:$M$36,12,FALSE())*AF$1)</f>
        <v>7.1999999999999993</v>
      </c>
      <c r="EM99" s="92">
        <f>IF(AW99="",0,VLOOKUP(K99,Tables!$B$3:$M$36,12,FALSE())*AG$1)</f>
        <v>0</v>
      </c>
      <c r="EN99" s="92">
        <f>IF(AX99="",0,VLOOKUP(L99,Tables!$B$3:$M$36,12,FALSE())*AH$1)</f>
        <v>0</v>
      </c>
      <c r="EO99" s="91">
        <f>IF(AY99="",0,VLOOKUP(M99,Tables!$B$3:$M$36,12,FALSE())*AI$1)</f>
        <v>0</v>
      </c>
      <c r="EP99" s="92">
        <f>IF(AZ99="",0,VLOOKUP(N99,Tables!$B$3:$M$36,12,FALSE())*AJ$1)</f>
        <v>0</v>
      </c>
      <c r="EQ99" s="92">
        <f>IF(BA99="",0,VLOOKUP(O99,Tables!$B$3:$M$36,12,FALSE())*AK$1)</f>
        <v>0</v>
      </c>
      <c r="ER99" s="93">
        <f>IF(BB99="",0,VLOOKUP(P99,Tables!$B$3:$M$36,12,FALSE())*AL$1)</f>
        <v>0</v>
      </c>
      <c r="ES99" s="94">
        <f t="shared" si="111"/>
        <v>0</v>
      </c>
      <c r="ET99" s="95">
        <f>IF(AN99="",10,MIN(VLOOKUP(B99,MATERIAL,13,FALSE()),'Item Builder'!$W99))</f>
        <v>10</v>
      </c>
      <c r="EU99" s="95">
        <f>IF(AO99="",10,MIN(VLOOKUP(C99,MATERIAL,13,FALSE()),'Item Builder'!$W99))</f>
        <v>10</v>
      </c>
      <c r="EV99" s="95">
        <f>IF(AP99="",10,MIN(VLOOKUP(D99,MATERIAL,13,FALSE()),'Item Builder'!$W99))</f>
        <v>10</v>
      </c>
      <c r="EW99" s="95">
        <f>IF(AQ99="",10,MIN(VLOOKUP(E99,MATERIAL,13,FALSE()),'Item Builder'!$W99))</f>
        <v>0</v>
      </c>
      <c r="EX99" s="95">
        <f>IF(AR99="",10,MIN(VLOOKUP(F99,MATERIAL,13,FALSE()),'Item Builder'!$W99))</f>
        <v>0</v>
      </c>
      <c r="EY99" s="95">
        <f>IF(AS99="",10,MIN(VLOOKUP(G99,MATERIAL,13,FALSE()),'Item Builder'!$W99))</f>
        <v>10</v>
      </c>
      <c r="EZ99" s="95">
        <f>IF(AT99="",10,MIN(VLOOKUP(H99,MATERIAL,13,FALSE()),'Item Builder'!$W99))</f>
        <v>10</v>
      </c>
      <c r="FA99" s="95">
        <f>IF(AU99="",10,MIN(VLOOKUP(I99,MATERIAL,13,FALSE()),'Item Builder'!$W99))</f>
        <v>10</v>
      </c>
      <c r="FB99" s="95">
        <f>IF(AV99="",10,MIN(VLOOKUP(J99,MATERIAL,13,FALSE()),'Item Builder'!$W99))</f>
        <v>0</v>
      </c>
      <c r="FC99" s="95">
        <f>IF(AW99="",10,MIN(VLOOKUP(K99,MATERIAL,13,FALSE()),'Item Builder'!$W99))</f>
        <v>10</v>
      </c>
      <c r="FD99" s="95">
        <f>IF(AX99="",10,MIN(VLOOKUP(L99,MATERIAL,13,FALSE()),'Item Builder'!$W99))</f>
        <v>10</v>
      </c>
      <c r="FE99" s="95">
        <f>IF(AY99="",10,MIN(VLOOKUP(M99,MATERIAL,13,FALSE()),'Item Builder'!$W99))</f>
        <v>10</v>
      </c>
      <c r="FF99" s="95">
        <f>IF(AZ99="",10,MIN(VLOOKUP(N99,MATERIAL,13,FALSE()),'Item Builder'!$W99))</f>
        <v>10</v>
      </c>
      <c r="FG99" s="95">
        <f>IF(BA99="",10,MIN(VLOOKUP(O99,MATERIAL,13,FALSE()),'Item Builder'!$W99))</f>
        <v>10</v>
      </c>
      <c r="FH99" s="95">
        <f>IF(BB99="",10,MIN(VLOOKUP(P99,MATERIAL,13,FALSE()),'Item Builder'!$W99))</f>
        <v>10</v>
      </c>
    </row>
    <row r="100" spans="1:164" x14ac:dyDescent="0.25">
      <c r="A100" s="67" t="s">
        <v>240</v>
      </c>
      <c r="B100" s="68"/>
      <c r="C100" s="69"/>
      <c r="D100" s="70"/>
      <c r="E100" s="68"/>
      <c r="F100" s="69"/>
      <c r="G100" s="69"/>
      <c r="H100" s="69"/>
      <c r="I100" s="70" t="s">
        <v>155</v>
      </c>
      <c r="J100" s="68"/>
      <c r="K100" s="69"/>
      <c r="L100" s="70"/>
      <c r="M100" s="68"/>
      <c r="N100" s="69"/>
      <c r="O100" s="69"/>
      <c r="P100" s="71"/>
      <c r="Q100" s="72">
        <f>SUM(BV100:CJ100)*VLOOKUP(W100,Tables!$W$3:$Z$8,4)</f>
        <v>4</v>
      </c>
      <c r="R100" s="73">
        <f t="shared" si="56"/>
        <v>0.125</v>
      </c>
      <c r="S100" s="74">
        <f t="shared" si="57"/>
        <v>0</v>
      </c>
      <c r="T100" s="74">
        <f t="shared" si="58"/>
        <v>0</v>
      </c>
      <c r="U100" s="75">
        <f t="shared" si="59"/>
        <v>1</v>
      </c>
      <c r="V100" s="76">
        <f t="shared" si="60"/>
        <v>3</v>
      </c>
      <c r="W100" s="77">
        <v>0</v>
      </c>
      <c r="X100" s="78">
        <f t="shared" si="61"/>
        <v>0</v>
      </c>
      <c r="Y100" s="79">
        <f t="shared" si="62"/>
        <v>0</v>
      </c>
      <c r="Z100" s="79">
        <f t="shared" si="63"/>
        <v>0</v>
      </c>
      <c r="AA100" s="78">
        <f t="shared" si="64"/>
        <v>0</v>
      </c>
      <c r="AB100" s="79">
        <f t="shared" si="65"/>
        <v>0</v>
      </c>
      <c r="AC100" s="79">
        <f t="shared" si="66"/>
        <v>0</v>
      </c>
      <c r="AD100" s="79">
        <f t="shared" si="67"/>
        <v>0</v>
      </c>
      <c r="AE100" s="79">
        <f t="shared" si="68"/>
        <v>1</v>
      </c>
      <c r="AF100" s="78">
        <f t="shared" si="69"/>
        <v>0</v>
      </c>
      <c r="AG100" s="79">
        <f t="shared" si="70"/>
        <v>0</v>
      </c>
      <c r="AH100" s="79">
        <f t="shared" si="71"/>
        <v>0</v>
      </c>
      <c r="AI100" s="78">
        <f t="shared" si="72"/>
        <v>0</v>
      </c>
      <c r="AJ100" s="79">
        <f t="shared" si="73"/>
        <v>0</v>
      </c>
      <c r="AK100" s="79">
        <f t="shared" si="74"/>
        <v>0</v>
      </c>
      <c r="AL100" s="80">
        <f t="shared" si="75"/>
        <v>0</v>
      </c>
      <c r="AM100" s="81">
        <f t="shared" si="76"/>
        <v>0.05</v>
      </c>
      <c r="AN100" s="82" t="str">
        <f t="shared" si="77"/>
        <v/>
      </c>
      <c r="AO100" s="79" t="str">
        <f t="shared" si="78"/>
        <v/>
      </c>
      <c r="AP100" t="str">
        <f t="shared" si="79"/>
        <v/>
      </c>
      <c r="AQ100" s="82" t="str">
        <f t="shared" si="80"/>
        <v/>
      </c>
      <c r="AR100" t="str">
        <f t="shared" si="81"/>
        <v/>
      </c>
      <c r="AS100" t="str">
        <f t="shared" si="82"/>
        <v/>
      </c>
      <c r="AT100" t="str">
        <f t="shared" si="83"/>
        <v/>
      </c>
      <c r="AU100" t="str">
        <f t="shared" si="84"/>
        <v>X</v>
      </c>
      <c r="AV100" s="82" t="str">
        <f t="shared" si="85"/>
        <v/>
      </c>
      <c r="AW100" t="str">
        <f t="shared" si="86"/>
        <v/>
      </c>
      <c r="AX100" t="str">
        <f t="shared" si="87"/>
        <v/>
      </c>
      <c r="AY100" s="82" t="str">
        <f t="shared" si="88"/>
        <v/>
      </c>
      <c r="AZ100" t="str">
        <f t="shared" si="89"/>
        <v/>
      </c>
      <c r="BA100" t="str">
        <f t="shared" si="90"/>
        <v/>
      </c>
      <c r="BB100" s="83" t="str">
        <f t="shared" si="91"/>
        <v/>
      </c>
      <c r="BC100" s="84">
        <f t="shared" si="92"/>
        <v>0</v>
      </c>
      <c r="BD100" s="84">
        <f t="shared" si="93"/>
        <v>0.23809523809523808</v>
      </c>
      <c r="BE100" s="84">
        <f t="shared" si="94"/>
        <v>0</v>
      </c>
      <c r="BF100" s="84">
        <f t="shared" si="95"/>
        <v>0</v>
      </c>
      <c r="BG100" s="78">
        <f>IF(AN100="",0,VLOOKUP(AN100,Tables!$AB$3:$AC$12,2))</f>
        <v>0</v>
      </c>
      <c r="BH100" s="79">
        <f>IF(AO100="",0,VLOOKUP(AO100,Tables!$AB$3:$AC$12,2))</f>
        <v>0</v>
      </c>
      <c r="BI100" s="79">
        <f>IF(AP100="",0,VLOOKUP(AP100,Tables!$AB$3:$AC$12,2))</f>
        <v>0</v>
      </c>
      <c r="BJ100" s="78">
        <f>IF(AQ100="",0,VLOOKUP(AQ100,Tables!$AB$3:$AC$12,2))</f>
        <v>0</v>
      </c>
      <c r="BK100" s="79">
        <f>IF(AR100="",0,VLOOKUP(AR100,Tables!$AB$3:$AC$12,2))</f>
        <v>0</v>
      </c>
      <c r="BL100" s="79">
        <f>IF(AS100="",0,VLOOKUP(AS100,Tables!$AB$3:$AC$12,2))</f>
        <v>0</v>
      </c>
      <c r="BM100" s="79">
        <f>IF(AT100="",0,VLOOKUP(AT100,Tables!$AB$3:$AC$12,2))</f>
        <v>0</v>
      </c>
      <c r="BN100" s="79">
        <f>IF(AU100="",0,VLOOKUP(AU100,Tables!$AB$3:$AC$12,2))</f>
        <v>1</v>
      </c>
      <c r="BO100" s="78">
        <f>IF(AV100="",0,VLOOKUP(AV100,Tables!$AB$3:$AC$12,2))</f>
        <v>0</v>
      </c>
      <c r="BP100" s="79">
        <f>IF(AW100="",0,VLOOKUP(AW100,Tables!$AB$3:$AC$12,2))</f>
        <v>0</v>
      </c>
      <c r="BQ100" s="79">
        <f>IF(AX100="",0,VLOOKUP(AX100,Tables!$AB$3:$AC$12,2))</f>
        <v>0</v>
      </c>
      <c r="BR100" s="78">
        <f>IF(AY100="",0,VLOOKUP(AY100,Tables!$AB$3:$AC$12,2))</f>
        <v>0</v>
      </c>
      <c r="BS100" s="79">
        <f>IF(AZ100="",0,VLOOKUP(AZ100,Tables!$AB$3:$AC$12,2))</f>
        <v>0</v>
      </c>
      <c r="BT100" s="79">
        <f>IF(BA100="",0,VLOOKUP(BA100,Tables!$AB$3:$AC$12,2))</f>
        <v>0</v>
      </c>
      <c r="BU100" s="80">
        <f>IF(BB100="",0,VLOOKUP(BB100,Tables!$AB$3:$AC$12,2))</f>
        <v>0</v>
      </c>
      <c r="BV100" s="85">
        <f>IF(AN100="",0,VLOOKUP(B100,Tables!$B$3:$D$36,2,FALSE())*X$1)</f>
        <v>0</v>
      </c>
      <c r="BW100" s="72">
        <f>IF(AO100="",0,VLOOKUP(C100,Tables!$B$3:$D$36,2,FALSE())*Y$1)</f>
        <v>0</v>
      </c>
      <c r="BX100" s="72">
        <f>IF(AP100="",0,VLOOKUP(D100,Tables!$B$3:$D$36,2,FALSE())*Z$1)</f>
        <v>0</v>
      </c>
      <c r="BY100" s="85">
        <f>IF(AQ100="",0,VLOOKUP(E100,Tables!$B$3:$D$36,2,FALSE())*AA$1)</f>
        <v>0</v>
      </c>
      <c r="BZ100" s="72">
        <f>IF(AR100="",0,VLOOKUP(F100,Tables!$B$3:$D$36,2,FALSE())*AB$1)</f>
        <v>0</v>
      </c>
      <c r="CA100" s="72">
        <f>IF(AS100="",0,VLOOKUP(G100,Tables!$B$3:$D$36,2,FALSE())*AC$1)</f>
        <v>0</v>
      </c>
      <c r="CB100" s="72">
        <f>IF(AT100="",0,VLOOKUP(H100,Tables!$B$3:$D$36,2,FALSE())*AD$1)</f>
        <v>0</v>
      </c>
      <c r="CC100" s="72">
        <f>IF(AU100="",0,VLOOKUP(I100,Tables!$B$3:$D$36,2,FALSE())*AE$1)</f>
        <v>4</v>
      </c>
      <c r="CD100" s="85">
        <f>IF(AV100="",0,VLOOKUP(J100,Tables!$B$3:$D$36,2,FALSE())*AF$1)</f>
        <v>0</v>
      </c>
      <c r="CE100" s="72">
        <f>IF(AW100="",0,VLOOKUP(K100,Tables!$B$3:$D$36,2,FALSE())*AG$1)</f>
        <v>0</v>
      </c>
      <c r="CF100" s="72">
        <f>IF(AX100="",0,VLOOKUP(L100,Tables!$B$3:$D$36,2,FALSE())*AH$1)</f>
        <v>0</v>
      </c>
      <c r="CG100" s="85">
        <f>IF(AY100="",0,VLOOKUP(M100,Tables!$B$3:$D$36,2,FALSE())*AI$1)</f>
        <v>0</v>
      </c>
      <c r="CH100" s="72">
        <f>IF(AZ100="",0,VLOOKUP(N100,Tables!$B$3:$D$36,2,FALSE())*AJ$1)</f>
        <v>0</v>
      </c>
      <c r="CI100" s="72">
        <f>IF(BA100="",0,VLOOKUP(O100,Tables!$B$3:$D$36,2,FALSE())*AK$1)</f>
        <v>0</v>
      </c>
      <c r="CJ100" s="86">
        <f>IF(BB100="",0,VLOOKUP(P100,Tables!$B$3:$D$36,2,FALSE())*AL$1)</f>
        <v>0</v>
      </c>
      <c r="CK100" s="87">
        <f>IF(AN100="",0,VLOOKUP(B100,Tables!$B$3:$D$36,3,FALSE())*X$1)*IF(OR(AN100="K",AN100="P"),2,1)</f>
        <v>0</v>
      </c>
      <c r="CL100" s="73">
        <f>IF(AO100="",0,VLOOKUP(C100,Tables!$B$3:$D$36,3,FALSE())*Y$1)*IF(OR(AO100="K",AO100="P"),2,1)</f>
        <v>0</v>
      </c>
      <c r="CM100" s="73">
        <f>IF(AP100="",0,VLOOKUP(D100,Tables!$B$3:$D$36,3,FALSE())*Z$1)*IF(OR(AP100="K",AP100="P"),2,1)</f>
        <v>0</v>
      </c>
      <c r="CN100" s="87">
        <f>IF(AQ100="",0,VLOOKUP(E100,Tables!$B$3:$D$36,3,FALSE())*AA$1)</f>
        <v>0</v>
      </c>
      <c r="CO100" s="73">
        <f>IF(AR100="",0,VLOOKUP(F100,Tables!$B$3:$D$36,3,FALSE())*AB$1)</f>
        <v>0</v>
      </c>
      <c r="CP100" s="73">
        <f>IF(AS100="",0,VLOOKUP(G100,Tables!$B$3:$D$36,3,FALSE())*AC$1)</f>
        <v>0</v>
      </c>
      <c r="CQ100" s="73">
        <f>IF(AT100="",0,VLOOKUP(H100,Tables!$B$3:$D$36,3,FALSE())*AD$1)</f>
        <v>0</v>
      </c>
      <c r="CR100" s="73">
        <f>IF(AU100="",0,VLOOKUP(I100,Tables!$B$3:$D$36,3,FALSE())*AE$1)</f>
        <v>0.125</v>
      </c>
      <c r="CS100" s="87">
        <f>IF(AV100="",0,VLOOKUP(J100,Tables!$B$3:$D$36,3,FALSE())*AF$1)</f>
        <v>0</v>
      </c>
      <c r="CT100" s="73">
        <f>IF(AW100="",0,VLOOKUP(K100,Tables!$B$3:$D$36,3,FALSE())*AG$1)</f>
        <v>0</v>
      </c>
      <c r="CU100" s="73">
        <f>IF(AX100="",0,VLOOKUP(L100,Tables!$B$3:$D$36,3,FALSE())*AH$1)</f>
        <v>0</v>
      </c>
      <c r="CV100" s="87">
        <f>IF(AY100="",0,VLOOKUP(M100,Tables!$B$3:$D$36,3,FALSE())*AI$1)</f>
        <v>0</v>
      </c>
      <c r="CW100" s="73">
        <f>IF(AZ100="",0,VLOOKUP(N100,Tables!$B$3:$D$36,3,FALSE())*AJ$1)</f>
        <v>0</v>
      </c>
      <c r="CX100" s="73">
        <f>IF(BA100="",0,VLOOKUP(O100,Tables!$B$3:$D$36,3,FALSE())*AK$1)</f>
        <v>0</v>
      </c>
      <c r="CY100" s="88">
        <f>IF(BB100="",0,VLOOKUP(P100,Tables!$B$3:$D$36,3,FALSE())*AL$1)</f>
        <v>0</v>
      </c>
      <c r="CZ100" s="89">
        <f t="shared" si="96"/>
        <v>0</v>
      </c>
      <c r="DA100" s="75">
        <f t="shared" si="97"/>
        <v>0</v>
      </c>
      <c r="DB100" s="75">
        <f t="shared" si="98"/>
        <v>0</v>
      </c>
      <c r="DC100" s="89">
        <f t="shared" si="99"/>
        <v>0</v>
      </c>
      <c r="DD100" s="75">
        <f t="shared" si="100"/>
        <v>0</v>
      </c>
      <c r="DE100" s="75">
        <f t="shared" si="101"/>
        <v>0</v>
      </c>
      <c r="DF100" s="75">
        <f t="shared" si="102"/>
        <v>0</v>
      </c>
      <c r="DG100" s="75">
        <f t="shared" si="103"/>
        <v>1</v>
      </c>
      <c r="DH100" s="89">
        <f t="shared" si="104"/>
        <v>0</v>
      </c>
      <c r="DI100" s="75">
        <f t="shared" si="105"/>
        <v>0</v>
      </c>
      <c r="DJ100" s="75">
        <f t="shared" si="106"/>
        <v>0</v>
      </c>
      <c r="DK100" s="89">
        <f t="shared" si="107"/>
        <v>0</v>
      </c>
      <c r="DL100" s="75">
        <f t="shared" si="108"/>
        <v>0</v>
      </c>
      <c r="DM100" s="75">
        <f t="shared" si="109"/>
        <v>0</v>
      </c>
      <c r="DN100" s="90">
        <f t="shared" si="110"/>
        <v>0</v>
      </c>
      <c r="DO100" s="91">
        <f>IF(AN100="",0,VLOOKUP(B100,Tables!$B$3:$M$36,11,FALSE())*X$1)</f>
        <v>0</v>
      </c>
      <c r="DP100" s="92">
        <f>IF(AO100="",0,VLOOKUP(C100,Tables!$B$3:$M$36,11,FALSE())*Y$1)</f>
        <v>0</v>
      </c>
      <c r="DQ100" s="92">
        <f>IF(AP100="",0,VLOOKUP(D100,Tables!$B$3:$M$36,11,FALSE())*Z$1)</f>
        <v>0</v>
      </c>
      <c r="DR100" s="91">
        <f>IF(AQ100="",0,VLOOKUP(E100,Tables!$B$3:$M$36,11,FALSE())*AA$1)</f>
        <v>0</v>
      </c>
      <c r="DS100" s="92">
        <f>IF(AR100="",0,VLOOKUP(F100,Tables!$B$3:$M$36,11,FALSE())*AB$1)</f>
        <v>0</v>
      </c>
      <c r="DT100" s="92">
        <f>IF(AS100="",0,VLOOKUP(G100,Tables!$B$3:$M$36,11,FALSE())*AC$1)</f>
        <v>0</v>
      </c>
      <c r="DU100" s="92">
        <f>IF(AT100="",0,VLOOKUP(H100,Tables!$B$3:$M$36,11,FALSE())*AD$1)</f>
        <v>0</v>
      </c>
      <c r="DV100" s="92">
        <f>IF(AU100="",0,VLOOKUP(I100,Tables!$B$3:$M$36,11,FALSE())*AE$1)</f>
        <v>1</v>
      </c>
      <c r="DW100" s="91">
        <f>IF(AV100="",0,VLOOKUP(J100,Tables!$B$3:$M$36,11,FALSE())*AF$1)</f>
        <v>0</v>
      </c>
      <c r="DX100" s="92">
        <f>IF(AW100="",0,VLOOKUP(K100,Tables!$B$3:$M$36,11,FALSE())*AG$1)</f>
        <v>0</v>
      </c>
      <c r="DY100" s="92">
        <f>IF(AX100="",0,VLOOKUP(L100,Tables!$B$3:$M$36,11,FALSE())*AH$1)</f>
        <v>0</v>
      </c>
      <c r="DZ100" s="91">
        <f>IF(AY100="",0,VLOOKUP(M100,Tables!$B$3:$M$36,11,FALSE())*AI$1)</f>
        <v>0</v>
      </c>
      <c r="EA100" s="92">
        <f>IF(AZ100="",0,VLOOKUP(N100,Tables!$B$3:$M$36,11,FALSE())*AJ$1)</f>
        <v>0</v>
      </c>
      <c r="EB100" s="92">
        <f>IF(BA100="",0,VLOOKUP(O100,Tables!$B$3:$M$36,11,FALSE())*AK$1)</f>
        <v>0</v>
      </c>
      <c r="EC100" s="93">
        <f>IF(BB100="",0,VLOOKUP(P100,Tables!$B$3:$M$36,11,FALSE())*AL$1)</f>
        <v>0</v>
      </c>
      <c r="ED100" s="91">
        <f>IF(AN100="",0,VLOOKUP(B100,Tables!$B$3:$M$36,12,FALSE())*X$1)</f>
        <v>0</v>
      </c>
      <c r="EE100" s="92">
        <f>IF(AO100="",0,VLOOKUP(C100,Tables!$B$3:$M$36,12,FALSE())*Y$1)</f>
        <v>0</v>
      </c>
      <c r="EF100" s="92">
        <f>IF(AP100="",0,VLOOKUP(D100,Tables!$B$3:$M$36,12,FALSE())*Z$1)</f>
        <v>0</v>
      </c>
      <c r="EG100" s="91">
        <f>IF(AQ100="",0,VLOOKUP(E100,Tables!$B$3:$M$36,12,FALSE())*AA$1)</f>
        <v>0</v>
      </c>
      <c r="EH100" s="92">
        <f>IF(AR100="",0,VLOOKUP(F100,Tables!$B$3:$M$36,12,FALSE())*AB$1)</f>
        <v>0</v>
      </c>
      <c r="EI100" s="92">
        <f>IF(AS100="",0,VLOOKUP(G100,Tables!$B$3:$M$36,12,FALSE())*AC$1)</f>
        <v>0</v>
      </c>
      <c r="EJ100" s="92">
        <f>IF(AT100="",0,VLOOKUP(H100,Tables!$B$3:$M$36,12,FALSE())*AD$1)</f>
        <v>0</v>
      </c>
      <c r="EK100" s="92">
        <f>IF(AU100="",0,VLOOKUP(I100,Tables!$B$3:$M$36,12,FALSE())*AE$1)</f>
        <v>3</v>
      </c>
      <c r="EL100" s="91">
        <f>IF(AV100="",0,VLOOKUP(J100,Tables!$B$3:$M$36,12,FALSE())*AF$1)</f>
        <v>0</v>
      </c>
      <c r="EM100" s="92">
        <f>IF(AW100="",0,VLOOKUP(K100,Tables!$B$3:$M$36,12,FALSE())*AG$1)</f>
        <v>0</v>
      </c>
      <c r="EN100" s="92">
        <f>IF(AX100="",0,VLOOKUP(L100,Tables!$B$3:$M$36,12,FALSE())*AH$1)</f>
        <v>0</v>
      </c>
      <c r="EO100" s="91">
        <f>IF(AY100="",0,VLOOKUP(M100,Tables!$B$3:$M$36,12,FALSE())*AI$1)</f>
        <v>0</v>
      </c>
      <c r="EP100" s="92">
        <f>IF(AZ100="",0,VLOOKUP(N100,Tables!$B$3:$M$36,12,FALSE())*AJ$1)</f>
        <v>0</v>
      </c>
      <c r="EQ100" s="92">
        <f>IF(BA100="",0,VLOOKUP(O100,Tables!$B$3:$M$36,12,FALSE())*AK$1)</f>
        <v>0</v>
      </c>
      <c r="ER100" s="93">
        <f>IF(BB100="",0,VLOOKUP(P100,Tables!$B$3:$M$36,12,FALSE())*AL$1)</f>
        <v>0</v>
      </c>
      <c r="ES100" s="94">
        <f t="shared" si="111"/>
        <v>0</v>
      </c>
      <c r="ET100" s="95">
        <f>IF(AN100="",10,MIN(VLOOKUP(B100,MATERIAL,13,FALSE()),'Item Builder'!$W100))</f>
        <v>10</v>
      </c>
      <c r="EU100" s="95">
        <f>IF(AO100="",10,MIN(VLOOKUP(C100,MATERIAL,13,FALSE()),'Item Builder'!$W100))</f>
        <v>10</v>
      </c>
      <c r="EV100" s="95">
        <f>IF(AP100="",10,MIN(VLOOKUP(D100,MATERIAL,13,FALSE()),'Item Builder'!$W100))</f>
        <v>10</v>
      </c>
      <c r="EW100" s="95">
        <f>IF(AQ100="",10,MIN(VLOOKUP(E100,MATERIAL,13,FALSE()),'Item Builder'!$W100))</f>
        <v>10</v>
      </c>
      <c r="EX100" s="95">
        <f>IF(AR100="",10,MIN(VLOOKUP(F100,MATERIAL,13,FALSE()),'Item Builder'!$W100))</f>
        <v>10</v>
      </c>
      <c r="EY100" s="95">
        <f>IF(AS100="",10,MIN(VLOOKUP(G100,MATERIAL,13,FALSE()),'Item Builder'!$W100))</f>
        <v>10</v>
      </c>
      <c r="EZ100" s="95">
        <f>IF(AT100="",10,MIN(VLOOKUP(H100,MATERIAL,13,FALSE()),'Item Builder'!$W100))</f>
        <v>10</v>
      </c>
      <c r="FA100" s="95">
        <f>IF(AU100="",10,MIN(VLOOKUP(I100,MATERIAL,13,FALSE()),'Item Builder'!$W100))</f>
        <v>0</v>
      </c>
      <c r="FB100" s="95">
        <f>IF(AV100="",10,MIN(VLOOKUP(J100,MATERIAL,13,FALSE()),'Item Builder'!$W100))</f>
        <v>10</v>
      </c>
      <c r="FC100" s="95">
        <f>IF(AW100="",10,MIN(VLOOKUP(K100,MATERIAL,13,FALSE()),'Item Builder'!$W100))</f>
        <v>10</v>
      </c>
      <c r="FD100" s="95">
        <f>IF(AX100="",10,MIN(VLOOKUP(L100,MATERIAL,13,FALSE()),'Item Builder'!$W100))</f>
        <v>10</v>
      </c>
      <c r="FE100" s="95">
        <f>IF(AY100="",10,MIN(VLOOKUP(M100,MATERIAL,13,FALSE()),'Item Builder'!$W100))</f>
        <v>10</v>
      </c>
      <c r="FF100" s="95">
        <f>IF(AZ100="",10,MIN(VLOOKUP(N100,MATERIAL,13,FALSE()),'Item Builder'!$W100))</f>
        <v>10</v>
      </c>
      <c r="FG100" s="95">
        <f>IF(BA100="",10,MIN(VLOOKUP(O100,MATERIAL,13,FALSE()),'Item Builder'!$W100))</f>
        <v>10</v>
      </c>
      <c r="FH100" s="95">
        <f>IF(BB100="",10,MIN(VLOOKUP(P100,MATERIAL,13,FALSE()),'Item Builder'!$W100))</f>
        <v>10</v>
      </c>
    </row>
    <row r="101" spans="1:164" x14ac:dyDescent="0.25">
      <c r="A101" s="67" t="s">
        <v>241</v>
      </c>
      <c r="B101" s="68"/>
      <c r="C101" s="69"/>
      <c r="D101" s="70"/>
      <c r="E101" s="68"/>
      <c r="F101" s="69"/>
      <c r="G101" s="69"/>
      <c r="H101" s="69"/>
      <c r="I101" s="70"/>
      <c r="J101" s="68" t="s">
        <v>155</v>
      </c>
      <c r="K101" s="69" t="s">
        <v>155</v>
      </c>
      <c r="L101" s="70"/>
      <c r="M101" s="68"/>
      <c r="N101" s="69"/>
      <c r="O101" s="69"/>
      <c r="P101" s="71"/>
      <c r="Q101" s="72">
        <f>SUM(BV101:CJ101)*VLOOKUP(W101,Tables!$W$3:$Z$8,4)</f>
        <v>19.2</v>
      </c>
      <c r="R101" s="73">
        <f t="shared" si="56"/>
        <v>0.6</v>
      </c>
      <c r="S101" s="74">
        <f t="shared" si="57"/>
        <v>0</v>
      </c>
      <c r="T101" s="74">
        <f t="shared" si="58"/>
        <v>0</v>
      </c>
      <c r="U101" s="75">
        <f t="shared" si="59"/>
        <v>4.8</v>
      </c>
      <c r="V101" s="76">
        <f t="shared" si="60"/>
        <v>14.399999999999999</v>
      </c>
      <c r="W101" s="77">
        <v>0</v>
      </c>
      <c r="X101" s="78">
        <f t="shared" si="61"/>
        <v>0</v>
      </c>
      <c r="Y101" s="79">
        <f t="shared" si="62"/>
        <v>0</v>
      </c>
      <c r="Z101" s="79">
        <f t="shared" si="63"/>
        <v>0</v>
      </c>
      <c r="AA101" s="78">
        <f t="shared" si="64"/>
        <v>0</v>
      </c>
      <c r="AB101" s="79">
        <f t="shared" si="65"/>
        <v>0</v>
      </c>
      <c r="AC101" s="79">
        <f t="shared" si="66"/>
        <v>0</v>
      </c>
      <c r="AD101" s="79">
        <f t="shared" si="67"/>
        <v>0</v>
      </c>
      <c r="AE101" s="79">
        <f t="shared" si="68"/>
        <v>0</v>
      </c>
      <c r="AF101" s="78">
        <f t="shared" si="69"/>
        <v>1</v>
      </c>
      <c r="AG101" s="79">
        <f t="shared" si="70"/>
        <v>1</v>
      </c>
      <c r="AH101" s="79">
        <f t="shared" si="71"/>
        <v>0</v>
      </c>
      <c r="AI101" s="78">
        <f t="shared" si="72"/>
        <v>0</v>
      </c>
      <c r="AJ101" s="79">
        <f t="shared" si="73"/>
        <v>0</v>
      </c>
      <c r="AK101" s="79">
        <f t="shared" si="74"/>
        <v>0</v>
      </c>
      <c r="AL101" s="80">
        <f t="shared" si="75"/>
        <v>0</v>
      </c>
      <c r="AM101" s="81">
        <f t="shared" si="76"/>
        <v>0.24</v>
      </c>
      <c r="AN101" s="82" t="str">
        <f t="shared" si="77"/>
        <v/>
      </c>
      <c r="AO101" s="79" t="str">
        <f t="shared" si="78"/>
        <v/>
      </c>
      <c r="AP101" t="str">
        <f t="shared" si="79"/>
        <v/>
      </c>
      <c r="AQ101" s="82" t="str">
        <f t="shared" si="80"/>
        <v/>
      </c>
      <c r="AR101" t="str">
        <f t="shared" si="81"/>
        <v/>
      </c>
      <c r="AS101" t="str">
        <f t="shared" si="82"/>
        <v/>
      </c>
      <c r="AT101" t="str">
        <f t="shared" si="83"/>
        <v/>
      </c>
      <c r="AU101" t="str">
        <f t="shared" si="84"/>
        <v/>
      </c>
      <c r="AV101" s="82" t="str">
        <f t="shared" si="85"/>
        <v>X</v>
      </c>
      <c r="AW101" t="str">
        <f t="shared" si="86"/>
        <v>X</v>
      </c>
      <c r="AX101" t="str">
        <f t="shared" si="87"/>
        <v/>
      </c>
      <c r="AY101" s="82" t="str">
        <f t="shared" si="88"/>
        <v/>
      </c>
      <c r="AZ101" t="str">
        <f t="shared" si="89"/>
        <v/>
      </c>
      <c r="BA101" t="str">
        <f t="shared" si="90"/>
        <v/>
      </c>
      <c r="BB101" s="83" t="str">
        <f t="shared" si="91"/>
        <v/>
      </c>
      <c r="BC101" s="84">
        <f t="shared" si="92"/>
        <v>0</v>
      </c>
      <c r="BD101" s="84">
        <f t="shared" si="93"/>
        <v>0</v>
      </c>
      <c r="BE101" s="84">
        <f t="shared" si="94"/>
        <v>0.70588235294117652</v>
      </c>
      <c r="BF101" s="84">
        <f t="shared" si="95"/>
        <v>0</v>
      </c>
      <c r="BG101" s="78">
        <f>IF(AN101="",0,VLOOKUP(AN101,Tables!$AB$3:$AC$12,2))</f>
        <v>0</v>
      </c>
      <c r="BH101" s="79">
        <f>IF(AO101="",0,VLOOKUP(AO101,Tables!$AB$3:$AC$12,2))</f>
        <v>0</v>
      </c>
      <c r="BI101" s="79">
        <f>IF(AP101="",0,VLOOKUP(AP101,Tables!$AB$3:$AC$12,2))</f>
        <v>0</v>
      </c>
      <c r="BJ101" s="78">
        <f>IF(AQ101="",0,VLOOKUP(AQ101,Tables!$AB$3:$AC$12,2))</f>
        <v>0</v>
      </c>
      <c r="BK101" s="79">
        <f>IF(AR101="",0,VLOOKUP(AR101,Tables!$AB$3:$AC$12,2))</f>
        <v>0</v>
      </c>
      <c r="BL101" s="79">
        <f>IF(AS101="",0,VLOOKUP(AS101,Tables!$AB$3:$AC$12,2))</f>
        <v>0</v>
      </c>
      <c r="BM101" s="79">
        <f>IF(AT101="",0,VLOOKUP(AT101,Tables!$AB$3:$AC$12,2))</f>
        <v>0</v>
      </c>
      <c r="BN101" s="79">
        <f>IF(AU101="",0,VLOOKUP(AU101,Tables!$AB$3:$AC$12,2))</f>
        <v>0</v>
      </c>
      <c r="BO101" s="78">
        <f>IF(AV101="",0,VLOOKUP(AV101,Tables!$AB$3:$AC$12,2))</f>
        <v>1</v>
      </c>
      <c r="BP101" s="79">
        <f>IF(AW101="",0,VLOOKUP(AW101,Tables!$AB$3:$AC$12,2))</f>
        <v>1</v>
      </c>
      <c r="BQ101" s="79">
        <f>IF(AX101="",0,VLOOKUP(AX101,Tables!$AB$3:$AC$12,2))</f>
        <v>0</v>
      </c>
      <c r="BR101" s="78">
        <f>IF(AY101="",0,VLOOKUP(AY101,Tables!$AB$3:$AC$12,2))</f>
        <v>0</v>
      </c>
      <c r="BS101" s="79">
        <f>IF(AZ101="",0,VLOOKUP(AZ101,Tables!$AB$3:$AC$12,2))</f>
        <v>0</v>
      </c>
      <c r="BT101" s="79">
        <f>IF(BA101="",0,VLOOKUP(BA101,Tables!$AB$3:$AC$12,2))</f>
        <v>0</v>
      </c>
      <c r="BU101" s="80">
        <f>IF(BB101="",0,VLOOKUP(BB101,Tables!$AB$3:$AC$12,2))</f>
        <v>0</v>
      </c>
      <c r="BV101" s="85">
        <f>IF(AN101="",0,VLOOKUP(B101,Tables!$B$3:$D$36,2,FALSE())*X$1)</f>
        <v>0</v>
      </c>
      <c r="BW101" s="72">
        <f>IF(AO101="",0,VLOOKUP(C101,Tables!$B$3:$D$36,2,FALSE())*Y$1)</f>
        <v>0</v>
      </c>
      <c r="BX101" s="72">
        <f>IF(AP101="",0,VLOOKUP(D101,Tables!$B$3:$D$36,2,FALSE())*Z$1)</f>
        <v>0</v>
      </c>
      <c r="BY101" s="85">
        <f>IF(AQ101="",0,VLOOKUP(E101,Tables!$B$3:$D$36,2,FALSE())*AA$1)</f>
        <v>0</v>
      </c>
      <c r="BZ101" s="72">
        <f>IF(AR101="",0,VLOOKUP(F101,Tables!$B$3:$D$36,2,FALSE())*AB$1)</f>
        <v>0</v>
      </c>
      <c r="CA101" s="72">
        <f>IF(AS101="",0,VLOOKUP(G101,Tables!$B$3:$D$36,2,FALSE())*AC$1)</f>
        <v>0</v>
      </c>
      <c r="CB101" s="72">
        <f>IF(AT101="",0,VLOOKUP(H101,Tables!$B$3:$D$36,2,FALSE())*AD$1)</f>
        <v>0</v>
      </c>
      <c r="CC101" s="72">
        <f>IF(AU101="",0,VLOOKUP(I101,Tables!$B$3:$D$36,2,FALSE())*AE$1)</f>
        <v>0</v>
      </c>
      <c r="CD101" s="85">
        <f>IF(AV101="",0,VLOOKUP(J101,Tables!$B$3:$D$36,2,FALSE())*AF$1)</f>
        <v>9.6</v>
      </c>
      <c r="CE101" s="72">
        <f>IF(AW101="",0,VLOOKUP(K101,Tables!$B$3:$D$36,2,FALSE())*AG$1)</f>
        <v>9.6</v>
      </c>
      <c r="CF101" s="72">
        <f>IF(AX101="",0,VLOOKUP(L101,Tables!$B$3:$D$36,2,FALSE())*AH$1)</f>
        <v>0</v>
      </c>
      <c r="CG101" s="85">
        <f>IF(AY101="",0,VLOOKUP(M101,Tables!$B$3:$D$36,2,FALSE())*AI$1)</f>
        <v>0</v>
      </c>
      <c r="CH101" s="72">
        <f>IF(AZ101="",0,VLOOKUP(N101,Tables!$B$3:$D$36,2,FALSE())*AJ$1)</f>
        <v>0</v>
      </c>
      <c r="CI101" s="72">
        <f>IF(BA101="",0,VLOOKUP(O101,Tables!$B$3:$D$36,2,FALSE())*AK$1)</f>
        <v>0</v>
      </c>
      <c r="CJ101" s="86">
        <f>IF(BB101="",0,VLOOKUP(P101,Tables!$B$3:$D$36,2,FALSE())*AL$1)</f>
        <v>0</v>
      </c>
      <c r="CK101" s="87">
        <f>IF(AN101="",0,VLOOKUP(B101,Tables!$B$3:$D$36,3,FALSE())*X$1)*IF(OR(AN101="K",AN101="P"),2,1)</f>
        <v>0</v>
      </c>
      <c r="CL101" s="73">
        <f>IF(AO101="",0,VLOOKUP(C101,Tables!$B$3:$D$36,3,FALSE())*Y$1)*IF(OR(AO101="K",AO101="P"),2,1)</f>
        <v>0</v>
      </c>
      <c r="CM101" s="73">
        <f>IF(AP101="",0,VLOOKUP(D101,Tables!$B$3:$D$36,3,FALSE())*Z$1)*IF(OR(AP101="K",AP101="P"),2,1)</f>
        <v>0</v>
      </c>
      <c r="CN101" s="87">
        <f>IF(AQ101="",0,VLOOKUP(E101,Tables!$B$3:$D$36,3,FALSE())*AA$1)</f>
        <v>0</v>
      </c>
      <c r="CO101" s="73">
        <f>IF(AR101="",0,VLOOKUP(F101,Tables!$B$3:$D$36,3,FALSE())*AB$1)</f>
        <v>0</v>
      </c>
      <c r="CP101" s="73">
        <f>IF(AS101="",0,VLOOKUP(G101,Tables!$B$3:$D$36,3,FALSE())*AC$1)</f>
        <v>0</v>
      </c>
      <c r="CQ101" s="73">
        <f>IF(AT101="",0,VLOOKUP(H101,Tables!$B$3:$D$36,3,FALSE())*AD$1)</f>
        <v>0</v>
      </c>
      <c r="CR101" s="73">
        <f>IF(AU101="",0,VLOOKUP(I101,Tables!$B$3:$D$36,3,FALSE())*AE$1)</f>
        <v>0</v>
      </c>
      <c r="CS101" s="87">
        <f>IF(AV101="",0,VLOOKUP(J101,Tables!$B$3:$D$36,3,FALSE())*AF$1)</f>
        <v>0.3</v>
      </c>
      <c r="CT101" s="73">
        <f>IF(AW101="",0,VLOOKUP(K101,Tables!$B$3:$D$36,3,FALSE())*AG$1)</f>
        <v>0.3</v>
      </c>
      <c r="CU101" s="73">
        <f>IF(AX101="",0,VLOOKUP(L101,Tables!$B$3:$D$36,3,FALSE())*AH$1)</f>
        <v>0</v>
      </c>
      <c r="CV101" s="87">
        <f>IF(AY101="",0,VLOOKUP(M101,Tables!$B$3:$D$36,3,FALSE())*AI$1)</f>
        <v>0</v>
      </c>
      <c r="CW101" s="73">
        <f>IF(AZ101="",0,VLOOKUP(N101,Tables!$B$3:$D$36,3,FALSE())*AJ$1)</f>
        <v>0</v>
      </c>
      <c r="CX101" s="73">
        <f>IF(BA101="",0,VLOOKUP(O101,Tables!$B$3:$D$36,3,FALSE())*AK$1)</f>
        <v>0</v>
      </c>
      <c r="CY101" s="88">
        <f>IF(BB101="",0,VLOOKUP(P101,Tables!$B$3:$D$36,3,FALSE())*AL$1)</f>
        <v>0</v>
      </c>
      <c r="CZ101" s="89">
        <f t="shared" si="96"/>
        <v>0</v>
      </c>
      <c r="DA101" s="75">
        <f t="shared" si="97"/>
        <v>0</v>
      </c>
      <c r="DB101" s="75">
        <f t="shared" si="98"/>
        <v>0</v>
      </c>
      <c r="DC101" s="89">
        <f t="shared" si="99"/>
        <v>0</v>
      </c>
      <c r="DD101" s="75">
        <f t="shared" si="100"/>
        <v>0</v>
      </c>
      <c r="DE101" s="75">
        <f t="shared" si="101"/>
        <v>0</v>
      </c>
      <c r="DF101" s="75">
        <f t="shared" si="102"/>
        <v>0</v>
      </c>
      <c r="DG101" s="75">
        <f t="shared" si="103"/>
        <v>0</v>
      </c>
      <c r="DH101" s="89">
        <f t="shared" si="104"/>
        <v>1</v>
      </c>
      <c r="DI101" s="75">
        <f t="shared" si="105"/>
        <v>1</v>
      </c>
      <c r="DJ101" s="75">
        <f t="shared" si="106"/>
        <v>0</v>
      </c>
      <c r="DK101" s="89">
        <f t="shared" si="107"/>
        <v>0</v>
      </c>
      <c r="DL101" s="75">
        <f t="shared" si="108"/>
        <v>0</v>
      </c>
      <c r="DM101" s="75">
        <f t="shared" si="109"/>
        <v>0</v>
      </c>
      <c r="DN101" s="90">
        <f t="shared" si="110"/>
        <v>0</v>
      </c>
      <c r="DO101" s="91">
        <f>IF(AN101="",0,VLOOKUP(B101,Tables!$B$3:$M$36,11,FALSE())*X$1)</f>
        <v>0</v>
      </c>
      <c r="DP101" s="92">
        <f>IF(AO101="",0,VLOOKUP(C101,Tables!$B$3:$M$36,11,FALSE())*Y$1)</f>
        <v>0</v>
      </c>
      <c r="DQ101" s="92">
        <f>IF(AP101="",0,VLOOKUP(D101,Tables!$B$3:$M$36,11,FALSE())*Z$1)</f>
        <v>0</v>
      </c>
      <c r="DR101" s="91">
        <f>IF(AQ101="",0,VLOOKUP(E101,Tables!$B$3:$M$36,11,FALSE())*AA$1)</f>
        <v>0</v>
      </c>
      <c r="DS101" s="92">
        <f>IF(AR101="",0,VLOOKUP(F101,Tables!$B$3:$M$36,11,FALSE())*AB$1)</f>
        <v>0</v>
      </c>
      <c r="DT101" s="92">
        <f>IF(AS101="",0,VLOOKUP(G101,Tables!$B$3:$M$36,11,FALSE())*AC$1)</f>
        <v>0</v>
      </c>
      <c r="DU101" s="92">
        <f>IF(AT101="",0,VLOOKUP(H101,Tables!$B$3:$M$36,11,FALSE())*AD$1)</f>
        <v>0</v>
      </c>
      <c r="DV101" s="92">
        <f>IF(AU101="",0,VLOOKUP(I101,Tables!$B$3:$M$36,11,FALSE())*AE$1)</f>
        <v>0</v>
      </c>
      <c r="DW101" s="91">
        <f>IF(AV101="",0,VLOOKUP(J101,Tables!$B$3:$M$36,11,FALSE())*AF$1)</f>
        <v>2.4</v>
      </c>
      <c r="DX101" s="92">
        <f>IF(AW101="",0,VLOOKUP(K101,Tables!$B$3:$M$36,11,FALSE())*AG$1)</f>
        <v>2.4</v>
      </c>
      <c r="DY101" s="92">
        <f>IF(AX101="",0,VLOOKUP(L101,Tables!$B$3:$M$36,11,FALSE())*AH$1)</f>
        <v>0</v>
      </c>
      <c r="DZ101" s="91">
        <f>IF(AY101="",0,VLOOKUP(M101,Tables!$B$3:$M$36,11,FALSE())*AI$1)</f>
        <v>0</v>
      </c>
      <c r="EA101" s="92">
        <f>IF(AZ101="",0,VLOOKUP(N101,Tables!$B$3:$M$36,11,FALSE())*AJ$1)</f>
        <v>0</v>
      </c>
      <c r="EB101" s="92">
        <f>IF(BA101="",0,VLOOKUP(O101,Tables!$B$3:$M$36,11,FALSE())*AK$1)</f>
        <v>0</v>
      </c>
      <c r="EC101" s="93">
        <f>IF(BB101="",0,VLOOKUP(P101,Tables!$B$3:$M$36,11,FALSE())*AL$1)</f>
        <v>0</v>
      </c>
      <c r="ED101" s="91">
        <f>IF(AN101="",0,VLOOKUP(B101,Tables!$B$3:$M$36,12,FALSE())*X$1)</f>
        <v>0</v>
      </c>
      <c r="EE101" s="92">
        <f>IF(AO101="",0,VLOOKUP(C101,Tables!$B$3:$M$36,12,FALSE())*Y$1)</f>
        <v>0</v>
      </c>
      <c r="EF101" s="92">
        <f>IF(AP101="",0,VLOOKUP(D101,Tables!$B$3:$M$36,12,FALSE())*Z$1)</f>
        <v>0</v>
      </c>
      <c r="EG101" s="91">
        <f>IF(AQ101="",0,VLOOKUP(E101,Tables!$B$3:$M$36,12,FALSE())*AA$1)</f>
        <v>0</v>
      </c>
      <c r="EH101" s="92">
        <f>IF(AR101="",0,VLOOKUP(F101,Tables!$B$3:$M$36,12,FALSE())*AB$1)</f>
        <v>0</v>
      </c>
      <c r="EI101" s="92">
        <f>IF(AS101="",0,VLOOKUP(G101,Tables!$B$3:$M$36,12,FALSE())*AC$1)</f>
        <v>0</v>
      </c>
      <c r="EJ101" s="92">
        <f>IF(AT101="",0,VLOOKUP(H101,Tables!$B$3:$M$36,12,FALSE())*AD$1)</f>
        <v>0</v>
      </c>
      <c r="EK101" s="92">
        <f>IF(AU101="",0,VLOOKUP(I101,Tables!$B$3:$M$36,12,FALSE())*AE$1)</f>
        <v>0</v>
      </c>
      <c r="EL101" s="91">
        <f>IF(AV101="",0,VLOOKUP(J101,Tables!$B$3:$M$36,12,FALSE())*AF$1)</f>
        <v>7.1999999999999993</v>
      </c>
      <c r="EM101" s="92">
        <f>IF(AW101="",0,VLOOKUP(K101,Tables!$B$3:$M$36,12,FALSE())*AG$1)</f>
        <v>7.1999999999999993</v>
      </c>
      <c r="EN101" s="92">
        <f>IF(AX101="",0,VLOOKUP(L101,Tables!$B$3:$M$36,12,FALSE())*AH$1)</f>
        <v>0</v>
      </c>
      <c r="EO101" s="91">
        <f>IF(AY101="",0,VLOOKUP(M101,Tables!$B$3:$M$36,12,FALSE())*AI$1)</f>
        <v>0</v>
      </c>
      <c r="EP101" s="92">
        <f>IF(AZ101="",0,VLOOKUP(N101,Tables!$B$3:$M$36,12,FALSE())*AJ$1)</f>
        <v>0</v>
      </c>
      <c r="EQ101" s="92">
        <f>IF(BA101="",0,VLOOKUP(O101,Tables!$B$3:$M$36,12,FALSE())*AK$1)</f>
        <v>0</v>
      </c>
      <c r="ER101" s="93">
        <f>IF(BB101="",0,VLOOKUP(P101,Tables!$B$3:$M$36,12,FALSE())*AL$1)</f>
        <v>0</v>
      </c>
      <c r="ES101" s="94">
        <f t="shared" si="111"/>
        <v>0</v>
      </c>
      <c r="ET101" s="95">
        <f>IF(AN101="",10,MIN(VLOOKUP(B101,MATERIAL,13,FALSE()),'Item Builder'!$W101))</f>
        <v>10</v>
      </c>
      <c r="EU101" s="95">
        <f>IF(AO101="",10,MIN(VLOOKUP(C101,MATERIAL,13,FALSE()),'Item Builder'!$W101))</f>
        <v>10</v>
      </c>
      <c r="EV101" s="95">
        <f>IF(AP101="",10,MIN(VLOOKUP(D101,MATERIAL,13,FALSE()),'Item Builder'!$W101))</f>
        <v>10</v>
      </c>
      <c r="EW101" s="95">
        <f>IF(AQ101="",10,MIN(VLOOKUP(E101,MATERIAL,13,FALSE()),'Item Builder'!$W101))</f>
        <v>10</v>
      </c>
      <c r="EX101" s="95">
        <f>IF(AR101="",10,MIN(VLOOKUP(F101,MATERIAL,13,FALSE()),'Item Builder'!$W101))</f>
        <v>10</v>
      </c>
      <c r="EY101" s="95">
        <f>IF(AS101="",10,MIN(VLOOKUP(G101,MATERIAL,13,FALSE()),'Item Builder'!$W101))</f>
        <v>10</v>
      </c>
      <c r="EZ101" s="95">
        <f>IF(AT101="",10,MIN(VLOOKUP(H101,MATERIAL,13,FALSE()),'Item Builder'!$W101))</f>
        <v>10</v>
      </c>
      <c r="FA101" s="95">
        <f>IF(AU101="",10,MIN(VLOOKUP(I101,MATERIAL,13,FALSE()),'Item Builder'!$W101))</f>
        <v>10</v>
      </c>
      <c r="FB101" s="95">
        <f>IF(AV101="",10,MIN(VLOOKUP(J101,MATERIAL,13,FALSE()),'Item Builder'!$W101))</f>
        <v>0</v>
      </c>
      <c r="FC101" s="95">
        <f>IF(AW101="",10,MIN(VLOOKUP(K101,MATERIAL,13,FALSE()),'Item Builder'!$W101))</f>
        <v>0</v>
      </c>
      <c r="FD101" s="95">
        <f>IF(AX101="",10,MIN(VLOOKUP(L101,MATERIAL,13,FALSE()),'Item Builder'!$W101))</f>
        <v>10</v>
      </c>
      <c r="FE101" s="95">
        <f>IF(AY101="",10,MIN(VLOOKUP(M101,MATERIAL,13,FALSE()),'Item Builder'!$W101))</f>
        <v>10</v>
      </c>
      <c r="FF101" s="95">
        <f>IF(AZ101="",10,MIN(VLOOKUP(N101,MATERIAL,13,FALSE()),'Item Builder'!$W101))</f>
        <v>10</v>
      </c>
      <c r="FG101" s="95">
        <f>IF(BA101="",10,MIN(VLOOKUP(O101,MATERIAL,13,FALSE()),'Item Builder'!$W101))</f>
        <v>10</v>
      </c>
      <c r="FH101" s="95">
        <f>IF(BB101="",10,MIN(VLOOKUP(P101,MATERIAL,13,FALSE()),'Item Builder'!$W101))</f>
        <v>10</v>
      </c>
    </row>
    <row r="102" spans="1:164" x14ac:dyDescent="0.25">
      <c r="A102" s="67" t="s">
        <v>242</v>
      </c>
      <c r="B102" s="68"/>
      <c r="C102" s="69"/>
      <c r="D102" s="70"/>
      <c r="E102" s="68" t="s">
        <v>155</v>
      </c>
      <c r="F102" s="69" t="s">
        <v>155</v>
      </c>
      <c r="G102" s="69"/>
      <c r="H102" s="69"/>
      <c r="I102" s="70"/>
      <c r="J102" s="68" t="s">
        <v>155</v>
      </c>
      <c r="K102" s="69" t="s">
        <v>155</v>
      </c>
      <c r="L102" s="70"/>
      <c r="M102" s="68"/>
      <c r="N102" s="69"/>
      <c r="O102" s="69"/>
      <c r="P102" s="71"/>
      <c r="Q102" s="72">
        <f>SUM(BV102:CJ102)*VLOOKUP(W102,Tables!$W$3:$Z$8,4)</f>
        <v>26.4</v>
      </c>
      <c r="R102" s="73">
        <f t="shared" si="56"/>
        <v>0.82499999999999996</v>
      </c>
      <c r="S102" s="74">
        <f t="shared" si="57"/>
        <v>0</v>
      </c>
      <c r="T102" s="74">
        <f t="shared" si="58"/>
        <v>0</v>
      </c>
      <c r="U102" s="75">
        <f t="shared" si="59"/>
        <v>6.6</v>
      </c>
      <c r="V102" s="76">
        <f t="shared" si="60"/>
        <v>19.799999999999997</v>
      </c>
      <c r="W102" s="77">
        <v>0</v>
      </c>
      <c r="X102" s="78">
        <f t="shared" si="61"/>
        <v>0</v>
      </c>
      <c r="Y102" s="79">
        <f t="shared" si="62"/>
        <v>0</v>
      </c>
      <c r="Z102" s="79">
        <f t="shared" si="63"/>
        <v>0</v>
      </c>
      <c r="AA102" s="78">
        <f t="shared" si="64"/>
        <v>1</v>
      </c>
      <c r="AB102" s="79">
        <f t="shared" si="65"/>
        <v>1</v>
      </c>
      <c r="AC102" s="79">
        <f t="shared" si="66"/>
        <v>0</v>
      </c>
      <c r="AD102" s="79">
        <f t="shared" si="67"/>
        <v>0</v>
      </c>
      <c r="AE102" s="79">
        <f t="shared" si="68"/>
        <v>0</v>
      </c>
      <c r="AF102" s="78">
        <f t="shared" si="69"/>
        <v>1</v>
      </c>
      <c r="AG102" s="79">
        <f t="shared" si="70"/>
        <v>1</v>
      </c>
      <c r="AH102" s="79">
        <f t="shared" si="71"/>
        <v>0</v>
      </c>
      <c r="AI102" s="78">
        <f t="shared" si="72"/>
        <v>0</v>
      </c>
      <c r="AJ102" s="79">
        <f t="shared" si="73"/>
        <v>0</v>
      </c>
      <c r="AK102" s="79">
        <f t="shared" si="74"/>
        <v>0</v>
      </c>
      <c r="AL102" s="80">
        <f t="shared" si="75"/>
        <v>0</v>
      </c>
      <c r="AM102" s="81">
        <f t="shared" si="76"/>
        <v>0.32999999999999996</v>
      </c>
      <c r="AN102" s="82" t="str">
        <f t="shared" si="77"/>
        <v/>
      </c>
      <c r="AO102" s="79" t="str">
        <f t="shared" si="78"/>
        <v/>
      </c>
      <c r="AP102" t="str">
        <f t="shared" si="79"/>
        <v/>
      </c>
      <c r="AQ102" s="82" t="str">
        <f t="shared" si="80"/>
        <v>X</v>
      </c>
      <c r="AR102" t="str">
        <f t="shared" si="81"/>
        <v>X</v>
      </c>
      <c r="AS102" t="str">
        <f t="shared" si="82"/>
        <v/>
      </c>
      <c r="AT102" t="str">
        <f t="shared" si="83"/>
        <v/>
      </c>
      <c r="AU102" t="str">
        <f t="shared" si="84"/>
        <v/>
      </c>
      <c r="AV102" s="82" t="str">
        <f t="shared" si="85"/>
        <v>X</v>
      </c>
      <c r="AW102" t="str">
        <f t="shared" si="86"/>
        <v>X</v>
      </c>
      <c r="AX102" t="str">
        <f t="shared" si="87"/>
        <v/>
      </c>
      <c r="AY102" s="82" t="str">
        <f t="shared" si="88"/>
        <v/>
      </c>
      <c r="AZ102" t="str">
        <f t="shared" si="89"/>
        <v/>
      </c>
      <c r="BA102" t="str">
        <f t="shared" si="90"/>
        <v/>
      </c>
      <c r="BB102" s="83" t="str">
        <f t="shared" si="91"/>
        <v/>
      </c>
      <c r="BC102" s="84">
        <f t="shared" si="92"/>
        <v>0</v>
      </c>
      <c r="BD102" s="84">
        <f t="shared" si="93"/>
        <v>0.42857142857142849</v>
      </c>
      <c r="BE102" s="84">
        <f t="shared" si="94"/>
        <v>0.70588235294117652</v>
      </c>
      <c r="BF102" s="84">
        <f t="shared" si="95"/>
        <v>0</v>
      </c>
      <c r="BG102" s="78">
        <f>IF(AN102="",0,VLOOKUP(AN102,Tables!$AB$3:$AC$12,2))</f>
        <v>0</v>
      </c>
      <c r="BH102" s="79">
        <f>IF(AO102="",0,VLOOKUP(AO102,Tables!$AB$3:$AC$12,2))</f>
        <v>0</v>
      </c>
      <c r="BI102" s="79">
        <f>IF(AP102="",0,VLOOKUP(AP102,Tables!$AB$3:$AC$12,2))</f>
        <v>0</v>
      </c>
      <c r="BJ102" s="78">
        <f>IF(AQ102="",0,VLOOKUP(AQ102,Tables!$AB$3:$AC$12,2))</f>
        <v>1</v>
      </c>
      <c r="BK102" s="79">
        <f>IF(AR102="",0,VLOOKUP(AR102,Tables!$AB$3:$AC$12,2))</f>
        <v>1</v>
      </c>
      <c r="BL102" s="79">
        <f>IF(AS102="",0,VLOOKUP(AS102,Tables!$AB$3:$AC$12,2))</f>
        <v>0</v>
      </c>
      <c r="BM102" s="79">
        <f>IF(AT102="",0,VLOOKUP(AT102,Tables!$AB$3:$AC$12,2))</f>
        <v>0</v>
      </c>
      <c r="BN102" s="79">
        <f>IF(AU102="",0,VLOOKUP(AU102,Tables!$AB$3:$AC$12,2))</f>
        <v>0</v>
      </c>
      <c r="BO102" s="78">
        <f>IF(AV102="",0,VLOOKUP(AV102,Tables!$AB$3:$AC$12,2))</f>
        <v>1</v>
      </c>
      <c r="BP102" s="79">
        <f>IF(AW102="",0,VLOOKUP(AW102,Tables!$AB$3:$AC$12,2))</f>
        <v>1</v>
      </c>
      <c r="BQ102" s="79">
        <f>IF(AX102="",0,VLOOKUP(AX102,Tables!$AB$3:$AC$12,2))</f>
        <v>0</v>
      </c>
      <c r="BR102" s="78">
        <f>IF(AY102="",0,VLOOKUP(AY102,Tables!$AB$3:$AC$12,2))</f>
        <v>0</v>
      </c>
      <c r="BS102" s="79">
        <f>IF(AZ102="",0,VLOOKUP(AZ102,Tables!$AB$3:$AC$12,2))</f>
        <v>0</v>
      </c>
      <c r="BT102" s="79">
        <f>IF(BA102="",0,VLOOKUP(BA102,Tables!$AB$3:$AC$12,2))</f>
        <v>0</v>
      </c>
      <c r="BU102" s="80">
        <f>IF(BB102="",0,VLOOKUP(BB102,Tables!$AB$3:$AC$12,2))</f>
        <v>0</v>
      </c>
      <c r="BV102" s="85">
        <f>IF(AN102="",0,VLOOKUP(B102,Tables!$B$3:$D$36,2,FALSE())*X$1)</f>
        <v>0</v>
      </c>
      <c r="BW102" s="72">
        <f>IF(AO102="",0,VLOOKUP(C102,Tables!$B$3:$D$36,2,FALSE())*Y$1)</f>
        <v>0</v>
      </c>
      <c r="BX102" s="72">
        <f>IF(AP102="",0,VLOOKUP(D102,Tables!$B$3:$D$36,2,FALSE())*Z$1)</f>
        <v>0</v>
      </c>
      <c r="BY102" s="85">
        <f>IF(AQ102="",0,VLOOKUP(E102,Tables!$B$3:$D$36,2,FALSE())*AA$1)</f>
        <v>2.4</v>
      </c>
      <c r="BZ102" s="72">
        <f>IF(AR102="",0,VLOOKUP(F102,Tables!$B$3:$D$36,2,FALSE())*AB$1)</f>
        <v>4.8</v>
      </c>
      <c r="CA102" s="72">
        <f>IF(AS102="",0,VLOOKUP(G102,Tables!$B$3:$D$36,2,FALSE())*AC$1)</f>
        <v>0</v>
      </c>
      <c r="CB102" s="72">
        <f>IF(AT102="",0,VLOOKUP(H102,Tables!$B$3:$D$36,2,FALSE())*AD$1)</f>
        <v>0</v>
      </c>
      <c r="CC102" s="72">
        <f>IF(AU102="",0,VLOOKUP(I102,Tables!$B$3:$D$36,2,FALSE())*AE$1)</f>
        <v>0</v>
      </c>
      <c r="CD102" s="85">
        <f>IF(AV102="",0,VLOOKUP(J102,Tables!$B$3:$D$36,2,FALSE())*AF$1)</f>
        <v>9.6</v>
      </c>
      <c r="CE102" s="72">
        <f>IF(AW102="",0,VLOOKUP(K102,Tables!$B$3:$D$36,2,FALSE())*AG$1)</f>
        <v>9.6</v>
      </c>
      <c r="CF102" s="72">
        <f>IF(AX102="",0,VLOOKUP(L102,Tables!$B$3:$D$36,2,FALSE())*AH$1)</f>
        <v>0</v>
      </c>
      <c r="CG102" s="85">
        <f>IF(AY102="",0,VLOOKUP(M102,Tables!$B$3:$D$36,2,FALSE())*AI$1)</f>
        <v>0</v>
      </c>
      <c r="CH102" s="72">
        <f>IF(AZ102="",0,VLOOKUP(N102,Tables!$B$3:$D$36,2,FALSE())*AJ$1)</f>
        <v>0</v>
      </c>
      <c r="CI102" s="72">
        <f>IF(BA102="",0,VLOOKUP(O102,Tables!$B$3:$D$36,2,FALSE())*AK$1)</f>
        <v>0</v>
      </c>
      <c r="CJ102" s="86">
        <f>IF(BB102="",0,VLOOKUP(P102,Tables!$B$3:$D$36,2,FALSE())*AL$1)</f>
        <v>0</v>
      </c>
      <c r="CK102" s="87">
        <f>IF(AN102="",0,VLOOKUP(B102,Tables!$B$3:$D$36,3,FALSE())*X$1)*IF(OR(AN102="K",AN102="P"),2,1)</f>
        <v>0</v>
      </c>
      <c r="CL102" s="73">
        <f>IF(AO102="",0,VLOOKUP(C102,Tables!$B$3:$D$36,3,FALSE())*Y$1)*IF(OR(AO102="K",AO102="P"),2,1)</f>
        <v>0</v>
      </c>
      <c r="CM102" s="73">
        <f>IF(AP102="",0,VLOOKUP(D102,Tables!$B$3:$D$36,3,FALSE())*Z$1)*IF(OR(AP102="K",AP102="P"),2,1)</f>
        <v>0</v>
      </c>
      <c r="CN102" s="87">
        <f>IF(AQ102="",0,VLOOKUP(E102,Tables!$B$3:$D$36,3,FALSE())*AA$1)</f>
        <v>7.4999999999999997E-2</v>
      </c>
      <c r="CO102" s="73">
        <f>IF(AR102="",0,VLOOKUP(F102,Tables!$B$3:$D$36,3,FALSE())*AB$1)</f>
        <v>0.15</v>
      </c>
      <c r="CP102" s="73">
        <f>IF(AS102="",0,VLOOKUP(G102,Tables!$B$3:$D$36,3,FALSE())*AC$1)</f>
        <v>0</v>
      </c>
      <c r="CQ102" s="73">
        <f>IF(AT102="",0,VLOOKUP(H102,Tables!$B$3:$D$36,3,FALSE())*AD$1)</f>
        <v>0</v>
      </c>
      <c r="CR102" s="73">
        <f>IF(AU102="",0,VLOOKUP(I102,Tables!$B$3:$D$36,3,FALSE())*AE$1)</f>
        <v>0</v>
      </c>
      <c r="CS102" s="87">
        <f>IF(AV102="",0,VLOOKUP(J102,Tables!$B$3:$D$36,3,FALSE())*AF$1)</f>
        <v>0.3</v>
      </c>
      <c r="CT102" s="73">
        <f>IF(AW102="",0,VLOOKUP(K102,Tables!$B$3:$D$36,3,FALSE())*AG$1)</f>
        <v>0.3</v>
      </c>
      <c r="CU102" s="73">
        <f>IF(AX102="",0,VLOOKUP(L102,Tables!$B$3:$D$36,3,FALSE())*AH$1)</f>
        <v>0</v>
      </c>
      <c r="CV102" s="87">
        <f>IF(AY102="",0,VLOOKUP(M102,Tables!$B$3:$D$36,3,FALSE())*AI$1)</f>
        <v>0</v>
      </c>
      <c r="CW102" s="73">
        <f>IF(AZ102="",0,VLOOKUP(N102,Tables!$B$3:$D$36,3,FALSE())*AJ$1)</f>
        <v>0</v>
      </c>
      <c r="CX102" s="73">
        <f>IF(BA102="",0,VLOOKUP(O102,Tables!$B$3:$D$36,3,FALSE())*AK$1)</f>
        <v>0</v>
      </c>
      <c r="CY102" s="88">
        <f>IF(BB102="",0,VLOOKUP(P102,Tables!$B$3:$D$36,3,FALSE())*AL$1)</f>
        <v>0</v>
      </c>
      <c r="CZ102" s="89">
        <f t="shared" si="96"/>
        <v>0</v>
      </c>
      <c r="DA102" s="75">
        <f t="shared" si="97"/>
        <v>0</v>
      </c>
      <c r="DB102" s="75">
        <f t="shared" si="98"/>
        <v>0</v>
      </c>
      <c r="DC102" s="89">
        <f t="shared" si="99"/>
        <v>1</v>
      </c>
      <c r="DD102" s="75">
        <f t="shared" si="100"/>
        <v>1</v>
      </c>
      <c r="DE102" s="75">
        <f t="shared" si="101"/>
        <v>0</v>
      </c>
      <c r="DF102" s="75">
        <f t="shared" si="102"/>
        <v>0</v>
      </c>
      <c r="DG102" s="75">
        <f t="shared" si="103"/>
        <v>0</v>
      </c>
      <c r="DH102" s="89">
        <f t="shared" si="104"/>
        <v>1</v>
      </c>
      <c r="DI102" s="75">
        <f t="shared" si="105"/>
        <v>1</v>
      </c>
      <c r="DJ102" s="75">
        <f t="shared" si="106"/>
        <v>0</v>
      </c>
      <c r="DK102" s="89">
        <f t="shared" si="107"/>
        <v>0</v>
      </c>
      <c r="DL102" s="75">
        <f t="shared" si="108"/>
        <v>0</v>
      </c>
      <c r="DM102" s="75">
        <f t="shared" si="109"/>
        <v>0</v>
      </c>
      <c r="DN102" s="90">
        <f t="shared" si="110"/>
        <v>0</v>
      </c>
      <c r="DO102" s="91">
        <f>IF(AN102="",0,VLOOKUP(B102,Tables!$B$3:$M$36,11,FALSE())*X$1)</f>
        <v>0</v>
      </c>
      <c r="DP102" s="92">
        <f>IF(AO102="",0,VLOOKUP(C102,Tables!$B$3:$M$36,11,FALSE())*Y$1)</f>
        <v>0</v>
      </c>
      <c r="DQ102" s="92">
        <f>IF(AP102="",0,VLOOKUP(D102,Tables!$B$3:$M$36,11,FALSE())*Z$1)</f>
        <v>0</v>
      </c>
      <c r="DR102" s="91">
        <f>IF(AQ102="",0,VLOOKUP(E102,Tables!$B$3:$M$36,11,FALSE())*AA$1)</f>
        <v>0.6</v>
      </c>
      <c r="DS102" s="92">
        <f>IF(AR102="",0,VLOOKUP(F102,Tables!$B$3:$M$36,11,FALSE())*AB$1)</f>
        <v>1.2</v>
      </c>
      <c r="DT102" s="92">
        <f>IF(AS102="",0,VLOOKUP(G102,Tables!$B$3:$M$36,11,FALSE())*AC$1)</f>
        <v>0</v>
      </c>
      <c r="DU102" s="92">
        <f>IF(AT102="",0,VLOOKUP(H102,Tables!$B$3:$M$36,11,FALSE())*AD$1)</f>
        <v>0</v>
      </c>
      <c r="DV102" s="92">
        <f>IF(AU102="",0,VLOOKUP(I102,Tables!$B$3:$M$36,11,FALSE())*AE$1)</f>
        <v>0</v>
      </c>
      <c r="DW102" s="91">
        <f>IF(AV102="",0,VLOOKUP(J102,Tables!$B$3:$M$36,11,FALSE())*AF$1)</f>
        <v>2.4</v>
      </c>
      <c r="DX102" s="92">
        <f>IF(AW102="",0,VLOOKUP(K102,Tables!$B$3:$M$36,11,FALSE())*AG$1)</f>
        <v>2.4</v>
      </c>
      <c r="DY102" s="92">
        <f>IF(AX102="",0,VLOOKUP(L102,Tables!$B$3:$M$36,11,FALSE())*AH$1)</f>
        <v>0</v>
      </c>
      <c r="DZ102" s="91">
        <f>IF(AY102="",0,VLOOKUP(M102,Tables!$B$3:$M$36,11,FALSE())*AI$1)</f>
        <v>0</v>
      </c>
      <c r="EA102" s="92">
        <f>IF(AZ102="",0,VLOOKUP(N102,Tables!$B$3:$M$36,11,FALSE())*AJ$1)</f>
        <v>0</v>
      </c>
      <c r="EB102" s="92">
        <f>IF(BA102="",0,VLOOKUP(O102,Tables!$B$3:$M$36,11,FALSE())*AK$1)</f>
        <v>0</v>
      </c>
      <c r="EC102" s="93">
        <f>IF(BB102="",0,VLOOKUP(P102,Tables!$B$3:$M$36,11,FALSE())*AL$1)</f>
        <v>0</v>
      </c>
      <c r="ED102" s="91">
        <f>IF(AN102="",0,VLOOKUP(B102,Tables!$B$3:$M$36,12,FALSE())*X$1)</f>
        <v>0</v>
      </c>
      <c r="EE102" s="92">
        <f>IF(AO102="",0,VLOOKUP(C102,Tables!$B$3:$M$36,12,FALSE())*Y$1)</f>
        <v>0</v>
      </c>
      <c r="EF102" s="92">
        <f>IF(AP102="",0,VLOOKUP(D102,Tables!$B$3:$M$36,12,FALSE())*Z$1)</f>
        <v>0</v>
      </c>
      <c r="EG102" s="91">
        <f>IF(AQ102="",0,VLOOKUP(E102,Tables!$B$3:$M$36,12,FALSE())*AA$1)</f>
        <v>1.7999999999999998</v>
      </c>
      <c r="EH102" s="92">
        <f>IF(AR102="",0,VLOOKUP(F102,Tables!$B$3:$M$36,12,FALSE())*AB$1)</f>
        <v>3.5999999999999996</v>
      </c>
      <c r="EI102" s="92">
        <f>IF(AS102="",0,VLOOKUP(G102,Tables!$B$3:$M$36,12,FALSE())*AC$1)</f>
        <v>0</v>
      </c>
      <c r="EJ102" s="92">
        <f>IF(AT102="",0,VLOOKUP(H102,Tables!$B$3:$M$36,12,FALSE())*AD$1)</f>
        <v>0</v>
      </c>
      <c r="EK102" s="92">
        <f>IF(AU102="",0,VLOOKUP(I102,Tables!$B$3:$M$36,12,FALSE())*AE$1)</f>
        <v>0</v>
      </c>
      <c r="EL102" s="91">
        <f>IF(AV102="",0,VLOOKUP(J102,Tables!$B$3:$M$36,12,FALSE())*AF$1)</f>
        <v>7.1999999999999993</v>
      </c>
      <c r="EM102" s="92">
        <f>IF(AW102="",0,VLOOKUP(K102,Tables!$B$3:$M$36,12,FALSE())*AG$1)</f>
        <v>7.1999999999999993</v>
      </c>
      <c r="EN102" s="92">
        <f>IF(AX102="",0,VLOOKUP(L102,Tables!$B$3:$M$36,12,FALSE())*AH$1)</f>
        <v>0</v>
      </c>
      <c r="EO102" s="91">
        <f>IF(AY102="",0,VLOOKUP(M102,Tables!$B$3:$M$36,12,FALSE())*AI$1)</f>
        <v>0</v>
      </c>
      <c r="EP102" s="92">
        <f>IF(AZ102="",0,VLOOKUP(N102,Tables!$B$3:$M$36,12,FALSE())*AJ$1)</f>
        <v>0</v>
      </c>
      <c r="EQ102" s="92">
        <f>IF(BA102="",0,VLOOKUP(O102,Tables!$B$3:$M$36,12,FALSE())*AK$1)</f>
        <v>0</v>
      </c>
      <c r="ER102" s="93">
        <f>IF(BB102="",0,VLOOKUP(P102,Tables!$B$3:$M$36,12,FALSE())*AL$1)</f>
        <v>0</v>
      </c>
      <c r="ES102" s="94">
        <f t="shared" si="111"/>
        <v>0</v>
      </c>
      <c r="ET102" s="95">
        <f>IF(AN102="",10,MIN(VLOOKUP(B102,MATERIAL,13,FALSE()),'Item Builder'!$W102))</f>
        <v>10</v>
      </c>
      <c r="EU102" s="95">
        <f>IF(AO102="",10,MIN(VLOOKUP(C102,MATERIAL,13,FALSE()),'Item Builder'!$W102))</f>
        <v>10</v>
      </c>
      <c r="EV102" s="95">
        <f>IF(AP102="",10,MIN(VLOOKUP(D102,MATERIAL,13,FALSE()),'Item Builder'!$W102))</f>
        <v>10</v>
      </c>
      <c r="EW102" s="95">
        <f>IF(AQ102="",10,MIN(VLOOKUP(E102,MATERIAL,13,FALSE()),'Item Builder'!$W102))</f>
        <v>0</v>
      </c>
      <c r="EX102" s="95">
        <f>IF(AR102="",10,MIN(VLOOKUP(F102,MATERIAL,13,FALSE()),'Item Builder'!$W102))</f>
        <v>0</v>
      </c>
      <c r="EY102" s="95">
        <f>IF(AS102="",10,MIN(VLOOKUP(G102,MATERIAL,13,FALSE()),'Item Builder'!$W102))</f>
        <v>10</v>
      </c>
      <c r="EZ102" s="95">
        <f>IF(AT102="",10,MIN(VLOOKUP(H102,MATERIAL,13,FALSE()),'Item Builder'!$W102))</f>
        <v>10</v>
      </c>
      <c r="FA102" s="95">
        <f>IF(AU102="",10,MIN(VLOOKUP(I102,MATERIAL,13,FALSE()),'Item Builder'!$W102))</f>
        <v>10</v>
      </c>
      <c r="FB102" s="95">
        <f>IF(AV102="",10,MIN(VLOOKUP(J102,MATERIAL,13,FALSE()),'Item Builder'!$W102))</f>
        <v>0</v>
      </c>
      <c r="FC102" s="95">
        <f>IF(AW102="",10,MIN(VLOOKUP(K102,MATERIAL,13,FALSE()),'Item Builder'!$W102))</f>
        <v>0</v>
      </c>
      <c r="FD102" s="95">
        <f>IF(AX102="",10,MIN(VLOOKUP(L102,MATERIAL,13,FALSE()),'Item Builder'!$W102))</f>
        <v>10</v>
      </c>
      <c r="FE102" s="95">
        <f>IF(AY102="",10,MIN(VLOOKUP(M102,MATERIAL,13,FALSE()),'Item Builder'!$W102))</f>
        <v>10</v>
      </c>
      <c r="FF102" s="95">
        <f>IF(AZ102="",10,MIN(VLOOKUP(N102,MATERIAL,13,FALSE()),'Item Builder'!$W102))</f>
        <v>10</v>
      </c>
      <c r="FG102" s="95">
        <f>IF(BA102="",10,MIN(VLOOKUP(O102,MATERIAL,13,FALSE()),'Item Builder'!$W102))</f>
        <v>10</v>
      </c>
      <c r="FH102" s="95">
        <f>IF(BB102="",10,MIN(VLOOKUP(P102,MATERIAL,13,FALSE()),'Item Builder'!$W102))</f>
        <v>10</v>
      </c>
    </row>
    <row r="103" spans="1:164" x14ac:dyDescent="0.25">
      <c r="A103" s="67" t="s">
        <v>243</v>
      </c>
      <c r="B103" s="68"/>
      <c r="C103" s="69"/>
      <c r="D103" s="70"/>
      <c r="E103" s="68" t="s">
        <v>155</v>
      </c>
      <c r="F103" s="69" t="s">
        <v>155</v>
      </c>
      <c r="G103" s="69" t="s">
        <v>155</v>
      </c>
      <c r="H103" s="69"/>
      <c r="I103" s="70"/>
      <c r="J103" s="68" t="s">
        <v>155</v>
      </c>
      <c r="K103" s="69" t="s">
        <v>155</v>
      </c>
      <c r="L103" s="70" t="s">
        <v>155</v>
      </c>
      <c r="M103" s="68"/>
      <c r="N103" s="69"/>
      <c r="O103" s="69"/>
      <c r="P103" s="71"/>
      <c r="Q103" s="72">
        <f>SUM(BV103:CJ103)*VLOOKUP(W103,Tables!$W$3:$Z$8,4)</f>
        <v>36</v>
      </c>
      <c r="R103" s="73">
        <f t="shared" si="56"/>
        <v>1.125</v>
      </c>
      <c r="S103" s="74">
        <f t="shared" si="57"/>
        <v>0</v>
      </c>
      <c r="T103" s="74">
        <f t="shared" si="58"/>
        <v>0</v>
      </c>
      <c r="U103" s="75">
        <f t="shared" si="59"/>
        <v>9</v>
      </c>
      <c r="V103" s="76">
        <f t="shared" si="60"/>
        <v>27</v>
      </c>
      <c r="W103" s="77">
        <v>0</v>
      </c>
      <c r="X103" s="78">
        <f t="shared" si="61"/>
        <v>0</v>
      </c>
      <c r="Y103" s="79">
        <f t="shared" si="62"/>
        <v>0</v>
      </c>
      <c r="Z103" s="79">
        <f t="shared" si="63"/>
        <v>0</v>
      </c>
      <c r="AA103" s="78">
        <f t="shared" si="64"/>
        <v>1</v>
      </c>
      <c r="AB103" s="79">
        <f t="shared" si="65"/>
        <v>1</v>
      </c>
      <c r="AC103" s="79">
        <f t="shared" si="66"/>
        <v>1</v>
      </c>
      <c r="AD103" s="79">
        <f t="shared" si="67"/>
        <v>0</v>
      </c>
      <c r="AE103" s="79">
        <f t="shared" si="68"/>
        <v>0</v>
      </c>
      <c r="AF103" s="78">
        <f t="shared" si="69"/>
        <v>1</v>
      </c>
      <c r="AG103" s="79">
        <f t="shared" si="70"/>
        <v>1</v>
      </c>
      <c r="AH103" s="79">
        <f t="shared" si="71"/>
        <v>1</v>
      </c>
      <c r="AI103" s="78">
        <f t="shared" si="72"/>
        <v>0</v>
      </c>
      <c r="AJ103" s="79">
        <f t="shared" si="73"/>
        <v>0</v>
      </c>
      <c r="AK103" s="79">
        <f t="shared" si="74"/>
        <v>0</v>
      </c>
      <c r="AL103" s="80">
        <f t="shared" si="75"/>
        <v>0</v>
      </c>
      <c r="AM103" s="81">
        <f t="shared" si="76"/>
        <v>0.44999999999999996</v>
      </c>
      <c r="AN103" s="82" t="str">
        <f t="shared" si="77"/>
        <v/>
      </c>
      <c r="AO103" s="79" t="str">
        <f t="shared" si="78"/>
        <v/>
      </c>
      <c r="AP103" t="str">
        <f t="shared" si="79"/>
        <v/>
      </c>
      <c r="AQ103" s="82" t="str">
        <f t="shared" si="80"/>
        <v>X</v>
      </c>
      <c r="AR103" t="str">
        <f t="shared" si="81"/>
        <v>X</v>
      </c>
      <c r="AS103" t="str">
        <f t="shared" si="82"/>
        <v>X</v>
      </c>
      <c r="AT103" t="str">
        <f t="shared" si="83"/>
        <v/>
      </c>
      <c r="AU103" t="str">
        <f t="shared" si="84"/>
        <v/>
      </c>
      <c r="AV103" s="82" t="str">
        <f t="shared" si="85"/>
        <v>X</v>
      </c>
      <c r="AW103" t="str">
        <f t="shared" si="86"/>
        <v>X</v>
      </c>
      <c r="AX103" t="str">
        <f t="shared" si="87"/>
        <v>X</v>
      </c>
      <c r="AY103" s="82" t="str">
        <f t="shared" si="88"/>
        <v/>
      </c>
      <c r="AZ103" t="str">
        <f t="shared" si="89"/>
        <v/>
      </c>
      <c r="BA103" t="str">
        <f t="shared" si="90"/>
        <v/>
      </c>
      <c r="BB103" s="83" t="str">
        <f t="shared" si="91"/>
        <v/>
      </c>
      <c r="BC103" s="84">
        <f t="shared" si="92"/>
        <v>0</v>
      </c>
      <c r="BD103" s="84">
        <f t="shared" si="93"/>
        <v>0.52380952380952372</v>
      </c>
      <c r="BE103" s="84">
        <f t="shared" si="94"/>
        <v>1</v>
      </c>
      <c r="BF103" s="84">
        <f t="shared" si="95"/>
        <v>0</v>
      </c>
      <c r="BG103" s="78">
        <f>IF(AN103="",0,VLOOKUP(AN103,Tables!$AB$3:$AC$12,2))</f>
        <v>0</v>
      </c>
      <c r="BH103" s="79">
        <f>IF(AO103="",0,VLOOKUP(AO103,Tables!$AB$3:$AC$12,2))</f>
        <v>0</v>
      </c>
      <c r="BI103" s="79">
        <f>IF(AP103="",0,VLOOKUP(AP103,Tables!$AB$3:$AC$12,2))</f>
        <v>0</v>
      </c>
      <c r="BJ103" s="78">
        <f>IF(AQ103="",0,VLOOKUP(AQ103,Tables!$AB$3:$AC$12,2))</f>
        <v>1</v>
      </c>
      <c r="BK103" s="79">
        <f>IF(AR103="",0,VLOOKUP(AR103,Tables!$AB$3:$AC$12,2))</f>
        <v>1</v>
      </c>
      <c r="BL103" s="79">
        <f>IF(AS103="",0,VLOOKUP(AS103,Tables!$AB$3:$AC$12,2))</f>
        <v>1</v>
      </c>
      <c r="BM103" s="79">
        <f>IF(AT103="",0,VLOOKUP(AT103,Tables!$AB$3:$AC$12,2))</f>
        <v>0</v>
      </c>
      <c r="BN103" s="79">
        <f>IF(AU103="",0,VLOOKUP(AU103,Tables!$AB$3:$AC$12,2))</f>
        <v>0</v>
      </c>
      <c r="BO103" s="78">
        <f>IF(AV103="",0,VLOOKUP(AV103,Tables!$AB$3:$AC$12,2))</f>
        <v>1</v>
      </c>
      <c r="BP103" s="79">
        <f>IF(AW103="",0,VLOOKUP(AW103,Tables!$AB$3:$AC$12,2))</f>
        <v>1</v>
      </c>
      <c r="BQ103" s="79">
        <f>IF(AX103="",0,VLOOKUP(AX103,Tables!$AB$3:$AC$12,2))</f>
        <v>1</v>
      </c>
      <c r="BR103" s="78">
        <f>IF(AY103="",0,VLOOKUP(AY103,Tables!$AB$3:$AC$12,2))</f>
        <v>0</v>
      </c>
      <c r="BS103" s="79">
        <f>IF(AZ103="",0,VLOOKUP(AZ103,Tables!$AB$3:$AC$12,2))</f>
        <v>0</v>
      </c>
      <c r="BT103" s="79">
        <f>IF(BA103="",0,VLOOKUP(BA103,Tables!$AB$3:$AC$12,2))</f>
        <v>0</v>
      </c>
      <c r="BU103" s="80">
        <f>IF(BB103="",0,VLOOKUP(BB103,Tables!$AB$3:$AC$12,2))</f>
        <v>0</v>
      </c>
      <c r="BV103" s="85">
        <f>IF(AN103="",0,VLOOKUP(B103,Tables!$B$3:$D$36,2,FALSE())*X$1)</f>
        <v>0</v>
      </c>
      <c r="BW103" s="72">
        <f>IF(AO103="",0,VLOOKUP(C103,Tables!$B$3:$D$36,2,FALSE())*Y$1)</f>
        <v>0</v>
      </c>
      <c r="BX103" s="72">
        <f>IF(AP103="",0,VLOOKUP(D103,Tables!$B$3:$D$36,2,FALSE())*Z$1)</f>
        <v>0</v>
      </c>
      <c r="BY103" s="85">
        <f>IF(AQ103="",0,VLOOKUP(E103,Tables!$B$3:$D$36,2,FALSE())*AA$1)</f>
        <v>2.4</v>
      </c>
      <c r="BZ103" s="72">
        <f>IF(AR103="",0,VLOOKUP(F103,Tables!$B$3:$D$36,2,FALSE())*AB$1)</f>
        <v>4.8</v>
      </c>
      <c r="CA103" s="72">
        <f>IF(AS103="",0,VLOOKUP(G103,Tables!$B$3:$D$36,2,FALSE())*AC$1)</f>
        <v>1.6</v>
      </c>
      <c r="CB103" s="72">
        <f>IF(AT103="",0,VLOOKUP(H103,Tables!$B$3:$D$36,2,FALSE())*AD$1)</f>
        <v>0</v>
      </c>
      <c r="CC103" s="72">
        <f>IF(AU103="",0,VLOOKUP(I103,Tables!$B$3:$D$36,2,FALSE())*AE$1)</f>
        <v>0</v>
      </c>
      <c r="CD103" s="85">
        <f>IF(AV103="",0,VLOOKUP(J103,Tables!$B$3:$D$36,2,FALSE())*AF$1)</f>
        <v>9.6</v>
      </c>
      <c r="CE103" s="72">
        <f>IF(AW103="",0,VLOOKUP(K103,Tables!$B$3:$D$36,2,FALSE())*AG$1)</f>
        <v>9.6</v>
      </c>
      <c r="CF103" s="72">
        <f>IF(AX103="",0,VLOOKUP(L103,Tables!$B$3:$D$36,2,FALSE())*AH$1)</f>
        <v>8</v>
      </c>
      <c r="CG103" s="85">
        <f>IF(AY103="",0,VLOOKUP(M103,Tables!$B$3:$D$36,2,FALSE())*AI$1)</f>
        <v>0</v>
      </c>
      <c r="CH103" s="72">
        <f>IF(AZ103="",0,VLOOKUP(N103,Tables!$B$3:$D$36,2,FALSE())*AJ$1)</f>
        <v>0</v>
      </c>
      <c r="CI103" s="72">
        <f>IF(BA103="",0,VLOOKUP(O103,Tables!$B$3:$D$36,2,FALSE())*AK$1)</f>
        <v>0</v>
      </c>
      <c r="CJ103" s="86">
        <f>IF(BB103="",0,VLOOKUP(P103,Tables!$B$3:$D$36,2,FALSE())*AL$1)</f>
        <v>0</v>
      </c>
      <c r="CK103" s="87">
        <f>IF(AN103="",0,VLOOKUP(B103,Tables!$B$3:$D$36,3,FALSE())*X$1)*IF(OR(AN103="K",AN103="P"),2,1)</f>
        <v>0</v>
      </c>
      <c r="CL103" s="73">
        <f>IF(AO103="",0,VLOOKUP(C103,Tables!$B$3:$D$36,3,FALSE())*Y$1)*IF(OR(AO103="K",AO103="P"),2,1)</f>
        <v>0</v>
      </c>
      <c r="CM103" s="73">
        <f>IF(AP103="",0,VLOOKUP(D103,Tables!$B$3:$D$36,3,FALSE())*Z$1)*IF(OR(AP103="K",AP103="P"),2,1)</f>
        <v>0</v>
      </c>
      <c r="CN103" s="87">
        <f>IF(AQ103="",0,VLOOKUP(E103,Tables!$B$3:$D$36,3,FALSE())*AA$1)</f>
        <v>7.4999999999999997E-2</v>
      </c>
      <c r="CO103" s="73">
        <f>IF(AR103="",0,VLOOKUP(F103,Tables!$B$3:$D$36,3,FALSE())*AB$1)</f>
        <v>0.15</v>
      </c>
      <c r="CP103" s="73">
        <f>IF(AS103="",0,VLOOKUP(G103,Tables!$B$3:$D$36,3,FALSE())*AC$1)</f>
        <v>0.05</v>
      </c>
      <c r="CQ103" s="73">
        <f>IF(AT103="",0,VLOOKUP(H103,Tables!$B$3:$D$36,3,FALSE())*AD$1)</f>
        <v>0</v>
      </c>
      <c r="CR103" s="73">
        <f>IF(AU103="",0,VLOOKUP(I103,Tables!$B$3:$D$36,3,FALSE())*AE$1)</f>
        <v>0</v>
      </c>
      <c r="CS103" s="87">
        <f>IF(AV103="",0,VLOOKUP(J103,Tables!$B$3:$D$36,3,FALSE())*AF$1)</f>
        <v>0.3</v>
      </c>
      <c r="CT103" s="73">
        <f>IF(AW103="",0,VLOOKUP(K103,Tables!$B$3:$D$36,3,FALSE())*AG$1)</f>
        <v>0.3</v>
      </c>
      <c r="CU103" s="73">
        <f>IF(AX103="",0,VLOOKUP(L103,Tables!$B$3:$D$36,3,FALSE())*AH$1)</f>
        <v>0.25</v>
      </c>
      <c r="CV103" s="87">
        <f>IF(AY103="",0,VLOOKUP(M103,Tables!$B$3:$D$36,3,FALSE())*AI$1)</f>
        <v>0</v>
      </c>
      <c r="CW103" s="73">
        <f>IF(AZ103="",0,VLOOKUP(N103,Tables!$B$3:$D$36,3,FALSE())*AJ$1)</f>
        <v>0</v>
      </c>
      <c r="CX103" s="73">
        <f>IF(BA103="",0,VLOOKUP(O103,Tables!$B$3:$D$36,3,FALSE())*AK$1)</f>
        <v>0</v>
      </c>
      <c r="CY103" s="88">
        <f>IF(BB103="",0,VLOOKUP(P103,Tables!$B$3:$D$36,3,FALSE())*AL$1)</f>
        <v>0</v>
      </c>
      <c r="CZ103" s="89">
        <f t="shared" si="96"/>
        <v>0</v>
      </c>
      <c r="DA103" s="75">
        <f t="shared" si="97"/>
        <v>0</v>
      </c>
      <c r="DB103" s="75">
        <f t="shared" si="98"/>
        <v>0</v>
      </c>
      <c r="DC103" s="89">
        <f t="shared" si="99"/>
        <v>1</v>
      </c>
      <c r="DD103" s="75">
        <f t="shared" si="100"/>
        <v>1</v>
      </c>
      <c r="DE103" s="75">
        <f t="shared" si="101"/>
        <v>1</v>
      </c>
      <c r="DF103" s="75">
        <f t="shared" si="102"/>
        <v>0</v>
      </c>
      <c r="DG103" s="75">
        <f t="shared" si="103"/>
        <v>0</v>
      </c>
      <c r="DH103" s="89">
        <f t="shared" si="104"/>
        <v>1</v>
      </c>
      <c r="DI103" s="75">
        <f t="shared" si="105"/>
        <v>1</v>
      </c>
      <c r="DJ103" s="75">
        <f t="shared" si="106"/>
        <v>1</v>
      </c>
      <c r="DK103" s="89">
        <f t="shared" si="107"/>
        <v>0</v>
      </c>
      <c r="DL103" s="75">
        <f t="shared" si="108"/>
        <v>0</v>
      </c>
      <c r="DM103" s="75">
        <f t="shared" si="109"/>
        <v>0</v>
      </c>
      <c r="DN103" s="90">
        <f t="shared" si="110"/>
        <v>0</v>
      </c>
      <c r="DO103" s="91">
        <f>IF(AN103="",0,VLOOKUP(B103,Tables!$B$3:$M$36,11,FALSE())*X$1)</f>
        <v>0</v>
      </c>
      <c r="DP103" s="92">
        <f>IF(AO103="",0,VLOOKUP(C103,Tables!$B$3:$M$36,11,FALSE())*Y$1)</f>
        <v>0</v>
      </c>
      <c r="DQ103" s="92">
        <f>IF(AP103="",0,VLOOKUP(D103,Tables!$B$3:$M$36,11,FALSE())*Z$1)</f>
        <v>0</v>
      </c>
      <c r="DR103" s="91">
        <f>IF(AQ103="",0,VLOOKUP(E103,Tables!$B$3:$M$36,11,FALSE())*AA$1)</f>
        <v>0.6</v>
      </c>
      <c r="DS103" s="92">
        <f>IF(AR103="",0,VLOOKUP(F103,Tables!$B$3:$M$36,11,FALSE())*AB$1)</f>
        <v>1.2</v>
      </c>
      <c r="DT103" s="92">
        <f>IF(AS103="",0,VLOOKUP(G103,Tables!$B$3:$M$36,11,FALSE())*AC$1)</f>
        <v>0.4</v>
      </c>
      <c r="DU103" s="92">
        <f>IF(AT103="",0,VLOOKUP(H103,Tables!$B$3:$M$36,11,FALSE())*AD$1)</f>
        <v>0</v>
      </c>
      <c r="DV103" s="92">
        <f>IF(AU103="",0,VLOOKUP(I103,Tables!$B$3:$M$36,11,FALSE())*AE$1)</f>
        <v>0</v>
      </c>
      <c r="DW103" s="91">
        <f>IF(AV103="",0,VLOOKUP(J103,Tables!$B$3:$M$36,11,FALSE())*AF$1)</f>
        <v>2.4</v>
      </c>
      <c r="DX103" s="92">
        <f>IF(AW103="",0,VLOOKUP(K103,Tables!$B$3:$M$36,11,FALSE())*AG$1)</f>
        <v>2.4</v>
      </c>
      <c r="DY103" s="92">
        <f>IF(AX103="",0,VLOOKUP(L103,Tables!$B$3:$M$36,11,FALSE())*AH$1)</f>
        <v>2</v>
      </c>
      <c r="DZ103" s="91">
        <f>IF(AY103="",0,VLOOKUP(M103,Tables!$B$3:$M$36,11,FALSE())*AI$1)</f>
        <v>0</v>
      </c>
      <c r="EA103" s="92">
        <f>IF(AZ103="",0,VLOOKUP(N103,Tables!$B$3:$M$36,11,FALSE())*AJ$1)</f>
        <v>0</v>
      </c>
      <c r="EB103" s="92">
        <f>IF(BA103="",0,VLOOKUP(O103,Tables!$B$3:$M$36,11,FALSE())*AK$1)</f>
        <v>0</v>
      </c>
      <c r="EC103" s="93">
        <f>IF(BB103="",0,VLOOKUP(P103,Tables!$B$3:$M$36,11,FALSE())*AL$1)</f>
        <v>0</v>
      </c>
      <c r="ED103" s="91">
        <f>IF(AN103="",0,VLOOKUP(B103,Tables!$B$3:$M$36,12,FALSE())*X$1)</f>
        <v>0</v>
      </c>
      <c r="EE103" s="92">
        <f>IF(AO103="",0,VLOOKUP(C103,Tables!$B$3:$M$36,12,FALSE())*Y$1)</f>
        <v>0</v>
      </c>
      <c r="EF103" s="92">
        <f>IF(AP103="",0,VLOOKUP(D103,Tables!$B$3:$M$36,12,FALSE())*Z$1)</f>
        <v>0</v>
      </c>
      <c r="EG103" s="91">
        <f>IF(AQ103="",0,VLOOKUP(E103,Tables!$B$3:$M$36,12,FALSE())*AA$1)</f>
        <v>1.7999999999999998</v>
      </c>
      <c r="EH103" s="92">
        <f>IF(AR103="",0,VLOOKUP(F103,Tables!$B$3:$M$36,12,FALSE())*AB$1)</f>
        <v>3.5999999999999996</v>
      </c>
      <c r="EI103" s="92">
        <f>IF(AS103="",0,VLOOKUP(G103,Tables!$B$3:$M$36,12,FALSE())*AC$1)</f>
        <v>1.2</v>
      </c>
      <c r="EJ103" s="92">
        <f>IF(AT103="",0,VLOOKUP(H103,Tables!$B$3:$M$36,12,FALSE())*AD$1)</f>
        <v>0</v>
      </c>
      <c r="EK103" s="92">
        <f>IF(AU103="",0,VLOOKUP(I103,Tables!$B$3:$M$36,12,FALSE())*AE$1)</f>
        <v>0</v>
      </c>
      <c r="EL103" s="91">
        <f>IF(AV103="",0,VLOOKUP(J103,Tables!$B$3:$M$36,12,FALSE())*AF$1)</f>
        <v>7.1999999999999993</v>
      </c>
      <c r="EM103" s="92">
        <f>IF(AW103="",0,VLOOKUP(K103,Tables!$B$3:$M$36,12,FALSE())*AG$1)</f>
        <v>7.1999999999999993</v>
      </c>
      <c r="EN103" s="92">
        <f>IF(AX103="",0,VLOOKUP(L103,Tables!$B$3:$M$36,12,FALSE())*AH$1)</f>
        <v>6</v>
      </c>
      <c r="EO103" s="91">
        <f>IF(AY103="",0,VLOOKUP(M103,Tables!$B$3:$M$36,12,FALSE())*AI$1)</f>
        <v>0</v>
      </c>
      <c r="EP103" s="92">
        <f>IF(AZ103="",0,VLOOKUP(N103,Tables!$B$3:$M$36,12,FALSE())*AJ$1)</f>
        <v>0</v>
      </c>
      <c r="EQ103" s="92">
        <f>IF(BA103="",0,VLOOKUP(O103,Tables!$B$3:$M$36,12,FALSE())*AK$1)</f>
        <v>0</v>
      </c>
      <c r="ER103" s="93">
        <f>IF(BB103="",0,VLOOKUP(P103,Tables!$B$3:$M$36,12,FALSE())*AL$1)</f>
        <v>0</v>
      </c>
      <c r="ES103" s="94">
        <f t="shared" si="111"/>
        <v>0</v>
      </c>
      <c r="ET103" s="95">
        <f>IF(AN103="",10,MIN(VLOOKUP(B103,MATERIAL,13,FALSE()),'Item Builder'!$W103))</f>
        <v>10</v>
      </c>
      <c r="EU103" s="95">
        <f>IF(AO103="",10,MIN(VLOOKUP(C103,MATERIAL,13,FALSE()),'Item Builder'!$W103))</f>
        <v>10</v>
      </c>
      <c r="EV103" s="95">
        <f>IF(AP103="",10,MIN(VLOOKUP(D103,MATERIAL,13,FALSE()),'Item Builder'!$W103))</f>
        <v>10</v>
      </c>
      <c r="EW103" s="95">
        <f>IF(AQ103="",10,MIN(VLOOKUP(E103,MATERIAL,13,FALSE()),'Item Builder'!$W103))</f>
        <v>0</v>
      </c>
      <c r="EX103" s="95">
        <f>IF(AR103="",10,MIN(VLOOKUP(F103,MATERIAL,13,FALSE()),'Item Builder'!$W103))</f>
        <v>0</v>
      </c>
      <c r="EY103" s="95">
        <f>IF(AS103="",10,MIN(VLOOKUP(G103,MATERIAL,13,FALSE()),'Item Builder'!$W103))</f>
        <v>0</v>
      </c>
      <c r="EZ103" s="95">
        <f>IF(AT103="",10,MIN(VLOOKUP(H103,MATERIAL,13,FALSE()),'Item Builder'!$W103))</f>
        <v>10</v>
      </c>
      <c r="FA103" s="95">
        <f>IF(AU103="",10,MIN(VLOOKUP(I103,MATERIAL,13,FALSE()),'Item Builder'!$W103))</f>
        <v>10</v>
      </c>
      <c r="FB103" s="95">
        <f>IF(AV103="",10,MIN(VLOOKUP(J103,MATERIAL,13,FALSE()),'Item Builder'!$W103))</f>
        <v>0</v>
      </c>
      <c r="FC103" s="95">
        <f>IF(AW103="",10,MIN(VLOOKUP(K103,MATERIAL,13,FALSE()),'Item Builder'!$W103))</f>
        <v>0</v>
      </c>
      <c r="FD103" s="95">
        <f>IF(AX103="",10,MIN(VLOOKUP(L103,MATERIAL,13,FALSE()),'Item Builder'!$W103))</f>
        <v>0</v>
      </c>
      <c r="FE103" s="95">
        <f>IF(AY103="",10,MIN(VLOOKUP(M103,MATERIAL,13,FALSE()),'Item Builder'!$W103))</f>
        <v>10</v>
      </c>
      <c r="FF103" s="95">
        <f>IF(AZ103="",10,MIN(VLOOKUP(N103,MATERIAL,13,FALSE()),'Item Builder'!$W103))</f>
        <v>10</v>
      </c>
      <c r="FG103" s="95">
        <f>IF(BA103="",10,MIN(VLOOKUP(O103,MATERIAL,13,FALSE()),'Item Builder'!$W103))</f>
        <v>10</v>
      </c>
      <c r="FH103" s="95">
        <f>IF(BB103="",10,MIN(VLOOKUP(P103,MATERIAL,13,FALSE()),'Item Builder'!$W103))</f>
        <v>10</v>
      </c>
    </row>
    <row r="104" spans="1:164" x14ac:dyDescent="0.25">
      <c r="A104" s="67" t="s">
        <v>244</v>
      </c>
      <c r="B104" s="68"/>
      <c r="C104" s="69"/>
      <c r="D104" s="70"/>
      <c r="E104" s="68" t="s">
        <v>155</v>
      </c>
      <c r="F104" s="69" t="s">
        <v>155</v>
      </c>
      <c r="G104" s="69" t="s">
        <v>155</v>
      </c>
      <c r="H104" s="69" t="s">
        <v>155</v>
      </c>
      <c r="I104" s="70"/>
      <c r="J104" s="68" t="s">
        <v>155</v>
      </c>
      <c r="K104" s="69" t="s">
        <v>155</v>
      </c>
      <c r="L104" s="70" t="s">
        <v>155</v>
      </c>
      <c r="M104" s="68"/>
      <c r="N104" s="69"/>
      <c r="O104" s="69"/>
      <c r="P104" s="71"/>
      <c r="Q104" s="72">
        <f>SUM(BV104:CJ104)*VLOOKUP(W104,Tables!$W$3:$Z$8,4)</f>
        <v>40</v>
      </c>
      <c r="R104" s="73">
        <f t="shared" si="56"/>
        <v>1.25</v>
      </c>
      <c r="S104" s="74">
        <f t="shared" si="57"/>
        <v>0</v>
      </c>
      <c r="T104" s="74">
        <f t="shared" si="58"/>
        <v>0</v>
      </c>
      <c r="U104" s="75">
        <f t="shared" si="59"/>
        <v>10</v>
      </c>
      <c r="V104" s="76">
        <f t="shared" si="60"/>
        <v>29.999999999999996</v>
      </c>
      <c r="W104" s="77">
        <v>0</v>
      </c>
      <c r="X104" s="78">
        <f t="shared" si="61"/>
        <v>0</v>
      </c>
      <c r="Y104" s="79">
        <f t="shared" si="62"/>
        <v>0</v>
      </c>
      <c r="Z104" s="79">
        <f t="shared" si="63"/>
        <v>0</v>
      </c>
      <c r="AA104" s="78">
        <f t="shared" si="64"/>
        <v>1</v>
      </c>
      <c r="AB104" s="79">
        <f t="shared" si="65"/>
        <v>1</v>
      </c>
      <c r="AC104" s="79">
        <f t="shared" si="66"/>
        <v>1</v>
      </c>
      <c r="AD104" s="79">
        <f t="shared" si="67"/>
        <v>1</v>
      </c>
      <c r="AE104" s="79">
        <f t="shared" si="68"/>
        <v>0</v>
      </c>
      <c r="AF104" s="78">
        <f t="shared" si="69"/>
        <v>1</v>
      </c>
      <c r="AG104" s="79">
        <f t="shared" si="70"/>
        <v>1</v>
      </c>
      <c r="AH104" s="79">
        <f t="shared" si="71"/>
        <v>1</v>
      </c>
      <c r="AI104" s="78">
        <f t="shared" si="72"/>
        <v>0</v>
      </c>
      <c r="AJ104" s="79">
        <f t="shared" si="73"/>
        <v>0</v>
      </c>
      <c r="AK104" s="79">
        <f t="shared" si="74"/>
        <v>0</v>
      </c>
      <c r="AL104" s="80">
        <f t="shared" si="75"/>
        <v>0</v>
      </c>
      <c r="AM104" s="81">
        <f t="shared" si="76"/>
        <v>0.5</v>
      </c>
      <c r="AN104" s="82" t="str">
        <f t="shared" si="77"/>
        <v/>
      </c>
      <c r="AO104" s="79" t="str">
        <f t="shared" si="78"/>
        <v/>
      </c>
      <c r="AP104" t="str">
        <f t="shared" si="79"/>
        <v/>
      </c>
      <c r="AQ104" s="82" t="str">
        <f t="shared" si="80"/>
        <v>X</v>
      </c>
      <c r="AR104" t="str">
        <f t="shared" si="81"/>
        <v>X</v>
      </c>
      <c r="AS104" t="str">
        <f t="shared" si="82"/>
        <v>X</v>
      </c>
      <c r="AT104" t="str">
        <f t="shared" si="83"/>
        <v>X</v>
      </c>
      <c r="AU104" t="str">
        <f t="shared" si="84"/>
        <v/>
      </c>
      <c r="AV104" s="82" t="str">
        <f t="shared" si="85"/>
        <v>X</v>
      </c>
      <c r="AW104" t="str">
        <f t="shared" si="86"/>
        <v>X</v>
      </c>
      <c r="AX104" t="str">
        <f t="shared" si="87"/>
        <v>X</v>
      </c>
      <c r="AY104" s="82" t="str">
        <f t="shared" si="88"/>
        <v/>
      </c>
      <c r="AZ104" t="str">
        <f t="shared" si="89"/>
        <v/>
      </c>
      <c r="BA104" t="str">
        <f t="shared" si="90"/>
        <v/>
      </c>
      <c r="BB104" s="83" t="str">
        <f t="shared" si="91"/>
        <v/>
      </c>
      <c r="BC104" s="84">
        <f t="shared" si="92"/>
        <v>0</v>
      </c>
      <c r="BD104" s="84">
        <f t="shared" si="93"/>
        <v>0.76190476190476186</v>
      </c>
      <c r="BE104" s="84">
        <f t="shared" si="94"/>
        <v>1</v>
      </c>
      <c r="BF104" s="84">
        <f t="shared" si="95"/>
        <v>0</v>
      </c>
      <c r="BG104" s="78">
        <f>IF(AN104="",0,VLOOKUP(AN104,Tables!$AB$3:$AC$12,2))</f>
        <v>0</v>
      </c>
      <c r="BH104" s="79">
        <f>IF(AO104="",0,VLOOKUP(AO104,Tables!$AB$3:$AC$12,2))</f>
        <v>0</v>
      </c>
      <c r="BI104" s="79">
        <f>IF(AP104="",0,VLOOKUP(AP104,Tables!$AB$3:$AC$12,2))</f>
        <v>0</v>
      </c>
      <c r="BJ104" s="78">
        <f>IF(AQ104="",0,VLOOKUP(AQ104,Tables!$AB$3:$AC$12,2))</f>
        <v>1</v>
      </c>
      <c r="BK104" s="79">
        <f>IF(AR104="",0,VLOOKUP(AR104,Tables!$AB$3:$AC$12,2))</f>
        <v>1</v>
      </c>
      <c r="BL104" s="79">
        <f>IF(AS104="",0,VLOOKUP(AS104,Tables!$AB$3:$AC$12,2))</f>
        <v>1</v>
      </c>
      <c r="BM104" s="79">
        <f>IF(AT104="",0,VLOOKUP(AT104,Tables!$AB$3:$AC$12,2))</f>
        <v>1</v>
      </c>
      <c r="BN104" s="79">
        <f>IF(AU104="",0,VLOOKUP(AU104,Tables!$AB$3:$AC$12,2))</f>
        <v>0</v>
      </c>
      <c r="BO104" s="78">
        <f>IF(AV104="",0,VLOOKUP(AV104,Tables!$AB$3:$AC$12,2))</f>
        <v>1</v>
      </c>
      <c r="BP104" s="79">
        <f>IF(AW104="",0,VLOOKUP(AW104,Tables!$AB$3:$AC$12,2))</f>
        <v>1</v>
      </c>
      <c r="BQ104" s="79">
        <f>IF(AX104="",0,VLOOKUP(AX104,Tables!$AB$3:$AC$12,2))</f>
        <v>1</v>
      </c>
      <c r="BR104" s="78">
        <f>IF(AY104="",0,VLOOKUP(AY104,Tables!$AB$3:$AC$12,2))</f>
        <v>0</v>
      </c>
      <c r="BS104" s="79">
        <f>IF(AZ104="",0,VLOOKUP(AZ104,Tables!$AB$3:$AC$12,2))</f>
        <v>0</v>
      </c>
      <c r="BT104" s="79">
        <f>IF(BA104="",0,VLOOKUP(BA104,Tables!$AB$3:$AC$12,2))</f>
        <v>0</v>
      </c>
      <c r="BU104" s="80">
        <f>IF(BB104="",0,VLOOKUP(BB104,Tables!$AB$3:$AC$12,2))</f>
        <v>0</v>
      </c>
      <c r="BV104" s="85">
        <f>IF(AN104="",0,VLOOKUP(B104,Tables!$B$3:$D$36,2,FALSE())*X$1)</f>
        <v>0</v>
      </c>
      <c r="BW104" s="72">
        <f>IF(AO104="",0,VLOOKUP(C104,Tables!$B$3:$D$36,2,FALSE())*Y$1)</f>
        <v>0</v>
      </c>
      <c r="BX104" s="72">
        <f>IF(AP104="",0,VLOOKUP(D104,Tables!$B$3:$D$36,2,FALSE())*Z$1)</f>
        <v>0</v>
      </c>
      <c r="BY104" s="85">
        <f>IF(AQ104="",0,VLOOKUP(E104,Tables!$B$3:$D$36,2,FALSE())*AA$1)</f>
        <v>2.4</v>
      </c>
      <c r="BZ104" s="72">
        <f>IF(AR104="",0,VLOOKUP(F104,Tables!$B$3:$D$36,2,FALSE())*AB$1)</f>
        <v>4.8</v>
      </c>
      <c r="CA104" s="72">
        <f>IF(AS104="",0,VLOOKUP(G104,Tables!$B$3:$D$36,2,FALSE())*AC$1)</f>
        <v>1.6</v>
      </c>
      <c r="CB104" s="72">
        <f>IF(AT104="",0,VLOOKUP(H104,Tables!$B$3:$D$36,2,FALSE())*AD$1)</f>
        <v>4</v>
      </c>
      <c r="CC104" s="72">
        <f>IF(AU104="",0,VLOOKUP(I104,Tables!$B$3:$D$36,2,FALSE())*AE$1)</f>
        <v>0</v>
      </c>
      <c r="CD104" s="85">
        <f>IF(AV104="",0,VLOOKUP(J104,Tables!$B$3:$D$36,2,FALSE())*AF$1)</f>
        <v>9.6</v>
      </c>
      <c r="CE104" s="72">
        <f>IF(AW104="",0,VLOOKUP(K104,Tables!$B$3:$D$36,2,FALSE())*AG$1)</f>
        <v>9.6</v>
      </c>
      <c r="CF104" s="72">
        <f>IF(AX104="",0,VLOOKUP(L104,Tables!$B$3:$D$36,2,FALSE())*AH$1)</f>
        <v>8</v>
      </c>
      <c r="CG104" s="85">
        <f>IF(AY104="",0,VLOOKUP(M104,Tables!$B$3:$D$36,2,FALSE())*AI$1)</f>
        <v>0</v>
      </c>
      <c r="CH104" s="72">
        <f>IF(AZ104="",0,VLOOKUP(N104,Tables!$B$3:$D$36,2,FALSE())*AJ$1)</f>
        <v>0</v>
      </c>
      <c r="CI104" s="72">
        <f>IF(BA104="",0,VLOOKUP(O104,Tables!$B$3:$D$36,2,FALSE())*AK$1)</f>
        <v>0</v>
      </c>
      <c r="CJ104" s="86">
        <f>IF(BB104="",0,VLOOKUP(P104,Tables!$B$3:$D$36,2,FALSE())*AL$1)</f>
        <v>0</v>
      </c>
      <c r="CK104" s="87">
        <f>IF(AN104="",0,VLOOKUP(B104,Tables!$B$3:$D$36,3,FALSE())*X$1)*IF(OR(AN104="K",AN104="P"),2,1)</f>
        <v>0</v>
      </c>
      <c r="CL104" s="73">
        <f>IF(AO104="",0,VLOOKUP(C104,Tables!$B$3:$D$36,3,FALSE())*Y$1)*IF(OR(AO104="K",AO104="P"),2,1)</f>
        <v>0</v>
      </c>
      <c r="CM104" s="73">
        <f>IF(AP104="",0,VLOOKUP(D104,Tables!$B$3:$D$36,3,FALSE())*Z$1)*IF(OR(AP104="K",AP104="P"),2,1)</f>
        <v>0</v>
      </c>
      <c r="CN104" s="87">
        <f>IF(AQ104="",0,VLOOKUP(E104,Tables!$B$3:$D$36,3,FALSE())*AA$1)</f>
        <v>7.4999999999999997E-2</v>
      </c>
      <c r="CO104" s="73">
        <f>IF(AR104="",0,VLOOKUP(F104,Tables!$B$3:$D$36,3,FALSE())*AB$1)</f>
        <v>0.15</v>
      </c>
      <c r="CP104" s="73">
        <f>IF(AS104="",0,VLOOKUP(G104,Tables!$B$3:$D$36,3,FALSE())*AC$1)</f>
        <v>0.05</v>
      </c>
      <c r="CQ104" s="73">
        <f>IF(AT104="",0,VLOOKUP(H104,Tables!$B$3:$D$36,3,FALSE())*AD$1)</f>
        <v>0.125</v>
      </c>
      <c r="CR104" s="73">
        <f>IF(AU104="",0,VLOOKUP(I104,Tables!$B$3:$D$36,3,FALSE())*AE$1)</f>
        <v>0</v>
      </c>
      <c r="CS104" s="87">
        <f>IF(AV104="",0,VLOOKUP(J104,Tables!$B$3:$D$36,3,FALSE())*AF$1)</f>
        <v>0.3</v>
      </c>
      <c r="CT104" s="73">
        <f>IF(AW104="",0,VLOOKUP(K104,Tables!$B$3:$D$36,3,FALSE())*AG$1)</f>
        <v>0.3</v>
      </c>
      <c r="CU104" s="73">
        <f>IF(AX104="",0,VLOOKUP(L104,Tables!$B$3:$D$36,3,FALSE())*AH$1)</f>
        <v>0.25</v>
      </c>
      <c r="CV104" s="87">
        <f>IF(AY104="",0,VLOOKUP(M104,Tables!$B$3:$D$36,3,FALSE())*AI$1)</f>
        <v>0</v>
      </c>
      <c r="CW104" s="73">
        <f>IF(AZ104="",0,VLOOKUP(N104,Tables!$B$3:$D$36,3,FALSE())*AJ$1)</f>
        <v>0</v>
      </c>
      <c r="CX104" s="73">
        <f>IF(BA104="",0,VLOOKUP(O104,Tables!$B$3:$D$36,3,FALSE())*AK$1)</f>
        <v>0</v>
      </c>
      <c r="CY104" s="88">
        <f>IF(BB104="",0,VLOOKUP(P104,Tables!$B$3:$D$36,3,FALSE())*AL$1)</f>
        <v>0</v>
      </c>
      <c r="CZ104" s="89">
        <f t="shared" si="96"/>
        <v>0</v>
      </c>
      <c r="DA104" s="75">
        <f t="shared" si="97"/>
        <v>0</v>
      </c>
      <c r="DB104" s="75">
        <f t="shared" si="98"/>
        <v>0</v>
      </c>
      <c r="DC104" s="89">
        <f t="shared" si="99"/>
        <v>1</v>
      </c>
      <c r="DD104" s="75">
        <f t="shared" si="100"/>
        <v>1</v>
      </c>
      <c r="DE104" s="75">
        <f t="shared" si="101"/>
        <v>1</v>
      </c>
      <c r="DF104" s="75">
        <f t="shared" si="102"/>
        <v>1</v>
      </c>
      <c r="DG104" s="75">
        <f t="shared" si="103"/>
        <v>0</v>
      </c>
      <c r="DH104" s="89">
        <f t="shared" si="104"/>
        <v>1</v>
      </c>
      <c r="DI104" s="75">
        <f t="shared" si="105"/>
        <v>1</v>
      </c>
      <c r="DJ104" s="75">
        <f t="shared" si="106"/>
        <v>1</v>
      </c>
      <c r="DK104" s="89">
        <f t="shared" si="107"/>
        <v>0</v>
      </c>
      <c r="DL104" s="75">
        <f t="shared" si="108"/>
        <v>0</v>
      </c>
      <c r="DM104" s="75">
        <f t="shared" si="109"/>
        <v>0</v>
      </c>
      <c r="DN104" s="90">
        <f t="shared" si="110"/>
        <v>0</v>
      </c>
      <c r="DO104" s="91">
        <f>IF(AN104="",0,VLOOKUP(B104,Tables!$B$3:$M$36,11,FALSE())*X$1)</f>
        <v>0</v>
      </c>
      <c r="DP104" s="92">
        <f>IF(AO104="",0,VLOOKUP(C104,Tables!$B$3:$M$36,11,FALSE())*Y$1)</f>
        <v>0</v>
      </c>
      <c r="DQ104" s="92">
        <f>IF(AP104="",0,VLOOKUP(D104,Tables!$B$3:$M$36,11,FALSE())*Z$1)</f>
        <v>0</v>
      </c>
      <c r="DR104" s="91">
        <f>IF(AQ104="",0,VLOOKUP(E104,Tables!$B$3:$M$36,11,FALSE())*AA$1)</f>
        <v>0.6</v>
      </c>
      <c r="DS104" s="92">
        <f>IF(AR104="",0,VLOOKUP(F104,Tables!$B$3:$M$36,11,FALSE())*AB$1)</f>
        <v>1.2</v>
      </c>
      <c r="DT104" s="92">
        <f>IF(AS104="",0,VLOOKUP(G104,Tables!$B$3:$M$36,11,FALSE())*AC$1)</f>
        <v>0.4</v>
      </c>
      <c r="DU104" s="92">
        <f>IF(AT104="",0,VLOOKUP(H104,Tables!$B$3:$M$36,11,FALSE())*AD$1)</f>
        <v>1</v>
      </c>
      <c r="DV104" s="92">
        <f>IF(AU104="",0,VLOOKUP(I104,Tables!$B$3:$M$36,11,FALSE())*AE$1)</f>
        <v>0</v>
      </c>
      <c r="DW104" s="91">
        <f>IF(AV104="",0,VLOOKUP(J104,Tables!$B$3:$M$36,11,FALSE())*AF$1)</f>
        <v>2.4</v>
      </c>
      <c r="DX104" s="92">
        <f>IF(AW104="",0,VLOOKUP(K104,Tables!$B$3:$M$36,11,FALSE())*AG$1)</f>
        <v>2.4</v>
      </c>
      <c r="DY104" s="92">
        <f>IF(AX104="",0,VLOOKUP(L104,Tables!$B$3:$M$36,11,FALSE())*AH$1)</f>
        <v>2</v>
      </c>
      <c r="DZ104" s="91">
        <f>IF(AY104="",0,VLOOKUP(M104,Tables!$B$3:$M$36,11,FALSE())*AI$1)</f>
        <v>0</v>
      </c>
      <c r="EA104" s="92">
        <f>IF(AZ104="",0,VLOOKUP(N104,Tables!$B$3:$M$36,11,FALSE())*AJ$1)</f>
        <v>0</v>
      </c>
      <c r="EB104" s="92">
        <f>IF(BA104="",0,VLOOKUP(O104,Tables!$B$3:$M$36,11,FALSE())*AK$1)</f>
        <v>0</v>
      </c>
      <c r="EC104" s="93">
        <f>IF(BB104="",0,VLOOKUP(P104,Tables!$B$3:$M$36,11,FALSE())*AL$1)</f>
        <v>0</v>
      </c>
      <c r="ED104" s="91">
        <f>IF(AN104="",0,VLOOKUP(B104,Tables!$B$3:$M$36,12,FALSE())*X$1)</f>
        <v>0</v>
      </c>
      <c r="EE104" s="92">
        <f>IF(AO104="",0,VLOOKUP(C104,Tables!$B$3:$M$36,12,FALSE())*Y$1)</f>
        <v>0</v>
      </c>
      <c r="EF104" s="92">
        <f>IF(AP104="",0,VLOOKUP(D104,Tables!$B$3:$M$36,12,FALSE())*Z$1)</f>
        <v>0</v>
      </c>
      <c r="EG104" s="91">
        <f>IF(AQ104="",0,VLOOKUP(E104,Tables!$B$3:$M$36,12,FALSE())*AA$1)</f>
        <v>1.7999999999999998</v>
      </c>
      <c r="EH104" s="92">
        <f>IF(AR104="",0,VLOOKUP(F104,Tables!$B$3:$M$36,12,FALSE())*AB$1)</f>
        <v>3.5999999999999996</v>
      </c>
      <c r="EI104" s="92">
        <f>IF(AS104="",0,VLOOKUP(G104,Tables!$B$3:$M$36,12,FALSE())*AC$1)</f>
        <v>1.2</v>
      </c>
      <c r="EJ104" s="92">
        <f>IF(AT104="",0,VLOOKUP(H104,Tables!$B$3:$M$36,12,FALSE())*AD$1)</f>
        <v>3</v>
      </c>
      <c r="EK104" s="92">
        <f>IF(AU104="",0,VLOOKUP(I104,Tables!$B$3:$M$36,12,FALSE())*AE$1)</f>
        <v>0</v>
      </c>
      <c r="EL104" s="91">
        <f>IF(AV104="",0,VLOOKUP(J104,Tables!$B$3:$M$36,12,FALSE())*AF$1)</f>
        <v>7.1999999999999993</v>
      </c>
      <c r="EM104" s="92">
        <f>IF(AW104="",0,VLOOKUP(K104,Tables!$B$3:$M$36,12,FALSE())*AG$1)</f>
        <v>7.1999999999999993</v>
      </c>
      <c r="EN104" s="92">
        <f>IF(AX104="",0,VLOOKUP(L104,Tables!$B$3:$M$36,12,FALSE())*AH$1)</f>
        <v>6</v>
      </c>
      <c r="EO104" s="91">
        <f>IF(AY104="",0,VLOOKUP(M104,Tables!$B$3:$M$36,12,FALSE())*AI$1)</f>
        <v>0</v>
      </c>
      <c r="EP104" s="92">
        <f>IF(AZ104="",0,VLOOKUP(N104,Tables!$B$3:$M$36,12,FALSE())*AJ$1)</f>
        <v>0</v>
      </c>
      <c r="EQ104" s="92">
        <f>IF(BA104="",0,VLOOKUP(O104,Tables!$B$3:$M$36,12,FALSE())*AK$1)</f>
        <v>0</v>
      </c>
      <c r="ER104" s="93">
        <f>IF(BB104="",0,VLOOKUP(P104,Tables!$B$3:$M$36,12,FALSE())*AL$1)</f>
        <v>0</v>
      </c>
      <c r="ES104" s="94">
        <f t="shared" si="111"/>
        <v>0</v>
      </c>
      <c r="ET104" s="95">
        <f>IF(AN104="",10,MIN(VLOOKUP(B104,MATERIAL,13,FALSE()),'Item Builder'!$W104))</f>
        <v>10</v>
      </c>
      <c r="EU104" s="95">
        <f>IF(AO104="",10,MIN(VLOOKUP(C104,MATERIAL,13,FALSE()),'Item Builder'!$W104))</f>
        <v>10</v>
      </c>
      <c r="EV104" s="95">
        <f>IF(AP104="",10,MIN(VLOOKUP(D104,MATERIAL,13,FALSE()),'Item Builder'!$W104))</f>
        <v>10</v>
      </c>
      <c r="EW104" s="95">
        <f>IF(AQ104="",10,MIN(VLOOKUP(E104,MATERIAL,13,FALSE()),'Item Builder'!$W104))</f>
        <v>0</v>
      </c>
      <c r="EX104" s="95">
        <f>IF(AR104="",10,MIN(VLOOKUP(F104,MATERIAL,13,FALSE()),'Item Builder'!$W104))</f>
        <v>0</v>
      </c>
      <c r="EY104" s="95">
        <f>IF(AS104="",10,MIN(VLOOKUP(G104,MATERIAL,13,FALSE()),'Item Builder'!$W104))</f>
        <v>0</v>
      </c>
      <c r="EZ104" s="95">
        <f>IF(AT104="",10,MIN(VLOOKUP(H104,MATERIAL,13,FALSE()),'Item Builder'!$W104))</f>
        <v>0</v>
      </c>
      <c r="FA104" s="95">
        <f>IF(AU104="",10,MIN(VLOOKUP(I104,MATERIAL,13,FALSE()),'Item Builder'!$W104))</f>
        <v>10</v>
      </c>
      <c r="FB104" s="95">
        <f>IF(AV104="",10,MIN(VLOOKUP(J104,MATERIAL,13,FALSE()),'Item Builder'!$W104))</f>
        <v>0</v>
      </c>
      <c r="FC104" s="95">
        <f>IF(AW104="",10,MIN(VLOOKUP(K104,MATERIAL,13,FALSE()),'Item Builder'!$W104))</f>
        <v>0</v>
      </c>
      <c r="FD104" s="95">
        <f>IF(AX104="",10,MIN(VLOOKUP(L104,MATERIAL,13,FALSE()),'Item Builder'!$W104))</f>
        <v>0</v>
      </c>
      <c r="FE104" s="95">
        <f>IF(AY104="",10,MIN(VLOOKUP(M104,MATERIAL,13,FALSE()),'Item Builder'!$W104))</f>
        <v>10</v>
      </c>
      <c r="FF104" s="95">
        <f>IF(AZ104="",10,MIN(VLOOKUP(N104,MATERIAL,13,FALSE()),'Item Builder'!$W104))</f>
        <v>10</v>
      </c>
      <c r="FG104" s="95">
        <f>IF(BA104="",10,MIN(VLOOKUP(O104,MATERIAL,13,FALSE()),'Item Builder'!$W104))</f>
        <v>10</v>
      </c>
      <c r="FH104" s="95">
        <f>IF(BB104="",10,MIN(VLOOKUP(P104,MATERIAL,13,FALSE()),'Item Builder'!$W104))</f>
        <v>10</v>
      </c>
    </row>
    <row r="105" spans="1:164" x14ac:dyDescent="0.25">
      <c r="A105" s="67" t="s">
        <v>245</v>
      </c>
      <c r="B105" s="68"/>
      <c r="C105" s="69"/>
      <c r="D105" s="70"/>
      <c r="E105" s="68" t="s">
        <v>155</v>
      </c>
      <c r="F105" s="69" t="s">
        <v>155</v>
      </c>
      <c r="G105" s="69" t="s">
        <v>155</v>
      </c>
      <c r="H105" s="69" t="s">
        <v>155</v>
      </c>
      <c r="I105" s="70"/>
      <c r="J105" s="68" t="s">
        <v>155</v>
      </c>
      <c r="K105" s="69" t="s">
        <v>155</v>
      </c>
      <c r="L105" s="70" t="s">
        <v>155</v>
      </c>
      <c r="M105" s="68" t="s">
        <v>155</v>
      </c>
      <c r="N105" s="69"/>
      <c r="O105" s="69"/>
      <c r="P105" s="71"/>
      <c r="Q105" s="72">
        <f>SUM(BV105:CJ105)*VLOOKUP(W105,Tables!$W$3:$Z$8,4)</f>
        <v>51.2</v>
      </c>
      <c r="R105" s="73">
        <f t="shared" si="56"/>
        <v>1.6</v>
      </c>
      <c r="S105" s="74">
        <f t="shared" si="57"/>
        <v>0</v>
      </c>
      <c r="T105" s="74">
        <f t="shared" si="58"/>
        <v>0</v>
      </c>
      <c r="U105" s="75">
        <f t="shared" si="59"/>
        <v>12.8</v>
      </c>
      <c r="V105" s="76">
        <f t="shared" si="60"/>
        <v>38.4</v>
      </c>
      <c r="W105" s="77">
        <v>0</v>
      </c>
      <c r="X105" s="78">
        <f t="shared" si="61"/>
        <v>0</v>
      </c>
      <c r="Y105" s="79">
        <f t="shared" si="62"/>
        <v>0</v>
      </c>
      <c r="Z105" s="79">
        <f t="shared" si="63"/>
        <v>0</v>
      </c>
      <c r="AA105" s="78">
        <f t="shared" si="64"/>
        <v>1</v>
      </c>
      <c r="AB105" s="79">
        <f t="shared" si="65"/>
        <v>1</v>
      </c>
      <c r="AC105" s="79">
        <f t="shared" si="66"/>
        <v>1</v>
      </c>
      <c r="AD105" s="79">
        <f t="shared" si="67"/>
        <v>1</v>
      </c>
      <c r="AE105" s="79">
        <f t="shared" si="68"/>
        <v>0</v>
      </c>
      <c r="AF105" s="78">
        <f t="shared" si="69"/>
        <v>1</v>
      </c>
      <c r="AG105" s="79">
        <f t="shared" si="70"/>
        <v>1</v>
      </c>
      <c r="AH105" s="79">
        <f t="shared" si="71"/>
        <v>1</v>
      </c>
      <c r="AI105" s="78">
        <f t="shared" si="72"/>
        <v>1</v>
      </c>
      <c r="AJ105" s="79">
        <f t="shared" si="73"/>
        <v>0</v>
      </c>
      <c r="AK105" s="79">
        <f t="shared" si="74"/>
        <v>0</v>
      </c>
      <c r="AL105" s="80">
        <f t="shared" si="75"/>
        <v>0</v>
      </c>
      <c r="AM105" s="81">
        <f t="shared" si="76"/>
        <v>0.64</v>
      </c>
      <c r="AN105" s="82" t="str">
        <f t="shared" si="77"/>
        <v/>
      </c>
      <c r="AO105" s="79" t="str">
        <f t="shared" si="78"/>
        <v/>
      </c>
      <c r="AP105" t="str">
        <f t="shared" si="79"/>
        <v/>
      </c>
      <c r="AQ105" s="82" t="str">
        <f t="shared" si="80"/>
        <v>X</v>
      </c>
      <c r="AR105" t="str">
        <f t="shared" si="81"/>
        <v>X</v>
      </c>
      <c r="AS105" t="str">
        <f t="shared" si="82"/>
        <v>X</v>
      </c>
      <c r="AT105" t="str">
        <f t="shared" si="83"/>
        <v>X</v>
      </c>
      <c r="AU105" t="str">
        <f t="shared" si="84"/>
        <v/>
      </c>
      <c r="AV105" s="82" t="str">
        <f t="shared" si="85"/>
        <v>X</v>
      </c>
      <c r="AW105" t="str">
        <f t="shared" si="86"/>
        <v>X</v>
      </c>
      <c r="AX105" t="str">
        <f t="shared" si="87"/>
        <v>X</v>
      </c>
      <c r="AY105" s="82" t="str">
        <f t="shared" si="88"/>
        <v>X</v>
      </c>
      <c r="AZ105" t="str">
        <f t="shared" si="89"/>
        <v/>
      </c>
      <c r="BA105" t="str">
        <f t="shared" si="90"/>
        <v/>
      </c>
      <c r="BB105" s="83" t="str">
        <f t="shared" si="91"/>
        <v/>
      </c>
      <c r="BC105" s="84">
        <f t="shared" si="92"/>
        <v>0</v>
      </c>
      <c r="BD105" s="84">
        <f t="shared" si="93"/>
        <v>0.76190476190476186</v>
      </c>
      <c r="BE105" s="84">
        <f t="shared" si="94"/>
        <v>1</v>
      </c>
      <c r="BF105" s="84">
        <f t="shared" si="95"/>
        <v>0.3888888888888889</v>
      </c>
      <c r="BG105" s="78">
        <f>IF(AN105="",0,VLOOKUP(AN105,Tables!$AB$3:$AC$12,2))</f>
        <v>0</v>
      </c>
      <c r="BH105" s="79">
        <f>IF(AO105="",0,VLOOKUP(AO105,Tables!$AB$3:$AC$12,2))</f>
        <v>0</v>
      </c>
      <c r="BI105" s="79">
        <f>IF(AP105="",0,VLOOKUP(AP105,Tables!$AB$3:$AC$12,2))</f>
        <v>0</v>
      </c>
      <c r="BJ105" s="78">
        <f>IF(AQ105="",0,VLOOKUP(AQ105,Tables!$AB$3:$AC$12,2))</f>
        <v>1</v>
      </c>
      <c r="BK105" s="79">
        <f>IF(AR105="",0,VLOOKUP(AR105,Tables!$AB$3:$AC$12,2))</f>
        <v>1</v>
      </c>
      <c r="BL105" s="79">
        <f>IF(AS105="",0,VLOOKUP(AS105,Tables!$AB$3:$AC$12,2))</f>
        <v>1</v>
      </c>
      <c r="BM105" s="79">
        <f>IF(AT105="",0,VLOOKUP(AT105,Tables!$AB$3:$AC$12,2))</f>
        <v>1</v>
      </c>
      <c r="BN105" s="79">
        <f>IF(AU105="",0,VLOOKUP(AU105,Tables!$AB$3:$AC$12,2))</f>
        <v>0</v>
      </c>
      <c r="BO105" s="78">
        <f>IF(AV105="",0,VLOOKUP(AV105,Tables!$AB$3:$AC$12,2))</f>
        <v>1</v>
      </c>
      <c r="BP105" s="79">
        <f>IF(AW105="",0,VLOOKUP(AW105,Tables!$AB$3:$AC$12,2))</f>
        <v>1</v>
      </c>
      <c r="BQ105" s="79">
        <f>IF(AX105="",0,VLOOKUP(AX105,Tables!$AB$3:$AC$12,2))</f>
        <v>1</v>
      </c>
      <c r="BR105" s="78">
        <f>IF(AY105="",0,VLOOKUP(AY105,Tables!$AB$3:$AC$12,2))</f>
        <v>1</v>
      </c>
      <c r="BS105" s="79">
        <f>IF(AZ105="",0,VLOOKUP(AZ105,Tables!$AB$3:$AC$12,2))</f>
        <v>0</v>
      </c>
      <c r="BT105" s="79">
        <f>IF(BA105="",0,VLOOKUP(BA105,Tables!$AB$3:$AC$12,2))</f>
        <v>0</v>
      </c>
      <c r="BU105" s="80">
        <f>IF(BB105="",0,VLOOKUP(BB105,Tables!$AB$3:$AC$12,2))</f>
        <v>0</v>
      </c>
      <c r="BV105" s="85">
        <f>IF(AN105="",0,VLOOKUP(B105,Tables!$B$3:$D$36,2,FALSE())*X$1)</f>
        <v>0</v>
      </c>
      <c r="BW105" s="72">
        <f>IF(AO105="",0,VLOOKUP(C105,Tables!$B$3:$D$36,2,FALSE())*Y$1)</f>
        <v>0</v>
      </c>
      <c r="BX105" s="72">
        <f>IF(AP105="",0,VLOOKUP(D105,Tables!$B$3:$D$36,2,FALSE())*Z$1)</f>
        <v>0</v>
      </c>
      <c r="BY105" s="85">
        <f>IF(AQ105="",0,VLOOKUP(E105,Tables!$B$3:$D$36,2,FALSE())*AA$1)</f>
        <v>2.4</v>
      </c>
      <c r="BZ105" s="72">
        <f>IF(AR105="",0,VLOOKUP(F105,Tables!$B$3:$D$36,2,FALSE())*AB$1)</f>
        <v>4.8</v>
      </c>
      <c r="CA105" s="72">
        <f>IF(AS105="",0,VLOOKUP(G105,Tables!$B$3:$D$36,2,FALSE())*AC$1)</f>
        <v>1.6</v>
      </c>
      <c r="CB105" s="72">
        <f>IF(AT105="",0,VLOOKUP(H105,Tables!$B$3:$D$36,2,FALSE())*AD$1)</f>
        <v>4</v>
      </c>
      <c r="CC105" s="72">
        <f>IF(AU105="",0,VLOOKUP(I105,Tables!$B$3:$D$36,2,FALSE())*AE$1)</f>
        <v>0</v>
      </c>
      <c r="CD105" s="85">
        <f>IF(AV105="",0,VLOOKUP(J105,Tables!$B$3:$D$36,2,FALSE())*AF$1)</f>
        <v>9.6</v>
      </c>
      <c r="CE105" s="72">
        <f>IF(AW105="",0,VLOOKUP(K105,Tables!$B$3:$D$36,2,FALSE())*AG$1)</f>
        <v>9.6</v>
      </c>
      <c r="CF105" s="72">
        <f>IF(AX105="",0,VLOOKUP(L105,Tables!$B$3:$D$36,2,FALSE())*AH$1)</f>
        <v>8</v>
      </c>
      <c r="CG105" s="85">
        <f>IF(AY105="",0,VLOOKUP(M105,Tables!$B$3:$D$36,2,FALSE())*AI$1)</f>
        <v>11.200000000000001</v>
      </c>
      <c r="CH105" s="72">
        <f>IF(AZ105="",0,VLOOKUP(N105,Tables!$B$3:$D$36,2,FALSE())*AJ$1)</f>
        <v>0</v>
      </c>
      <c r="CI105" s="72">
        <f>IF(BA105="",0,VLOOKUP(O105,Tables!$B$3:$D$36,2,FALSE())*AK$1)</f>
        <v>0</v>
      </c>
      <c r="CJ105" s="86">
        <f>IF(BB105="",0,VLOOKUP(P105,Tables!$B$3:$D$36,2,FALSE())*AL$1)</f>
        <v>0</v>
      </c>
      <c r="CK105" s="87">
        <f>IF(AN105="",0,VLOOKUP(B105,Tables!$B$3:$D$36,3,FALSE())*X$1)*IF(OR(AN105="K",AN105="P"),2,1)</f>
        <v>0</v>
      </c>
      <c r="CL105" s="73">
        <f>IF(AO105="",0,VLOOKUP(C105,Tables!$B$3:$D$36,3,FALSE())*Y$1)*IF(OR(AO105="K",AO105="P"),2,1)</f>
        <v>0</v>
      </c>
      <c r="CM105" s="73">
        <f>IF(AP105="",0,VLOOKUP(D105,Tables!$B$3:$D$36,3,FALSE())*Z$1)*IF(OR(AP105="K",AP105="P"),2,1)</f>
        <v>0</v>
      </c>
      <c r="CN105" s="87">
        <f>IF(AQ105="",0,VLOOKUP(E105,Tables!$B$3:$D$36,3,FALSE())*AA$1)</f>
        <v>7.4999999999999997E-2</v>
      </c>
      <c r="CO105" s="73">
        <f>IF(AR105="",0,VLOOKUP(F105,Tables!$B$3:$D$36,3,FALSE())*AB$1)</f>
        <v>0.15</v>
      </c>
      <c r="CP105" s="73">
        <f>IF(AS105="",0,VLOOKUP(G105,Tables!$B$3:$D$36,3,FALSE())*AC$1)</f>
        <v>0.05</v>
      </c>
      <c r="CQ105" s="73">
        <f>IF(AT105="",0,VLOOKUP(H105,Tables!$B$3:$D$36,3,FALSE())*AD$1)</f>
        <v>0.125</v>
      </c>
      <c r="CR105" s="73">
        <f>IF(AU105="",0,VLOOKUP(I105,Tables!$B$3:$D$36,3,FALSE())*AE$1)</f>
        <v>0</v>
      </c>
      <c r="CS105" s="87">
        <f>IF(AV105="",0,VLOOKUP(J105,Tables!$B$3:$D$36,3,FALSE())*AF$1)</f>
        <v>0.3</v>
      </c>
      <c r="CT105" s="73">
        <f>IF(AW105="",0,VLOOKUP(K105,Tables!$B$3:$D$36,3,FALSE())*AG$1)</f>
        <v>0.3</v>
      </c>
      <c r="CU105" s="73">
        <f>IF(AX105="",0,VLOOKUP(L105,Tables!$B$3:$D$36,3,FALSE())*AH$1)</f>
        <v>0.25</v>
      </c>
      <c r="CV105" s="87">
        <f>IF(AY105="",0,VLOOKUP(M105,Tables!$B$3:$D$36,3,FALSE())*AI$1)</f>
        <v>0.35000000000000003</v>
      </c>
      <c r="CW105" s="73">
        <f>IF(AZ105="",0,VLOOKUP(N105,Tables!$B$3:$D$36,3,FALSE())*AJ$1)</f>
        <v>0</v>
      </c>
      <c r="CX105" s="73">
        <f>IF(BA105="",0,VLOOKUP(O105,Tables!$B$3:$D$36,3,FALSE())*AK$1)</f>
        <v>0</v>
      </c>
      <c r="CY105" s="88">
        <f>IF(BB105="",0,VLOOKUP(P105,Tables!$B$3:$D$36,3,FALSE())*AL$1)</f>
        <v>0</v>
      </c>
      <c r="CZ105" s="89">
        <f t="shared" si="96"/>
        <v>0</v>
      </c>
      <c r="DA105" s="75">
        <f t="shared" si="97"/>
        <v>0</v>
      </c>
      <c r="DB105" s="75">
        <f t="shared" si="98"/>
        <v>0</v>
      </c>
      <c r="DC105" s="89">
        <f t="shared" si="99"/>
        <v>1</v>
      </c>
      <c r="DD105" s="75">
        <f t="shared" si="100"/>
        <v>1</v>
      </c>
      <c r="DE105" s="75">
        <f t="shared" si="101"/>
        <v>1</v>
      </c>
      <c r="DF105" s="75">
        <f t="shared" si="102"/>
        <v>1</v>
      </c>
      <c r="DG105" s="75">
        <f t="shared" si="103"/>
        <v>0</v>
      </c>
      <c r="DH105" s="89">
        <f t="shared" si="104"/>
        <v>1</v>
      </c>
      <c r="DI105" s="75">
        <f t="shared" si="105"/>
        <v>1</v>
      </c>
      <c r="DJ105" s="75">
        <f t="shared" si="106"/>
        <v>1</v>
      </c>
      <c r="DK105" s="89">
        <f t="shared" si="107"/>
        <v>1</v>
      </c>
      <c r="DL105" s="75">
        <f t="shared" si="108"/>
        <v>0</v>
      </c>
      <c r="DM105" s="75">
        <f t="shared" si="109"/>
        <v>0</v>
      </c>
      <c r="DN105" s="90">
        <f t="shared" si="110"/>
        <v>0</v>
      </c>
      <c r="DO105" s="91">
        <f>IF(AN105="",0,VLOOKUP(B105,Tables!$B$3:$M$36,11,FALSE())*X$1)</f>
        <v>0</v>
      </c>
      <c r="DP105" s="92">
        <f>IF(AO105="",0,VLOOKUP(C105,Tables!$B$3:$M$36,11,FALSE())*Y$1)</f>
        <v>0</v>
      </c>
      <c r="DQ105" s="92">
        <f>IF(AP105="",0,VLOOKUP(D105,Tables!$B$3:$M$36,11,FALSE())*Z$1)</f>
        <v>0</v>
      </c>
      <c r="DR105" s="91">
        <f>IF(AQ105="",0,VLOOKUP(E105,Tables!$B$3:$M$36,11,FALSE())*AA$1)</f>
        <v>0.6</v>
      </c>
      <c r="DS105" s="92">
        <f>IF(AR105="",0,VLOOKUP(F105,Tables!$B$3:$M$36,11,FALSE())*AB$1)</f>
        <v>1.2</v>
      </c>
      <c r="DT105" s="92">
        <f>IF(AS105="",0,VLOOKUP(G105,Tables!$B$3:$M$36,11,FALSE())*AC$1)</f>
        <v>0.4</v>
      </c>
      <c r="DU105" s="92">
        <f>IF(AT105="",0,VLOOKUP(H105,Tables!$B$3:$M$36,11,FALSE())*AD$1)</f>
        <v>1</v>
      </c>
      <c r="DV105" s="92">
        <f>IF(AU105="",0,VLOOKUP(I105,Tables!$B$3:$M$36,11,FALSE())*AE$1)</f>
        <v>0</v>
      </c>
      <c r="DW105" s="91">
        <f>IF(AV105="",0,VLOOKUP(J105,Tables!$B$3:$M$36,11,FALSE())*AF$1)</f>
        <v>2.4</v>
      </c>
      <c r="DX105" s="92">
        <f>IF(AW105="",0,VLOOKUP(K105,Tables!$B$3:$M$36,11,FALSE())*AG$1)</f>
        <v>2.4</v>
      </c>
      <c r="DY105" s="92">
        <f>IF(AX105="",0,VLOOKUP(L105,Tables!$B$3:$M$36,11,FALSE())*AH$1)</f>
        <v>2</v>
      </c>
      <c r="DZ105" s="91">
        <f>IF(AY105="",0,VLOOKUP(M105,Tables!$B$3:$M$36,11,FALSE())*AI$1)</f>
        <v>2.8000000000000003</v>
      </c>
      <c r="EA105" s="92">
        <f>IF(AZ105="",0,VLOOKUP(N105,Tables!$B$3:$M$36,11,FALSE())*AJ$1)</f>
        <v>0</v>
      </c>
      <c r="EB105" s="92">
        <f>IF(BA105="",0,VLOOKUP(O105,Tables!$B$3:$M$36,11,FALSE())*AK$1)</f>
        <v>0</v>
      </c>
      <c r="EC105" s="93">
        <f>IF(BB105="",0,VLOOKUP(P105,Tables!$B$3:$M$36,11,FALSE())*AL$1)</f>
        <v>0</v>
      </c>
      <c r="ED105" s="91">
        <f>IF(AN105="",0,VLOOKUP(B105,Tables!$B$3:$M$36,12,FALSE())*X$1)</f>
        <v>0</v>
      </c>
      <c r="EE105" s="92">
        <f>IF(AO105="",0,VLOOKUP(C105,Tables!$B$3:$M$36,12,FALSE())*Y$1)</f>
        <v>0</v>
      </c>
      <c r="EF105" s="92">
        <f>IF(AP105="",0,VLOOKUP(D105,Tables!$B$3:$M$36,12,FALSE())*Z$1)</f>
        <v>0</v>
      </c>
      <c r="EG105" s="91">
        <f>IF(AQ105="",0,VLOOKUP(E105,Tables!$B$3:$M$36,12,FALSE())*AA$1)</f>
        <v>1.7999999999999998</v>
      </c>
      <c r="EH105" s="92">
        <f>IF(AR105="",0,VLOOKUP(F105,Tables!$B$3:$M$36,12,FALSE())*AB$1)</f>
        <v>3.5999999999999996</v>
      </c>
      <c r="EI105" s="92">
        <f>IF(AS105="",0,VLOOKUP(G105,Tables!$B$3:$M$36,12,FALSE())*AC$1)</f>
        <v>1.2</v>
      </c>
      <c r="EJ105" s="92">
        <f>IF(AT105="",0,VLOOKUP(H105,Tables!$B$3:$M$36,12,FALSE())*AD$1)</f>
        <v>3</v>
      </c>
      <c r="EK105" s="92">
        <f>IF(AU105="",0,VLOOKUP(I105,Tables!$B$3:$M$36,12,FALSE())*AE$1)</f>
        <v>0</v>
      </c>
      <c r="EL105" s="91">
        <f>IF(AV105="",0,VLOOKUP(J105,Tables!$B$3:$M$36,12,FALSE())*AF$1)</f>
        <v>7.1999999999999993</v>
      </c>
      <c r="EM105" s="92">
        <f>IF(AW105="",0,VLOOKUP(K105,Tables!$B$3:$M$36,12,FALSE())*AG$1)</f>
        <v>7.1999999999999993</v>
      </c>
      <c r="EN105" s="92">
        <f>IF(AX105="",0,VLOOKUP(L105,Tables!$B$3:$M$36,12,FALSE())*AH$1)</f>
        <v>6</v>
      </c>
      <c r="EO105" s="91">
        <f>IF(AY105="",0,VLOOKUP(M105,Tables!$B$3:$M$36,12,FALSE())*AI$1)</f>
        <v>8.4</v>
      </c>
      <c r="EP105" s="92">
        <f>IF(AZ105="",0,VLOOKUP(N105,Tables!$B$3:$M$36,12,FALSE())*AJ$1)</f>
        <v>0</v>
      </c>
      <c r="EQ105" s="92">
        <f>IF(BA105="",0,VLOOKUP(O105,Tables!$B$3:$M$36,12,FALSE())*AK$1)</f>
        <v>0</v>
      </c>
      <c r="ER105" s="93">
        <f>IF(BB105="",0,VLOOKUP(P105,Tables!$B$3:$M$36,12,FALSE())*AL$1)</f>
        <v>0</v>
      </c>
      <c r="ES105" s="94">
        <f t="shared" si="111"/>
        <v>0</v>
      </c>
      <c r="ET105" s="95">
        <f>IF(AN105="",10,MIN(VLOOKUP(B105,MATERIAL,13,FALSE()),'Item Builder'!$W105))</f>
        <v>10</v>
      </c>
      <c r="EU105" s="95">
        <f>IF(AO105="",10,MIN(VLOOKUP(C105,MATERIAL,13,FALSE()),'Item Builder'!$W105))</f>
        <v>10</v>
      </c>
      <c r="EV105" s="95">
        <f>IF(AP105="",10,MIN(VLOOKUP(D105,MATERIAL,13,FALSE()),'Item Builder'!$W105))</f>
        <v>10</v>
      </c>
      <c r="EW105" s="95">
        <f>IF(AQ105="",10,MIN(VLOOKUP(E105,MATERIAL,13,FALSE()),'Item Builder'!$W105))</f>
        <v>0</v>
      </c>
      <c r="EX105" s="95">
        <f>IF(AR105="",10,MIN(VLOOKUP(F105,MATERIAL,13,FALSE()),'Item Builder'!$W105))</f>
        <v>0</v>
      </c>
      <c r="EY105" s="95">
        <f>IF(AS105="",10,MIN(VLOOKUP(G105,MATERIAL,13,FALSE()),'Item Builder'!$W105))</f>
        <v>0</v>
      </c>
      <c r="EZ105" s="95">
        <f>IF(AT105="",10,MIN(VLOOKUP(H105,MATERIAL,13,FALSE()),'Item Builder'!$W105))</f>
        <v>0</v>
      </c>
      <c r="FA105" s="95">
        <f>IF(AU105="",10,MIN(VLOOKUP(I105,MATERIAL,13,FALSE()),'Item Builder'!$W105))</f>
        <v>10</v>
      </c>
      <c r="FB105" s="95">
        <f>IF(AV105="",10,MIN(VLOOKUP(J105,MATERIAL,13,FALSE()),'Item Builder'!$W105))</f>
        <v>0</v>
      </c>
      <c r="FC105" s="95">
        <f>IF(AW105="",10,MIN(VLOOKUP(K105,MATERIAL,13,FALSE()),'Item Builder'!$W105))</f>
        <v>0</v>
      </c>
      <c r="FD105" s="95">
        <f>IF(AX105="",10,MIN(VLOOKUP(L105,MATERIAL,13,FALSE()),'Item Builder'!$W105))</f>
        <v>0</v>
      </c>
      <c r="FE105" s="95">
        <f>IF(AY105="",10,MIN(VLOOKUP(M105,MATERIAL,13,FALSE()),'Item Builder'!$W105))</f>
        <v>0</v>
      </c>
      <c r="FF105" s="95">
        <f>IF(AZ105="",10,MIN(VLOOKUP(N105,MATERIAL,13,FALSE()),'Item Builder'!$W105))</f>
        <v>10</v>
      </c>
      <c r="FG105" s="95">
        <f>IF(BA105="",10,MIN(VLOOKUP(O105,MATERIAL,13,FALSE()),'Item Builder'!$W105))</f>
        <v>10</v>
      </c>
      <c r="FH105" s="95">
        <f>IF(BB105="",10,MIN(VLOOKUP(P105,MATERIAL,13,FALSE()),'Item Builder'!$W105))</f>
        <v>10</v>
      </c>
    </row>
    <row r="106" spans="1:164" x14ac:dyDescent="0.25">
      <c r="A106" s="67" t="s">
        <v>246</v>
      </c>
      <c r="B106" s="68"/>
      <c r="C106" s="69"/>
      <c r="D106" s="70"/>
      <c r="E106" s="68" t="s">
        <v>155</v>
      </c>
      <c r="F106" s="69"/>
      <c r="G106" s="69"/>
      <c r="H106" s="69"/>
      <c r="I106" s="70"/>
      <c r="J106" s="68" t="s">
        <v>155</v>
      </c>
      <c r="K106" s="69" t="s">
        <v>155</v>
      </c>
      <c r="L106" s="70" t="s">
        <v>155</v>
      </c>
      <c r="M106" s="68" t="s">
        <v>155</v>
      </c>
      <c r="N106" s="69" t="s">
        <v>155</v>
      </c>
      <c r="O106" s="69"/>
      <c r="P106" s="71"/>
      <c r="Q106" s="72">
        <f>SUM(BV106:CJ106)*VLOOKUP(W106,Tables!$W$3:$Z$8,4)</f>
        <v>43.2</v>
      </c>
      <c r="R106" s="73">
        <f t="shared" si="56"/>
        <v>1.35</v>
      </c>
      <c r="S106" s="74">
        <f t="shared" si="57"/>
        <v>0</v>
      </c>
      <c r="T106" s="74">
        <f t="shared" si="58"/>
        <v>0</v>
      </c>
      <c r="U106" s="75">
        <f t="shared" si="59"/>
        <v>10.8</v>
      </c>
      <c r="V106" s="76">
        <f t="shared" si="60"/>
        <v>32.4</v>
      </c>
      <c r="W106" s="77">
        <v>0</v>
      </c>
      <c r="X106" s="78">
        <f t="shared" si="61"/>
        <v>0</v>
      </c>
      <c r="Y106" s="79">
        <f t="shared" si="62"/>
        <v>0</v>
      </c>
      <c r="Z106" s="79">
        <f t="shared" si="63"/>
        <v>0</v>
      </c>
      <c r="AA106" s="78">
        <f t="shared" si="64"/>
        <v>1</v>
      </c>
      <c r="AB106" s="79">
        <f t="shared" si="65"/>
        <v>0</v>
      </c>
      <c r="AC106" s="79">
        <f t="shared" si="66"/>
        <v>0</v>
      </c>
      <c r="AD106" s="79">
        <f t="shared" si="67"/>
        <v>0</v>
      </c>
      <c r="AE106" s="79">
        <f t="shared" si="68"/>
        <v>0</v>
      </c>
      <c r="AF106" s="78">
        <f t="shared" si="69"/>
        <v>1</v>
      </c>
      <c r="AG106" s="79">
        <f t="shared" si="70"/>
        <v>1</v>
      </c>
      <c r="AH106" s="79">
        <f t="shared" si="71"/>
        <v>1</v>
      </c>
      <c r="AI106" s="78">
        <f t="shared" si="72"/>
        <v>1</v>
      </c>
      <c r="AJ106" s="79">
        <f t="shared" si="73"/>
        <v>1</v>
      </c>
      <c r="AK106" s="79">
        <f t="shared" si="74"/>
        <v>0</v>
      </c>
      <c r="AL106" s="80">
        <f t="shared" si="75"/>
        <v>0</v>
      </c>
      <c r="AM106" s="81">
        <f t="shared" si="76"/>
        <v>0.54</v>
      </c>
      <c r="AN106" s="82" t="str">
        <f t="shared" si="77"/>
        <v/>
      </c>
      <c r="AO106" s="79" t="str">
        <f t="shared" si="78"/>
        <v/>
      </c>
      <c r="AP106" t="str">
        <f t="shared" si="79"/>
        <v/>
      </c>
      <c r="AQ106" s="82" t="str">
        <f t="shared" si="80"/>
        <v>X</v>
      </c>
      <c r="AR106" t="str">
        <f t="shared" si="81"/>
        <v/>
      </c>
      <c r="AS106" t="str">
        <f t="shared" si="82"/>
        <v/>
      </c>
      <c r="AT106" t="str">
        <f t="shared" si="83"/>
        <v/>
      </c>
      <c r="AU106" t="str">
        <f t="shared" si="84"/>
        <v/>
      </c>
      <c r="AV106" s="82" t="str">
        <f t="shared" si="85"/>
        <v>X</v>
      </c>
      <c r="AW106" t="str">
        <f t="shared" si="86"/>
        <v>X</v>
      </c>
      <c r="AX106" t="str">
        <f t="shared" si="87"/>
        <v>X</v>
      </c>
      <c r="AY106" s="82" t="str">
        <f t="shared" si="88"/>
        <v>X</v>
      </c>
      <c r="AZ106" t="str">
        <f t="shared" si="89"/>
        <v>X</v>
      </c>
      <c r="BA106" t="str">
        <f t="shared" si="90"/>
        <v/>
      </c>
      <c r="BB106" s="83" t="str">
        <f t="shared" si="91"/>
        <v/>
      </c>
      <c r="BC106" s="84">
        <f t="shared" si="92"/>
        <v>0</v>
      </c>
      <c r="BD106" s="84">
        <f t="shared" si="93"/>
        <v>0.14285714285714285</v>
      </c>
      <c r="BE106" s="84">
        <f t="shared" si="94"/>
        <v>1</v>
      </c>
      <c r="BF106" s="84">
        <f t="shared" si="95"/>
        <v>0.47222222222222221</v>
      </c>
      <c r="BG106" s="78">
        <f>IF(AN106="",0,VLOOKUP(AN106,Tables!$AB$3:$AC$12,2))</f>
        <v>0</v>
      </c>
      <c r="BH106" s="79">
        <f>IF(AO106="",0,VLOOKUP(AO106,Tables!$AB$3:$AC$12,2))</f>
        <v>0</v>
      </c>
      <c r="BI106" s="79">
        <f>IF(AP106="",0,VLOOKUP(AP106,Tables!$AB$3:$AC$12,2))</f>
        <v>0</v>
      </c>
      <c r="BJ106" s="78">
        <f>IF(AQ106="",0,VLOOKUP(AQ106,Tables!$AB$3:$AC$12,2))</f>
        <v>1</v>
      </c>
      <c r="BK106" s="79">
        <f>IF(AR106="",0,VLOOKUP(AR106,Tables!$AB$3:$AC$12,2))</f>
        <v>0</v>
      </c>
      <c r="BL106" s="79">
        <f>IF(AS106="",0,VLOOKUP(AS106,Tables!$AB$3:$AC$12,2))</f>
        <v>0</v>
      </c>
      <c r="BM106" s="79">
        <f>IF(AT106="",0,VLOOKUP(AT106,Tables!$AB$3:$AC$12,2))</f>
        <v>0</v>
      </c>
      <c r="BN106" s="79">
        <f>IF(AU106="",0,VLOOKUP(AU106,Tables!$AB$3:$AC$12,2))</f>
        <v>0</v>
      </c>
      <c r="BO106" s="78">
        <f>IF(AV106="",0,VLOOKUP(AV106,Tables!$AB$3:$AC$12,2))</f>
        <v>1</v>
      </c>
      <c r="BP106" s="79">
        <f>IF(AW106="",0,VLOOKUP(AW106,Tables!$AB$3:$AC$12,2))</f>
        <v>1</v>
      </c>
      <c r="BQ106" s="79">
        <f>IF(AX106="",0,VLOOKUP(AX106,Tables!$AB$3:$AC$12,2))</f>
        <v>1</v>
      </c>
      <c r="BR106" s="78">
        <f>IF(AY106="",0,VLOOKUP(AY106,Tables!$AB$3:$AC$12,2))</f>
        <v>1</v>
      </c>
      <c r="BS106" s="79">
        <f>IF(AZ106="",0,VLOOKUP(AZ106,Tables!$AB$3:$AC$12,2))</f>
        <v>1</v>
      </c>
      <c r="BT106" s="79">
        <f>IF(BA106="",0,VLOOKUP(BA106,Tables!$AB$3:$AC$12,2))</f>
        <v>0</v>
      </c>
      <c r="BU106" s="80">
        <f>IF(BB106="",0,VLOOKUP(BB106,Tables!$AB$3:$AC$12,2))</f>
        <v>0</v>
      </c>
      <c r="BV106" s="85">
        <f>IF(AN106="",0,VLOOKUP(B106,Tables!$B$3:$D$36,2,FALSE())*X$1)</f>
        <v>0</v>
      </c>
      <c r="BW106" s="72">
        <f>IF(AO106="",0,VLOOKUP(C106,Tables!$B$3:$D$36,2,FALSE())*Y$1)</f>
        <v>0</v>
      </c>
      <c r="BX106" s="72">
        <f>IF(AP106="",0,VLOOKUP(D106,Tables!$B$3:$D$36,2,FALSE())*Z$1)</f>
        <v>0</v>
      </c>
      <c r="BY106" s="85">
        <f>IF(AQ106="",0,VLOOKUP(E106,Tables!$B$3:$D$36,2,FALSE())*AA$1)</f>
        <v>2.4</v>
      </c>
      <c r="BZ106" s="72">
        <f>IF(AR106="",0,VLOOKUP(F106,Tables!$B$3:$D$36,2,FALSE())*AB$1)</f>
        <v>0</v>
      </c>
      <c r="CA106" s="72">
        <f>IF(AS106="",0,VLOOKUP(G106,Tables!$B$3:$D$36,2,FALSE())*AC$1)</f>
        <v>0</v>
      </c>
      <c r="CB106" s="72">
        <f>IF(AT106="",0,VLOOKUP(H106,Tables!$B$3:$D$36,2,FALSE())*AD$1)</f>
        <v>0</v>
      </c>
      <c r="CC106" s="72">
        <f>IF(AU106="",0,VLOOKUP(I106,Tables!$B$3:$D$36,2,FALSE())*AE$1)</f>
        <v>0</v>
      </c>
      <c r="CD106" s="85">
        <f>IF(AV106="",0,VLOOKUP(J106,Tables!$B$3:$D$36,2,FALSE())*AF$1)</f>
        <v>9.6</v>
      </c>
      <c r="CE106" s="72">
        <f>IF(AW106="",0,VLOOKUP(K106,Tables!$B$3:$D$36,2,FALSE())*AG$1)</f>
        <v>9.6</v>
      </c>
      <c r="CF106" s="72">
        <f>IF(AX106="",0,VLOOKUP(L106,Tables!$B$3:$D$36,2,FALSE())*AH$1)</f>
        <v>8</v>
      </c>
      <c r="CG106" s="85">
        <f>IF(AY106="",0,VLOOKUP(M106,Tables!$B$3:$D$36,2,FALSE())*AI$1)</f>
        <v>11.200000000000001</v>
      </c>
      <c r="CH106" s="72">
        <f>IF(AZ106="",0,VLOOKUP(N106,Tables!$B$3:$D$36,2,FALSE())*AJ$1)</f>
        <v>2.4</v>
      </c>
      <c r="CI106" s="72">
        <f>IF(BA106="",0,VLOOKUP(O106,Tables!$B$3:$D$36,2,FALSE())*AK$1)</f>
        <v>0</v>
      </c>
      <c r="CJ106" s="86">
        <f>IF(BB106="",0,VLOOKUP(P106,Tables!$B$3:$D$36,2,FALSE())*AL$1)</f>
        <v>0</v>
      </c>
      <c r="CK106" s="87">
        <f>IF(AN106="",0,VLOOKUP(B106,Tables!$B$3:$D$36,3,FALSE())*X$1)*IF(OR(AN106="K",AN106="P"),2,1)</f>
        <v>0</v>
      </c>
      <c r="CL106" s="73">
        <f>IF(AO106="",0,VLOOKUP(C106,Tables!$B$3:$D$36,3,FALSE())*Y$1)*IF(OR(AO106="K",AO106="P"),2,1)</f>
        <v>0</v>
      </c>
      <c r="CM106" s="73">
        <f>IF(AP106="",0,VLOOKUP(D106,Tables!$B$3:$D$36,3,FALSE())*Z$1)*IF(OR(AP106="K",AP106="P"),2,1)</f>
        <v>0</v>
      </c>
      <c r="CN106" s="87">
        <f>IF(AQ106="",0,VLOOKUP(E106,Tables!$B$3:$D$36,3,FALSE())*AA$1)</f>
        <v>7.4999999999999997E-2</v>
      </c>
      <c r="CO106" s="73">
        <f>IF(AR106="",0,VLOOKUP(F106,Tables!$B$3:$D$36,3,FALSE())*AB$1)</f>
        <v>0</v>
      </c>
      <c r="CP106" s="73">
        <f>IF(AS106="",0,VLOOKUP(G106,Tables!$B$3:$D$36,3,FALSE())*AC$1)</f>
        <v>0</v>
      </c>
      <c r="CQ106" s="73">
        <f>IF(AT106="",0,VLOOKUP(H106,Tables!$B$3:$D$36,3,FALSE())*AD$1)</f>
        <v>0</v>
      </c>
      <c r="CR106" s="73">
        <f>IF(AU106="",0,VLOOKUP(I106,Tables!$B$3:$D$36,3,FALSE())*AE$1)</f>
        <v>0</v>
      </c>
      <c r="CS106" s="87">
        <f>IF(AV106="",0,VLOOKUP(J106,Tables!$B$3:$D$36,3,FALSE())*AF$1)</f>
        <v>0.3</v>
      </c>
      <c r="CT106" s="73">
        <f>IF(AW106="",0,VLOOKUP(K106,Tables!$B$3:$D$36,3,FALSE())*AG$1)</f>
        <v>0.3</v>
      </c>
      <c r="CU106" s="73">
        <f>IF(AX106="",0,VLOOKUP(L106,Tables!$B$3:$D$36,3,FALSE())*AH$1)</f>
        <v>0.25</v>
      </c>
      <c r="CV106" s="87">
        <f>IF(AY106="",0,VLOOKUP(M106,Tables!$B$3:$D$36,3,FALSE())*AI$1)</f>
        <v>0.35000000000000003</v>
      </c>
      <c r="CW106" s="73">
        <f>IF(AZ106="",0,VLOOKUP(N106,Tables!$B$3:$D$36,3,FALSE())*AJ$1)</f>
        <v>7.4999999999999997E-2</v>
      </c>
      <c r="CX106" s="73">
        <f>IF(BA106="",0,VLOOKUP(O106,Tables!$B$3:$D$36,3,FALSE())*AK$1)</f>
        <v>0</v>
      </c>
      <c r="CY106" s="88">
        <f>IF(BB106="",0,VLOOKUP(P106,Tables!$B$3:$D$36,3,FALSE())*AL$1)</f>
        <v>0</v>
      </c>
      <c r="CZ106" s="89">
        <f t="shared" si="96"/>
        <v>0</v>
      </c>
      <c r="DA106" s="75">
        <f t="shared" si="97"/>
        <v>0</v>
      </c>
      <c r="DB106" s="75">
        <f t="shared" si="98"/>
        <v>0</v>
      </c>
      <c r="DC106" s="89">
        <f t="shared" si="99"/>
        <v>1</v>
      </c>
      <c r="DD106" s="75">
        <f t="shared" si="100"/>
        <v>0</v>
      </c>
      <c r="DE106" s="75">
        <f t="shared" si="101"/>
        <v>0</v>
      </c>
      <c r="DF106" s="75">
        <f t="shared" si="102"/>
        <v>0</v>
      </c>
      <c r="DG106" s="75">
        <f t="shared" si="103"/>
        <v>0</v>
      </c>
      <c r="DH106" s="89">
        <f t="shared" si="104"/>
        <v>1</v>
      </c>
      <c r="DI106" s="75">
        <f t="shared" si="105"/>
        <v>1</v>
      </c>
      <c r="DJ106" s="75">
        <f t="shared" si="106"/>
        <v>1</v>
      </c>
      <c r="DK106" s="89">
        <f t="shared" si="107"/>
        <v>1</v>
      </c>
      <c r="DL106" s="75">
        <f t="shared" si="108"/>
        <v>1</v>
      </c>
      <c r="DM106" s="75">
        <f t="shared" si="109"/>
        <v>0</v>
      </c>
      <c r="DN106" s="90">
        <f t="shared" si="110"/>
        <v>0</v>
      </c>
      <c r="DO106" s="91">
        <f>IF(AN106="",0,VLOOKUP(B106,Tables!$B$3:$M$36,11,FALSE())*X$1)</f>
        <v>0</v>
      </c>
      <c r="DP106" s="92">
        <f>IF(AO106="",0,VLOOKUP(C106,Tables!$B$3:$M$36,11,FALSE())*Y$1)</f>
        <v>0</v>
      </c>
      <c r="DQ106" s="92">
        <f>IF(AP106="",0,VLOOKUP(D106,Tables!$B$3:$M$36,11,FALSE())*Z$1)</f>
        <v>0</v>
      </c>
      <c r="DR106" s="91">
        <f>IF(AQ106="",0,VLOOKUP(E106,Tables!$B$3:$M$36,11,FALSE())*AA$1)</f>
        <v>0.6</v>
      </c>
      <c r="DS106" s="92">
        <f>IF(AR106="",0,VLOOKUP(F106,Tables!$B$3:$M$36,11,FALSE())*AB$1)</f>
        <v>0</v>
      </c>
      <c r="DT106" s="92">
        <f>IF(AS106="",0,VLOOKUP(G106,Tables!$B$3:$M$36,11,FALSE())*AC$1)</f>
        <v>0</v>
      </c>
      <c r="DU106" s="92">
        <f>IF(AT106="",0,VLOOKUP(H106,Tables!$B$3:$M$36,11,FALSE())*AD$1)</f>
        <v>0</v>
      </c>
      <c r="DV106" s="92">
        <f>IF(AU106="",0,VLOOKUP(I106,Tables!$B$3:$M$36,11,FALSE())*AE$1)</f>
        <v>0</v>
      </c>
      <c r="DW106" s="91">
        <f>IF(AV106="",0,VLOOKUP(J106,Tables!$B$3:$M$36,11,FALSE())*AF$1)</f>
        <v>2.4</v>
      </c>
      <c r="DX106" s="92">
        <f>IF(AW106="",0,VLOOKUP(K106,Tables!$B$3:$M$36,11,FALSE())*AG$1)</f>
        <v>2.4</v>
      </c>
      <c r="DY106" s="92">
        <f>IF(AX106="",0,VLOOKUP(L106,Tables!$B$3:$M$36,11,FALSE())*AH$1)</f>
        <v>2</v>
      </c>
      <c r="DZ106" s="91">
        <f>IF(AY106="",0,VLOOKUP(M106,Tables!$B$3:$M$36,11,FALSE())*AI$1)</f>
        <v>2.8000000000000003</v>
      </c>
      <c r="EA106" s="92">
        <f>IF(AZ106="",0,VLOOKUP(N106,Tables!$B$3:$M$36,11,FALSE())*AJ$1)</f>
        <v>0.6</v>
      </c>
      <c r="EB106" s="92">
        <f>IF(BA106="",0,VLOOKUP(O106,Tables!$B$3:$M$36,11,FALSE())*AK$1)</f>
        <v>0</v>
      </c>
      <c r="EC106" s="93">
        <f>IF(BB106="",0,VLOOKUP(P106,Tables!$B$3:$M$36,11,FALSE())*AL$1)</f>
        <v>0</v>
      </c>
      <c r="ED106" s="91">
        <f>IF(AN106="",0,VLOOKUP(B106,Tables!$B$3:$M$36,12,FALSE())*X$1)</f>
        <v>0</v>
      </c>
      <c r="EE106" s="92">
        <f>IF(AO106="",0,VLOOKUP(C106,Tables!$B$3:$M$36,12,FALSE())*Y$1)</f>
        <v>0</v>
      </c>
      <c r="EF106" s="92">
        <f>IF(AP106="",0,VLOOKUP(D106,Tables!$B$3:$M$36,12,FALSE())*Z$1)</f>
        <v>0</v>
      </c>
      <c r="EG106" s="91">
        <f>IF(AQ106="",0,VLOOKUP(E106,Tables!$B$3:$M$36,12,FALSE())*AA$1)</f>
        <v>1.7999999999999998</v>
      </c>
      <c r="EH106" s="92">
        <f>IF(AR106="",0,VLOOKUP(F106,Tables!$B$3:$M$36,12,FALSE())*AB$1)</f>
        <v>0</v>
      </c>
      <c r="EI106" s="92">
        <f>IF(AS106="",0,VLOOKUP(G106,Tables!$B$3:$M$36,12,FALSE())*AC$1)</f>
        <v>0</v>
      </c>
      <c r="EJ106" s="92">
        <f>IF(AT106="",0,VLOOKUP(H106,Tables!$B$3:$M$36,12,FALSE())*AD$1)</f>
        <v>0</v>
      </c>
      <c r="EK106" s="92">
        <f>IF(AU106="",0,VLOOKUP(I106,Tables!$B$3:$M$36,12,FALSE())*AE$1)</f>
        <v>0</v>
      </c>
      <c r="EL106" s="91">
        <f>IF(AV106="",0,VLOOKUP(J106,Tables!$B$3:$M$36,12,FALSE())*AF$1)</f>
        <v>7.1999999999999993</v>
      </c>
      <c r="EM106" s="92">
        <f>IF(AW106="",0,VLOOKUP(K106,Tables!$B$3:$M$36,12,FALSE())*AG$1)</f>
        <v>7.1999999999999993</v>
      </c>
      <c r="EN106" s="92">
        <f>IF(AX106="",0,VLOOKUP(L106,Tables!$B$3:$M$36,12,FALSE())*AH$1)</f>
        <v>6</v>
      </c>
      <c r="EO106" s="91">
        <f>IF(AY106="",0,VLOOKUP(M106,Tables!$B$3:$M$36,12,FALSE())*AI$1)</f>
        <v>8.4</v>
      </c>
      <c r="EP106" s="92">
        <f>IF(AZ106="",0,VLOOKUP(N106,Tables!$B$3:$M$36,12,FALSE())*AJ$1)</f>
        <v>1.7999999999999998</v>
      </c>
      <c r="EQ106" s="92">
        <f>IF(BA106="",0,VLOOKUP(O106,Tables!$B$3:$M$36,12,FALSE())*AK$1)</f>
        <v>0</v>
      </c>
      <c r="ER106" s="93">
        <f>IF(BB106="",0,VLOOKUP(P106,Tables!$B$3:$M$36,12,FALSE())*AL$1)</f>
        <v>0</v>
      </c>
      <c r="ES106" s="94">
        <f t="shared" si="111"/>
        <v>0</v>
      </c>
      <c r="ET106" s="95">
        <f>IF(AN106="",10,MIN(VLOOKUP(B106,MATERIAL,13,FALSE()),'Item Builder'!$W106))</f>
        <v>10</v>
      </c>
      <c r="EU106" s="95">
        <f>IF(AO106="",10,MIN(VLOOKUP(C106,MATERIAL,13,FALSE()),'Item Builder'!$W106))</f>
        <v>10</v>
      </c>
      <c r="EV106" s="95">
        <f>IF(AP106="",10,MIN(VLOOKUP(D106,MATERIAL,13,FALSE()),'Item Builder'!$W106))</f>
        <v>10</v>
      </c>
      <c r="EW106" s="95">
        <f>IF(AQ106="",10,MIN(VLOOKUP(E106,MATERIAL,13,FALSE()),'Item Builder'!$W106))</f>
        <v>0</v>
      </c>
      <c r="EX106" s="95">
        <f>IF(AR106="",10,MIN(VLOOKUP(F106,MATERIAL,13,FALSE()),'Item Builder'!$W106))</f>
        <v>10</v>
      </c>
      <c r="EY106" s="95">
        <f>IF(AS106="",10,MIN(VLOOKUP(G106,MATERIAL,13,FALSE()),'Item Builder'!$W106))</f>
        <v>10</v>
      </c>
      <c r="EZ106" s="95">
        <f>IF(AT106="",10,MIN(VLOOKUP(H106,MATERIAL,13,FALSE()),'Item Builder'!$W106))</f>
        <v>10</v>
      </c>
      <c r="FA106" s="95">
        <f>IF(AU106="",10,MIN(VLOOKUP(I106,MATERIAL,13,FALSE()),'Item Builder'!$W106))</f>
        <v>10</v>
      </c>
      <c r="FB106" s="95">
        <f>IF(AV106="",10,MIN(VLOOKUP(J106,MATERIAL,13,FALSE()),'Item Builder'!$W106))</f>
        <v>0</v>
      </c>
      <c r="FC106" s="95">
        <f>IF(AW106="",10,MIN(VLOOKUP(K106,MATERIAL,13,FALSE()),'Item Builder'!$W106))</f>
        <v>0</v>
      </c>
      <c r="FD106" s="95">
        <f>IF(AX106="",10,MIN(VLOOKUP(L106,MATERIAL,13,FALSE()),'Item Builder'!$W106))</f>
        <v>0</v>
      </c>
      <c r="FE106" s="95">
        <f>IF(AY106="",10,MIN(VLOOKUP(M106,MATERIAL,13,FALSE()),'Item Builder'!$W106))</f>
        <v>0</v>
      </c>
      <c r="FF106" s="95">
        <f>IF(AZ106="",10,MIN(VLOOKUP(N106,MATERIAL,13,FALSE()),'Item Builder'!$W106))</f>
        <v>0</v>
      </c>
      <c r="FG106" s="95">
        <f>IF(BA106="",10,MIN(VLOOKUP(O106,MATERIAL,13,FALSE()),'Item Builder'!$W106))</f>
        <v>10</v>
      </c>
      <c r="FH106" s="95">
        <f>IF(BB106="",10,MIN(VLOOKUP(P106,MATERIAL,13,FALSE()),'Item Builder'!$W106))</f>
        <v>10</v>
      </c>
    </row>
    <row r="107" spans="1:164" x14ac:dyDescent="0.25">
      <c r="A107" s="67" t="s">
        <v>247</v>
      </c>
      <c r="B107" s="68"/>
      <c r="C107" s="69"/>
      <c r="D107" s="70"/>
      <c r="E107" s="68" t="s">
        <v>155</v>
      </c>
      <c r="F107" s="69"/>
      <c r="G107" s="69"/>
      <c r="H107" s="69"/>
      <c r="I107" s="70"/>
      <c r="J107" s="68" t="s">
        <v>155</v>
      </c>
      <c r="K107" s="69" t="s">
        <v>155</v>
      </c>
      <c r="L107" s="70" t="s">
        <v>155</v>
      </c>
      <c r="M107" s="68" t="s">
        <v>155</v>
      </c>
      <c r="N107" s="69" t="s">
        <v>155</v>
      </c>
      <c r="O107" s="69" t="s">
        <v>155</v>
      </c>
      <c r="P107" s="71"/>
      <c r="Q107" s="72">
        <f>SUM(BV107:CJ107)*VLOOKUP(W107,Tables!$W$3:$Z$8,4)</f>
        <v>52.800000000000004</v>
      </c>
      <c r="R107" s="73">
        <f t="shared" si="56"/>
        <v>1.6500000000000001</v>
      </c>
      <c r="S107" s="74">
        <f t="shared" si="57"/>
        <v>0</v>
      </c>
      <c r="T107" s="74">
        <f t="shared" si="58"/>
        <v>0</v>
      </c>
      <c r="U107" s="75">
        <f t="shared" si="59"/>
        <v>13.200000000000001</v>
      </c>
      <c r="V107" s="76">
        <f t="shared" si="60"/>
        <v>39.599999999999994</v>
      </c>
      <c r="W107" s="77">
        <v>0</v>
      </c>
      <c r="X107" s="78">
        <f t="shared" si="61"/>
        <v>0</v>
      </c>
      <c r="Y107" s="79">
        <f t="shared" si="62"/>
        <v>0</v>
      </c>
      <c r="Z107" s="79">
        <f t="shared" si="63"/>
        <v>0</v>
      </c>
      <c r="AA107" s="78">
        <f t="shared" si="64"/>
        <v>1</v>
      </c>
      <c r="AB107" s="79">
        <f t="shared" si="65"/>
        <v>0</v>
      </c>
      <c r="AC107" s="79">
        <f t="shared" si="66"/>
        <v>0</v>
      </c>
      <c r="AD107" s="79">
        <f t="shared" si="67"/>
        <v>0</v>
      </c>
      <c r="AE107" s="79">
        <f t="shared" si="68"/>
        <v>0</v>
      </c>
      <c r="AF107" s="78">
        <f t="shared" si="69"/>
        <v>1</v>
      </c>
      <c r="AG107" s="79">
        <f t="shared" si="70"/>
        <v>1</v>
      </c>
      <c r="AH107" s="79">
        <f t="shared" si="71"/>
        <v>1</v>
      </c>
      <c r="AI107" s="78">
        <f t="shared" si="72"/>
        <v>1</v>
      </c>
      <c r="AJ107" s="79">
        <f t="shared" si="73"/>
        <v>1</v>
      </c>
      <c r="AK107" s="79">
        <f t="shared" si="74"/>
        <v>1</v>
      </c>
      <c r="AL107" s="80">
        <f t="shared" si="75"/>
        <v>0</v>
      </c>
      <c r="AM107" s="81">
        <f t="shared" si="76"/>
        <v>0.66</v>
      </c>
      <c r="AN107" s="82" t="str">
        <f t="shared" si="77"/>
        <v/>
      </c>
      <c r="AO107" s="79" t="str">
        <f t="shared" si="78"/>
        <v/>
      </c>
      <c r="AP107" t="str">
        <f t="shared" si="79"/>
        <v/>
      </c>
      <c r="AQ107" s="82" t="str">
        <f t="shared" si="80"/>
        <v>X</v>
      </c>
      <c r="AR107" t="str">
        <f t="shared" si="81"/>
        <v/>
      </c>
      <c r="AS107" t="str">
        <f t="shared" si="82"/>
        <v/>
      </c>
      <c r="AT107" t="str">
        <f t="shared" si="83"/>
        <v/>
      </c>
      <c r="AU107" t="str">
        <f t="shared" si="84"/>
        <v/>
      </c>
      <c r="AV107" s="82" t="str">
        <f t="shared" si="85"/>
        <v>X</v>
      </c>
      <c r="AW107" t="str">
        <f t="shared" si="86"/>
        <v>X</v>
      </c>
      <c r="AX107" t="str">
        <f t="shared" si="87"/>
        <v>X</v>
      </c>
      <c r="AY107" s="82" t="str">
        <f t="shared" si="88"/>
        <v>X</v>
      </c>
      <c r="AZ107" t="str">
        <f t="shared" si="89"/>
        <v>X</v>
      </c>
      <c r="BA107" t="str">
        <f t="shared" si="90"/>
        <v>X</v>
      </c>
      <c r="BB107" s="83" t="str">
        <f t="shared" si="91"/>
        <v/>
      </c>
      <c r="BC107" s="84">
        <f t="shared" si="92"/>
        <v>0</v>
      </c>
      <c r="BD107" s="84">
        <f t="shared" si="93"/>
        <v>0.14285714285714285</v>
      </c>
      <c r="BE107" s="84">
        <f t="shared" si="94"/>
        <v>1</v>
      </c>
      <c r="BF107" s="84">
        <f t="shared" si="95"/>
        <v>0.80555555555555558</v>
      </c>
      <c r="BG107" s="78">
        <f>IF(AN107="",0,VLOOKUP(AN107,Tables!$AB$3:$AC$12,2))</f>
        <v>0</v>
      </c>
      <c r="BH107" s="79">
        <f>IF(AO107="",0,VLOOKUP(AO107,Tables!$AB$3:$AC$12,2))</f>
        <v>0</v>
      </c>
      <c r="BI107" s="79">
        <f>IF(AP107="",0,VLOOKUP(AP107,Tables!$AB$3:$AC$12,2))</f>
        <v>0</v>
      </c>
      <c r="BJ107" s="78">
        <f>IF(AQ107="",0,VLOOKUP(AQ107,Tables!$AB$3:$AC$12,2))</f>
        <v>1</v>
      </c>
      <c r="BK107" s="79">
        <f>IF(AR107="",0,VLOOKUP(AR107,Tables!$AB$3:$AC$12,2))</f>
        <v>0</v>
      </c>
      <c r="BL107" s="79">
        <f>IF(AS107="",0,VLOOKUP(AS107,Tables!$AB$3:$AC$12,2))</f>
        <v>0</v>
      </c>
      <c r="BM107" s="79">
        <f>IF(AT107="",0,VLOOKUP(AT107,Tables!$AB$3:$AC$12,2))</f>
        <v>0</v>
      </c>
      <c r="BN107" s="79">
        <f>IF(AU107="",0,VLOOKUP(AU107,Tables!$AB$3:$AC$12,2))</f>
        <v>0</v>
      </c>
      <c r="BO107" s="78">
        <f>IF(AV107="",0,VLOOKUP(AV107,Tables!$AB$3:$AC$12,2))</f>
        <v>1</v>
      </c>
      <c r="BP107" s="79">
        <f>IF(AW107="",0,VLOOKUP(AW107,Tables!$AB$3:$AC$12,2))</f>
        <v>1</v>
      </c>
      <c r="BQ107" s="79">
        <f>IF(AX107="",0,VLOOKUP(AX107,Tables!$AB$3:$AC$12,2))</f>
        <v>1</v>
      </c>
      <c r="BR107" s="78">
        <f>IF(AY107="",0,VLOOKUP(AY107,Tables!$AB$3:$AC$12,2))</f>
        <v>1</v>
      </c>
      <c r="BS107" s="79">
        <f>IF(AZ107="",0,VLOOKUP(AZ107,Tables!$AB$3:$AC$12,2))</f>
        <v>1</v>
      </c>
      <c r="BT107" s="79">
        <f>IF(BA107="",0,VLOOKUP(BA107,Tables!$AB$3:$AC$12,2))</f>
        <v>1</v>
      </c>
      <c r="BU107" s="80">
        <f>IF(BB107="",0,VLOOKUP(BB107,Tables!$AB$3:$AC$12,2))</f>
        <v>0</v>
      </c>
      <c r="BV107" s="85">
        <f>IF(AN107="",0,VLOOKUP(B107,Tables!$B$3:$D$36,2,FALSE())*X$1)</f>
        <v>0</v>
      </c>
      <c r="BW107" s="72">
        <f>IF(AO107="",0,VLOOKUP(C107,Tables!$B$3:$D$36,2,FALSE())*Y$1)</f>
        <v>0</v>
      </c>
      <c r="BX107" s="72">
        <f>IF(AP107="",0,VLOOKUP(D107,Tables!$B$3:$D$36,2,FALSE())*Z$1)</f>
        <v>0</v>
      </c>
      <c r="BY107" s="85">
        <f>IF(AQ107="",0,VLOOKUP(E107,Tables!$B$3:$D$36,2,FALSE())*AA$1)</f>
        <v>2.4</v>
      </c>
      <c r="BZ107" s="72">
        <f>IF(AR107="",0,VLOOKUP(F107,Tables!$B$3:$D$36,2,FALSE())*AB$1)</f>
        <v>0</v>
      </c>
      <c r="CA107" s="72">
        <f>IF(AS107="",0,VLOOKUP(G107,Tables!$B$3:$D$36,2,FALSE())*AC$1)</f>
        <v>0</v>
      </c>
      <c r="CB107" s="72">
        <f>IF(AT107="",0,VLOOKUP(H107,Tables!$B$3:$D$36,2,FALSE())*AD$1)</f>
        <v>0</v>
      </c>
      <c r="CC107" s="72">
        <f>IF(AU107="",0,VLOOKUP(I107,Tables!$B$3:$D$36,2,FALSE())*AE$1)</f>
        <v>0</v>
      </c>
      <c r="CD107" s="85">
        <f>IF(AV107="",0,VLOOKUP(J107,Tables!$B$3:$D$36,2,FALSE())*AF$1)</f>
        <v>9.6</v>
      </c>
      <c r="CE107" s="72">
        <f>IF(AW107="",0,VLOOKUP(K107,Tables!$B$3:$D$36,2,FALSE())*AG$1)</f>
        <v>9.6</v>
      </c>
      <c r="CF107" s="72">
        <f>IF(AX107="",0,VLOOKUP(L107,Tables!$B$3:$D$36,2,FALSE())*AH$1)</f>
        <v>8</v>
      </c>
      <c r="CG107" s="85">
        <f>IF(AY107="",0,VLOOKUP(M107,Tables!$B$3:$D$36,2,FALSE())*AI$1)</f>
        <v>11.200000000000001</v>
      </c>
      <c r="CH107" s="72">
        <f>IF(AZ107="",0,VLOOKUP(N107,Tables!$B$3:$D$36,2,FALSE())*AJ$1)</f>
        <v>2.4</v>
      </c>
      <c r="CI107" s="72">
        <f>IF(BA107="",0,VLOOKUP(O107,Tables!$B$3:$D$36,2,FALSE())*AK$1)</f>
        <v>9.6</v>
      </c>
      <c r="CJ107" s="86">
        <f>IF(BB107="",0,VLOOKUP(P107,Tables!$B$3:$D$36,2,FALSE())*AL$1)</f>
        <v>0</v>
      </c>
      <c r="CK107" s="87">
        <f>IF(AN107="",0,VLOOKUP(B107,Tables!$B$3:$D$36,3,FALSE())*X$1)*IF(OR(AN107="K",AN107="P"),2,1)</f>
        <v>0</v>
      </c>
      <c r="CL107" s="73">
        <f>IF(AO107="",0,VLOOKUP(C107,Tables!$B$3:$D$36,3,FALSE())*Y$1)*IF(OR(AO107="K",AO107="P"),2,1)</f>
        <v>0</v>
      </c>
      <c r="CM107" s="73">
        <f>IF(AP107="",0,VLOOKUP(D107,Tables!$B$3:$D$36,3,FALSE())*Z$1)*IF(OR(AP107="K",AP107="P"),2,1)</f>
        <v>0</v>
      </c>
      <c r="CN107" s="87">
        <f>IF(AQ107="",0,VLOOKUP(E107,Tables!$B$3:$D$36,3,FALSE())*AA$1)</f>
        <v>7.4999999999999997E-2</v>
      </c>
      <c r="CO107" s="73">
        <f>IF(AR107="",0,VLOOKUP(F107,Tables!$B$3:$D$36,3,FALSE())*AB$1)</f>
        <v>0</v>
      </c>
      <c r="CP107" s="73">
        <f>IF(AS107="",0,VLOOKUP(G107,Tables!$B$3:$D$36,3,FALSE())*AC$1)</f>
        <v>0</v>
      </c>
      <c r="CQ107" s="73">
        <f>IF(AT107="",0,VLOOKUP(H107,Tables!$B$3:$D$36,3,FALSE())*AD$1)</f>
        <v>0</v>
      </c>
      <c r="CR107" s="73">
        <f>IF(AU107="",0,VLOOKUP(I107,Tables!$B$3:$D$36,3,FALSE())*AE$1)</f>
        <v>0</v>
      </c>
      <c r="CS107" s="87">
        <f>IF(AV107="",0,VLOOKUP(J107,Tables!$B$3:$D$36,3,FALSE())*AF$1)</f>
        <v>0.3</v>
      </c>
      <c r="CT107" s="73">
        <f>IF(AW107="",0,VLOOKUP(K107,Tables!$B$3:$D$36,3,FALSE())*AG$1)</f>
        <v>0.3</v>
      </c>
      <c r="CU107" s="73">
        <f>IF(AX107="",0,VLOOKUP(L107,Tables!$B$3:$D$36,3,FALSE())*AH$1)</f>
        <v>0.25</v>
      </c>
      <c r="CV107" s="87">
        <f>IF(AY107="",0,VLOOKUP(M107,Tables!$B$3:$D$36,3,FALSE())*AI$1)</f>
        <v>0.35000000000000003</v>
      </c>
      <c r="CW107" s="73">
        <f>IF(AZ107="",0,VLOOKUP(N107,Tables!$B$3:$D$36,3,FALSE())*AJ$1)</f>
        <v>7.4999999999999997E-2</v>
      </c>
      <c r="CX107" s="73">
        <f>IF(BA107="",0,VLOOKUP(O107,Tables!$B$3:$D$36,3,FALSE())*AK$1)</f>
        <v>0.3</v>
      </c>
      <c r="CY107" s="88">
        <f>IF(BB107="",0,VLOOKUP(P107,Tables!$B$3:$D$36,3,FALSE())*AL$1)</f>
        <v>0</v>
      </c>
      <c r="CZ107" s="89">
        <f t="shared" si="96"/>
        <v>0</v>
      </c>
      <c r="DA107" s="75">
        <f t="shared" si="97"/>
        <v>0</v>
      </c>
      <c r="DB107" s="75">
        <f t="shared" si="98"/>
        <v>0</v>
      </c>
      <c r="DC107" s="89">
        <f t="shared" si="99"/>
        <v>1</v>
      </c>
      <c r="DD107" s="75">
        <f t="shared" si="100"/>
        <v>0</v>
      </c>
      <c r="DE107" s="75">
        <f t="shared" si="101"/>
        <v>0</v>
      </c>
      <c r="DF107" s="75">
        <f t="shared" si="102"/>
        <v>0</v>
      </c>
      <c r="DG107" s="75">
        <f t="shared" si="103"/>
        <v>0</v>
      </c>
      <c r="DH107" s="89">
        <f t="shared" si="104"/>
        <v>1</v>
      </c>
      <c r="DI107" s="75">
        <f t="shared" si="105"/>
        <v>1</v>
      </c>
      <c r="DJ107" s="75">
        <f t="shared" si="106"/>
        <v>1</v>
      </c>
      <c r="DK107" s="89">
        <f t="shared" si="107"/>
        <v>1</v>
      </c>
      <c r="DL107" s="75">
        <f t="shared" si="108"/>
        <v>1</v>
      </c>
      <c r="DM107" s="75">
        <f t="shared" si="109"/>
        <v>1</v>
      </c>
      <c r="DN107" s="90">
        <f t="shared" si="110"/>
        <v>0</v>
      </c>
      <c r="DO107" s="91">
        <f>IF(AN107="",0,VLOOKUP(B107,Tables!$B$3:$M$36,11,FALSE())*X$1)</f>
        <v>0</v>
      </c>
      <c r="DP107" s="92">
        <f>IF(AO107="",0,VLOOKUP(C107,Tables!$B$3:$M$36,11,FALSE())*Y$1)</f>
        <v>0</v>
      </c>
      <c r="DQ107" s="92">
        <f>IF(AP107="",0,VLOOKUP(D107,Tables!$B$3:$M$36,11,FALSE())*Z$1)</f>
        <v>0</v>
      </c>
      <c r="DR107" s="91">
        <f>IF(AQ107="",0,VLOOKUP(E107,Tables!$B$3:$M$36,11,FALSE())*AA$1)</f>
        <v>0.6</v>
      </c>
      <c r="DS107" s="92">
        <f>IF(AR107="",0,VLOOKUP(F107,Tables!$B$3:$M$36,11,FALSE())*AB$1)</f>
        <v>0</v>
      </c>
      <c r="DT107" s="92">
        <f>IF(AS107="",0,VLOOKUP(G107,Tables!$B$3:$M$36,11,FALSE())*AC$1)</f>
        <v>0</v>
      </c>
      <c r="DU107" s="92">
        <f>IF(AT107="",0,VLOOKUP(H107,Tables!$B$3:$M$36,11,FALSE())*AD$1)</f>
        <v>0</v>
      </c>
      <c r="DV107" s="92">
        <f>IF(AU107="",0,VLOOKUP(I107,Tables!$B$3:$M$36,11,FALSE())*AE$1)</f>
        <v>0</v>
      </c>
      <c r="DW107" s="91">
        <f>IF(AV107="",0,VLOOKUP(J107,Tables!$B$3:$M$36,11,FALSE())*AF$1)</f>
        <v>2.4</v>
      </c>
      <c r="DX107" s="92">
        <f>IF(AW107="",0,VLOOKUP(K107,Tables!$B$3:$M$36,11,FALSE())*AG$1)</f>
        <v>2.4</v>
      </c>
      <c r="DY107" s="92">
        <f>IF(AX107="",0,VLOOKUP(L107,Tables!$B$3:$M$36,11,FALSE())*AH$1)</f>
        <v>2</v>
      </c>
      <c r="DZ107" s="91">
        <f>IF(AY107="",0,VLOOKUP(M107,Tables!$B$3:$M$36,11,FALSE())*AI$1)</f>
        <v>2.8000000000000003</v>
      </c>
      <c r="EA107" s="92">
        <f>IF(AZ107="",0,VLOOKUP(N107,Tables!$B$3:$M$36,11,FALSE())*AJ$1)</f>
        <v>0.6</v>
      </c>
      <c r="EB107" s="92">
        <f>IF(BA107="",0,VLOOKUP(O107,Tables!$B$3:$M$36,11,FALSE())*AK$1)</f>
        <v>2.4</v>
      </c>
      <c r="EC107" s="93">
        <f>IF(BB107="",0,VLOOKUP(P107,Tables!$B$3:$M$36,11,FALSE())*AL$1)</f>
        <v>0</v>
      </c>
      <c r="ED107" s="91">
        <f>IF(AN107="",0,VLOOKUP(B107,Tables!$B$3:$M$36,12,FALSE())*X$1)</f>
        <v>0</v>
      </c>
      <c r="EE107" s="92">
        <f>IF(AO107="",0,VLOOKUP(C107,Tables!$B$3:$M$36,12,FALSE())*Y$1)</f>
        <v>0</v>
      </c>
      <c r="EF107" s="92">
        <f>IF(AP107="",0,VLOOKUP(D107,Tables!$B$3:$M$36,12,FALSE())*Z$1)</f>
        <v>0</v>
      </c>
      <c r="EG107" s="91">
        <f>IF(AQ107="",0,VLOOKUP(E107,Tables!$B$3:$M$36,12,FALSE())*AA$1)</f>
        <v>1.7999999999999998</v>
      </c>
      <c r="EH107" s="92">
        <f>IF(AR107="",0,VLOOKUP(F107,Tables!$B$3:$M$36,12,FALSE())*AB$1)</f>
        <v>0</v>
      </c>
      <c r="EI107" s="92">
        <f>IF(AS107="",0,VLOOKUP(G107,Tables!$B$3:$M$36,12,FALSE())*AC$1)</f>
        <v>0</v>
      </c>
      <c r="EJ107" s="92">
        <f>IF(AT107="",0,VLOOKUP(H107,Tables!$B$3:$M$36,12,FALSE())*AD$1)</f>
        <v>0</v>
      </c>
      <c r="EK107" s="92">
        <f>IF(AU107="",0,VLOOKUP(I107,Tables!$B$3:$M$36,12,FALSE())*AE$1)</f>
        <v>0</v>
      </c>
      <c r="EL107" s="91">
        <f>IF(AV107="",0,VLOOKUP(J107,Tables!$B$3:$M$36,12,FALSE())*AF$1)</f>
        <v>7.1999999999999993</v>
      </c>
      <c r="EM107" s="92">
        <f>IF(AW107="",0,VLOOKUP(K107,Tables!$B$3:$M$36,12,FALSE())*AG$1)</f>
        <v>7.1999999999999993</v>
      </c>
      <c r="EN107" s="92">
        <f>IF(AX107="",0,VLOOKUP(L107,Tables!$B$3:$M$36,12,FALSE())*AH$1)</f>
        <v>6</v>
      </c>
      <c r="EO107" s="91">
        <f>IF(AY107="",0,VLOOKUP(M107,Tables!$B$3:$M$36,12,FALSE())*AI$1)</f>
        <v>8.4</v>
      </c>
      <c r="EP107" s="92">
        <f>IF(AZ107="",0,VLOOKUP(N107,Tables!$B$3:$M$36,12,FALSE())*AJ$1)</f>
        <v>1.7999999999999998</v>
      </c>
      <c r="EQ107" s="92">
        <f>IF(BA107="",0,VLOOKUP(O107,Tables!$B$3:$M$36,12,FALSE())*AK$1)</f>
        <v>7.1999999999999993</v>
      </c>
      <c r="ER107" s="93">
        <f>IF(BB107="",0,VLOOKUP(P107,Tables!$B$3:$M$36,12,FALSE())*AL$1)</f>
        <v>0</v>
      </c>
      <c r="ES107" s="94">
        <f t="shared" si="111"/>
        <v>0</v>
      </c>
      <c r="ET107" s="95">
        <f>IF(AN107="",10,MIN(VLOOKUP(B107,MATERIAL,13,FALSE()),'Item Builder'!$W107))</f>
        <v>10</v>
      </c>
      <c r="EU107" s="95">
        <f>IF(AO107="",10,MIN(VLOOKUP(C107,MATERIAL,13,FALSE()),'Item Builder'!$W107))</f>
        <v>10</v>
      </c>
      <c r="EV107" s="95">
        <f>IF(AP107="",10,MIN(VLOOKUP(D107,MATERIAL,13,FALSE()),'Item Builder'!$W107))</f>
        <v>10</v>
      </c>
      <c r="EW107" s="95">
        <f>IF(AQ107="",10,MIN(VLOOKUP(E107,MATERIAL,13,FALSE()),'Item Builder'!$W107))</f>
        <v>0</v>
      </c>
      <c r="EX107" s="95">
        <f>IF(AR107="",10,MIN(VLOOKUP(F107,MATERIAL,13,FALSE()),'Item Builder'!$W107))</f>
        <v>10</v>
      </c>
      <c r="EY107" s="95">
        <f>IF(AS107="",10,MIN(VLOOKUP(G107,MATERIAL,13,FALSE()),'Item Builder'!$W107))</f>
        <v>10</v>
      </c>
      <c r="EZ107" s="95">
        <f>IF(AT107="",10,MIN(VLOOKUP(H107,MATERIAL,13,FALSE()),'Item Builder'!$W107))</f>
        <v>10</v>
      </c>
      <c r="FA107" s="95">
        <f>IF(AU107="",10,MIN(VLOOKUP(I107,MATERIAL,13,FALSE()),'Item Builder'!$W107))</f>
        <v>10</v>
      </c>
      <c r="FB107" s="95">
        <f>IF(AV107="",10,MIN(VLOOKUP(J107,MATERIAL,13,FALSE()),'Item Builder'!$W107))</f>
        <v>0</v>
      </c>
      <c r="FC107" s="95">
        <f>IF(AW107="",10,MIN(VLOOKUP(K107,MATERIAL,13,FALSE()),'Item Builder'!$W107))</f>
        <v>0</v>
      </c>
      <c r="FD107" s="95">
        <f>IF(AX107="",10,MIN(VLOOKUP(L107,MATERIAL,13,FALSE()),'Item Builder'!$W107))</f>
        <v>0</v>
      </c>
      <c r="FE107" s="95">
        <f>IF(AY107="",10,MIN(VLOOKUP(M107,MATERIAL,13,FALSE()),'Item Builder'!$W107))</f>
        <v>0</v>
      </c>
      <c r="FF107" s="95">
        <f>IF(AZ107="",10,MIN(VLOOKUP(N107,MATERIAL,13,FALSE()),'Item Builder'!$W107))</f>
        <v>0</v>
      </c>
      <c r="FG107" s="95">
        <f>IF(BA107="",10,MIN(VLOOKUP(O107,MATERIAL,13,FALSE()),'Item Builder'!$W107))</f>
        <v>0</v>
      </c>
      <c r="FH107" s="95">
        <f>IF(BB107="",10,MIN(VLOOKUP(P107,MATERIAL,13,FALSE()),'Item Builder'!$W107))</f>
        <v>10</v>
      </c>
    </row>
    <row r="108" spans="1:164" x14ac:dyDescent="0.25">
      <c r="A108" s="67" t="s">
        <v>248</v>
      </c>
      <c r="B108" s="68"/>
      <c r="C108" s="69"/>
      <c r="D108" s="70"/>
      <c r="E108" s="68" t="s">
        <v>155</v>
      </c>
      <c r="F108" s="69" t="s">
        <v>155</v>
      </c>
      <c r="G108" s="69" t="s">
        <v>155</v>
      </c>
      <c r="H108" s="69" t="s">
        <v>155</v>
      </c>
      <c r="I108" s="70"/>
      <c r="J108" s="68" t="s">
        <v>155</v>
      </c>
      <c r="K108" s="69" t="s">
        <v>155</v>
      </c>
      <c r="L108" s="70" t="s">
        <v>155</v>
      </c>
      <c r="M108" s="68" t="s">
        <v>155</v>
      </c>
      <c r="N108" s="69" t="s">
        <v>155</v>
      </c>
      <c r="O108" s="69" t="s">
        <v>155</v>
      </c>
      <c r="P108" s="71"/>
      <c r="Q108" s="72">
        <f>SUM(BV108:CJ108)*VLOOKUP(W108,Tables!$W$3:$Z$8,4)</f>
        <v>63.2</v>
      </c>
      <c r="R108" s="73">
        <f t="shared" si="56"/>
        <v>1.9750000000000001</v>
      </c>
      <c r="S108" s="74">
        <f t="shared" si="57"/>
        <v>0</v>
      </c>
      <c r="T108" s="74">
        <f t="shared" si="58"/>
        <v>0</v>
      </c>
      <c r="U108" s="75">
        <f t="shared" si="59"/>
        <v>15.8</v>
      </c>
      <c r="V108" s="76">
        <f t="shared" si="60"/>
        <v>47.399999999999991</v>
      </c>
      <c r="W108" s="77">
        <v>0</v>
      </c>
      <c r="X108" s="78">
        <f t="shared" si="61"/>
        <v>0</v>
      </c>
      <c r="Y108" s="79">
        <f t="shared" si="62"/>
        <v>0</v>
      </c>
      <c r="Z108" s="79">
        <f t="shared" si="63"/>
        <v>0</v>
      </c>
      <c r="AA108" s="78">
        <f t="shared" si="64"/>
        <v>1</v>
      </c>
      <c r="AB108" s="79">
        <f t="shared" si="65"/>
        <v>1</v>
      </c>
      <c r="AC108" s="79">
        <f t="shared" si="66"/>
        <v>1</v>
      </c>
      <c r="AD108" s="79">
        <f t="shared" si="67"/>
        <v>1</v>
      </c>
      <c r="AE108" s="79">
        <f t="shared" si="68"/>
        <v>0</v>
      </c>
      <c r="AF108" s="78">
        <f t="shared" si="69"/>
        <v>1</v>
      </c>
      <c r="AG108" s="79">
        <f t="shared" si="70"/>
        <v>1</v>
      </c>
      <c r="AH108" s="79">
        <f t="shared" si="71"/>
        <v>1</v>
      </c>
      <c r="AI108" s="78">
        <f t="shared" si="72"/>
        <v>1</v>
      </c>
      <c r="AJ108" s="79">
        <f t="shared" si="73"/>
        <v>1</v>
      </c>
      <c r="AK108" s="79">
        <f t="shared" si="74"/>
        <v>1</v>
      </c>
      <c r="AL108" s="80">
        <f t="shared" si="75"/>
        <v>0</v>
      </c>
      <c r="AM108" s="81">
        <f t="shared" si="76"/>
        <v>0.79</v>
      </c>
      <c r="AN108" s="82" t="str">
        <f t="shared" si="77"/>
        <v/>
      </c>
      <c r="AO108" s="79" t="str">
        <f t="shared" si="78"/>
        <v/>
      </c>
      <c r="AP108" t="str">
        <f t="shared" si="79"/>
        <v/>
      </c>
      <c r="AQ108" s="82" t="str">
        <f t="shared" si="80"/>
        <v>X</v>
      </c>
      <c r="AR108" t="str">
        <f t="shared" si="81"/>
        <v>X</v>
      </c>
      <c r="AS108" t="str">
        <f t="shared" si="82"/>
        <v>X</v>
      </c>
      <c r="AT108" t="str">
        <f t="shared" si="83"/>
        <v>X</v>
      </c>
      <c r="AU108" t="str">
        <f t="shared" si="84"/>
        <v/>
      </c>
      <c r="AV108" s="82" t="str">
        <f t="shared" si="85"/>
        <v>X</v>
      </c>
      <c r="AW108" t="str">
        <f t="shared" si="86"/>
        <v>X</v>
      </c>
      <c r="AX108" t="str">
        <f t="shared" si="87"/>
        <v>X</v>
      </c>
      <c r="AY108" s="82" t="str">
        <f t="shared" si="88"/>
        <v>X</v>
      </c>
      <c r="AZ108" t="str">
        <f t="shared" si="89"/>
        <v>X</v>
      </c>
      <c r="BA108" t="str">
        <f t="shared" si="90"/>
        <v>X</v>
      </c>
      <c r="BB108" s="83" t="str">
        <f t="shared" si="91"/>
        <v/>
      </c>
      <c r="BC108" s="84">
        <f t="shared" si="92"/>
        <v>0</v>
      </c>
      <c r="BD108" s="84">
        <f t="shared" si="93"/>
        <v>0.76190476190476186</v>
      </c>
      <c r="BE108" s="84">
        <f t="shared" si="94"/>
        <v>1</v>
      </c>
      <c r="BF108" s="84">
        <f t="shared" si="95"/>
        <v>0.80555555555555558</v>
      </c>
      <c r="BG108" s="78">
        <f>IF(AN108="",0,VLOOKUP(AN108,Tables!$AB$3:$AC$12,2))</f>
        <v>0</v>
      </c>
      <c r="BH108" s="79">
        <f>IF(AO108="",0,VLOOKUP(AO108,Tables!$AB$3:$AC$12,2))</f>
        <v>0</v>
      </c>
      <c r="BI108" s="79">
        <f>IF(AP108="",0,VLOOKUP(AP108,Tables!$AB$3:$AC$12,2))</f>
        <v>0</v>
      </c>
      <c r="BJ108" s="78">
        <f>IF(AQ108="",0,VLOOKUP(AQ108,Tables!$AB$3:$AC$12,2))</f>
        <v>1</v>
      </c>
      <c r="BK108" s="79">
        <f>IF(AR108="",0,VLOOKUP(AR108,Tables!$AB$3:$AC$12,2))</f>
        <v>1</v>
      </c>
      <c r="BL108" s="79">
        <f>IF(AS108="",0,VLOOKUP(AS108,Tables!$AB$3:$AC$12,2))</f>
        <v>1</v>
      </c>
      <c r="BM108" s="79">
        <f>IF(AT108="",0,VLOOKUP(AT108,Tables!$AB$3:$AC$12,2))</f>
        <v>1</v>
      </c>
      <c r="BN108" s="79">
        <f>IF(AU108="",0,VLOOKUP(AU108,Tables!$AB$3:$AC$12,2))</f>
        <v>0</v>
      </c>
      <c r="BO108" s="78">
        <f>IF(AV108="",0,VLOOKUP(AV108,Tables!$AB$3:$AC$12,2))</f>
        <v>1</v>
      </c>
      <c r="BP108" s="79">
        <f>IF(AW108="",0,VLOOKUP(AW108,Tables!$AB$3:$AC$12,2))</f>
        <v>1</v>
      </c>
      <c r="BQ108" s="79">
        <f>IF(AX108="",0,VLOOKUP(AX108,Tables!$AB$3:$AC$12,2))</f>
        <v>1</v>
      </c>
      <c r="BR108" s="78">
        <f>IF(AY108="",0,VLOOKUP(AY108,Tables!$AB$3:$AC$12,2))</f>
        <v>1</v>
      </c>
      <c r="BS108" s="79">
        <f>IF(AZ108="",0,VLOOKUP(AZ108,Tables!$AB$3:$AC$12,2))</f>
        <v>1</v>
      </c>
      <c r="BT108" s="79">
        <f>IF(BA108="",0,VLOOKUP(BA108,Tables!$AB$3:$AC$12,2))</f>
        <v>1</v>
      </c>
      <c r="BU108" s="80">
        <f>IF(BB108="",0,VLOOKUP(BB108,Tables!$AB$3:$AC$12,2))</f>
        <v>0</v>
      </c>
      <c r="BV108" s="85">
        <f>IF(AN108="",0,VLOOKUP(B108,Tables!$B$3:$D$36,2,FALSE())*X$1)</f>
        <v>0</v>
      </c>
      <c r="BW108" s="72">
        <f>IF(AO108="",0,VLOOKUP(C108,Tables!$B$3:$D$36,2,FALSE())*Y$1)</f>
        <v>0</v>
      </c>
      <c r="BX108" s="72">
        <f>IF(AP108="",0,VLOOKUP(D108,Tables!$B$3:$D$36,2,FALSE())*Z$1)</f>
        <v>0</v>
      </c>
      <c r="BY108" s="85">
        <f>IF(AQ108="",0,VLOOKUP(E108,Tables!$B$3:$D$36,2,FALSE())*AA$1)</f>
        <v>2.4</v>
      </c>
      <c r="BZ108" s="72">
        <f>IF(AR108="",0,VLOOKUP(F108,Tables!$B$3:$D$36,2,FALSE())*AB$1)</f>
        <v>4.8</v>
      </c>
      <c r="CA108" s="72">
        <f>IF(AS108="",0,VLOOKUP(G108,Tables!$B$3:$D$36,2,FALSE())*AC$1)</f>
        <v>1.6</v>
      </c>
      <c r="CB108" s="72">
        <f>IF(AT108="",0,VLOOKUP(H108,Tables!$B$3:$D$36,2,FALSE())*AD$1)</f>
        <v>4</v>
      </c>
      <c r="CC108" s="72">
        <f>IF(AU108="",0,VLOOKUP(I108,Tables!$B$3:$D$36,2,FALSE())*AE$1)</f>
        <v>0</v>
      </c>
      <c r="CD108" s="85">
        <f>IF(AV108="",0,VLOOKUP(J108,Tables!$B$3:$D$36,2,FALSE())*AF$1)</f>
        <v>9.6</v>
      </c>
      <c r="CE108" s="72">
        <f>IF(AW108="",0,VLOOKUP(K108,Tables!$B$3:$D$36,2,FALSE())*AG$1)</f>
        <v>9.6</v>
      </c>
      <c r="CF108" s="72">
        <f>IF(AX108="",0,VLOOKUP(L108,Tables!$B$3:$D$36,2,FALSE())*AH$1)</f>
        <v>8</v>
      </c>
      <c r="CG108" s="85">
        <f>IF(AY108="",0,VLOOKUP(M108,Tables!$B$3:$D$36,2,FALSE())*AI$1)</f>
        <v>11.200000000000001</v>
      </c>
      <c r="CH108" s="72">
        <f>IF(AZ108="",0,VLOOKUP(N108,Tables!$B$3:$D$36,2,FALSE())*AJ$1)</f>
        <v>2.4</v>
      </c>
      <c r="CI108" s="72">
        <f>IF(BA108="",0,VLOOKUP(O108,Tables!$B$3:$D$36,2,FALSE())*AK$1)</f>
        <v>9.6</v>
      </c>
      <c r="CJ108" s="86">
        <f>IF(BB108="",0,VLOOKUP(P108,Tables!$B$3:$D$36,2,FALSE())*AL$1)</f>
        <v>0</v>
      </c>
      <c r="CK108" s="87">
        <f>IF(AN108="",0,VLOOKUP(B108,Tables!$B$3:$D$36,3,FALSE())*X$1)*IF(OR(AN108="K",AN108="P"),2,1)</f>
        <v>0</v>
      </c>
      <c r="CL108" s="73">
        <f>IF(AO108="",0,VLOOKUP(C108,Tables!$B$3:$D$36,3,FALSE())*Y$1)*IF(OR(AO108="K",AO108="P"),2,1)</f>
        <v>0</v>
      </c>
      <c r="CM108" s="73">
        <f>IF(AP108="",0,VLOOKUP(D108,Tables!$B$3:$D$36,3,FALSE())*Z$1)*IF(OR(AP108="K",AP108="P"),2,1)</f>
        <v>0</v>
      </c>
      <c r="CN108" s="87">
        <f>IF(AQ108="",0,VLOOKUP(E108,Tables!$B$3:$D$36,3,FALSE())*AA$1)</f>
        <v>7.4999999999999997E-2</v>
      </c>
      <c r="CO108" s="73">
        <f>IF(AR108="",0,VLOOKUP(F108,Tables!$B$3:$D$36,3,FALSE())*AB$1)</f>
        <v>0.15</v>
      </c>
      <c r="CP108" s="73">
        <f>IF(AS108="",0,VLOOKUP(G108,Tables!$B$3:$D$36,3,FALSE())*AC$1)</f>
        <v>0.05</v>
      </c>
      <c r="CQ108" s="73">
        <f>IF(AT108="",0,VLOOKUP(H108,Tables!$B$3:$D$36,3,FALSE())*AD$1)</f>
        <v>0.125</v>
      </c>
      <c r="CR108" s="73">
        <f>IF(AU108="",0,VLOOKUP(I108,Tables!$B$3:$D$36,3,FALSE())*AE$1)</f>
        <v>0</v>
      </c>
      <c r="CS108" s="87">
        <f>IF(AV108="",0,VLOOKUP(J108,Tables!$B$3:$D$36,3,FALSE())*AF$1)</f>
        <v>0.3</v>
      </c>
      <c r="CT108" s="73">
        <f>IF(AW108="",0,VLOOKUP(K108,Tables!$B$3:$D$36,3,FALSE())*AG$1)</f>
        <v>0.3</v>
      </c>
      <c r="CU108" s="73">
        <f>IF(AX108="",0,VLOOKUP(L108,Tables!$B$3:$D$36,3,FALSE())*AH$1)</f>
        <v>0.25</v>
      </c>
      <c r="CV108" s="87">
        <f>IF(AY108="",0,VLOOKUP(M108,Tables!$B$3:$D$36,3,FALSE())*AI$1)</f>
        <v>0.35000000000000003</v>
      </c>
      <c r="CW108" s="73">
        <f>IF(AZ108="",0,VLOOKUP(N108,Tables!$B$3:$D$36,3,FALSE())*AJ$1)</f>
        <v>7.4999999999999997E-2</v>
      </c>
      <c r="CX108" s="73">
        <f>IF(BA108="",0,VLOOKUP(O108,Tables!$B$3:$D$36,3,FALSE())*AK$1)</f>
        <v>0.3</v>
      </c>
      <c r="CY108" s="88">
        <f>IF(BB108="",0,VLOOKUP(P108,Tables!$B$3:$D$36,3,FALSE())*AL$1)</f>
        <v>0</v>
      </c>
      <c r="CZ108" s="89">
        <f t="shared" si="96"/>
        <v>0</v>
      </c>
      <c r="DA108" s="75">
        <f t="shared" si="97"/>
        <v>0</v>
      </c>
      <c r="DB108" s="75">
        <f t="shared" si="98"/>
        <v>0</v>
      </c>
      <c r="DC108" s="89">
        <f t="shared" si="99"/>
        <v>1</v>
      </c>
      <c r="DD108" s="75">
        <f t="shared" si="100"/>
        <v>1</v>
      </c>
      <c r="DE108" s="75">
        <f t="shared" si="101"/>
        <v>1</v>
      </c>
      <c r="DF108" s="75">
        <f t="shared" si="102"/>
        <v>1</v>
      </c>
      <c r="DG108" s="75">
        <f t="shared" si="103"/>
        <v>0</v>
      </c>
      <c r="DH108" s="89">
        <f t="shared" si="104"/>
        <v>1</v>
      </c>
      <c r="DI108" s="75">
        <f t="shared" si="105"/>
        <v>1</v>
      </c>
      <c r="DJ108" s="75">
        <f t="shared" si="106"/>
        <v>1</v>
      </c>
      <c r="DK108" s="89">
        <f t="shared" si="107"/>
        <v>1</v>
      </c>
      <c r="DL108" s="75">
        <f t="shared" si="108"/>
        <v>1</v>
      </c>
      <c r="DM108" s="75">
        <f t="shared" si="109"/>
        <v>1</v>
      </c>
      <c r="DN108" s="90">
        <f t="shared" si="110"/>
        <v>0</v>
      </c>
      <c r="DO108" s="91">
        <f>IF(AN108="",0,VLOOKUP(B108,Tables!$B$3:$M$36,11,FALSE())*X$1)</f>
        <v>0</v>
      </c>
      <c r="DP108" s="92">
        <f>IF(AO108="",0,VLOOKUP(C108,Tables!$B$3:$M$36,11,FALSE())*Y$1)</f>
        <v>0</v>
      </c>
      <c r="DQ108" s="92">
        <f>IF(AP108="",0,VLOOKUP(D108,Tables!$B$3:$M$36,11,FALSE())*Z$1)</f>
        <v>0</v>
      </c>
      <c r="DR108" s="91">
        <f>IF(AQ108="",0,VLOOKUP(E108,Tables!$B$3:$M$36,11,FALSE())*AA$1)</f>
        <v>0.6</v>
      </c>
      <c r="DS108" s="92">
        <f>IF(AR108="",0,VLOOKUP(F108,Tables!$B$3:$M$36,11,FALSE())*AB$1)</f>
        <v>1.2</v>
      </c>
      <c r="DT108" s="92">
        <f>IF(AS108="",0,VLOOKUP(G108,Tables!$B$3:$M$36,11,FALSE())*AC$1)</f>
        <v>0.4</v>
      </c>
      <c r="DU108" s="92">
        <f>IF(AT108="",0,VLOOKUP(H108,Tables!$B$3:$M$36,11,FALSE())*AD$1)</f>
        <v>1</v>
      </c>
      <c r="DV108" s="92">
        <f>IF(AU108="",0,VLOOKUP(I108,Tables!$B$3:$M$36,11,FALSE())*AE$1)</f>
        <v>0</v>
      </c>
      <c r="DW108" s="91">
        <f>IF(AV108="",0,VLOOKUP(J108,Tables!$B$3:$M$36,11,FALSE())*AF$1)</f>
        <v>2.4</v>
      </c>
      <c r="DX108" s="92">
        <f>IF(AW108="",0,VLOOKUP(K108,Tables!$B$3:$M$36,11,FALSE())*AG$1)</f>
        <v>2.4</v>
      </c>
      <c r="DY108" s="92">
        <f>IF(AX108="",0,VLOOKUP(L108,Tables!$B$3:$M$36,11,FALSE())*AH$1)</f>
        <v>2</v>
      </c>
      <c r="DZ108" s="91">
        <f>IF(AY108="",0,VLOOKUP(M108,Tables!$B$3:$M$36,11,FALSE())*AI$1)</f>
        <v>2.8000000000000003</v>
      </c>
      <c r="EA108" s="92">
        <f>IF(AZ108="",0,VLOOKUP(N108,Tables!$B$3:$M$36,11,FALSE())*AJ$1)</f>
        <v>0.6</v>
      </c>
      <c r="EB108" s="92">
        <f>IF(BA108="",0,VLOOKUP(O108,Tables!$B$3:$M$36,11,FALSE())*AK$1)</f>
        <v>2.4</v>
      </c>
      <c r="EC108" s="93">
        <f>IF(BB108="",0,VLOOKUP(P108,Tables!$B$3:$M$36,11,FALSE())*AL$1)</f>
        <v>0</v>
      </c>
      <c r="ED108" s="91">
        <f>IF(AN108="",0,VLOOKUP(B108,Tables!$B$3:$M$36,12,FALSE())*X$1)</f>
        <v>0</v>
      </c>
      <c r="EE108" s="92">
        <f>IF(AO108="",0,VLOOKUP(C108,Tables!$B$3:$M$36,12,FALSE())*Y$1)</f>
        <v>0</v>
      </c>
      <c r="EF108" s="92">
        <f>IF(AP108="",0,VLOOKUP(D108,Tables!$B$3:$M$36,12,FALSE())*Z$1)</f>
        <v>0</v>
      </c>
      <c r="EG108" s="91">
        <f>IF(AQ108="",0,VLOOKUP(E108,Tables!$B$3:$M$36,12,FALSE())*AA$1)</f>
        <v>1.7999999999999998</v>
      </c>
      <c r="EH108" s="92">
        <f>IF(AR108="",0,VLOOKUP(F108,Tables!$B$3:$M$36,12,FALSE())*AB$1)</f>
        <v>3.5999999999999996</v>
      </c>
      <c r="EI108" s="92">
        <f>IF(AS108="",0,VLOOKUP(G108,Tables!$B$3:$M$36,12,FALSE())*AC$1)</f>
        <v>1.2</v>
      </c>
      <c r="EJ108" s="92">
        <f>IF(AT108="",0,VLOOKUP(H108,Tables!$B$3:$M$36,12,FALSE())*AD$1)</f>
        <v>3</v>
      </c>
      <c r="EK108" s="92">
        <f>IF(AU108="",0,VLOOKUP(I108,Tables!$B$3:$M$36,12,FALSE())*AE$1)</f>
        <v>0</v>
      </c>
      <c r="EL108" s="91">
        <f>IF(AV108="",0,VLOOKUP(J108,Tables!$B$3:$M$36,12,FALSE())*AF$1)</f>
        <v>7.1999999999999993</v>
      </c>
      <c r="EM108" s="92">
        <f>IF(AW108="",0,VLOOKUP(K108,Tables!$B$3:$M$36,12,FALSE())*AG$1)</f>
        <v>7.1999999999999993</v>
      </c>
      <c r="EN108" s="92">
        <f>IF(AX108="",0,VLOOKUP(L108,Tables!$B$3:$M$36,12,FALSE())*AH$1)</f>
        <v>6</v>
      </c>
      <c r="EO108" s="91">
        <f>IF(AY108="",0,VLOOKUP(M108,Tables!$B$3:$M$36,12,FALSE())*AI$1)</f>
        <v>8.4</v>
      </c>
      <c r="EP108" s="92">
        <f>IF(AZ108="",0,VLOOKUP(N108,Tables!$B$3:$M$36,12,FALSE())*AJ$1)</f>
        <v>1.7999999999999998</v>
      </c>
      <c r="EQ108" s="92">
        <f>IF(BA108="",0,VLOOKUP(O108,Tables!$B$3:$M$36,12,FALSE())*AK$1)</f>
        <v>7.1999999999999993</v>
      </c>
      <c r="ER108" s="93">
        <f>IF(BB108="",0,VLOOKUP(P108,Tables!$B$3:$M$36,12,FALSE())*AL$1)</f>
        <v>0</v>
      </c>
      <c r="ES108" s="94">
        <f t="shared" si="111"/>
        <v>0</v>
      </c>
      <c r="ET108" s="95">
        <f>IF(AN108="",10,MIN(VLOOKUP(B108,MATERIAL,13,FALSE()),'Item Builder'!$W108))</f>
        <v>10</v>
      </c>
      <c r="EU108" s="95">
        <f>IF(AO108="",10,MIN(VLOOKUP(C108,MATERIAL,13,FALSE()),'Item Builder'!$W108))</f>
        <v>10</v>
      </c>
      <c r="EV108" s="95">
        <f>IF(AP108="",10,MIN(VLOOKUP(D108,MATERIAL,13,FALSE()),'Item Builder'!$W108))</f>
        <v>10</v>
      </c>
      <c r="EW108" s="95">
        <f>IF(AQ108="",10,MIN(VLOOKUP(E108,MATERIAL,13,FALSE()),'Item Builder'!$W108))</f>
        <v>0</v>
      </c>
      <c r="EX108" s="95">
        <f>IF(AR108="",10,MIN(VLOOKUP(F108,MATERIAL,13,FALSE()),'Item Builder'!$W108))</f>
        <v>0</v>
      </c>
      <c r="EY108" s="95">
        <f>IF(AS108="",10,MIN(VLOOKUP(G108,MATERIAL,13,FALSE()),'Item Builder'!$W108))</f>
        <v>0</v>
      </c>
      <c r="EZ108" s="95">
        <f>IF(AT108="",10,MIN(VLOOKUP(H108,MATERIAL,13,FALSE()),'Item Builder'!$W108))</f>
        <v>0</v>
      </c>
      <c r="FA108" s="95">
        <f>IF(AU108="",10,MIN(VLOOKUP(I108,MATERIAL,13,FALSE()),'Item Builder'!$W108))</f>
        <v>10</v>
      </c>
      <c r="FB108" s="95">
        <f>IF(AV108="",10,MIN(VLOOKUP(J108,MATERIAL,13,FALSE()),'Item Builder'!$W108))</f>
        <v>0</v>
      </c>
      <c r="FC108" s="95">
        <f>IF(AW108="",10,MIN(VLOOKUP(K108,MATERIAL,13,FALSE()),'Item Builder'!$W108))</f>
        <v>0</v>
      </c>
      <c r="FD108" s="95">
        <f>IF(AX108="",10,MIN(VLOOKUP(L108,MATERIAL,13,FALSE()),'Item Builder'!$W108))</f>
        <v>0</v>
      </c>
      <c r="FE108" s="95">
        <f>IF(AY108="",10,MIN(VLOOKUP(M108,MATERIAL,13,FALSE()),'Item Builder'!$W108))</f>
        <v>0</v>
      </c>
      <c r="FF108" s="95">
        <f>IF(AZ108="",10,MIN(VLOOKUP(N108,MATERIAL,13,FALSE()),'Item Builder'!$W108))</f>
        <v>0</v>
      </c>
      <c r="FG108" s="95">
        <f>IF(BA108="",10,MIN(VLOOKUP(O108,MATERIAL,13,FALSE()),'Item Builder'!$W108))</f>
        <v>0</v>
      </c>
      <c r="FH108" s="95">
        <f>IF(BB108="",10,MIN(VLOOKUP(P108,MATERIAL,13,FALSE()),'Item Builder'!$W108))</f>
        <v>10</v>
      </c>
    </row>
    <row r="109" spans="1:164" x14ac:dyDescent="0.25">
      <c r="A109" s="67" t="s">
        <v>249</v>
      </c>
      <c r="B109" s="68"/>
      <c r="C109" s="69"/>
      <c r="D109" s="70"/>
      <c r="E109" s="68"/>
      <c r="F109" s="69"/>
      <c r="G109" s="69"/>
      <c r="H109" s="69"/>
      <c r="I109" s="70"/>
      <c r="J109" s="68"/>
      <c r="K109" s="69"/>
      <c r="L109" s="70" t="s">
        <v>155</v>
      </c>
      <c r="M109" s="68" t="s">
        <v>155</v>
      </c>
      <c r="N109" s="69" t="s">
        <v>155</v>
      </c>
      <c r="O109" s="69"/>
      <c r="P109" s="71"/>
      <c r="Q109" s="72">
        <f>SUM(BV109:CJ109)*VLOOKUP(W109,Tables!$W$3:$Z$8,4)</f>
        <v>21.6</v>
      </c>
      <c r="R109" s="73">
        <f t="shared" si="56"/>
        <v>0.67500000000000004</v>
      </c>
      <c r="S109" s="74">
        <f t="shared" si="57"/>
        <v>0</v>
      </c>
      <c r="T109" s="74">
        <f t="shared" si="58"/>
        <v>0</v>
      </c>
      <c r="U109" s="75">
        <f t="shared" si="59"/>
        <v>5.4</v>
      </c>
      <c r="V109" s="76">
        <f t="shared" si="60"/>
        <v>16.2</v>
      </c>
      <c r="W109" s="77">
        <v>0</v>
      </c>
      <c r="X109" s="78">
        <f t="shared" si="61"/>
        <v>0</v>
      </c>
      <c r="Y109" s="79">
        <f t="shared" si="62"/>
        <v>0</v>
      </c>
      <c r="Z109" s="79">
        <f t="shared" si="63"/>
        <v>0</v>
      </c>
      <c r="AA109" s="78">
        <f t="shared" si="64"/>
        <v>0</v>
      </c>
      <c r="AB109" s="79">
        <f t="shared" si="65"/>
        <v>0</v>
      </c>
      <c r="AC109" s="79">
        <f t="shared" si="66"/>
        <v>0</v>
      </c>
      <c r="AD109" s="79">
        <f t="shared" si="67"/>
        <v>0</v>
      </c>
      <c r="AE109" s="79">
        <f t="shared" si="68"/>
        <v>0</v>
      </c>
      <c r="AF109" s="78">
        <f t="shared" si="69"/>
        <v>0</v>
      </c>
      <c r="AG109" s="79">
        <f t="shared" si="70"/>
        <v>0</v>
      </c>
      <c r="AH109" s="79">
        <f t="shared" si="71"/>
        <v>1</v>
      </c>
      <c r="AI109" s="78">
        <f t="shared" si="72"/>
        <v>1</v>
      </c>
      <c r="AJ109" s="79">
        <f t="shared" si="73"/>
        <v>1</v>
      </c>
      <c r="AK109" s="79">
        <f t="shared" si="74"/>
        <v>0</v>
      </c>
      <c r="AL109" s="80">
        <f t="shared" si="75"/>
        <v>0</v>
      </c>
      <c r="AM109" s="81">
        <f t="shared" si="76"/>
        <v>0.27</v>
      </c>
      <c r="AN109" s="82" t="str">
        <f t="shared" si="77"/>
        <v/>
      </c>
      <c r="AO109" s="79" t="str">
        <f t="shared" si="78"/>
        <v/>
      </c>
      <c r="AP109" t="str">
        <f t="shared" si="79"/>
        <v/>
      </c>
      <c r="AQ109" s="82" t="str">
        <f t="shared" si="80"/>
        <v/>
      </c>
      <c r="AR109" t="str">
        <f t="shared" si="81"/>
        <v/>
      </c>
      <c r="AS109" t="str">
        <f t="shared" si="82"/>
        <v/>
      </c>
      <c r="AT109" t="str">
        <f t="shared" si="83"/>
        <v/>
      </c>
      <c r="AU109" t="str">
        <f t="shared" si="84"/>
        <v/>
      </c>
      <c r="AV109" s="82" t="str">
        <f t="shared" si="85"/>
        <v/>
      </c>
      <c r="AW109" t="str">
        <f t="shared" si="86"/>
        <v/>
      </c>
      <c r="AX109" t="str">
        <f t="shared" si="87"/>
        <v>X</v>
      </c>
      <c r="AY109" s="82" t="str">
        <f t="shared" si="88"/>
        <v>X</v>
      </c>
      <c r="AZ109" t="str">
        <f t="shared" si="89"/>
        <v>X</v>
      </c>
      <c r="BA109" t="str">
        <f t="shared" si="90"/>
        <v/>
      </c>
      <c r="BB109" s="83" t="str">
        <f t="shared" si="91"/>
        <v/>
      </c>
      <c r="BC109" s="84">
        <f t="shared" si="92"/>
        <v>0</v>
      </c>
      <c r="BD109" s="84">
        <f t="shared" si="93"/>
        <v>0</v>
      </c>
      <c r="BE109" s="84">
        <f t="shared" si="94"/>
        <v>0.29411764705882359</v>
      </c>
      <c r="BF109" s="84">
        <f t="shared" si="95"/>
        <v>0.47222222222222221</v>
      </c>
      <c r="BG109" s="78">
        <f>IF(AN109="",0,VLOOKUP(AN109,Tables!$AB$3:$AC$12,2))</f>
        <v>0</v>
      </c>
      <c r="BH109" s="79">
        <f>IF(AO109="",0,VLOOKUP(AO109,Tables!$AB$3:$AC$12,2))</f>
        <v>0</v>
      </c>
      <c r="BI109" s="79">
        <f>IF(AP109="",0,VLOOKUP(AP109,Tables!$AB$3:$AC$12,2))</f>
        <v>0</v>
      </c>
      <c r="BJ109" s="78">
        <f>IF(AQ109="",0,VLOOKUP(AQ109,Tables!$AB$3:$AC$12,2))</f>
        <v>0</v>
      </c>
      <c r="BK109" s="79">
        <f>IF(AR109="",0,VLOOKUP(AR109,Tables!$AB$3:$AC$12,2))</f>
        <v>0</v>
      </c>
      <c r="BL109" s="79">
        <f>IF(AS109="",0,VLOOKUP(AS109,Tables!$AB$3:$AC$12,2))</f>
        <v>0</v>
      </c>
      <c r="BM109" s="79">
        <f>IF(AT109="",0,VLOOKUP(AT109,Tables!$AB$3:$AC$12,2))</f>
        <v>0</v>
      </c>
      <c r="BN109" s="79">
        <f>IF(AU109="",0,VLOOKUP(AU109,Tables!$AB$3:$AC$12,2))</f>
        <v>0</v>
      </c>
      <c r="BO109" s="78">
        <f>IF(AV109="",0,VLOOKUP(AV109,Tables!$AB$3:$AC$12,2))</f>
        <v>0</v>
      </c>
      <c r="BP109" s="79">
        <f>IF(AW109="",0,VLOOKUP(AW109,Tables!$AB$3:$AC$12,2))</f>
        <v>0</v>
      </c>
      <c r="BQ109" s="79">
        <f>IF(AX109="",0,VLOOKUP(AX109,Tables!$AB$3:$AC$12,2))</f>
        <v>1</v>
      </c>
      <c r="BR109" s="78">
        <f>IF(AY109="",0,VLOOKUP(AY109,Tables!$AB$3:$AC$12,2))</f>
        <v>1</v>
      </c>
      <c r="BS109" s="79">
        <f>IF(AZ109="",0,VLOOKUP(AZ109,Tables!$AB$3:$AC$12,2))</f>
        <v>1</v>
      </c>
      <c r="BT109" s="79">
        <f>IF(BA109="",0,VLOOKUP(BA109,Tables!$AB$3:$AC$12,2))</f>
        <v>0</v>
      </c>
      <c r="BU109" s="80">
        <f>IF(BB109="",0,VLOOKUP(BB109,Tables!$AB$3:$AC$12,2))</f>
        <v>0</v>
      </c>
      <c r="BV109" s="85">
        <f>IF(AN109="",0,VLOOKUP(B109,Tables!$B$3:$D$36,2,FALSE())*X$1)</f>
        <v>0</v>
      </c>
      <c r="BW109" s="72">
        <f>IF(AO109="",0,VLOOKUP(C109,Tables!$B$3:$D$36,2,FALSE())*Y$1)</f>
        <v>0</v>
      </c>
      <c r="BX109" s="72">
        <f>IF(AP109="",0,VLOOKUP(D109,Tables!$B$3:$D$36,2,FALSE())*Z$1)</f>
        <v>0</v>
      </c>
      <c r="BY109" s="85">
        <f>IF(AQ109="",0,VLOOKUP(E109,Tables!$B$3:$D$36,2,FALSE())*AA$1)</f>
        <v>0</v>
      </c>
      <c r="BZ109" s="72">
        <f>IF(AR109="",0,VLOOKUP(F109,Tables!$B$3:$D$36,2,FALSE())*AB$1)</f>
        <v>0</v>
      </c>
      <c r="CA109" s="72">
        <f>IF(AS109="",0,VLOOKUP(G109,Tables!$B$3:$D$36,2,FALSE())*AC$1)</f>
        <v>0</v>
      </c>
      <c r="CB109" s="72">
        <f>IF(AT109="",0,VLOOKUP(H109,Tables!$B$3:$D$36,2,FALSE())*AD$1)</f>
        <v>0</v>
      </c>
      <c r="CC109" s="72">
        <f>IF(AU109="",0,VLOOKUP(I109,Tables!$B$3:$D$36,2,FALSE())*AE$1)</f>
        <v>0</v>
      </c>
      <c r="CD109" s="85">
        <f>IF(AV109="",0,VLOOKUP(J109,Tables!$B$3:$D$36,2,FALSE())*AF$1)</f>
        <v>0</v>
      </c>
      <c r="CE109" s="72">
        <f>IF(AW109="",0,VLOOKUP(K109,Tables!$B$3:$D$36,2,FALSE())*AG$1)</f>
        <v>0</v>
      </c>
      <c r="CF109" s="72">
        <f>IF(AX109="",0,VLOOKUP(L109,Tables!$B$3:$D$36,2,FALSE())*AH$1)</f>
        <v>8</v>
      </c>
      <c r="CG109" s="85">
        <f>IF(AY109="",0,VLOOKUP(M109,Tables!$B$3:$D$36,2,FALSE())*AI$1)</f>
        <v>11.200000000000001</v>
      </c>
      <c r="CH109" s="72">
        <f>IF(AZ109="",0,VLOOKUP(N109,Tables!$B$3:$D$36,2,FALSE())*AJ$1)</f>
        <v>2.4</v>
      </c>
      <c r="CI109" s="72">
        <f>IF(BA109="",0,VLOOKUP(O109,Tables!$B$3:$D$36,2,FALSE())*AK$1)</f>
        <v>0</v>
      </c>
      <c r="CJ109" s="86">
        <f>IF(BB109="",0,VLOOKUP(P109,Tables!$B$3:$D$36,2,FALSE())*AL$1)</f>
        <v>0</v>
      </c>
      <c r="CK109" s="87">
        <f>IF(AN109="",0,VLOOKUP(B109,Tables!$B$3:$D$36,3,FALSE())*X$1)*IF(OR(AN109="K",AN109="P"),2,1)</f>
        <v>0</v>
      </c>
      <c r="CL109" s="73">
        <f>IF(AO109="",0,VLOOKUP(C109,Tables!$B$3:$D$36,3,FALSE())*Y$1)*IF(OR(AO109="K",AO109="P"),2,1)</f>
        <v>0</v>
      </c>
      <c r="CM109" s="73">
        <f>IF(AP109="",0,VLOOKUP(D109,Tables!$B$3:$D$36,3,FALSE())*Z$1)*IF(OR(AP109="K",AP109="P"),2,1)</f>
        <v>0</v>
      </c>
      <c r="CN109" s="87">
        <f>IF(AQ109="",0,VLOOKUP(E109,Tables!$B$3:$D$36,3,FALSE())*AA$1)</f>
        <v>0</v>
      </c>
      <c r="CO109" s="73">
        <f>IF(AR109="",0,VLOOKUP(F109,Tables!$B$3:$D$36,3,FALSE())*AB$1)</f>
        <v>0</v>
      </c>
      <c r="CP109" s="73">
        <f>IF(AS109="",0,VLOOKUP(G109,Tables!$B$3:$D$36,3,FALSE())*AC$1)</f>
        <v>0</v>
      </c>
      <c r="CQ109" s="73">
        <f>IF(AT109="",0,VLOOKUP(H109,Tables!$B$3:$D$36,3,FALSE())*AD$1)</f>
        <v>0</v>
      </c>
      <c r="CR109" s="73">
        <f>IF(AU109="",0,VLOOKUP(I109,Tables!$B$3:$D$36,3,FALSE())*AE$1)</f>
        <v>0</v>
      </c>
      <c r="CS109" s="87">
        <f>IF(AV109="",0,VLOOKUP(J109,Tables!$B$3:$D$36,3,FALSE())*AF$1)</f>
        <v>0</v>
      </c>
      <c r="CT109" s="73">
        <f>IF(AW109="",0,VLOOKUP(K109,Tables!$B$3:$D$36,3,FALSE())*AG$1)</f>
        <v>0</v>
      </c>
      <c r="CU109" s="73">
        <f>IF(AX109="",0,VLOOKUP(L109,Tables!$B$3:$D$36,3,FALSE())*AH$1)</f>
        <v>0.25</v>
      </c>
      <c r="CV109" s="87">
        <f>IF(AY109="",0,VLOOKUP(M109,Tables!$B$3:$D$36,3,FALSE())*AI$1)</f>
        <v>0.35000000000000003</v>
      </c>
      <c r="CW109" s="73">
        <f>IF(AZ109="",0,VLOOKUP(N109,Tables!$B$3:$D$36,3,FALSE())*AJ$1)</f>
        <v>7.4999999999999997E-2</v>
      </c>
      <c r="CX109" s="73">
        <f>IF(BA109="",0,VLOOKUP(O109,Tables!$B$3:$D$36,3,FALSE())*AK$1)</f>
        <v>0</v>
      </c>
      <c r="CY109" s="88">
        <f>IF(BB109="",0,VLOOKUP(P109,Tables!$B$3:$D$36,3,FALSE())*AL$1)</f>
        <v>0</v>
      </c>
      <c r="CZ109" s="89">
        <f t="shared" si="96"/>
        <v>0</v>
      </c>
      <c r="DA109" s="75">
        <f t="shared" si="97"/>
        <v>0</v>
      </c>
      <c r="DB109" s="75">
        <f t="shared" si="98"/>
        <v>0</v>
      </c>
      <c r="DC109" s="89">
        <f t="shared" si="99"/>
        <v>0</v>
      </c>
      <c r="DD109" s="75">
        <f t="shared" si="100"/>
        <v>0</v>
      </c>
      <c r="DE109" s="75">
        <f t="shared" si="101"/>
        <v>0</v>
      </c>
      <c r="DF109" s="75">
        <f t="shared" si="102"/>
        <v>0</v>
      </c>
      <c r="DG109" s="75">
        <f t="shared" si="103"/>
        <v>0</v>
      </c>
      <c r="DH109" s="89">
        <f t="shared" si="104"/>
        <v>0</v>
      </c>
      <c r="DI109" s="75">
        <f t="shared" si="105"/>
        <v>0</v>
      </c>
      <c r="DJ109" s="75">
        <f t="shared" si="106"/>
        <v>1</v>
      </c>
      <c r="DK109" s="89">
        <f t="shared" si="107"/>
        <v>1</v>
      </c>
      <c r="DL109" s="75">
        <f t="shared" si="108"/>
        <v>1</v>
      </c>
      <c r="DM109" s="75">
        <f t="shared" si="109"/>
        <v>0</v>
      </c>
      <c r="DN109" s="90">
        <f t="shared" si="110"/>
        <v>0</v>
      </c>
      <c r="DO109" s="91">
        <f>IF(AN109="",0,VLOOKUP(B109,Tables!$B$3:$M$36,11,FALSE())*X$1)</f>
        <v>0</v>
      </c>
      <c r="DP109" s="92">
        <f>IF(AO109="",0,VLOOKUP(C109,Tables!$B$3:$M$36,11,FALSE())*Y$1)</f>
        <v>0</v>
      </c>
      <c r="DQ109" s="92">
        <f>IF(AP109="",0,VLOOKUP(D109,Tables!$B$3:$M$36,11,FALSE())*Z$1)</f>
        <v>0</v>
      </c>
      <c r="DR109" s="91">
        <f>IF(AQ109="",0,VLOOKUP(E109,Tables!$B$3:$M$36,11,FALSE())*AA$1)</f>
        <v>0</v>
      </c>
      <c r="DS109" s="92">
        <f>IF(AR109="",0,VLOOKUP(F109,Tables!$B$3:$M$36,11,FALSE())*AB$1)</f>
        <v>0</v>
      </c>
      <c r="DT109" s="92">
        <f>IF(AS109="",0,VLOOKUP(G109,Tables!$B$3:$M$36,11,FALSE())*AC$1)</f>
        <v>0</v>
      </c>
      <c r="DU109" s="92">
        <f>IF(AT109="",0,VLOOKUP(H109,Tables!$B$3:$M$36,11,FALSE())*AD$1)</f>
        <v>0</v>
      </c>
      <c r="DV109" s="92">
        <f>IF(AU109="",0,VLOOKUP(I109,Tables!$B$3:$M$36,11,FALSE())*AE$1)</f>
        <v>0</v>
      </c>
      <c r="DW109" s="91">
        <f>IF(AV109="",0,VLOOKUP(J109,Tables!$B$3:$M$36,11,FALSE())*AF$1)</f>
        <v>0</v>
      </c>
      <c r="DX109" s="92">
        <f>IF(AW109="",0,VLOOKUP(K109,Tables!$B$3:$M$36,11,FALSE())*AG$1)</f>
        <v>0</v>
      </c>
      <c r="DY109" s="92">
        <f>IF(AX109="",0,VLOOKUP(L109,Tables!$B$3:$M$36,11,FALSE())*AH$1)</f>
        <v>2</v>
      </c>
      <c r="DZ109" s="91">
        <f>IF(AY109="",0,VLOOKUP(M109,Tables!$B$3:$M$36,11,FALSE())*AI$1)</f>
        <v>2.8000000000000003</v>
      </c>
      <c r="EA109" s="92">
        <f>IF(AZ109="",0,VLOOKUP(N109,Tables!$B$3:$M$36,11,FALSE())*AJ$1)</f>
        <v>0.6</v>
      </c>
      <c r="EB109" s="92">
        <f>IF(BA109="",0,VLOOKUP(O109,Tables!$B$3:$M$36,11,FALSE())*AK$1)</f>
        <v>0</v>
      </c>
      <c r="EC109" s="93">
        <f>IF(BB109="",0,VLOOKUP(P109,Tables!$B$3:$M$36,11,FALSE())*AL$1)</f>
        <v>0</v>
      </c>
      <c r="ED109" s="91">
        <f>IF(AN109="",0,VLOOKUP(B109,Tables!$B$3:$M$36,12,FALSE())*X$1)</f>
        <v>0</v>
      </c>
      <c r="EE109" s="92">
        <f>IF(AO109="",0,VLOOKUP(C109,Tables!$B$3:$M$36,12,FALSE())*Y$1)</f>
        <v>0</v>
      </c>
      <c r="EF109" s="92">
        <f>IF(AP109="",0,VLOOKUP(D109,Tables!$B$3:$M$36,12,FALSE())*Z$1)</f>
        <v>0</v>
      </c>
      <c r="EG109" s="91">
        <f>IF(AQ109="",0,VLOOKUP(E109,Tables!$B$3:$M$36,12,FALSE())*AA$1)</f>
        <v>0</v>
      </c>
      <c r="EH109" s="92">
        <f>IF(AR109="",0,VLOOKUP(F109,Tables!$B$3:$M$36,12,FALSE())*AB$1)</f>
        <v>0</v>
      </c>
      <c r="EI109" s="92">
        <f>IF(AS109="",0,VLOOKUP(G109,Tables!$B$3:$M$36,12,FALSE())*AC$1)</f>
        <v>0</v>
      </c>
      <c r="EJ109" s="92">
        <f>IF(AT109="",0,VLOOKUP(H109,Tables!$B$3:$M$36,12,FALSE())*AD$1)</f>
        <v>0</v>
      </c>
      <c r="EK109" s="92">
        <f>IF(AU109="",0,VLOOKUP(I109,Tables!$B$3:$M$36,12,FALSE())*AE$1)</f>
        <v>0</v>
      </c>
      <c r="EL109" s="91">
        <f>IF(AV109="",0,VLOOKUP(J109,Tables!$B$3:$M$36,12,FALSE())*AF$1)</f>
        <v>0</v>
      </c>
      <c r="EM109" s="92">
        <f>IF(AW109="",0,VLOOKUP(K109,Tables!$B$3:$M$36,12,FALSE())*AG$1)</f>
        <v>0</v>
      </c>
      <c r="EN109" s="92">
        <f>IF(AX109="",0,VLOOKUP(L109,Tables!$B$3:$M$36,12,FALSE())*AH$1)</f>
        <v>6</v>
      </c>
      <c r="EO109" s="91">
        <f>IF(AY109="",0,VLOOKUP(M109,Tables!$B$3:$M$36,12,FALSE())*AI$1)</f>
        <v>8.4</v>
      </c>
      <c r="EP109" s="92">
        <f>IF(AZ109="",0,VLOOKUP(N109,Tables!$B$3:$M$36,12,FALSE())*AJ$1)</f>
        <v>1.7999999999999998</v>
      </c>
      <c r="EQ109" s="92">
        <f>IF(BA109="",0,VLOOKUP(O109,Tables!$B$3:$M$36,12,FALSE())*AK$1)</f>
        <v>0</v>
      </c>
      <c r="ER109" s="93">
        <f>IF(BB109="",0,VLOOKUP(P109,Tables!$B$3:$M$36,12,FALSE())*AL$1)</f>
        <v>0</v>
      </c>
      <c r="ES109" s="94">
        <f t="shared" si="111"/>
        <v>0</v>
      </c>
      <c r="ET109" s="95">
        <f>IF(AN109="",10,MIN(VLOOKUP(B109,MATERIAL,13,FALSE()),'Item Builder'!$W109))</f>
        <v>10</v>
      </c>
      <c r="EU109" s="95">
        <f>IF(AO109="",10,MIN(VLOOKUP(C109,MATERIAL,13,FALSE()),'Item Builder'!$W109))</f>
        <v>10</v>
      </c>
      <c r="EV109" s="95">
        <f>IF(AP109="",10,MIN(VLOOKUP(D109,MATERIAL,13,FALSE()),'Item Builder'!$W109))</f>
        <v>10</v>
      </c>
      <c r="EW109" s="95">
        <f>IF(AQ109="",10,MIN(VLOOKUP(E109,MATERIAL,13,FALSE()),'Item Builder'!$W109))</f>
        <v>10</v>
      </c>
      <c r="EX109" s="95">
        <f>IF(AR109="",10,MIN(VLOOKUP(F109,MATERIAL,13,FALSE()),'Item Builder'!$W109))</f>
        <v>10</v>
      </c>
      <c r="EY109" s="95">
        <f>IF(AS109="",10,MIN(VLOOKUP(G109,MATERIAL,13,FALSE()),'Item Builder'!$W109))</f>
        <v>10</v>
      </c>
      <c r="EZ109" s="95">
        <f>IF(AT109="",10,MIN(VLOOKUP(H109,MATERIAL,13,FALSE()),'Item Builder'!$W109))</f>
        <v>10</v>
      </c>
      <c r="FA109" s="95">
        <f>IF(AU109="",10,MIN(VLOOKUP(I109,MATERIAL,13,FALSE()),'Item Builder'!$W109))</f>
        <v>10</v>
      </c>
      <c r="FB109" s="95">
        <f>IF(AV109="",10,MIN(VLOOKUP(J109,MATERIAL,13,FALSE()),'Item Builder'!$W109))</f>
        <v>10</v>
      </c>
      <c r="FC109" s="95">
        <f>IF(AW109="",10,MIN(VLOOKUP(K109,MATERIAL,13,FALSE()),'Item Builder'!$W109))</f>
        <v>10</v>
      </c>
      <c r="FD109" s="95">
        <f>IF(AX109="",10,MIN(VLOOKUP(L109,MATERIAL,13,FALSE()),'Item Builder'!$W109))</f>
        <v>0</v>
      </c>
      <c r="FE109" s="95">
        <f>IF(AY109="",10,MIN(VLOOKUP(M109,MATERIAL,13,FALSE()),'Item Builder'!$W109))</f>
        <v>0</v>
      </c>
      <c r="FF109" s="95">
        <f>IF(AZ109="",10,MIN(VLOOKUP(N109,MATERIAL,13,FALSE()),'Item Builder'!$W109))</f>
        <v>0</v>
      </c>
      <c r="FG109" s="95">
        <f>IF(BA109="",10,MIN(VLOOKUP(O109,MATERIAL,13,FALSE()),'Item Builder'!$W109))</f>
        <v>10</v>
      </c>
      <c r="FH109" s="95">
        <f>IF(BB109="",10,MIN(VLOOKUP(P109,MATERIAL,13,FALSE()),'Item Builder'!$W109))</f>
        <v>10</v>
      </c>
    </row>
    <row r="110" spans="1:164" x14ac:dyDescent="0.25">
      <c r="A110" s="67" t="s">
        <v>250</v>
      </c>
      <c r="B110" s="68"/>
      <c r="C110" s="69"/>
      <c r="D110" s="70"/>
      <c r="E110" s="68"/>
      <c r="F110" s="69"/>
      <c r="G110" s="69"/>
      <c r="H110" s="69"/>
      <c r="I110" s="70"/>
      <c r="J110" s="68"/>
      <c r="K110" s="69"/>
      <c r="L110" s="70" t="s">
        <v>155</v>
      </c>
      <c r="M110" s="68" t="s">
        <v>155</v>
      </c>
      <c r="N110" s="69" t="s">
        <v>155</v>
      </c>
      <c r="O110" s="69" t="s">
        <v>155</v>
      </c>
      <c r="P110" s="71"/>
      <c r="Q110" s="72">
        <f>SUM(BV110:CJ110)*VLOOKUP(W110,Tables!$W$3:$Z$8,4)</f>
        <v>31.200000000000003</v>
      </c>
      <c r="R110" s="73">
        <f t="shared" si="56"/>
        <v>0.97500000000000009</v>
      </c>
      <c r="S110" s="74">
        <f t="shared" si="57"/>
        <v>0</v>
      </c>
      <c r="T110" s="74">
        <f t="shared" si="58"/>
        <v>0</v>
      </c>
      <c r="U110" s="75">
        <f t="shared" si="59"/>
        <v>7.8000000000000007</v>
      </c>
      <c r="V110" s="76">
        <f t="shared" si="60"/>
        <v>23.4</v>
      </c>
      <c r="W110" s="77">
        <v>0</v>
      </c>
      <c r="X110" s="78">
        <f t="shared" si="61"/>
        <v>0</v>
      </c>
      <c r="Y110" s="79">
        <f t="shared" si="62"/>
        <v>0</v>
      </c>
      <c r="Z110" s="79">
        <f t="shared" si="63"/>
        <v>0</v>
      </c>
      <c r="AA110" s="78">
        <f t="shared" si="64"/>
        <v>0</v>
      </c>
      <c r="AB110" s="79">
        <f t="shared" si="65"/>
        <v>0</v>
      </c>
      <c r="AC110" s="79">
        <f t="shared" si="66"/>
        <v>0</v>
      </c>
      <c r="AD110" s="79">
        <f t="shared" si="67"/>
        <v>0</v>
      </c>
      <c r="AE110" s="79">
        <f t="shared" si="68"/>
        <v>0</v>
      </c>
      <c r="AF110" s="78">
        <f t="shared" si="69"/>
        <v>0</v>
      </c>
      <c r="AG110" s="79">
        <f t="shared" si="70"/>
        <v>0</v>
      </c>
      <c r="AH110" s="79">
        <f t="shared" si="71"/>
        <v>1</v>
      </c>
      <c r="AI110" s="78">
        <f t="shared" si="72"/>
        <v>1</v>
      </c>
      <c r="AJ110" s="79">
        <f t="shared" si="73"/>
        <v>1</v>
      </c>
      <c r="AK110" s="79">
        <f t="shared" si="74"/>
        <v>1</v>
      </c>
      <c r="AL110" s="80">
        <f t="shared" si="75"/>
        <v>0</v>
      </c>
      <c r="AM110" s="81">
        <f t="shared" si="76"/>
        <v>0.39</v>
      </c>
      <c r="AN110" s="82" t="str">
        <f t="shared" si="77"/>
        <v/>
      </c>
      <c r="AO110" s="79" t="str">
        <f t="shared" si="78"/>
        <v/>
      </c>
      <c r="AP110" t="str">
        <f t="shared" si="79"/>
        <v/>
      </c>
      <c r="AQ110" s="82" t="str">
        <f t="shared" si="80"/>
        <v/>
      </c>
      <c r="AR110" t="str">
        <f t="shared" si="81"/>
        <v/>
      </c>
      <c r="AS110" t="str">
        <f t="shared" si="82"/>
        <v/>
      </c>
      <c r="AT110" t="str">
        <f t="shared" si="83"/>
        <v/>
      </c>
      <c r="AU110" t="str">
        <f t="shared" si="84"/>
        <v/>
      </c>
      <c r="AV110" s="82" t="str">
        <f t="shared" si="85"/>
        <v/>
      </c>
      <c r="AW110" t="str">
        <f t="shared" si="86"/>
        <v/>
      </c>
      <c r="AX110" t="str">
        <f t="shared" si="87"/>
        <v>X</v>
      </c>
      <c r="AY110" s="82" t="str">
        <f t="shared" si="88"/>
        <v>X</v>
      </c>
      <c r="AZ110" t="str">
        <f t="shared" si="89"/>
        <v>X</v>
      </c>
      <c r="BA110" t="str">
        <f t="shared" si="90"/>
        <v>X</v>
      </c>
      <c r="BB110" s="83" t="str">
        <f t="shared" si="91"/>
        <v/>
      </c>
      <c r="BC110" s="84">
        <f t="shared" si="92"/>
        <v>0</v>
      </c>
      <c r="BD110" s="84">
        <f t="shared" si="93"/>
        <v>0</v>
      </c>
      <c r="BE110" s="84">
        <f t="shared" si="94"/>
        <v>0.29411764705882359</v>
      </c>
      <c r="BF110" s="84">
        <f t="shared" si="95"/>
        <v>0.80555555555555558</v>
      </c>
      <c r="BG110" s="78">
        <f>IF(AN110="",0,VLOOKUP(AN110,Tables!$AB$3:$AC$12,2))</f>
        <v>0</v>
      </c>
      <c r="BH110" s="79">
        <f>IF(AO110="",0,VLOOKUP(AO110,Tables!$AB$3:$AC$12,2))</f>
        <v>0</v>
      </c>
      <c r="BI110" s="79">
        <f>IF(AP110="",0,VLOOKUP(AP110,Tables!$AB$3:$AC$12,2))</f>
        <v>0</v>
      </c>
      <c r="BJ110" s="78">
        <f>IF(AQ110="",0,VLOOKUP(AQ110,Tables!$AB$3:$AC$12,2))</f>
        <v>0</v>
      </c>
      <c r="BK110" s="79">
        <f>IF(AR110="",0,VLOOKUP(AR110,Tables!$AB$3:$AC$12,2))</f>
        <v>0</v>
      </c>
      <c r="BL110" s="79">
        <f>IF(AS110="",0,VLOOKUP(AS110,Tables!$AB$3:$AC$12,2))</f>
        <v>0</v>
      </c>
      <c r="BM110" s="79">
        <f>IF(AT110="",0,VLOOKUP(AT110,Tables!$AB$3:$AC$12,2))</f>
        <v>0</v>
      </c>
      <c r="BN110" s="79">
        <f>IF(AU110="",0,VLOOKUP(AU110,Tables!$AB$3:$AC$12,2))</f>
        <v>0</v>
      </c>
      <c r="BO110" s="78">
        <f>IF(AV110="",0,VLOOKUP(AV110,Tables!$AB$3:$AC$12,2))</f>
        <v>0</v>
      </c>
      <c r="BP110" s="79">
        <f>IF(AW110="",0,VLOOKUP(AW110,Tables!$AB$3:$AC$12,2))</f>
        <v>0</v>
      </c>
      <c r="BQ110" s="79">
        <f>IF(AX110="",0,VLOOKUP(AX110,Tables!$AB$3:$AC$12,2))</f>
        <v>1</v>
      </c>
      <c r="BR110" s="78">
        <f>IF(AY110="",0,VLOOKUP(AY110,Tables!$AB$3:$AC$12,2))</f>
        <v>1</v>
      </c>
      <c r="BS110" s="79">
        <f>IF(AZ110="",0,VLOOKUP(AZ110,Tables!$AB$3:$AC$12,2))</f>
        <v>1</v>
      </c>
      <c r="BT110" s="79">
        <f>IF(BA110="",0,VLOOKUP(BA110,Tables!$AB$3:$AC$12,2))</f>
        <v>1</v>
      </c>
      <c r="BU110" s="80">
        <f>IF(BB110="",0,VLOOKUP(BB110,Tables!$AB$3:$AC$12,2))</f>
        <v>0</v>
      </c>
      <c r="BV110" s="85">
        <f>IF(AN110="",0,VLOOKUP(B110,Tables!$B$3:$D$36,2,FALSE())*X$1)</f>
        <v>0</v>
      </c>
      <c r="BW110" s="72">
        <f>IF(AO110="",0,VLOOKUP(C110,Tables!$B$3:$D$36,2,FALSE())*Y$1)</f>
        <v>0</v>
      </c>
      <c r="BX110" s="72">
        <f>IF(AP110="",0,VLOOKUP(D110,Tables!$B$3:$D$36,2,FALSE())*Z$1)</f>
        <v>0</v>
      </c>
      <c r="BY110" s="85">
        <f>IF(AQ110="",0,VLOOKUP(E110,Tables!$B$3:$D$36,2,FALSE())*AA$1)</f>
        <v>0</v>
      </c>
      <c r="BZ110" s="72">
        <f>IF(AR110="",0,VLOOKUP(F110,Tables!$B$3:$D$36,2,FALSE())*AB$1)</f>
        <v>0</v>
      </c>
      <c r="CA110" s="72">
        <f>IF(AS110="",0,VLOOKUP(G110,Tables!$B$3:$D$36,2,FALSE())*AC$1)</f>
        <v>0</v>
      </c>
      <c r="CB110" s="72">
        <f>IF(AT110="",0,VLOOKUP(H110,Tables!$B$3:$D$36,2,FALSE())*AD$1)</f>
        <v>0</v>
      </c>
      <c r="CC110" s="72">
        <f>IF(AU110="",0,VLOOKUP(I110,Tables!$B$3:$D$36,2,FALSE())*AE$1)</f>
        <v>0</v>
      </c>
      <c r="CD110" s="85">
        <f>IF(AV110="",0,VLOOKUP(J110,Tables!$B$3:$D$36,2,FALSE())*AF$1)</f>
        <v>0</v>
      </c>
      <c r="CE110" s="72">
        <f>IF(AW110="",0,VLOOKUP(K110,Tables!$B$3:$D$36,2,FALSE())*AG$1)</f>
        <v>0</v>
      </c>
      <c r="CF110" s="72">
        <f>IF(AX110="",0,VLOOKUP(L110,Tables!$B$3:$D$36,2,FALSE())*AH$1)</f>
        <v>8</v>
      </c>
      <c r="CG110" s="85">
        <f>IF(AY110="",0,VLOOKUP(M110,Tables!$B$3:$D$36,2,FALSE())*AI$1)</f>
        <v>11.200000000000001</v>
      </c>
      <c r="CH110" s="72">
        <f>IF(AZ110="",0,VLOOKUP(N110,Tables!$B$3:$D$36,2,FALSE())*AJ$1)</f>
        <v>2.4</v>
      </c>
      <c r="CI110" s="72">
        <f>IF(BA110="",0,VLOOKUP(O110,Tables!$B$3:$D$36,2,FALSE())*AK$1)</f>
        <v>9.6</v>
      </c>
      <c r="CJ110" s="86">
        <f>IF(BB110="",0,VLOOKUP(P110,Tables!$B$3:$D$36,2,FALSE())*AL$1)</f>
        <v>0</v>
      </c>
      <c r="CK110" s="87">
        <f>IF(AN110="",0,VLOOKUP(B110,Tables!$B$3:$D$36,3,FALSE())*X$1)*IF(OR(AN110="K",AN110="P"),2,1)</f>
        <v>0</v>
      </c>
      <c r="CL110" s="73">
        <f>IF(AO110="",0,VLOOKUP(C110,Tables!$B$3:$D$36,3,FALSE())*Y$1)*IF(OR(AO110="K",AO110="P"),2,1)</f>
        <v>0</v>
      </c>
      <c r="CM110" s="73">
        <f>IF(AP110="",0,VLOOKUP(D110,Tables!$B$3:$D$36,3,FALSE())*Z$1)*IF(OR(AP110="K",AP110="P"),2,1)</f>
        <v>0</v>
      </c>
      <c r="CN110" s="87">
        <f>IF(AQ110="",0,VLOOKUP(E110,Tables!$B$3:$D$36,3,FALSE())*AA$1)</f>
        <v>0</v>
      </c>
      <c r="CO110" s="73">
        <f>IF(AR110="",0,VLOOKUP(F110,Tables!$B$3:$D$36,3,FALSE())*AB$1)</f>
        <v>0</v>
      </c>
      <c r="CP110" s="73">
        <f>IF(AS110="",0,VLOOKUP(G110,Tables!$B$3:$D$36,3,FALSE())*AC$1)</f>
        <v>0</v>
      </c>
      <c r="CQ110" s="73">
        <f>IF(AT110="",0,VLOOKUP(H110,Tables!$B$3:$D$36,3,FALSE())*AD$1)</f>
        <v>0</v>
      </c>
      <c r="CR110" s="73">
        <f>IF(AU110="",0,VLOOKUP(I110,Tables!$B$3:$D$36,3,FALSE())*AE$1)</f>
        <v>0</v>
      </c>
      <c r="CS110" s="87">
        <f>IF(AV110="",0,VLOOKUP(J110,Tables!$B$3:$D$36,3,FALSE())*AF$1)</f>
        <v>0</v>
      </c>
      <c r="CT110" s="73">
        <f>IF(AW110="",0,VLOOKUP(K110,Tables!$B$3:$D$36,3,FALSE())*AG$1)</f>
        <v>0</v>
      </c>
      <c r="CU110" s="73">
        <f>IF(AX110="",0,VLOOKUP(L110,Tables!$B$3:$D$36,3,FALSE())*AH$1)</f>
        <v>0.25</v>
      </c>
      <c r="CV110" s="87">
        <f>IF(AY110="",0,VLOOKUP(M110,Tables!$B$3:$D$36,3,FALSE())*AI$1)</f>
        <v>0.35000000000000003</v>
      </c>
      <c r="CW110" s="73">
        <f>IF(AZ110="",0,VLOOKUP(N110,Tables!$B$3:$D$36,3,FALSE())*AJ$1)</f>
        <v>7.4999999999999997E-2</v>
      </c>
      <c r="CX110" s="73">
        <f>IF(BA110="",0,VLOOKUP(O110,Tables!$B$3:$D$36,3,FALSE())*AK$1)</f>
        <v>0.3</v>
      </c>
      <c r="CY110" s="88">
        <f>IF(BB110="",0,VLOOKUP(P110,Tables!$B$3:$D$36,3,FALSE())*AL$1)</f>
        <v>0</v>
      </c>
      <c r="CZ110" s="89">
        <f t="shared" si="96"/>
        <v>0</v>
      </c>
      <c r="DA110" s="75">
        <f t="shared" si="97"/>
        <v>0</v>
      </c>
      <c r="DB110" s="75">
        <f t="shared" si="98"/>
        <v>0</v>
      </c>
      <c r="DC110" s="89">
        <f t="shared" si="99"/>
        <v>0</v>
      </c>
      <c r="DD110" s="75">
        <f t="shared" si="100"/>
        <v>0</v>
      </c>
      <c r="DE110" s="75">
        <f t="shared" si="101"/>
        <v>0</v>
      </c>
      <c r="DF110" s="75">
        <f t="shared" si="102"/>
        <v>0</v>
      </c>
      <c r="DG110" s="75">
        <f t="shared" si="103"/>
        <v>0</v>
      </c>
      <c r="DH110" s="89">
        <f t="shared" si="104"/>
        <v>0</v>
      </c>
      <c r="DI110" s="75">
        <f t="shared" si="105"/>
        <v>0</v>
      </c>
      <c r="DJ110" s="75">
        <f t="shared" si="106"/>
        <v>1</v>
      </c>
      <c r="DK110" s="89">
        <f t="shared" si="107"/>
        <v>1</v>
      </c>
      <c r="DL110" s="75">
        <f t="shared" si="108"/>
        <v>1</v>
      </c>
      <c r="DM110" s="75">
        <f t="shared" si="109"/>
        <v>1</v>
      </c>
      <c r="DN110" s="90">
        <f t="shared" si="110"/>
        <v>0</v>
      </c>
      <c r="DO110" s="91">
        <f>IF(AN110="",0,VLOOKUP(B110,Tables!$B$3:$M$36,11,FALSE())*X$1)</f>
        <v>0</v>
      </c>
      <c r="DP110" s="92">
        <f>IF(AO110="",0,VLOOKUP(C110,Tables!$B$3:$M$36,11,FALSE())*Y$1)</f>
        <v>0</v>
      </c>
      <c r="DQ110" s="92">
        <f>IF(AP110="",0,VLOOKUP(D110,Tables!$B$3:$M$36,11,FALSE())*Z$1)</f>
        <v>0</v>
      </c>
      <c r="DR110" s="91">
        <f>IF(AQ110="",0,VLOOKUP(E110,Tables!$B$3:$M$36,11,FALSE())*AA$1)</f>
        <v>0</v>
      </c>
      <c r="DS110" s="92">
        <f>IF(AR110="",0,VLOOKUP(F110,Tables!$B$3:$M$36,11,FALSE())*AB$1)</f>
        <v>0</v>
      </c>
      <c r="DT110" s="92">
        <f>IF(AS110="",0,VLOOKUP(G110,Tables!$B$3:$M$36,11,FALSE())*AC$1)</f>
        <v>0</v>
      </c>
      <c r="DU110" s="92">
        <f>IF(AT110="",0,VLOOKUP(H110,Tables!$B$3:$M$36,11,FALSE())*AD$1)</f>
        <v>0</v>
      </c>
      <c r="DV110" s="92">
        <f>IF(AU110="",0,VLOOKUP(I110,Tables!$B$3:$M$36,11,FALSE())*AE$1)</f>
        <v>0</v>
      </c>
      <c r="DW110" s="91">
        <f>IF(AV110="",0,VLOOKUP(J110,Tables!$B$3:$M$36,11,FALSE())*AF$1)</f>
        <v>0</v>
      </c>
      <c r="DX110" s="92">
        <f>IF(AW110="",0,VLOOKUP(K110,Tables!$B$3:$M$36,11,FALSE())*AG$1)</f>
        <v>0</v>
      </c>
      <c r="DY110" s="92">
        <f>IF(AX110="",0,VLOOKUP(L110,Tables!$B$3:$M$36,11,FALSE())*AH$1)</f>
        <v>2</v>
      </c>
      <c r="DZ110" s="91">
        <f>IF(AY110="",0,VLOOKUP(M110,Tables!$B$3:$M$36,11,FALSE())*AI$1)</f>
        <v>2.8000000000000003</v>
      </c>
      <c r="EA110" s="92">
        <f>IF(AZ110="",0,VLOOKUP(N110,Tables!$B$3:$M$36,11,FALSE())*AJ$1)</f>
        <v>0.6</v>
      </c>
      <c r="EB110" s="92">
        <f>IF(BA110="",0,VLOOKUP(O110,Tables!$B$3:$M$36,11,FALSE())*AK$1)</f>
        <v>2.4</v>
      </c>
      <c r="EC110" s="93">
        <f>IF(BB110="",0,VLOOKUP(P110,Tables!$B$3:$M$36,11,FALSE())*AL$1)</f>
        <v>0</v>
      </c>
      <c r="ED110" s="91">
        <f>IF(AN110="",0,VLOOKUP(B110,Tables!$B$3:$M$36,12,FALSE())*X$1)</f>
        <v>0</v>
      </c>
      <c r="EE110" s="92">
        <f>IF(AO110="",0,VLOOKUP(C110,Tables!$B$3:$M$36,12,FALSE())*Y$1)</f>
        <v>0</v>
      </c>
      <c r="EF110" s="92">
        <f>IF(AP110="",0,VLOOKUP(D110,Tables!$B$3:$M$36,12,FALSE())*Z$1)</f>
        <v>0</v>
      </c>
      <c r="EG110" s="91">
        <f>IF(AQ110="",0,VLOOKUP(E110,Tables!$B$3:$M$36,12,FALSE())*AA$1)</f>
        <v>0</v>
      </c>
      <c r="EH110" s="92">
        <f>IF(AR110="",0,VLOOKUP(F110,Tables!$B$3:$M$36,12,FALSE())*AB$1)</f>
        <v>0</v>
      </c>
      <c r="EI110" s="92">
        <f>IF(AS110="",0,VLOOKUP(G110,Tables!$B$3:$M$36,12,FALSE())*AC$1)</f>
        <v>0</v>
      </c>
      <c r="EJ110" s="92">
        <f>IF(AT110="",0,VLOOKUP(H110,Tables!$B$3:$M$36,12,FALSE())*AD$1)</f>
        <v>0</v>
      </c>
      <c r="EK110" s="92">
        <f>IF(AU110="",0,VLOOKUP(I110,Tables!$B$3:$M$36,12,FALSE())*AE$1)</f>
        <v>0</v>
      </c>
      <c r="EL110" s="91">
        <f>IF(AV110="",0,VLOOKUP(J110,Tables!$B$3:$M$36,12,FALSE())*AF$1)</f>
        <v>0</v>
      </c>
      <c r="EM110" s="92">
        <f>IF(AW110="",0,VLOOKUP(K110,Tables!$B$3:$M$36,12,FALSE())*AG$1)</f>
        <v>0</v>
      </c>
      <c r="EN110" s="92">
        <f>IF(AX110="",0,VLOOKUP(L110,Tables!$B$3:$M$36,12,FALSE())*AH$1)</f>
        <v>6</v>
      </c>
      <c r="EO110" s="91">
        <f>IF(AY110="",0,VLOOKUP(M110,Tables!$B$3:$M$36,12,FALSE())*AI$1)</f>
        <v>8.4</v>
      </c>
      <c r="EP110" s="92">
        <f>IF(AZ110="",0,VLOOKUP(N110,Tables!$B$3:$M$36,12,FALSE())*AJ$1)</f>
        <v>1.7999999999999998</v>
      </c>
      <c r="EQ110" s="92">
        <f>IF(BA110="",0,VLOOKUP(O110,Tables!$B$3:$M$36,12,FALSE())*AK$1)</f>
        <v>7.1999999999999993</v>
      </c>
      <c r="ER110" s="93">
        <f>IF(BB110="",0,VLOOKUP(P110,Tables!$B$3:$M$36,12,FALSE())*AL$1)</f>
        <v>0</v>
      </c>
      <c r="ES110" s="94">
        <f t="shared" si="111"/>
        <v>0</v>
      </c>
      <c r="ET110" s="95">
        <f>IF(AN110="",10,MIN(VLOOKUP(B110,MATERIAL,13,FALSE()),'Item Builder'!$W110))</f>
        <v>10</v>
      </c>
      <c r="EU110" s="95">
        <f>IF(AO110="",10,MIN(VLOOKUP(C110,MATERIAL,13,FALSE()),'Item Builder'!$W110))</f>
        <v>10</v>
      </c>
      <c r="EV110" s="95">
        <f>IF(AP110="",10,MIN(VLOOKUP(D110,MATERIAL,13,FALSE()),'Item Builder'!$W110))</f>
        <v>10</v>
      </c>
      <c r="EW110" s="95">
        <f>IF(AQ110="",10,MIN(VLOOKUP(E110,MATERIAL,13,FALSE()),'Item Builder'!$W110))</f>
        <v>10</v>
      </c>
      <c r="EX110" s="95">
        <f>IF(AR110="",10,MIN(VLOOKUP(F110,MATERIAL,13,FALSE()),'Item Builder'!$W110))</f>
        <v>10</v>
      </c>
      <c r="EY110" s="95">
        <f>IF(AS110="",10,MIN(VLOOKUP(G110,MATERIAL,13,FALSE()),'Item Builder'!$W110))</f>
        <v>10</v>
      </c>
      <c r="EZ110" s="95">
        <f>IF(AT110="",10,MIN(VLOOKUP(H110,MATERIAL,13,FALSE()),'Item Builder'!$W110))</f>
        <v>10</v>
      </c>
      <c r="FA110" s="95">
        <f>IF(AU110="",10,MIN(VLOOKUP(I110,MATERIAL,13,FALSE()),'Item Builder'!$W110))</f>
        <v>10</v>
      </c>
      <c r="FB110" s="95">
        <f>IF(AV110="",10,MIN(VLOOKUP(J110,MATERIAL,13,FALSE()),'Item Builder'!$W110))</f>
        <v>10</v>
      </c>
      <c r="FC110" s="95">
        <f>IF(AW110="",10,MIN(VLOOKUP(K110,MATERIAL,13,FALSE()),'Item Builder'!$W110))</f>
        <v>10</v>
      </c>
      <c r="FD110" s="95">
        <f>IF(AX110="",10,MIN(VLOOKUP(L110,MATERIAL,13,FALSE()),'Item Builder'!$W110))</f>
        <v>0</v>
      </c>
      <c r="FE110" s="95">
        <f>IF(AY110="",10,MIN(VLOOKUP(M110,MATERIAL,13,FALSE()),'Item Builder'!$W110))</f>
        <v>0</v>
      </c>
      <c r="FF110" s="95">
        <f>IF(AZ110="",10,MIN(VLOOKUP(N110,MATERIAL,13,FALSE()),'Item Builder'!$W110))</f>
        <v>0</v>
      </c>
      <c r="FG110" s="95">
        <f>IF(BA110="",10,MIN(VLOOKUP(O110,MATERIAL,13,FALSE()),'Item Builder'!$W110))</f>
        <v>0</v>
      </c>
      <c r="FH110" s="95">
        <f>IF(BB110="",10,MIN(VLOOKUP(P110,MATERIAL,13,FALSE()),'Item Builder'!$W110))</f>
        <v>10</v>
      </c>
    </row>
    <row r="111" spans="1:164" x14ac:dyDescent="0.25">
      <c r="A111" s="67" t="s">
        <v>251</v>
      </c>
      <c r="B111" s="68"/>
      <c r="C111" s="69"/>
      <c r="D111" s="70"/>
      <c r="E111" s="68"/>
      <c r="F111" s="69"/>
      <c r="G111" s="69"/>
      <c r="H111" s="69"/>
      <c r="I111" s="70"/>
      <c r="J111" s="68"/>
      <c r="K111" s="69"/>
      <c r="L111" s="70"/>
      <c r="M111" s="68" t="s">
        <v>155</v>
      </c>
      <c r="N111" s="69" t="s">
        <v>155</v>
      </c>
      <c r="O111" s="69" t="s">
        <v>155</v>
      </c>
      <c r="P111" s="71" t="s">
        <v>155</v>
      </c>
      <c r="Q111" s="72">
        <f>SUM(BV111:CJ111)*VLOOKUP(W111,Tables!$W$3:$Z$8,4)</f>
        <v>28.800000000000004</v>
      </c>
      <c r="R111" s="73">
        <f t="shared" si="56"/>
        <v>0.90000000000000013</v>
      </c>
      <c r="S111" s="74">
        <f t="shared" si="57"/>
        <v>0</v>
      </c>
      <c r="T111" s="74">
        <f t="shared" si="58"/>
        <v>0</v>
      </c>
      <c r="U111" s="75">
        <f t="shared" si="59"/>
        <v>7.2000000000000011</v>
      </c>
      <c r="V111" s="76">
        <f t="shared" si="60"/>
        <v>21.599999999999998</v>
      </c>
      <c r="W111" s="77">
        <v>0</v>
      </c>
      <c r="X111" s="78">
        <f t="shared" si="61"/>
        <v>0</v>
      </c>
      <c r="Y111" s="79">
        <f t="shared" si="62"/>
        <v>0</v>
      </c>
      <c r="Z111" s="79">
        <f t="shared" si="63"/>
        <v>0</v>
      </c>
      <c r="AA111" s="78">
        <f t="shared" si="64"/>
        <v>0</v>
      </c>
      <c r="AB111" s="79">
        <f t="shared" si="65"/>
        <v>0</v>
      </c>
      <c r="AC111" s="79">
        <f t="shared" si="66"/>
        <v>0</v>
      </c>
      <c r="AD111" s="79">
        <f t="shared" si="67"/>
        <v>0</v>
      </c>
      <c r="AE111" s="79">
        <f t="shared" si="68"/>
        <v>0</v>
      </c>
      <c r="AF111" s="78">
        <f t="shared" si="69"/>
        <v>0</v>
      </c>
      <c r="AG111" s="79">
        <f t="shared" si="70"/>
        <v>0</v>
      </c>
      <c r="AH111" s="79">
        <f t="shared" si="71"/>
        <v>0</v>
      </c>
      <c r="AI111" s="78">
        <f t="shared" si="72"/>
        <v>1</v>
      </c>
      <c r="AJ111" s="79">
        <f t="shared" si="73"/>
        <v>1</v>
      </c>
      <c r="AK111" s="79">
        <f t="shared" si="74"/>
        <v>1</v>
      </c>
      <c r="AL111" s="80">
        <f t="shared" si="75"/>
        <v>1</v>
      </c>
      <c r="AM111" s="81">
        <f t="shared" si="76"/>
        <v>0.36000000000000004</v>
      </c>
      <c r="AN111" s="82" t="str">
        <f t="shared" si="77"/>
        <v/>
      </c>
      <c r="AO111" s="79" t="str">
        <f t="shared" si="78"/>
        <v/>
      </c>
      <c r="AP111" t="str">
        <f t="shared" si="79"/>
        <v/>
      </c>
      <c r="AQ111" s="82" t="str">
        <f t="shared" si="80"/>
        <v/>
      </c>
      <c r="AR111" t="str">
        <f t="shared" si="81"/>
        <v/>
      </c>
      <c r="AS111" t="str">
        <f t="shared" si="82"/>
        <v/>
      </c>
      <c r="AT111" t="str">
        <f t="shared" si="83"/>
        <v/>
      </c>
      <c r="AU111" t="str">
        <f t="shared" si="84"/>
        <v/>
      </c>
      <c r="AV111" s="82" t="str">
        <f t="shared" si="85"/>
        <v/>
      </c>
      <c r="AW111" t="str">
        <f t="shared" si="86"/>
        <v/>
      </c>
      <c r="AX111" t="str">
        <f t="shared" si="87"/>
        <v/>
      </c>
      <c r="AY111" s="82" t="str">
        <f t="shared" si="88"/>
        <v>X</v>
      </c>
      <c r="AZ111" t="str">
        <f t="shared" si="89"/>
        <v>X</v>
      </c>
      <c r="BA111" t="str">
        <f t="shared" si="90"/>
        <v>X</v>
      </c>
      <c r="BB111" s="83" t="str">
        <f t="shared" si="91"/>
        <v>X</v>
      </c>
      <c r="BC111" s="84">
        <f t="shared" si="92"/>
        <v>0</v>
      </c>
      <c r="BD111" s="84">
        <f t="shared" si="93"/>
        <v>0</v>
      </c>
      <c r="BE111" s="84">
        <f t="shared" si="94"/>
        <v>0</v>
      </c>
      <c r="BF111" s="84">
        <f t="shared" si="95"/>
        <v>1</v>
      </c>
      <c r="BG111" s="78">
        <f>IF(AN111="",0,VLOOKUP(AN111,Tables!$AB$3:$AC$12,2))</f>
        <v>0</v>
      </c>
      <c r="BH111" s="79">
        <f>IF(AO111="",0,VLOOKUP(AO111,Tables!$AB$3:$AC$12,2))</f>
        <v>0</v>
      </c>
      <c r="BI111" s="79">
        <f>IF(AP111="",0,VLOOKUP(AP111,Tables!$AB$3:$AC$12,2))</f>
        <v>0</v>
      </c>
      <c r="BJ111" s="78">
        <f>IF(AQ111="",0,VLOOKUP(AQ111,Tables!$AB$3:$AC$12,2))</f>
        <v>0</v>
      </c>
      <c r="BK111" s="79">
        <f>IF(AR111="",0,VLOOKUP(AR111,Tables!$AB$3:$AC$12,2))</f>
        <v>0</v>
      </c>
      <c r="BL111" s="79">
        <f>IF(AS111="",0,VLOOKUP(AS111,Tables!$AB$3:$AC$12,2))</f>
        <v>0</v>
      </c>
      <c r="BM111" s="79">
        <f>IF(AT111="",0,VLOOKUP(AT111,Tables!$AB$3:$AC$12,2))</f>
        <v>0</v>
      </c>
      <c r="BN111" s="79">
        <f>IF(AU111="",0,VLOOKUP(AU111,Tables!$AB$3:$AC$12,2))</f>
        <v>0</v>
      </c>
      <c r="BO111" s="78">
        <f>IF(AV111="",0,VLOOKUP(AV111,Tables!$AB$3:$AC$12,2))</f>
        <v>0</v>
      </c>
      <c r="BP111" s="79">
        <f>IF(AW111="",0,VLOOKUP(AW111,Tables!$AB$3:$AC$12,2))</f>
        <v>0</v>
      </c>
      <c r="BQ111" s="79">
        <f>IF(AX111="",0,VLOOKUP(AX111,Tables!$AB$3:$AC$12,2))</f>
        <v>0</v>
      </c>
      <c r="BR111" s="78">
        <f>IF(AY111="",0,VLOOKUP(AY111,Tables!$AB$3:$AC$12,2))</f>
        <v>1</v>
      </c>
      <c r="BS111" s="79">
        <f>IF(AZ111="",0,VLOOKUP(AZ111,Tables!$AB$3:$AC$12,2))</f>
        <v>1</v>
      </c>
      <c r="BT111" s="79">
        <f>IF(BA111="",0,VLOOKUP(BA111,Tables!$AB$3:$AC$12,2))</f>
        <v>1</v>
      </c>
      <c r="BU111" s="80">
        <f>IF(BB111="",0,VLOOKUP(BB111,Tables!$AB$3:$AC$12,2))</f>
        <v>1</v>
      </c>
      <c r="BV111" s="85">
        <f>IF(AN111="",0,VLOOKUP(B111,Tables!$B$3:$D$36,2,FALSE())*X$1)</f>
        <v>0</v>
      </c>
      <c r="BW111" s="72">
        <f>IF(AO111="",0,VLOOKUP(C111,Tables!$B$3:$D$36,2,FALSE())*Y$1)</f>
        <v>0</v>
      </c>
      <c r="BX111" s="72">
        <f>IF(AP111="",0,VLOOKUP(D111,Tables!$B$3:$D$36,2,FALSE())*Z$1)</f>
        <v>0</v>
      </c>
      <c r="BY111" s="85">
        <f>IF(AQ111="",0,VLOOKUP(E111,Tables!$B$3:$D$36,2,FALSE())*AA$1)</f>
        <v>0</v>
      </c>
      <c r="BZ111" s="72">
        <f>IF(AR111="",0,VLOOKUP(F111,Tables!$B$3:$D$36,2,FALSE())*AB$1)</f>
        <v>0</v>
      </c>
      <c r="CA111" s="72">
        <f>IF(AS111="",0,VLOOKUP(G111,Tables!$B$3:$D$36,2,FALSE())*AC$1)</f>
        <v>0</v>
      </c>
      <c r="CB111" s="72">
        <f>IF(AT111="",0,VLOOKUP(H111,Tables!$B$3:$D$36,2,FALSE())*AD$1)</f>
        <v>0</v>
      </c>
      <c r="CC111" s="72">
        <f>IF(AU111="",0,VLOOKUP(I111,Tables!$B$3:$D$36,2,FALSE())*AE$1)</f>
        <v>0</v>
      </c>
      <c r="CD111" s="85">
        <f>IF(AV111="",0,VLOOKUP(J111,Tables!$B$3:$D$36,2,FALSE())*AF$1)</f>
        <v>0</v>
      </c>
      <c r="CE111" s="72">
        <f>IF(AW111="",0,VLOOKUP(K111,Tables!$B$3:$D$36,2,FALSE())*AG$1)</f>
        <v>0</v>
      </c>
      <c r="CF111" s="72">
        <f>IF(AX111="",0,VLOOKUP(L111,Tables!$B$3:$D$36,2,FALSE())*AH$1)</f>
        <v>0</v>
      </c>
      <c r="CG111" s="85">
        <f>IF(AY111="",0,VLOOKUP(M111,Tables!$B$3:$D$36,2,FALSE())*AI$1)</f>
        <v>11.200000000000001</v>
      </c>
      <c r="CH111" s="72">
        <f>IF(AZ111="",0,VLOOKUP(N111,Tables!$B$3:$D$36,2,FALSE())*AJ$1)</f>
        <v>2.4</v>
      </c>
      <c r="CI111" s="72">
        <f>IF(BA111="",0,VLOOKUP(O111,Tables!$B$3:$D$36,2,FALSE())*AK$1)</f>
        <v>9.6</v>
      </c>
      <c r="CJ111" s="86">
        <f>IF(BB111="",0,VLOOKUP(P111,Tables!$B$3:$D$36,2,FALSE())*AL$1)</f>
        <v>5.6000000000000005</v>
      </c>
      <c r="CK111" s="87">
        <f>IF(AN111="",0,VLOOKUP(B111,Tables!$B$3:$D$36,3,FALSE())*X$1)*IF(OR(AN111="K",AN111="P"),2,1)</f>
        <v>0</v>
      </c>
      <c r="CL111" s="73">
        <f>IF(AO111="",0,VLOOKUP(C111,Tables!$B$3:$D$36,3,FALSE())*Y$1)*IF(OR(AO111="K",AO111="P"),2,1)</f>
        <v>0</v>
      </c>
      <c r="CM111" s="73">
        <f>IF(AP111="",0,VLOOKUP(D111,Tables!$B$3:$D$36,3,FALSE())*Z$1)*IF(OR(AP111="K",AP111="P"),2,1)</f>
        <v>0</v>
      </c>
      <c r="CN111" s="87">
        <f>IF(AQ111="",0,VLOOKUP(E111,Tables!$B$3:$D$36,3,FALSE())*AA$1)</f>
        <v>0</v>
      </c>
      <c r="CO111" s="73">
        <f>IF(AR111="",0,VLOOKUP(F111,Tables!$B$3:$D$36,3,FALSE())*AB$1)</f>
        <v>0</v>
      </c>
      <c r="CP111" s="73">
        <f>IF(AS111="",0,VLOOKUP(G111,Tables!$B$3:$D$36,3,FALSE())*AC$1)</f>
        <v>0</v>
      </c>
      <c r="CQ111" s="73">
        <f>IF(AT111="",0,VLOOKUP(H111,Tables!$B$3:$D$36,3,FALSE())*AD$1)</f>
        <v>0</v>
      </c>
      <c r="CR111" s="73">
        <f>IF(AU111="",0,VLOOKUP(I111,Tables!$B$3:$D$36,3,FALSE())*AE$1)</f>
        <v>0</v>
      </c>
      <c r="CS111" s="87">
        <f>IF(AV111="",0,VLOOKUP(J111,Tables!$B$3:$D$36,3,FALSE())*AF$1)</f>
        <v>0</v>
      </c>
      <c r="CT111" s="73">
        <f>IF(AW111="",0,VLOOKUP(K111,Tables!$B$3:$D$36,3,FALSE())*AG$1)</f>
        <v>0</v>
      </c>
      <c r="CU111" s="73">
        <f>IF(AX111="",0,VLOOKUP(L111,Tables!$B$3:$D$36,3,FALSE())*AH$1)</f>
        <v>0</v>
      </c>
      <c r="CV111" s="87">
        <f>IF(AY111="",0,VLOOKUP(M111,Tables!$B$3:$D$36,3,FALSE())*AI$1)</f>
        <v>0.35000000000000003</v>
      </c>
      <c r="CW111" s="73">
        <f>IF(AZ111="",0,VLOOKUP(N111,Tables!$B$3:$D$36,3,FALSE())*AJ$1)</f>
        <v>7.4999999999999997E-2</v>
      </c>
      <c r="CX111" s="73">
        <f>IF(BA111="",0,VLOOKUP(O111,Tables!$B$3:$D$36,3,FALSE())*AK$1)</f>
        <v>0.3</v>
      </c>
      <c r="CY111" s="88">
        <f>IF(BB111="",0,VLOOKUP(P111,Tables!$B$3:$D$36,3,FALSE())*AL$1)</f>
        <v>0.17500000000000002</v>
      </c>
      <c r="CZ111" s="89">
        <f t="shared" si="96"/>
        <v>0</v>
      </c>
      <c r="DA111" s="75">
        <f t="shared" si="97"/>
        <v>0</v>
      </c>
      <c r="DB111" s="75">
        <f t="shared" si="98"/>
        <v>0</v>
      </c>
      <c r="DC111" s="89">
        <f t="shared" si="99"/>
        <v>0</v>
      </c>
      <c r="DD111" s="75">
        <f t="shared" si="100"/>
        <v>0</v>
      </c>
      <c r="DE111" s="75">
        <f t="shared" si="101"/>
        <v>0</v>
      </c>
      <c r="DF111" s="75">
        <f t="shared" si="102"/>
        <v>0</v>
      </c>
      <c r="DG111" s="75">
        <f t="shared" si="103"/>
        <v>0</v>
      </c>
      <c r="DH111" s="89">
        <f t="shared" si="104"/>
        <v>0</v>
      </c>
      <c r="DI111" s="75">
        <f t="shared" si="105"/>
        <v>0</v>
      </c>
      <c r="DJ111" s="75">
        <f t="shared" si="106"/>
        <v>0</v>
      </c>
      <c r="DK111" s="89">
        <f t="shared" si="107"/>
        <v>1</v>
      </c>
      <c r="DL111" s="75">
        <f t="shared" si="108"/>
        <v>1</v>
      </c>
      <c r="DM111" s="75">
        <f t="shared" si="109"/>
        <v>1</v>
      </c>
      <c r="DN111" s="90">
        <f t="shared" si="110"/>
        <v>1</v>
      </c>
      <c r="DO111" s="91">
        <f>IF(AN111="",0,VLOOKUP(B111,Tables!$B$3:$M$36,11,FALSE())*X$1)</f>
        <v>0</v>
      </c>
      <c r="DP111" s="92">
        <f>IF(AO111="",0,VLOOKUP(C111,Tables!$B$3:$M$36,11,FALSE())*Y$1)</f>
        <v>0</v>
      </c>
      <c r="DQ111" s="92">
        <f>IF(AP111="",0,VLOOKUP(D111,Tables!$B$3:$M$36,11,FALSE())*Z$1)</f>
        <v>0</v>
      </c>
      <c r="DR111" s="91">
        <f>IF(AQ111="",0,VLOOKUP(E111,Tables!$B$3:$M$36,11,FALSE())*AA$1)</f>
        <v>0</v>
      </c>
      <c r="DS111" s="92">
        <f>IF(AR111="",0,VLOOKUP(F111,Tables!$B$3:$M$36,11,FALSE())*AB$1)</f>
        <v>0</v>
      </c>
      <c r="DT111" s="92">
        <f>IF(AS111="",0,VLOOKUP(G111,Tables!$B$3:$M$36,11,FALSE())*AC$1)</f>
        <v>0</v>
      </c>
      <c r="DU111" s="92">
        <f>IF(AT111="",0,VLOOKUP(H111,Tables!$B$3:$M$36,11,FALSE())*AD$1)</f>
        <v>0</v>
      </c>
      <c r="DV111" s="92">
        <f>IF(AU111="",0,VLOOKUP(I111,Tables!$B$3:$M$36,11,FALSE())*AE$1)</f>
        <v>0</v>
      </c>
      <c r="DW111" s="91">
        <f>IF(AV111="",0,VLOOKUP(J111,Tables!$B$3:$M$36,11,FALSE())*AF$1)</f>
        <v>0</v>
      </c>
      <c r="DX111" s="92">
        <f>IF(AW111="",0,VLOOKUP(K111,Tables!$B$3:$M$36,11,FALSE())*AG$1)</f>
        <v>0</v>
      </c>
      <c r="DY111" s="92">
        <f>IF(AX111="",0,VLOOKUP(L111,Tables!$B$3:$M$36,11,FALSE())*AH$1)</f>
        <v>0</v>
      </c>
      <c r="DZ111" s="91">
        <f>IF(AY111="",0,VLOOKUP(M111,Tables!$B$3:$M$36,11,FALSE())*AI$1)</f>
        <v>2.8000000000000003</v>
      </c>
      <c r="EA111" s="92">
        <f>IF(AZ111="",0,VLOOKUP(N111,Tables!$B$3:$M$36,11,FALSE())*AJ$1)</f>
        <v>0.6</v>
      </c>
      <c r="EB111" s="92">
        <f>IF(BA111="",0,VLOOKUP(O111,Tables!$B$3:$M$36,11,FALSE())*AK$1)</f>
        <v>2.4</v>
      </c>
      <c r="EC111" s="93">
        <f>IF(BB111="",0,VLOOKUP(P111,Tables!$B$3:$M$36,11,FALSE())*AL$1)</f>
        <v>1.4000000000000001</v>
      </c>
      <c r="ED111" s="91">
        <f>IF(AN111="",0,VLOOKUP(B111,Tables!$B$3:$M$36,12,FALSE())*X$1)</f>
        <v>0</v>
      </c>
      <c r="EE111" s="92">
        <f>IF(AO111="",0,VLOOKUP(C111,Tables!$B$3:$M$36,12,FALSE())*Y$1)</f>
        <v>0</v>
      </c>
      <c r="EF111" s="92">
        <f>IF(AP111="",0,VLOOKUP(D111,Tables!$B$3:$M$36,12,FALSE())*Z$1)</f>
        <v>0</v>
      </c>
      <c r="EG111" s="91">
        <f>IF(AQ111="",0,VLOOKUP(E111,Tables!$B$3:$M$36,12,FALSE())*AA$1)</f>
        <v>0</v>
      </c>
      <c r="EH111" s="92">
        <f>IF(AR111="",0,VLOOKUP(F111,Tables!$B$3:$M$36,12,FALSE())*AB$1)</f>
        <v>0</v>
      </c>
      <c r="EI111" s="92">
        <f>IF(AS111="",0,VLOOKUP(G111,Tables!$B$3:$M$36,12,FALSE())*AC$1)</f>
        <v>0</v>
      </c>
      <c r="EJ111" s="92">
        <f>IF(AT111="",0,VLOOKUP(H111,Tables!$B$3:$M$36,12,FALSE())*AD$1)</f>
        <v>0</v>
      </c>
      <c r="EK111" s="92">
        <f>IF(AU111="",0,VLOOKUP(I111,Tables!$B$3:$M$36,12,FALSE())*AE$1)</f>
        <v>0</v>
      </c>
      <c r="EL111" s="91">
        <f>IF(AV111="",0,VLOOKUP(J111,Tables!$B$3:$M$36,12,FALSE())*AF$1)</f>
        <v>0</v>
      </c>
      <c r="EM111" s="92">
        <f>IF(AW111="",0,VLOOKUP(K111,Tables!$B$3:$M$36,12,FALSE())*AG$1)</f>
        <v>0</v>
      </c>
      <c r="EN111" s="92">
        <f>IF(AX111="",0,VLOOKUP(L111,Tables!$B$3:$M$36,12,FALSE())*AH$1)</f>
        <v>0</v>
      </c>
      <c r="EO111" s="91">
        <f>IF(AY111="",0,VLOOKUP(M111,Tables!$B$3:$M$36,12,FALSE())*AI$1)</f>
        <v>8.4</v>
      </c>
      <c r="EP111" s="92">
        <f>IF(AZ111="",0,VLOOKUP(N111,Tables!$B$3:$M$36,12,FALSE())*AJ$1)</f>
        <v>1.7999999999999998</v>
      </c>
      <c r="EQ111" s="92">
        <f>IF(BA111="",0,VLOOKUP(O111,Tables!$B$3:$M$36,12,FALSE())*AK$1)</f>
        <v>7.1999999999999993</v>
      </c>
      <c r="ER111" s="93">
        <f>IF(BB111="",0,VLOOKUP(P111,Tables!$B$3:$M$36,12,FALSE())*AL$1)</f>
        <v>4.2</v>
      </c>
      <c r="ES111" s="94">
        <f t="shared" si="111"/>
        <v>0</v>
      </c>
      <c r="ET111" s="95">
        <f>IF(AN111="",10,MIN(VLOOKUP(B111,MATERIAL,13,FALSE()),'Item Builder'!$W111))</f>
        <v>10</v>
      </c>
      <c r="EU111" s="95">
        <f>IF(AO111="",10,MIN(VLOOKUP(C111,MATERIAL,13,FALSE()),'Item Builder'!$W111))</f>
        <v>10</v>
      </c>
      <c r="EV111" s="95">
        <f>IF(AP111="",10,MIN(VLOOKUP(D111,MATERIAL,13,FALSE()),'Item Builder'!$W111))</f>
        <v>10</v>
      </c>
      <c r="EW111" s="95">
        <f>IF(AQ111="",10,MIN(VLOOKUP(E111,MATERIAL,13,FALSE()),'Item Builder'!$W111))</f>
        <v>10</v>
      </c>
      <c r="EX111" s="95">
        <f>IF(AR111="",10,MIN(VLOOKUP(F111,MATERIAL,13,FALSE()),'Item Builder'!$W111))</f>
        <v>10</v>
      </c>
      <c r="EY111" s="95">
        <f>IF(AS111="",10,MIN(VLOOKUP(G111,MATERIAL,13,FALSE()),'Item Builder'!$W111))</f>
        <v>10</v>
      </c>
      <c r="EZ111" s="95">
        <f>IF(AT111="",10,MIN(VLOOKUP(H111,MATERIAL,13,FALSE()),'Item Builder'!$W111))</f>
        <v>10</v>
      </c>
      <c r="FA111" s="95">
        <f>IF(AU111="",10,MIN(VLOOKUP(I111,MATERIAL,13,FALSE()),'Item Builder'!$W111))</f>
        <v>10</v>
      </c>
      <c r="FB111" s="95">
        <f>IF(AV111="",10,MIN(VLOOKUP(J111,MATERIAL,13,FALSE()),'Item Builder'!$W111))</f>
        <v>10</v>
      </c>
      <c r="FC111" s="95">
        <f>IF(AW111="",10,MIN(VLOOKUP(K111,MATERIAL,13,FALSE()),'Item Builder'!$W111))</f>
        <v>10</v>
      </c>
      <c r="FD111" s="95">
        <f>IF(AX111="",10,MIN(VLOOKUP(L111,MATERIAL,13,FALSE()),'Item Builder'!$W111))</f>
        <v>10</v>
      </c>
      <c r="FE111" s="95">
        <f>IF(AY111="",10,MIN(VLOOKUP(M111,MATERIAL,13,FALSE()),'Item Builder'!$W111))</f>
        <v>0</v>
      </c>
      <c r="FF111" s="95">
        <f>IF(AZ111="",10,MIN(VLOOKUP(N111,MATERIAL,13,FALSE()),'Item Builder'!$W111))</f>
        <v>0</v>
      </c>
      <c r="FG111" s="95">
        <f>IF(BA111="",10,MIN(VLOOKUP(O111,MATERIAL,13,FALSE()),'Item Builder'!$W111))</f>
        <v>0</v>
      </c>
      <c r="FH111" s="95">
        <f>IF(BB111="",10,MIN(VLOOKUP(P111,MATERIAL,13,FALSE()),'Item Builder'!$W111))</f>
        <v>0</v>
      </c>
    </row>
    <row r="112" spans="1:164" x14ac:dyDescent="0.25">
      <c r="A112" s="67" t="s">
        <v>252</v>
      </c>
      <c r="B112" s="68"/>
      <c r="C112" s="69"/>
      <c r="D112" s="70"/>
      <c r="E112" s="68"/>
      <c r="F112" s="69"/>
      <c r="G112" s="69"/>
      <c r="H112" s="69"/>
      <c r="I112" s="70"/>
      <c r="J112" s="68"/>
      <c r="K112" s="69"/>
      <c r="L112" s="70"/>
      <c r="M112" s="68"/>
      <c r="N112" s="69"/>
      <c r="O112" s="69" t="s">
        <v>155</v>
      </c>
      <c r="P112" s="71" t="s">
        <v>155</v>
      </c>
      <c r="Q112" s="72">
        <f>SUM(BV112:CJ112)*VLOOKUP(W112,Tables!$W$3:$Z$8,4)</f>
        <v>15.2</v>
      </c>
      <c r="R112" s="73">
        <f t="shared" si="56"/>
        <v>0.47499999999999998</v>
      </c>
      <c r="S112" s="74">
        <f t="shared" si="57"/>
        <v>0</v>
      </c>
      <c r="T112" s="74">
        <f t="shared" si="58"/>
        <v>0</v>
      </c>
      <c r="U112" s="75">
        <f t="shared" si="59"/>
        <v>3.8</v>
      </c>
      <c r="V112" s="76">
        <f t="shared" si="60"/>
        <v>11.399999999999999</v>
      </c>
      <c r="W112" s="77">
        <v>0</v>
      </c>
      <c r="X112" s="78">
        <f t="shared" si="61"/>
        <v>0</v>
      </c>
      <c r="Y112" s="79">
        <f t="shared" si="62"/>
        <v>0</v>
      </c>
      <c r="Z112" s="79">
        <f t="shared" si="63"/>
        <v>0</v>
      </c>
      <c r="AA112" s="78">
        <f t="shared" si="64"/>
        <v>0</v>
      </c>
      <c r="AB112" s="79">
        <f t="shared" si="65"/>
        <v>0</v>
      </c>
      <c r="AC112" s="79">
        <f t="shared" si="66"/>
        <v>0</v>
      </c>
      <c r="AD112" s="79">
        <f t="shared" si="67"/>
        <v>0</v>
      </c>
      <c r="AE112" s="79">
        <f t="shared" si="68"/>
        <v>0</v>
      </c>
      <c r="AF112" s="78">
        <f t="shared" si="69"/>
        <v>0</v>
      </c>
      <c r="AG112" s="79">
        <f t="shared" si="70"/>
        <v>0</v>
      </c>
      <c r="AH112" s="79">
        <f t="shared" si="71"/>
        <v>0</v>
      </c>
      <c r="AI112" s="78">
        <f t="shared" si="72"/>
        <v>0</v>
      </c>
      <c r="AJ112" s="79">
        <f t="shared" si="73"/>
        <v>0</v>
      </c>
      <c r="AK112" s="79">
        <f t="shared" si="74"/>
        <v>1</v>
      </c>
      <c r="AL112" s="80">
        <f t="shared" si="75"/>
        <v>1</v>
      </c>
      <c r="AM112" s="81">
        <f t="shared" si="76"/>
        <v>0.19</v>
      </c>
      <c r="AN112" s="82" t="str">
        <f t="shared" si="77"/>
        <v/>
      </c>
      <c r="AO112" s="79" t="str">
        <f t="shared" si="78"/>
        <v/>
      </c>
      <c r="AP112" t="str">
        <f t="shared" si="79"/>
        <v/>
      </c>
      <c r="AQ112" s="82" t="str">
        <f t="shared" si="80"/>
        <v/>
      </c>
      <c r="AR112" t="str">
        <f t="shared" si="81"/>
        <v/>
      </c>
      <c r="AS112" t="str">
        <f t="shared" si="82"/>
        <v/>
      </c>
      <c r="AT112" t="str">
        <f t="shared" si="83"/>
        <v/>
      </c>
      <c r="AU112" t="str">
        <f t="shared" si="84"/>
        <v/>
      </c>
      <c r="AV112" s="82" t="str">
        <f t="shared" si="85"/>
        <v/>
      </c>
      <c r="AW112" t="str">
        <f t="shared" si="86"/>
        <v/>
      </c>
      <c r="AX112" t="str">
        <f t="shared" si="87"/>
        <v/>
      </c>
      <c r="AY112" s="82" t="str">
        <f t="shared" si="88"/>
        <v/>
      </c>
      <c r="AZ112" t="str">
        <f t="shared" si="89"/>
        <v/>
      </c>
      <c r="BA112" t="str">
        <f t="shared" si="90"/>
        <v>X</v>
      </c>
      <c r="BB112" s="83" t="str">
        <f t="shared" si="91"/>
        <v>X</v>
      </c>
      <c r="BC112" s="84">
        <f t="shared" si="92"/>
        <v>0</v>
      </c>
      <c r="BD112" s="84">
        <f t="shared" si="93"/>
        <v>0</v>
      </c>
      <c r="BE112" s="84">
        <f t="shared" si="94"/>
        <v>0</v>
      </c>
      <c r="BF112" s="84">
        <f t="shared" si="95"/>
        <v>0.52777777777777768</v>
      </c>
      <c r="BG112" s="78">
        <f>IF(AN112="",0,VLOOKUP(AN112,Tables!$AB$3:$AC$12,2))</f>
        <v>0</v>
      </c>
      <c r="BH112" s="79">
        <f>IF(AO112="",0,VLOOKUP(AO112,Tables!$AB$3:$AC$12,2))</f>
        <v>0</v>
      </c>
      <c r="BI112" s="79">
        <f>IF(AP112="",0,VLOOKUP(AP112,Tables!$AB$3:$AC$12,2))</f>
        <v>0</v>
      </c>
      <c r="BJ112" s="78">
        <f>IF(AQ112="",0,VLOOKUP(AQ112,Tables!$AB$3:$AC$12,2))</f>
        <v>0</v>
      </c>
      <c r="BK112" s="79">
        <f>IF(AR112="",0,VLOOKUP(AR112,Tables!$AB$3:$AC$12,2))</f>
        <v>0</v>
      </c>
      <c r="BL112" s="79">
        <f>IF(AS112="",0,VLOOKUP(AS112,Tables!$AB$3:$AC$12,2))</f>
        <v>0</v>
      </c>
      <c r="BM112" s="79">
        <f>IF(AT112="",0,VLOOKUP(AT112,Tables!$AB$3:$AC$12,2))</f>
        <v>0</v>
      </c>
      <c r="BN112" s="79">
        <f>IF(AU112="",0,VLOOKUP(AU112,Tables!$AB$3:$AC$12,2))</f>
        <v>0</v>
      </c>
      <c r="BO112" s="78">
        <f>IF(AV112="",0,VLOOKUP(AV112,Tables!$AB$3:$AC$12,2))</f>
        <v>0</v>
      </c>
      <c r="BP112" s="79">
        <f>IF(AW112="",0,VLOOKUP(AW112,Tables!$AB$3:$AC$12,2))</f>
        <v>0</v>
      </c>
      <c r="BQ112" s="79">
        <f>IF(AX112="",0,VLOOKUP(AX112,Tables!$AB$3:$AC$12,2))</f>
        <v>0</v>
      </c>
      <c r="BR112" s="78">
        <f>IF(AY112="",0,VLOOKUP(AY112,Tables!$AB$3:$AC$12,2))</f>
        <v>0</v>
      </c>
      <c r="BS112" s="79">
        <f>IF(AZ112="",0,VLOOKUP(AZ112,Tables!$AB$3:$AC$12,2))</f>
        <v>0</v>
      </c>
      <c r="BT112" s="79">
        <f>IF(BA112="",0,VLOOKUP(BA112,Tables!$AB$3:$AC$12,2))</f>
        <v>1</v>
      </c>
      <c r="BU112" s="80">
        <f>IF(BB112="",0,VLOOKUP(BB112,Tables!$AB$3:$AC$12,2))</f>
        <v>1</v>
      </c>
      <c r="BV112" s="85">
        <f>IF(AN112="",0,VLOOKUP(B112,Tables!$B$3:$D$36,2,FALSE())*X$1)</f>
        <v>0</v>
      </c>
      <c r="BW112" s="72">
        <f>IF(AO112="",0,VLOOKUP(C112,Tables!$B$3:$D$36,2,FALSE())*Y$1)</f>
        <v>0</v>
      </c>
      <c r="BX112" s="72">
        <f>IF(AP112="",0,VLOOKUP(D112,Tables!$B$3:$D$36,2,FALSE())*Z$1)</f>
        <v>0</v>
      </c>
      <c r="BY112" s="85">
        <f>IF(AQ112="",0,VLOOKUP(E112,Tables!$B$3:$D$36,2,FALSE())*AA$1)</f>
        <v>0</v>
      </c>
      <c r="BZ112" s="72">
        <f>IF(AR112="",0,VLOOKUP(F112,Tables!$B$3:$D$36,2,FALSE())*AB$1)</f>
        <v>0</v>
      </c>
      <c r="CA112" s="72">
        <f>IF(AS112="",0,VLOOKUP(G112,Tables!$B$3:$D$36,2,FALSE())*AC$1)</f>
        <v>0</v>
      </c>
      <c r="CB112" s="72">
        <f>IF(AT112="",0,VLOOKUP(H112,Tables!$B$3:$D$36,2,FALSE())*AD$1)</f>
        <v>0</v>
      </c>
      <c r="CC112" s="72">
        <f>IF(AU112="",0,VLOOKUP(I112,Tables!$B$3:$D$36,2,FALSE())*AE$1)</f>
        <v>0</v>
      </c>
      <c r="CD112" s="85">
        <f>IF(AV112="",0,VLOOKUP(J112,Tables!$B$3:$D$36,2,FALSE())*AF$1)</f>
        <v>0</v>
      </c>
      <c r="CE112" s="72">
        <f>IF(AW112="",0,VLOOKUP(K112,Tables!$B$3:$D$36,2,FALSE())*AG$1)</f>
        <v>0</v>
      </c>
      <c r="CF112" s="72">
        <f>IF(AX112="",0,VLOOKUP(L112,Tables!$B$3:$D$36,2,FALSE())*AH$1)</f>
        <v>0</v>
      </c>
      <c r="CG112" s="85">
        <f>IF(AY112="",0,VLOOKUP(M112,Tables!$B$3:$D$36,2,FALSE())*AI$1)</f>
        <v>0</v>
      </c>
      <c r="CH112" s="72">
        <f>IF(AZ112="",0,VLOOKUP(N112,Tables!$B$3:$D$36,2,FALSE())*AJ$1)</f>
        <v>0</v>
      </c>
      <c r="CI112" s="72">
        <f>IF(BA112="",0,VLOOKUP(O112,Tables!$B$3:$D$36,2,FALSE())*AK$1)</f>
        <v>9.6</v>
      </c>
      <c r="CJ112" s="86">
        <f>IF(BB112="",0,VLOOKUP(P112,Tables!$B$3:$D$36,2,FALSE())*AL$1)</f>
        <v>5.6000000000000005</v>
      </c>
      <c r="CK112" s="87">
        <f>IF(AN112="",0,VLOOKUP(B112,Tables!$B$3:$D$36,3,FALSE())*X$1)*IF(OR(AN112="K",AN112="P"),2,1)</f>
        <v>0</v>
      </c>
      <c r="CL112" s="73">
        <f>IF(AO112="",0,VLOOKUP(C112,Tables!$B$3:$D$36,3,FALSE())*Y$1)*IF(OR(AO112="K",AO112="P"),2,1)</f>
        <v>0</v>
      </c>
      <c r="CM112" s="73">
        <f>IF(AP112="",0,VLOOKUP(D112,Tables!$B$3:$D$36,3,FALSE())*Z$1)*IF(OR(AP112="K",AP112="P"),2,1)</f>
        <v>0</v>
      </c>
      <c r="CN112" s="87">
        <f>IF(AQ112="",0,VLOOKUP(E112,Tables!$B$3:$D$36,3,FALSE())*AA$1)</f>
        <v>0</v>
      </c>
      <c r="CO112" s="73">
        <f>IF(AR112="",0,VLOOKUP(F112,Tables!$B$3:$D$36,3,FALSE())*AB$1)</f>
        <v>0</v>
      </c>
      <c r="CP112" s="73">
        <f>IF(AS112="",0,VLOOKUP(G112,Tables!$B$3:$D$36,3,FALSE())*AC$1)</f>
        <v>0</v>
      </c>
      <c r="CQ112" s="73">
        <f>IF(AT112="",0,VLOOKUP(H112,Tables!$B$3:$D$36,3,FALSE())*AD$1)</f>
        <v>0</v>
      </c>
      <c r="CR112" s="73">
        <f>IF(AU112="",0,VLOOKUP(I112,Tables!$B$3:$D$36,3,FALSE())*AE$1)</f>
        <v>0</v>
      </c>
      <c r="CS112" s="87">
        <f>IF(AV112="",0,VLOOKUP(J112,Tables!$B$3:$D$36,3,FALSE())*AF$1)</f>
        <v>0</v>
      </c>
      <c r="CT112" s="73">
        <f>IF(AW112="",0,VLOOKUP(K112,Tables!$B$3:$D$36,3,FALSE())*AG$1)</f>
        <v>0</v>
      </c>
      <c r="CU112" s="73">
        <f>IF(AX112="",0,VLOOKUP(L112,Tables!$B$3:$D$36,3,FALSE())*AH$1)</f>
        <v>0</v>
      </c>
      <c r="CV112" s="87">
        <f>IF(AY112="",0,VLOOKUP(M112,Tables!$B$3:$D$36,3,FALSE())*AI$1)</f>
        <v>0</v>
      </c>
      <c r="CW112" s="73">
        <f>IF(AZ112="",0,VLOOKUP(N112,Tables!$B$3:$D$36,3,FALSE())*AJ$1)</f>
        <v>0</v>
      </c>
      <c r="CX112" s="73">
        <f>IF(BA112="",0,VLOOKUP(O112,Tables!$B$3:$D$36,3,FALSE())*AK$1)</f>
        <v>0.3</v>
      </c>
      <c r="CY112" s="88">
        <f>IF(BB112="",0,VLOOKUP(P112,Tables!$B$3:$D$36,3,FALSE())*AL$1)</f>
        <v>0.17500000000000002</v>
      </c>
      <c r="CZ112" s="89">
        <f t="shared" si="96"/>
        <v>0</v>
      </c>
      <c r="DA112" s="75">
        <f t="shared" si="97"/>
        <v>0</v>
      </c>
      <c r="DB112" s="75">
        <f t="shared" si="98"/>
        <v>0</v>
      </c>
      <c r="DC112" s="89">
        <f t="shared" si="99"/>
        <v>0</v>
      </c>
      <c r="DD112" s="75">
        <f t="shared" si="100"/>
        <v>0</v>
      </c>
      <c r="DE112" s="75">
        <f t="shared" si="101"/>
        <v>0</v>
      </c>
      <c r="DF112" s="75">
        <f t="shared" si="102"/>
        <v>0</v>
      </c>
      <c r="DG112" s="75">
        <f t="shared" si="103"/>
        <v>0</v>
      </c>
      <c r="DH112" s="89">
        <f t="shared" si="104"/>
        <v>0</v>
      </c>
      <c r="DI112" s="75">
        <f t="shared" si="105"/>
        <v>0</v>
      </c>
      <c r="DJ112" s="75">
        <f t="shared" si="106"/>
        <v>0</v>
      </c>
      <c r="DK112" s="89">
        <f t="shared" si="107"/>
        <v>0</v>
      </c>
      <c r="DL112" s="75">
        <f t="shared" si="108"/>
        <v>0</v>
      </c>
      <c r="DM112" s="75">
        <f t="shared" si="109"/>
        <v>1</v>
      </c>
      <c r="DN112" s="90">
        <f t="shared" si="110"/>
        <v>1</v>
      </c>
      <c r="DO112" s="91">
        <f>IF(AN112="",0,VLOOKUP(B112,Tables!$B$3:$M$36,11,FALSE())*X$1)</f>
        <v>0</v>
      </c>
      <c r="DP112" s="92">
        <f>IF(AO112="",0,VLOOKUP(C112,Tables!$B$3:$M$36,11,FALSE())*Y$1)</f>
        <v>0</v>
      </c>
      <c r="DQ112" s="92">
        <f>IF(AP112="",0,VLOOKUP(D112,Tables!$B$3:$M$36,11,FALSE())*Z$1)</f>
        <v>0</v>
      </c>
      <c r="DR112" s="91">
        <f>IF(AQ112="",0,VLOOKUP(E112,Tables!$B$3:$M$36,11,FALSE())*AA$1)</f>
        <v>0</v>
      </c>
      <c r="DS112" s="92">
        <f>IF(AR112="",0,VLOOKUP(F112,Tables!$B$3:$M$36,11,FALSE())*AB$1)</f>
        <v>0</v>
      </c>
      <c r="DT112" s="92">
        <f>IF(AS112="",0,VLOOKUP(G112,Tables!$B$3:$M$36,11,FALSE())*AC$1)</f>
        <v>0</v>
      </c>
      <c r="DU112" s="92">
        <f>IF(AT112="",0,VLOOKUP(H112,Tables!$B$3:$M$36,11,FALSE())*AD$1)</f>
        <v>0</v>
      </c>
      <c r="DV112" s="92">
        <f>IF(AU112="",0,VLOOKUP(I112,Tables!$B$3:$M$36,11,FALSE())*AE$1)</f>
        <v>0</v>
      </c>
      <c r="DW112" s="91">
        <f>IF(AV112="",0,VLOOKUP(J112,Tables!$B$3:$M$36,11,FALSE())*AF$1)</f>
        <v>0</v>
      </c>
      <c r="DX112" s="92">
        <f>IF(AW112="",0,VLOOKUP(K112,Tables!$B$3:$M$36,11,FALSE())*AG$1)</f>
        <v>0</v>
      </c>
      <c r="DY112" s="92">
        <f>IF(AX112="",0,VLOOKUP(L112,Tables!$B$3:$M$36,11,FALSE())*AH$1)</f>
        <v>0</v>
      </c>
      <c r="DZ112" s="91">
        <f>IF(AY112="",0,VLOOKUP(M112,Tables!$B$3:$M$36,11,FALSE())*AI$1)</f>
        <v>0</v>
      </c>
      <c r="EA112" s="92">
        <f>IF(AZ112="",0,VLOOKUP(N112,Tables!$B$3:$M$36,11,FALSE())*AJ$1)</f>
        <v>0</v>
      </c>
      <c r="EB112" s="92">
        <f>IF(BA112="",0,VLOOKUP(O112,Tables!$B$3:$M$36,11,FALSE())*AK$1)</f>
        <v>2.4</v>
      </c>
      <c r="EC112" s="93">
        <f>IF(BB112="",0,VLOOKUP(P112,Tables!$B$3:$M$36,11,FALSE())*AL$1)</f>
        <v>1.4000000000000001</v>
      </c>
      <c r="ED112" s="91">
        <f>IF(AN112="",0,VLOOKUP(B112,Tables!$B$3:$M$36,12,FALSE())*X$1)</f>
        <v>0</v>
      </c>
      <c r="EE112" s="92">
        <f>IF(AO112="",0,VLOOKUP(C112,Tables!$B$3:$M$36,12,FALSE())*Y$1)</f>
        <v>0</v>
      </c>
      <c r="EF112" s="92">
        <f>IF(AP112="",0,VLOOKUP(D112,Tables!$B$3:$M$36,12,FALSE())*Z$1)</f>
        <v>0</v>
      </c>
      <c r="EG112" s="91">
        <f>IF(AQ112="",0,VLOOKUP(E112,Tables!$B$3:$M$36,12,FALSE())*AA$1)</f>
        <v>0</v>
      </c>
      <c r="EH112" s="92">
        <f>IF(AR112="",0,VLOOKUP(F112,Tables!$B$3:$M$36,12,FALSE())*AB$1)</f>
        <v>0</v>
      </c>
      <c r="EI112" s="92">
        <f>IF(AS112="",0,VLOOKUP(G112,Tables!$B$3:$M$36,12,FALSE())*AC$1)</f>
        <v>0</v>
      </c>
      <c r="EJ112" s="92">
        <f>IF(AT112="",0,VLOOKUP(H112,Tables!$B$3:$M$36,12,FALSE())*AD$1)</f>
        <v>0</v>
      </c>
      <c r="EK112" s="92">
        <f>IF(AU112="",0,VLOOKUP(I112,Tables!$B$3:$M$36,12,FALSE())*AE$1)</f>
        <v>0</v>
      </c>
      <c r="EL112" s="91">
        <f>IF(AV112="",0,VLOOKUP(J112,Tables!$B$3:$M$36,12,FALSE())*AF$1)</f>
        <v>0</v>
      </c>
      <c r="EM112" s="92">
        <f>IF(AW112="",0,VLOOKUP(K112,Tables!$B$3:$M$36,12,FALSE())*AG$1)</f>
        <v>0</v>
      </c>
      <c r="EN112" s="92">
        <f>IF(AX112="",0,VLOOKUP(L112,Tables!$B$3:$M$36,12,FALSE())*AH$1)</f>
        <v>0</v>
      </c>
      <c r="EO112" s="91">
        <f>IF(AY112="",0,VLOOKUP(M112,Tables!$B$3:$M$36,12,FALSE())*AI$1)</f>
        <v>0</v>
      </c>
      <c r="EP112" s="92">
        <f>IF(AZ112="",0,VLOOKUP(N112,Tables!$B$3:$M$36,12,FALSE())*AJ$1)</f>
        <v>0</v>
      </c>
      <c r="EQ112" s="92">
        <f>IF(BA112="",0,VLOOKUP(O112,Tables!$B$3:$M$36,12,FALSE())*AK$1)</f>
        <v>7.1999999999999993</v>
      </c>
      <c r="ER112" s="93">
        <f>IF(BB112="",0,VLOOKUP(P112,Tables!$B$3:$M$36,12,FALSE())*AL$1)</f>
        <v>4.2</v>
      </c>
      <c r="ES112" s="94">
        <f t="shared" si="111"/>
        <v>0</v>
      </c>
      <c r="ET112" s="95">
        <f>IF(AN112="",10,MIN(VLOOKUP(B112,MATERIAL,13,FALSE()),'Item Builder'!$W112))</f>
        <v>10</v>
      </c>
      <c r="EU112" s="95">
        <f>IF(AO112="",10,MIN(VLOOKUP(C112,MATERIAL,13,FALSE()),'Item Builder'!$W112))</f>
        <v>10</v>
      </c>
      <c r="EV112" s="95">
        <f>IF(AP112="",10,MIN(VLOOKUP(D112,MATERIAL,13,FALSE()),'Item Builder'!$W112))</f>
        <v>10</v>
      </c>
      <c r="EW112" s="95">
        <f>IF(AQ112="",10,MIN(VLOOKUP(E112,MATERIAL,13,FALSE()),'Item Builder'!$W112))</f>
        <v>10</v>
      </c>
      <c r="EX112" s="95">
        <f>IF(AR112="",10,MIN(VLOOKUP(F112,MATERIAL,13,FALSE()),'Item Builder'!$W112))</f>
        <v>10</v>
      </c>
      <c r="EY112" s="95">
        <f>IF(AS112="",10,MIN(VLOOKUP(G112,MATERIAL,13,FALSE()),'Item Builder'!$W112))</f>
        <v>10</v>
      </c>
      <c r="EZ112" s="95">
        <f>IF(AT112="",10,MIN(VLOOKUP(H112,MATERIAL,13,FALSE()),'Item Builder'!$W112))</f>
        <v>10</v>
      </c>
      <c r="FA112" s="95">
        <f>IF(AU112="",10,MIN(VLOOKUP(I112,MATERIAL,13,FALSE()),'Item Builder'!$W112))</f>
        <v>10</v>
      </c>
      <c r="FB112" s="95">
        <f>IF(AV112="",10,MIN(VLOOKUP(J112,MATERIAL,13,FALSE()),'Item Builder'!$W112))</f>
        <v>10</v>
      </c>
      <c r="FC112" s="95">
        <f>IF(AW112="",10,MIN(VLOOKUP(K112,MATERIAL,13,FALSE()),'Item Builder'!$W112))</f>
        <v>10</v>
      </c>
      <c r="FD112" s="95">
        <f>IF(AX112="",10,MIN(VLOOKUP(L112,MATERIAL,13,FALSE()),'Item Builder'!$W112))</f>
        <v>10</v>
      </c>
      <c r="FE112" s="95">
        <f>IF(AY112="",10,MIN(VLOOKUP(M112,MATERIAL,13,FALSE()),'Item Builder'!$W112))</f>
        <v>10</v>
      </c>
      <c r="FF112" s="95">
        <f>IF(AZ112="",10,MIN(VLOOKUP(N112,MATERIAL,13,FALSE()),'Item Builder'!$W112))</f>
        <v>10</v>
      </c>
      <c r="FG112" s="95">
        <f>IF(BA112="",10,MIN(VLOOKUP(O112,MATERIAL,13,FALSE()),'Item Builder'!$W112))</f>
        <v>0</v>
      </c>
      <c r="FH112" s="95">
        <f>IF(BB112="",10,MIN(VLOOKUP(P112,MATERIAL,13,FALSE()),'Item Builder'!$W112))</f>
        <v>0</v>
      </c>
    </row>
    <row r="113" spans="1:164" x14ac:dyDescent="0.25">
      <c r="A113" s="67" t="s">
        <v>253</v>
      </c>
      <c r="B113" s="68" t="s">
        <v>161</v>
      </c>
      <c r="C113" s="69"/>
      <c r="D113" s="70"/>
      <c r="E113" s="68"/>
      <c r="F113" s="69"/>
      <c r="G113" s="69"/>
      <c r="H113" s="69"/>
      <c r="I113" s="70"/>
      <c r="J113" s="68"/>
      <c r="K113" s="69"/>
      <c r="L113" s="70"/>
      <c r="M113" s="68"/>
      <c r="N113" s="69"/>
      <c r="O113" s="69"/>
      <c r="P113" s="71"/>
      <c r="Q113" s="72">
        <f>SUM(BV113:CJ113)*VLOOKUP(W113,Tables!$W$3:$Z$8,4)</f>
        <v>3.2</v>
      </c>
      <c r="R113" s="73">
        <f t="shared" si="56"/>
        <v>0.1</v>
      </c>
      <c r="S113" s="74">
        <f t="shared" si="57"/>
        <v>0</v>
      </c>
      <c r="T113" s="74">
        <f t="shared" si="58"/>
        <v>0</v>
      </c>
      <c r="U113" s="75">
        <f t="shared" si="59"/>
        <v>0.8</v>
      </c>
      <c r="V113" s="76">
        <f t="shared" si="60"/>
        <v>2.4</v>
      </c>
      <c r="W113" s="77">
        <v>0</v>
      </c>
      <c r="X113" s="78">
        <f t="shared" si="61"/>
        <v>1</v>
      </c>
      <c r="Y113" s="79">
        <f t="shared" si="62"/>
        <v>0</v>
      </c>
      <c r="Z113" s="79">
        <f t="shared" si="63"/>
        <v>0</v>
      </c>
      <c r="AA113" s="78">
        <f t="shared" si="64"/>
        <v>0</v>
      </c>
      <c r="AB113" s="79">
        <f t="shared" si="65"/>
        <v>0</v>
      </c>
      <c r="AC113" s="79">
        <f t="shared" si="66"/>
        <v>0</v>
      </c>
      <c r="AD113" s="79">
        <f t="shared" si="67"/>
        <v>0</v>
      </c>
      <c r="AE113" s="79">
        <f t="shared" si="68"/>
        <v>0</v>
      </c>
      <c r="AF113" s="78">
        <f t="shared" si="69"/>
        <v>0</v>
      </c>
      <c r="AG113" s="79">
        <f t="shared" si="70"/>
        <v>0</v>
      </c>
      <c r="AH113" s="79">
        <f t="shared" si="71"/>
        <v>0</v>
      </c>
      <c r="AI113" s="78">
        <f t="shared" si="72"/>
        <v>0</v>
      </c>
      <c r="AJ113" s="79">
        <f t="shared" si="73"/>
        <v>0</v>
      </c>
      <c r="AK113" s="79">
        <f t="shared" si="74"/>
        <v>0</v>
      </c>
      <c r="AL113" s="80">
        <f t="shared" si="75"/>
        <v>0</v>
      </c>
      <c r="AM113" s="81">
        <f t="shared" si="76"/>
        <v>0.04</v>
      </c>
      <c r="AN113" s="82" t="str">
        <f t="shared" si="77"/>
        <v>X</v>
      </c>
      <c r="AO113" s="79" t="str">
        <f t="shared" si="78"/>
        <v/>
      </c>
      <c r="AP113" t="str">
        <f t="shared" si="79"/>
        <v/>
      </c>
      <c r="AQ113" s="82" t="str">
        <f t="shared" si="80"/>
        <v/>
      </c>
      <c r="AR113" t="str">
        <f t="shared" si="81"/>
        <v/>
      </c>
      <c r="AS113" t="str">
        <f t="shared" si="82"/>
        <v/>
      </c>
      <c r="AT113" t="str">
        <f t="shared" si="83"/>
        <v/>
      </c>
      <c r="AU113" t="str">
        <f t="shared" si="84"/>
        <v/>
      </c>
      <c r="AV113" s="82" t="str">
        <f t="shared" si="85"/>
        <v/>
      </c>
      <c r="AW113" t="str">
        <f t="shared" si="86"/>
        <v/>
      </c>
      <c r="AX113" t="str">
        <f t="shared" si="87"/>
        <v/>
      </c>
      <c r="AY113" s="82" t="str">
        <f t="shared" si="88"/>
        <v/>
      </c>
      <c r="AZ113" t="str">
        <f t="shared" si="89"/>
        <v/>
      </c>
      <c r="BA113" t="str">
        <f t="shared" si="90"/>
        <v/>
      </c>
      <c r="BB113" s="83" t="str">
        <f t="shared" si="91"/>
        <v/>
      </c>
      <c r="BC113" s="84">
        <f t="shared" si="92"/>
        <v>0.44444444444444442</v>
      </c>
      <c r="BD113" s="84">
        <f t="shared" si="93"/>
        <v>0</v>
      </c>
      <c r="BE113" s="84">
        <f t="shared" si="94"/>
        <v>0</v>
      </c>
      <c r="BF113" s="84">
        <f t="shared" si="95"/>
        <v>0</v>
      </c>
      <c r="BG113" s="78">
        <f>IF(AN113="",0,VLOOKUP(AN113,Tables!$AB$3:$AC$12,2))</f>
        <v>1</v>
      </c>
      <c r="BH113" s="79">
        <f>IF(AO113="",0,VLOOKUP(AO113,Tables!$AB$3:$AC$12,2))</f>
        <v>0</v>
      </c>
      <c r="BI113" s="79">
        <f>IF(AP113="",0,VLOOKUP(AP113,Tables!$AB$3:$AC$12,2))</f>
        <v>0</v>
      </c>
      <c r="BJ113" s="78">
        <f>IF(AQ113="",0,VLOOKUP(AQ113,Tables!$AB$3:$AC$12,2))</f>
        <v>0</v>
      </c>
      <c r="BK113" s="79">
        <f>IF(AR113="",0,VLOOKUP(AR113,Tables!$AB$3:$AC$12,2))</f>
        <v>0</v>
      </c>
      <c r="BL113" s="79">
        <f>IF(AS113="",0,VLOOKUP(AS113,Tables!$AB$3:$AC$12,2))</f>
        <v>0</v>
      </c>
      <c r="BM113" s="79">
        <f>IF(AT113="",0,VLOOKUP(AT113,Tables!$AB$3:$AC$12,2))</f>
        <v>0</v>
      </c>
      <c r="BN113" s="79">
        <f>IF(AU113="",0,VLOOKUP(AU113,Tables!$AB$3:$AC$12,2))</f>
        <v>0</v>
      </c>
      <c r="BO113" s="78">
        <f>IF(AV113="",0,VLOOKUP(AV113,Tables!$AB$3:$AC$12,2))</f>
        <v>0</v>
      </c>
      <c r="BP113" s="79">
        <f>IF(AW113="",0,VLOOKUP(AW113,Tables!$AB$3:$AC$12,2))</f>
        <v>0</v>
      </c>
      <c r="BQ113" s="79">
        <f>IF(AX113="",0,VLOOKUP(AX113,Tables!$AB$3:$AC$12,2))</f>
        <v>0</v>
      </c>
      <c r="BR113" s="78">
        <f>IF(AY113="",0,VLOOKUP(AY113,Tables!$AB$3:$AC$12,2))</f>
        <v>0</v>
      </c>
      <c r="BS113" s="79">
        <f>IF(AZ113="",0,VLOOKUP(AZ113,Tables!$AB$3:$AC$12,2))</f>
        <v>0</v>
      </c>
      <c r="BT113" s="79">
        <f>IF(BA113="",0,VLOOKUP(BA113,Tables!$AB$3:$AC$12,2))</f>
        <v>0</v>
      </c>
      <c r="BU113" s="80">
        <f>IF(BB113="",0,VLOOKUP(BB113,Tables!$AB$3:$AC$12,2))</f>
        <v>0</v>
      </c>
      <c r="BV113" s="85">
        <f>IF(AN113="",0,VLOOKUP(B113,Tables!$B$3:$D$36,2,FALSE())*X$1)</f>
        <v>3.2</v>
      </c>
      <c r="BW113" s="72">
        <f>IF(AO113="",0,VLOOKUP(C113,Tables!$B$3:$D$36,2,FALSE())*Y$1)</f>
        <v>0</v>
      </c>
      <c r="BX113" s="72">
        <f>IF(AP113="",0,VLOOKUP(D113,Tables!$B$3:$D$36,2,FALSE())*Z$1)</f>
        <v>0</v>
      </c>
      <c r="BY113" s="85">
        <f>IF(AQ113="",0,VLOOKUP(E113,Tables!$B$3:$D$36,2,FALSE())*AA$1)</f>
        <v>0</v>
      </c>
      <c r="BZ113" s="72">
        <f>IF(AR113="",0,VLOOKUP(F113,Tables!$B$3:$D$36,2,FALSE())*AB$1)</f>
        <v>0</v>
      </c>
      <c r="CA113" s="72">
        <f>IF(AS113="",0,VLOOKUP(G113,Tables!$B$3:$D$36,2,FALSE())*AC$1)</f>
        <v>0</v>
      </c>
      <c r="CB113" s="72">
        <f>IF(AT113="",0,VLOOKUP(H113,Tables!$B$3:$D$36,2,FALSE())*AD$1)</f>
        <v>0</v>
      </c>
      <c r="CC113" s="72">
        <f>IF(AU113="",0,VLOOKUP(I113,Tables!$B$3:$D$36,2,FALSE())*AE$1)</f>
        <v>0</v>
      </c>
      <c r="CD113" s="85">
        <f>IF(AV113="",0,VLOOKUP(J113,Tables!$B$3:$D$36,2,FALSE())*AF$1)</f>
        <v>0</v>
      </c>
      <c r="CE113" s="72">
        <f>IF(AW113="",0,VLOOKUP(K113,Tables!$B$3:$D$36,2,FALSE())*AG$1)</f>
        <v>0</v>
      </c>
      <c r="CF113" s="72">
        <f>IF(AX113="",0,VLOOKUP(L113,Tables!$B$3:$D$36,2,FALSE())*AH$1)</f>
        <v>0</v>
      </c>
      <c r="CG113" s="85">
        <f>IF(AY113="",0,VLOOKUP(M113,Tables!$B$3:$D$36,2,FALSE())*AI$1)</f>
        <v>0</v>
      </c>
      <c r="CH113" s="72">
        <f>IF(AZ113="",0,VLOOKUP(N113,Tables!$B$3:$D$36,2,FALSE())*AJ$1)</f>
        <v>0</v>
      </c>
      <c r="CI113" s="72">
        <f>IF(BA113="",0,VLOOKUP(O113,Tables!$B$3:$D$36,2,FALSE())*AK$1)</f>
        <v>0</v>
      </c>
      <c r="CJ113" s="86">
        <f>IF(BB113="",0,VLOOKUP(P113,Tables!$B$3:$D$36,2,FALSE())*AL$1)</f>
        <v>0</v>
      </c>
      <c r="CK113" s="87">
        <f>IF(AN113="",0,VLOOKUP(B113,Tables!$B$3:$D$36,3,FALSE())*X$1)*IF(OR(AN113="K",AN113="P"),2,1)</f>
        <v>0.1</v>
      </c>
      <c r="CL113" s="73">
        <f>IF(AO113="",0,VLOOKUP(C113,Tables!$B$3:$D$36,3,FALSE())*Y$1)*IF(OR(AO113="K",AO113="P"),2,1)</f>
        <v>0</v>
      </c>
      <c r="CM113" s="73">
        <f>IF(AP113="",0,VLOOKUP(D113,Tables!$B$3:$D$36,3,FALSE())*Z$1)*IF(OR(AP113="K",AP113="P"),2,1)</f>
        <v>0</v>
      </c>
      <c r="CN113" s="87">
        <f>IF(AQ113="",0,VLOOKUP(E113,Tables!$B$3:$D$36,3,FALSE())*AA$1)</f>
        <v>0</v>
      </c>
      <c r="CO113" s="73">
        <f>IF(AR113="",0,VLOOKUP(F113,Tables!$B$3:$D$36,3,FALSE())*AB$1)</f>
        <v>0</v>
      </c>
      <c r="CP113" s="73">
        <f>IF(AS113="",0,VLOOKUP(G113,Tables!$B$3:$D$36,3,FALSE())*AC$1)</f>
        <v>0</v>
      </c>
      <c r="CQ113" s="73">
        <f>IF(AT113="",0,VLOOKUP(H113,Tables!$B$3:$D$36,3,FALSE())*AD$1)</f>
        <v>0</v>
      </c>
      <c r="CR113" s="73">
        <f>IF(AU113="",0,VLOOKUP(I113,Tables!$B$3:$D$36,3,FALSE())*AE$1)</f>
        <v>0</v>
      </c>
      <c r="CS113" s="87">
        <f>IF(AV113="",0,VLOOKUP(J113,Tables!$B$3:$D$36,3,FALSE())*AF$1)</f>
        <v>0</v>
      </c>
      <c r="CT113" s="73">
        <f>IF(AW113="",0,VLOOKUP(K113,Tables!$B$3:$D$36,3,FALSE())*AG$1)</f>
        <v>0</v>
      </c>
      <c r="CU113" s="73">
        <f>IF(AX113="",0,VLOOKUP(L113,Tables!$B$3:$D$36,3,FALSE())*AH$1)</f>
        <v>0</v>
      </c>
      <c r="CV113" s="87">
        <f>IF(AY113="",0,VLOOKUP(M113,Tables!$B$3:$D$36,3,FALSE())*AI$1)</f>
        <v>0</v>
      </c>
      <c r="CW113" s="73">
        <f>IF(AZ113="",0,VLOOKUP(N113,Tables!$B$3:$D$36,3,FALSE())*AJ$1)</f>
        <v>0</v>
      </c>
      <c r="CX113" s="73">
        <f>IF(BA113="",0,VLOOKUP(O113,Tables!$B$3:$D$36,3,FALSE())*AK$1)</f>
        <v>0</v>
      </c>
      <c r="CY113" s="88">
        <f>IF(BB113="",0,VLOOKUP(P113,Tables!$B$3:$D$36,3,FALSE())*AL$1)</f>
        <v>0</v>
      </c>
      <c r="CZ113" s="89">
        <f t="shared" si="96"/>
        <v>1</v>
      </c>
      <c r="DA113" s="75">
        <f t="shared" si="97"/>
        <v>0</v>
      </c>
      <c r="DB113" s="75">
        <f t="shared" si="98"/>
        <v>0</v>
      </c>
      <c r="DC113" s="89">
        <f t="shared" si="99"/>
        <v>0</v>
      </c>
      <c r="DD113" s="75">
        <f t="shared" si="100"/>
        <v>0</v>
      </c>
      <c r="DE113" s="75">
        <f t="shared" si="101"/>
        <v>0</v>
      </c>
      <c r="DF113" s="75">
        <f t="shared" si="102"/>
        <v>0</v>
      </c>
      <c r="DG113" s="75">
        <f t="shared" si="103"/>
        <v>0</v>
      </c>
      <c r="DH113" s="89">
        <f t="shared" si="104"/>
        <v>0</v>
      </c>
      <c r="DI113" s="75">
        <f t="shared" si="105"/>
        <v>0</v>
      </c>
      <c r="DJ113" s="75">
        <f t="shared" si="106"/>
        <v>0</v>
      </c>
      <c r="DK113" s="89">
        <f t="shared" si="107"/>
        <v>0</v>
      </c>
      <c r="DL113" s="75">
        <f t="shared" si="108"/>
        <v>0</v>
      </c>
      <c r="DM113" s="75">
        <f t="shared" si="109"/>
        <v>0</v>
      </c>
      <c r="DN113" s="90">
        <f t="shared" si="110"/>
        <v>0</v>
      </c>
      <c r="DO113" s="91">
        <f>IF(AN113="",0,VLOOKUP(B113,Tables!$B$3:$M$36,11,FALSE())*X$1)</f>
        <v>0.8</v>
      </c>
      <c r="DP113" s="92">
        <f>IF(AO113="",0,VLOOKUP(C113,Tables!$B$3:$M$36,11,FALSE())*Y$1)</f>
        <v>0</v>
      </c>
      <c r="DQ113" s="92">
        <f>IF(AP113="",0,VLOOKUP(D113,Tables!$B$3:$M$36,11,FALSE())*Z$1)</f>
        <v>0</v>
      </c>
      <c r="DR113" s="91">
        <f>IF(AQ113="",0,VLOOKUP(E113,Tables!$B$3:$M$36,11,FALSE())*AA$1)</f>
        <v>0</v>
      </c>
      <c r="DS113" s="92">
        <f>IF(AR113="",0,VLOOKUP(F113,Tables!$B$3:$M$36,11,FALSE())*AB$1)</f>
        <v>0</v>
      </c>
      <c r="DT113" s="92">
        <f>IF(AS113="",0,VLOOKUP(G113,Tables!$B$3:$M$36,11,FALSE())*AC$1)</f>
        <v>0</v>
      </c>
      <c r="DU113" s="92">
        <f>IF(AT113="",0,VLOOKUP(H113,Tables!$B$3:$M$36,11,FALSE())*AD$1)</f>
        <v>0</v>
      </c>
      <c r="DV113" s="92">
        <f>IF(AU113="",0,VLOOKUP(I113,Tables!$B$3:$M$36,11,FALSE())*AE$1)</f>
        <v>0</v>
      </c>
      <c r="DW113" s="91">
        <f>IF(AV113="",0,VLOOKUP(J113,Tables!$B$3:$M$36,11,FALSE())*AF$1)</f>
        <v>0</v>
      </c>
      <c r="DX113" s="92">
        <f>IF(AW113="",0,VLOOKUP(K113,Tables!$B$3:$M$36,11,FALSE())*AG$1)</f>
        <v>0</v>
      </c>
      <c r="DY113" s="92">
        <f>IF(AX113="",0,VLOOKUP(L113,Tables!$B$3:$M$36,11,FALSE())*AH$1)</f>
        <v>0</v>
      </c>
      <c r="DZ113" s="91">
        <f>IF(AY113="",0,VLOOKUP(M113,Tables!$B$3:$M$36,11,FALSE())*AI$1)</f>
        <v>0</v>
      </c>
      <c r="EA113" s="92">
        <f>IF(AZ113="",0,VLOOKUP(N113,Tables!$B$3:$M$36,11,FALSE())*AJ$1)</f>
        <v>0</v>
      </c>
      <c r="EB113" s="92">
        <f>IF(BA113="",0,VLOOKUP(O113,Tables!$B$3:$M$36,11,FALSE())*AK$1)</f>
        <v>0</v>
      </c>
      <c r="EC113" s="93">
        <f>IF(BB113="",0,VLOOKUP(P113,Tables!$B$3:$M$36,11,FALSE())*AL$1)</f>
        <v>0</v>
      </c>
      <c r="ED113" s="91">
        <f>IF(AN113="",0,VLOOKUP(B113,Tables!$B$3:$M$36,12,FALSE())*X$1)</f>
        <v>2.4</v>
      </c>
      <c r="EE113" s="92">
        <f>IF(AO113="",0,VLOOKUP(C113,Tables!$B$3:$M$36,12,FALSE())*Y$1)</f>
        <v>0</v>
      </c>
      <c r="EF113" s="92">
        <f>IF(AP113="",0,VLOOKUP(D113,Tables!$B$3:$M$36,12,FALSE())*Z$1)</f>
        <v>0</v>
      </c>
      <c r="EG113" s="91">
        <f>IF(AQ113="",0,VLOOKUP(E113,Tables!$B$3:$M$36,12,FALSE())*AA$1)</f>
        <v>0</v>
      </c>
      <c r="EH113" s="92">
        <f>IF(AR113="",0,VLOOKUP(F113,Tables!$B$3:$M$36,12,FALSE())*AB$1)</f>
        <v>0</v>
      </c>
      <c r="EI113" s="92">
        <f>IF(AS113="",0,VLOOKUP(G113,Tables!$B$3:$M$36,12,FALSE())*AC$1)</f>
        <v>0</v>
      </c>
      <c r="EJ113" s="92">
        <f>IF(AT113="",0,VLOOKUP(H113,Tables!$B$3:$M$36,12,FALSE())*AD$1)</f>
        <v>0</v>
      </c>
      <c r="EK113" s="92">
        <f>IF(AU113="",0,VLOOKUP(I113,Tables!$B$3:$M$36,12,FALSE())*AE$1)</f>
        <v>0</v>
      </c>
      <c r="EL113" s="91">
        <f>IF(AV113="",0,VLOOKUP(J113,Tables!$B$3:$M$36,12,FALSE())*AF$1)</f>
        <v>0</v>
      </c>
      <c r="EM113" s="92">
        <f>IF(AW113="",0,VLOOKUP(K113,Tables!$B$3:$M$36,12,FALSE())*AG$1)</f>
        <v>0</v>
      </c>
      <c r="EN113" s="92">
        <f>IF(AX113="",0,VLOOKUP(L113,Tables!$B$3:$M$36,12,FALSE())*AH$1)</f>
        <v>0</v>
      </c>
      <c r="EO113" s="91">
        <f>IF(AY113="",0,VLOOKUP(M113,Tables!$B$3:$M$36,12,FALSE())*AI$1)</f>
        <v>0</v>
      </c>
      <c r="EP113" s="92">
        <f>IF(AZ113="",0,VLOOKUP(N113,Tables!$B$3:$M$36,12,FALSE())*AJ$1)</f>
        <v>0</v>
      </c>
      <c r="EQ113" s="92">
        <f>IF(BA113="",0,VLOOKUP(O113,Tables!$B$3:$M$36,12,FALSE())*AK$1)</f>
        <v>0</v>
      </c>
      <c r="ER113" s="93">
        <f>IF(BB113="",0,VLOOKUP(P113,Tables!$B$3:$M$36,12,FALSE())*AL$1)</f>
        <v>0</v>
      </c>
      <c r="ES113" s="94">
        <f t="shared" si="111"/>
        <v>0</v>
      </c>
      <c r="ET113" s="95">
        <f>IF(AN113="",10,MIN(VLOOKUP(B113,MATERIAL,13,FALSE()),'Item Builder'!$W113))</f>
        <v>0</v>
      </c>
      <c r="EU113" s="95">
        <f>IF(AO113="",10,MIN(VLOOKUP(C113,MATERIAL,13,FALSE()),'Item Builder'!$W113))</f>
        <v>10</v>
      </c>
      <c r="EV113" s="95">
        <f>IF(AP113="",10,MIN(VLOOKUP(D113,MATERIAL,13,FALSE()),'Item Builder'!$W113))</f>
        <v>10</v>
      </c>
      <c r="EW113" s="95">
        <f>IF(AQ113="",10,MIN(VLOOKUP(E113,MATERIAL,13,FALSE()),'Item Builder'!$W113))</f>
        <v>10</v>
      </c>
      <c r="EX113" s="95">
        <f>IF(AR113="",10,MIN(VLOOKUP(F113,MATERIAL,13,FALSE()),'Item Builder'!$W113))</f>
        <v>10</v>
      </c>
      <c r="EY113" s="95">
        <f>IF(AS113="",10,MIN(VLOOKUP(G113,MATERIAL,13,FALSE()),'Item Builder'!$W113))</f>
        <v>10</v>
      </c>
      <c r="EZ113" s="95">
        <f>IF(AT113="",10,MIN(VLOOKUP(H113,MATERIAL,13,FALSE()),'Item Builder'!$W113))</f>
        <v>10</v>
      </c>
      <c r="FA113" s="95">
        <f>IF(AU113="",10,MIN(VLOOKUP(I113,MATERIAL,13,FALSE()),'Item Builder'!$W113))</f>
        <v>10</v>
      </c>
      <c r="FB113" s="95">
        <f>IF(AV113="",10,MIN(VLOOKUP(J113,MATERIAL,13,FALSE()),'Item Builder'!$W113))</f>
        <v>10</v>
      </c>
      <c r="FC113" s="95">
        <f>IF(AW113="",10,MIN(VLOOKUP(K113,MATERIAL,13,FALSE()),'Item Builder'!$W113))</f>
        <v>10</v>
      </c>
      <c r="FD113" s="95">
        <f>IF(AX113="",10,MIN(VLOOKUP(L113,MATERIAL,13,FALSE()),'Item Builder'!$W113))</f>
        <v>10</v>
      </c>
      <c r="FE113" s="95">
        <f>IF(AY113="",10,MIN(VLOOKUP(M113,MATERIAL,13,FALSE()),'Item Builder'!$W113))</f>
        <v>10</v>
      </c>
      <c r="FF113" s="95">
        <f>IF(AZ113="",10,MIN(VLOOKUP(N113,MATERIAL,13,FALSE()),'Item Builder'!$W113))</f>
        <v>10</v>
      </c>
      <c r="FG113" s="95">
        <f>IF(BA113="",10,MIN(VLOOKUP(O113,MATERIAL,13,FALSE()),'Item Builder'!$W113))</f>
        <v>10</v>
      </c>
      <c r="FH113" s="95">
        <f>IF(BB113="",10,MIN(VLOOKUP(P113,MATERIAL,13,FALSE()),'Item Builder'!$W113))</f>
        <v>10</v>
      </c>
    </row>
    <row r="114" spans="1:164" x14ac:dyDescent="0.25">
      <c r="A114" s="67" t="s">
        <v>254</v>
      </c>
      <c r="B114" s="68" t="s">
        <v>161</v>
      </c>
      <c r="C114" s="69"/>
      <c r="D114" s="70" t="s">
        <v>161</v>
      </c>
      <c r="E114" s="68"/>
      <c r="F114" s="69"/>
      <c r="G114" s="69"/>
      <c r="H114" s="69"/>
      <c r="I114" s="70"/>
      <c r="J114" s="68"/>
      <c r="K114" s="69"/>
      <c r="L114" s="70"/>
      <c r="M114" s="68"/>
      <c r="N114" s="69"/>
      <c r="O114" s="69"/>
      <c r="P114" s="71"/>
      <c r="Q114" s="72">
        <f>SUM(BV114:CJ114)*VLOOKUP(W114,Tables!$W$3:$Z$8,4)</f>
        <v>4.8000000000000007</v>
      </c>
      <c r="R114" s="73">
        <f t="shared" si="56"/>
        <v>0.15000000000000002</v>
      </c>
      <c r="S114" s="74">
        <f t="shared" si="57"/>
        <v>0</v>
      </c>
      <c r="T114" s="74">
        <f t="shared" si="58"/>
        <v>5</v>
      </c>
      <c r="U114" s="75">
        <f t="shared" si="59"/>
        <v>1.2000000000000002</v>
      </c>
      <c r="V114" s="76">
        <f t="shared" si="60"/>
        <v>3.5999999999999996</v>
      </c>
      <c r="W114" s="77">
        <v>0</v>
      </c>
      <c r="X114" s="78">
        <f t="shared" si="61"/>
        <v>1</v>
      </c>
      <c r="Y114" s="79">
        <f t="shared" si="62"/>
        <v>0</v>
      </c>
      <c r="Z114" s="79">
        <f t="shared" si="63"/>
        <v>1</v>
      </c>
      <c r="AA114" s="78">
        <f t="shared" si="64"/>
        <v>0</v>
      </c>
      <c r="AB114" s="79">
        <f t="shared" si="65"/>
        <v>0</v>
      </c>
      <c r="AC114" s="79">
        <f t="shared" si="66"/>
        <v>0</v>
      </c>
      <c r="AD114" s="79">
        <f t="shared" si="67"/>
        <v>0</v>
      </c>
      <c r="AE114" s="79">
        <f t="shared" si="68"/>
        <v>0</v>
      </c>
      <c r="AF114" s="78">
        <f t="shared" si="69"/>
        <v>0</v>
      </c>
      <c r="AG114" s="79">
        <f t="shared" si="70"/>
        <v>0</v>
      </c>
      <c r="AH114" s="79">
        <f t="shared" si="71"/>
        <v>0</v>
      </c>
      <c r="AI114" s="78">
        <f t="shared" si="72"/>
        <v>0</v>
      </c>
      <c r="AJ114" s="79">
        <f t="shared" si="73"/>
        <v>0</v>
      </c>
      <c r="AK114" s="79">
        <f t="shared" si="74"/>
        <v>0</v>
      </c>
      <c r="AL114" s="80">
        <f t="shared" si="75"/>
        <v>0</v>
      </c>
      <c r="AM114" s="81">
        <f t="shared" si="76"/>
        <v>0.06</v>
      </c>
      <c r="AN114" s="82" t="str">
        <f t="shared" si="77"/>
        <v>X</v>
      </c>
      <c r="AO114" s="79" t="str">
        <f t="shared" si="78"/>
        <v/>
      </c>
      <c r="AP114" t="str">
        <f t="shared" si="79"/>
        <v>X</v>
      </c>
      <c r="AQ114" s="82" t="str">
        <f t="shared" si="80"/>
        <v/>
      </c>
      <c r="AR114" t="str">
        <f t="shared" si="81"/>
        <v/>
      </c>
      <c r="AS114" t="str">
        <f t="shared" si="82"/>
        <v/>
      </c>
      <c r="AT114" t="str">
        <f t="shared" si="83"/>
        <v/>
      </c>
      <c r="AU114" t="str">
        <f t="shared" si="84"/>
        <v/>
      </c>
      <c r="AV114" s="82" t="str">
        <f t="shared" si="85"/>
        <v/>
      </c>
      <c r="AW114" t="str">
        <f t="shared" si="86"/>
        <v/>
      </c>
      <c r="AX114" t="str">
        <f t="shared" si="87"/>
        <v/>
      </c>
      <c r="AY114" s="82" t="str">
        <f t="shared" si="88"/>
        <v/>
      </c>
      <c r="AZ114" t="str">
        <f t="shared" si="89"/>
        <v/>
      </c>
      <c r="BA114" t="str">
        <f t="shared" si="90"/>
        <v/>
      </c>
      <c r="BB114" s="83" t="str">
        <f t="shared" si="91"/>
        <v/>
      </c>
      <c r="BC114" s="84">
        <f t="shared" si="92"/>
        <v>0.66666666666666652</v>
      </c>
      <c r="BD114" s="84">
        <f t="shared" si="93"/>
        <v>0</v>
      </c>
      <c r="BE114" s="84">
        <f t="shared" si="94"/>
        <v>0</v>
      </c>
      <c r="BF114" s="84">
        <f t="shared" si="95"/>
        <v>0</v>
      </c>
      <c r="BG114" s="78">
        <f>IF(AN114="",0,VLOOKUP(AN114,Tables!$AB$3:$AC$12,2))</f>
        <v>1</v>
      </c>
      <c r="BH114" s="79">
        <f>IF(AO114="",0,VLOOKUP(AO114,Tables!$AB$3:$AC$12,2))</f>
        <v>0</v>
      </c>
      <c r="BI114" s="79">
        <f>IF(AP114="",0,VLOOKUP(AP114,Tables!$AB$3:$AC$12,2))</f>
        <v>1</v>
      </c>
      <c r="BJ114" s="78">
        <f>IF(AQ114="",0,VLOOKUP(AQ114,Tables!$AB$3:$AC$12,2))</f>
        <v>0</v>
      </c>
      <c r="BK114" s="79">
        <f>IF(AR114="",0,VLOOKUP(AR114,Tables!$AB$3:$AC$12,2))</f>
        <v>0</v>
      </c>
      <c r="BL114" s="79">
        <f>IF(AS114="",0,VLOOKUP(AS114,Tables!$AB$3:$AC$12,2))</f>
        <v>0</v>
      </c>
      <c r="BM114" s="79">
        <f>IF(AT114="",0,VLOOKUP(AT114,Tables!$AB$3:$AC$12,2))</f>
        <v>0</v>
      </c>
      <c r="BN114" s="79">
        <f>IF(AU114="",0,VLOOKUP(AU114,Tables!$AB$3:$AC$12,2))</f>
        <v>0</v>
      </c>
      <c r="BO114" s="78">
        <f>IF(AV114="",0,VLOOKUP(AV114,Tables!$AB$3:$AC$12,2))</f>
        <v>0</v>
      </c>
      <c r="BP114" s="79">
        <f>IF(AW114="",0,VLOOKUP(AW114,Tables!$AB$3:$AC$12,2))</f>
        <v>0</v>
      </c>
      <c r="BQ114" s="79">
        <f>IF(AX114="",0,VLOOKUP(AX114,Tables!$AB$3:$AC$12,2))</f>
        <v>0</v>
      </c>
      <c r="BR114" s="78">
        <f>IF(AY114="",0,VLOOKUP(AY114,Tables!$AB$3:$AC$12,2))</f>
        <v>0</v>
      </c>
      <c r="BS114" s="79">
        <f>IF(AZ114="",0,VLOOKUP(AZ114,Tables!$AB$3:$AC$12,2))</f>
        <v>0</v>
      </c>
      <c r="BT114" s="79">
        <f>IF(BA114="",0,VLOOKUP(BA114,Tables!$AB$3:$AC$12,2))</f>
        <v>0</v>
      </c>
      <c r="BU114" s="80">
        <f>IF(BB114="",0,VLOOKUP(BB114,Tables!$AB$3:$AC$12,2))</f>
        <v>0</v>
      </c>
      <c r="BV114" s="85">
        <f>IF(AN114="",0,VLOOKUP(B114,Tables!$B$3:$D$36,2,FALSE())*X$1)</f>
        <v>3.2</v>
      </c>
      <c r="BW114" s="72">
        <f>IF(AO114="",0,VLOOKUP(C114,Tables!$B$3:$D$36,2,FALSE())*Y$1)</f>
        <v>0</v>
      </c>
      <c r="BX114" s="72">
        <f>IF(AP114="",0,VLOOKUP(D114,Tables!$B$3:$D$36,2,FALSE())*Z$1)</f>
        <v>1.6</v>
      </c>
      <c r="BY114" s="85">
        <f>IF(AQ114="",0,VLOOKUP(E114,Tables!$B$3:$D$36,2,FALSE())*AA$1)</f>
        <v>0</v>
      </c>
      <c r="BZ114" s="72">
        <f>IF(AR114="",0,VLOOKUP(F114,Tables!$B$3:$D$36,2,FALSE())*AB$1)</f>
        <v>0</v>
      </c>
      <c r="CA114" s="72">
        <f>IF(AS114="",0,VLOOKUP(G114,Tables!$B$3:$D$36,2,FALSE())*AC$1)</f>
        <v>0</v>
      </c>
      <c r="CB114" s="72">
        <f>IF(AT114="",0,VLOOKUP(H114,Tables!$B$3:$D$36,2,FALSE())*AD$1)</f>
        <v>0</v>
      </c>
      <c r="CC114" s="72">
        <f>IF(AU114="",0,VLOOKUP(I114,Tables!$B$3:$D$36,2,FALSE())*AE$1)</f>
        <v>0</v>
      </c>
      <c r="CD114" s="85">
        <f>IF(AV114="",0,VLOOKUP(J114,Tables!$B$3:$D$36,2,FALSE())*AF$1)</f>
        <v>0</v>
      </c>
      <c r="CE114" s="72">
        <f>IF(AW114="",0,VLOOKUP(K114,Tables!$B$3:$D$36,2,FALSE())*AG$1)</f>
        <v>0</v>
      </c>
      <c r="CF114" s="72">
        <f>IF(AX114="",0,VLOOKUP(L114,Tables!$B$3:$D$36,2,FALSE())*AH$1)</f>
        <v>0</v>
      </c>
      <c r="CG114" s="85">
        <f>IF(AY114="",0,VLOOKUP(M114,Tables!$B$3:$D$36,2,FALSE())*AI$1)</f>
        <v>0</v>
      </c>
      <c r="CH114" s="72">
        <f>IF(AZ114="",0,VLOOKUP(N114,Tables!$B$3:$D$36,2,FALSE())*AJ$1)</f>
        <v>0</v>
      </c>
      <c r="CI114" s="72">
        <f>IF(BA114="",0,VLOOKUP(O114,Tables!$B$3:$D$36,2,FALSE())*AK$1)</f>
        <v>0</v>
      </c>
      <c r="CJ114" s="86">
        <f>IF(BB114="",0,VLOOKUP(P114,Tables!$B$3:$D$36,2,FALSE())*AL$1)</f>
        <v>0</v>
      </c>
      <c r="CK114" s="87">
        <f>IF(AN114="",0,VLOOKUP(B114,Tables!$B$3:$D$36,3,FALSE())*X$1)*IF(OR(AN114="K",AN114="P"),2,1)</f>
        <v>0.1</v>
      </c>
      <c r="CL114" s="73">
        <f>IF(AO114="",0,VLOOKUP(C114,Tables!$B$3:$D$36,3,FALSE())*Y$1)*IF(OR(AO114="K",AO114="P"),2,1)</f>
        <v>0</v>
      </c>
      <c r="CM114" s="73">
        <f>IF(AP114="",0,VLOOKUP(D114,Tables!$B$3:$D$36,3,FALSE())*Z$1)*IF(OR(AP114="K",AP114="P"),2,1)</f>
        <v>0.05</v>
      </c>
      <c r="CN114" s="87">
        <f>IF(AQ114="",0,VLOOKUP(E114,Tables!$B$3:$D$36,3,FALSE())*AA$1)</f>
        <v>0</v>
      </c>
      <c r="CO114" s="73">
        <f>IF(AR114="",0,VLOOKUP(F114,Tables!$B$3:$D$36,3,FALSE())*AB$1)</f>
        <v>0</v>
      </c>
      <c r="CP114" s="73">
        <f>IF(AS114="",0,VLOOKUP(G114,Tables!$B$3:$D$36,3,FALSE())*AC$1)</f>
        <v>0</v>
      </c>
      <c r="CQ114" s="73">
        <f>IF(AT114="",0,VLOOKUP(H114,Tables!$B$3:$D$36,3,FALSE())*AD$1)</f>
        <v>0</v>
      </c>
      <c r="CR114" s="73">
        <f>IF(AU114="",0,VLOOKUP(I114,Tables!$B$3:$D$36,3,FALSE())*AE$1)</f>
        <v>0</v>
      </c>
      <c r="CS114" s="87">
        <f>IF(AV114="",0,VLOOKUP(J114,Tables!$B$3:$D$36,3,FALSE())*AF$1)</f>
        <v>0</v>
      </c>
      <c r="CT114" s="73">
        <f>IF(AW114="",0,VLOOKUP(K114,Tables!$B$3:$D$36,3,FALSE())*AG$1)</f>
        <v>0</v>
      </c>
      <c r="CU114" s="73">
        <f>IF(AX114="",0,VLOOKUP(L114,Tables!$B$3:$D$36,3,FALSE())*AH$1)</f>
        <v>0</v>
      </c>
      <c r="CV114" s="87">
        <f>IF(AY114="",0,VLOOKUP(M114,Tables!$B$3:$D$36,3,FALSE())*AI$1)</f>
        <v>0</v>
      </c>
      <c r="CW114" s="73">
        <f>IF(AZ114="",0,VLOOKUP(N114,Tables!$B$3:$D$36,3,FALSE())*AJ$1)</f>
        <v>0</v>
      </c>
      <c r="CX114" s="73">
        <f>IF(BA114="",0,VLOOKUP(O114,Tables!$B$3:$D$36,3,FALSE())*AK$1)</f>
        <v>0</v>
      </c>
      <c r="CY114" s="88">
        <f>IF(BB114="",0,VLOOKUP(P114,Tables!$B$3:$D$36,3,FALSE())*AL$1)</f>
        <v>0</v>
      </c>
      <c r="CZ114" s="89">
        <f t="shared" si="96"/>
        <v>1</v>
      </c>
      <c r="DA114" s="75">
        <f t="shared" si="97"/>
        <v>0</v>
      </c>
      <c r="DB114" s="75">
        <f t="shared" si="98"/>
        <v>1</v>
      </c>
      <c r="DC114" s="89">
        <f t="shared" si="99"/>
        <v>0</v>
      </c>
      <c r="DD114" s="75">
        <f t="shared" si="100"/>
        <v>0</v>
      </c>
      <c r="DE114" s="75">
        <f t="shared" si="101"/>
        <v>0</v>
      </c>
      <c r="DF114" s="75">
        <f t="shared" si="102"/>
        <v>0</v>
      </c>
      <c r="DG114" s="75">
        <f t="shared" si="103"/>
        <v>0</v>
      </c>
      <c r="DH114" s="89">
        <f t="shared" si="104"/>
        <v>0</v>
      </c>
      <c r="DI114" s="75">
        <f t="shared" si="105"/>
        <v>0</v>
      </c>
      <c r="DJ114" s="75">
        <f t="shared" si="106"/>
        <v>0</v>
      </c>
      <c r="DK114" s="89">
        <f t="shared" si="107"/>
        <v>0</v>
      </c>
      <c r="DL114" s="75">
        <f t="shared" si="108"/>
        <v>0</v>
      </c>
      <c r="DM114" s="75">
        <f t="shared" si="109"/>
        <v>0</v>
      </c>
      <c r="DN114" s="90">
        <f t="shared" si="110"/>
        <v>0</v>
      </c>
      <c r="DO114" s="91">
        <f>IF(AN114="",0,VLOOKUP(B114,Tables!$B$3:$M$36,11,FALSE())*X$1)</f>
        <v>0.8</v>
      </c>
      <c r="DP114" s="92">
        <f>IF(AO114="",0,VLOOKUP(C114,Tables!$B$3:$M$36,11,FALSE())*Y$1)</f>
        <v>0</v>
      </c>
      <c r="DQ114" s="92">
        <f>IF(AP114="",0,VLOOKUP(D114,Tables!$B$3:$M$36,11,FALSE())*Z$1)</f>
        <v>0.4</v>
      </c>
      <c r="DR114" s="91">
        <f>IF(AQ114="",0,VLOOKUP(E114,Tables!$B$3:$M$36,11,FALSE())*AA$1)</f>
        <v>0</v>
      </c>
      <c r="DS114" s="92">
        <f>IF(AR114="",0,VLOOKUP(F114,Tables!$B$3:$M$36,11,FALSE())*AB$1)</f>
        <v>0</v>
      </c>
      <c r="DT114" s="92">
        <f>IF(AS114="",0,VLOOKUP(G114,Tables!$B$3:$M$36,11,FALSE())*AC$1)</f>
        <v>0</v>
      </c>
      <c r="DU114" s="92">
        <f>IF(AT114="",0,VLOOKUP(H114,Tables!$B$3:$M$36,11,FALSE())*AD$1)</f>
        <v>0</v>
      </c>
      <c r="DV114" s="92">
        <f>IF(AU114="",0,VLOOKUP(I114,Tables!$B$3:$M$36,11,FALSE())*AE$1)</f>
        <v>0</v>
      </c>
      <c r="DW114" s="91">
        <f>IF(AV114="",0,VLOOKUP(J114,Tables!$B$3:$M$36,11,FALSE())*AF$1)</f>
        <v>0</v>
      </c>
      <c r="DX114" s="92">
        <f>IF(AW114="",0,VLOOKUP(K114,Tables!$B$3:$M$36,11,FALSE())*AG$1)</f>
        <v>0</v>
      </c>
      <c r="DY114" s="92">
        <f>IF(AX114="",0,VLOOKUP(L114,Tables!$B$3:$M$36,11,FALSE())*AH$1)</f>
        <v>0</v>
      </c>
      <c r="DZ114" s="91">
        <f>IF(AY114="",0,VLOOKUP(M114,Tables!$B$3:$M$36,11,FALSE())*AI$1)</f>
        <v>0</v>
      </c>
      <c r="EA114" s="92">
        <f>IF(AZ114="",0,VLOOKUP(N114,Tables!$B$3:$M$36,11,FALSE())*AJ$1)</f>
        <v>0</v>
      </c>
      <c r="EB114" s="92">
        <f>IF(BA114="",0,VLOOKUP(O114,Tables!$B$3:$M$36,11,FALSE())*AK$1)</f>
        <v>0</v>
      </c>
      <c r="EC114" s="93">
        <f>IF(BB114="",0,VLOOKUP(P114,Tables!$B$3:$M$36,11,FALSE())*AL$1)</f>
        <v>0</v>
      </c>
      <c r="ED114" s="91">
        <f>IF(AN114="",0,VLOOKUP(B114,Tables!$B$3:$M$36,12,FALSE())*X$1)</f>
        <v>2.4</v>
      </c>
      <c r="EE114" s="92">
        <f>IF(AO114="",0,VLOOKUP(C114,Tables!$B$3:$M$36,12,FALSE())*Y$1)</f>
        <v>0</v>
      </c>
      <c r="EF114" s="92">
        <f>IF(AP114="",0,VLOOKUP(D114,Tables!$B$3:$M$36,12,FALSE())*Z$1)</f>
        <v>1.2</v>
      </c>
      <c r="EG114" s="91">
        <f>IF(AQ114="",0,VLOOKUP(E114,Tables!$B$3:$M$36,12,FALSE())*AA$1)</f>
        <v>0</v>
      </c>
      <c r="EH114" s="92">
        <f>IF(AR114="",0,VLOOKUP(F114,Tables!$B$3:$M$36,12,FALSE())*AB$1)</f>
        <v>0</v>
      </c>
      <c r="EI114" s="92">
        <f>IF(AS114="",0,VLOOKUP(G114,Tables!$B$3:$M$36,12,FALSE())*AC$1)</f>
        <v>0</v>
      </c>
      <c r="EJ114" s="92">
        <f>IF(AT114="",0,VLOOKUP(H114,Tables!$B$3:$M$36,12,FALSE())*AD$1)</f>
        <v>0</v>
      </c>
      <c r="EK114" s="92">
        <f>IF(AU114="",0,VLOOKUP(I114,Tables!$B$3:$M$36,12,FALSE())*AE$1)</f>
        <v>0</v>
      </c>
      <c r="EL114" s="91">
        <f>IF(AV114="",0,VLOOKUP(J114,Tables!$B$3:$M$36,12,FALSE())*AF$1)</f>
        <v>0</v>
      </c>
      <c r="EM114" s="92">
        <f>IF(AW114="",0,VLOOKUP(K114,Tables!$B$3:$M$36,12,FALSE())*AG$1)</f>
        <v>0</v>
      </c>
      <c r="EN114" s="92">
        <f>IF(AX114="",0,VLOOKUP(L114,Tables!$B$3:$M$36,12,FALSE())*AH$1)</f>
        <v>0</v>
      </c>
      <c r="EO114" s="91">
        <f>IF(AY114="",0,VLOOKUP(M114,Tables!$B$3:$M$36,12,FALSE())*AI$1)</f>
        <v>0</v>
      </c>
      <c r="EP114" s="92">
        <f>IF(AZ114="",0,VLOOKUP(N114,Tables!$B$3:$M$36,12,FALSE())*AJ$1)</f>
        <v>0</v>
      </c>
      <c r="EQ114" s="92">
        <f>IF(BA114="",0,VLOOKUP(O114,Tables!$B$3:$M$36,12,FALSE())*AK$1)</f>
        <v>0</v>
      </c>
      <c r="ER114" s="93">
        <f>IF(BB114="",0,VLOOKUP(P114,Tables!$B$3:$M$36,12,FALSE())*AL$1)</f>
        <v>0</v>
      </c>
      <c r="ES114" s="94">
        <f t="shared" si="111"/>
        <v>0</v>
      </c>
      <c r="ET114" s="95">
        <f>IF(AN114="",10,MIN(VLOOKUP(B114,MATERIAL,13,FALSE()),'Item Builder'!$W114))</f>
        <v>0</v>
      </c>
      <c r="EU114" s="95">
        <f>IF(AO114="",10,MIN(VLOOKUP(C114,MATERIAL,13,FALSE()),'Item Builder'!$W114))</f>
        <v>10</v>
      </c>
      <c r="EV114" s="95">
        <f>IF(AP114="",10,MIN(VLOOKUP(D114,MATERIAL,13,FALSE()),'Item Builder'!$W114))</f>
        <v>0</v>
      </c>
      <c r="EW114" s="95">
        <f>IF(AQ114="",10,MIN(VLOOKUP(E114,MATERIAL,13,FALSE()),'Item Builder'!$W114))</f>
        <v>10</v>
      </c>
      <c r="EX114" s="95">
        <f>IF(AR114="",10,MIN(VLOOKUP(F114,MATERIAL,13,FALSE()),'Item Builder'!$W114))</f>
        <v>10</v>
      </c>
      <c r="EY114" s="95">
        <f>IF(AS114="",10,MIN(VLOOKUP(G114,MATERIAL,13,FALSE()),'Item Builder'!$W114))</f>
        <v>10</v>
      </c>
      <c r="EZ114" s="95">
        <f>IF(AT114="",10,MIN(VLOOKUP(H114,MATERIAL,13,FALSE()),'Item Builder'!$W114))</f>
        <v>10</v>
      </c>
      <c r="FA114" s="95">
        <f>IF(AU114="",10,MIN(VLOOKUP(I114,MATERIAL,13,FALSE()),'Item Builder'!$W114))</f>
        <v>10</v>
      </c>
      <c r="FB114" s="95">
        <f>IF(AV114="",10,MIN(VLOOKUP(J114,MATERIAL,13,FALSE()),'Item Builder'!$W114))</f>
        <v>10</v>
      </c>
      <c r="FC114" s="95">
        <f>IF(AW114="",10,MIN(VLOOKUP(K114,MATERIAL,13,FALSE()),'Item Builder'!$W114))</f>
        <v>10</v>
      </c>
      <c r="FD114" s="95">
        <f>IF(AX114="",10,MIN(VLOOKUP(L114,MATERIAL,13,FALSE()),'Item Builder'!$W114))</f>
        <v>10</v>
      </c>
      <c r="FE114" s="95">
        <f>IF(AY114="",10,MIN(VLOOKUP(M114,MATERIAL,13,FALSE()),'Item Builder'!$W114))</f>
        <v>10</v>
      </c>
      <c r="FF114" s="95">
        <f>IF(AZ114="",10,MIN(VLOOKUP(N114,MATERIAL,13,FALSE()),'Item Builder'!$W114))</f>
        <v>10</v>
      </c>
      <c r="FG114" s="95">
        <f>IF(BA114="",10,MIN(VLOOKUP(O114,MATERIAL,13,FALSE()),'Item Builder'!$W114))</f>
        <v>10</v>
      </c>
      <c r="FH114" s="95">
        <f>IF(BB114="",10,MIN(VLOOKUP(P114,MATERIAL,13,FALSE()),'Item Builder'!$W114))</f>
        <v>10</v>
      </c>
    </row>
    <row r="115" spans="1:164" x14ac:dyDescent="0.25">
      <c r="A115" s="67" t="s">
        <v>255</v>
      </c>
      <c r="B115" s="68"/>
      <c r="C115" s="69"/>
      <c r="D115" s="70"/>
      <c r="E115" s="68" t="s">
        <v>161</v>
      </c>
      <c r="F115" s="69" t="s">
        <v>161</v>
      </c>
      <c r="G115" s="69"/>
      <c r="H115" s="69"/>
      <c r="I115" s="70"/>
      <c r="J115" s="68" t="s">
        <v>161</v>
      </c>
      <c r="K115" s="69"/>
      <c r="L115" s="70"/>
      <c r="M115" s="68"/>
      <c r="N115" s="69"/>
      <c r="O115" s="69"/>
      <c r="P115" s="71"/>
      <c r="Q115" s="72">
        <f>SUM(BV115:CJ115)*VLOOKUP(W115,Tables!$W$3:$Z$8,4)</f>
        <v>16.799999999999997</v>
      </c>
      <c r="R115" s="73">
        <f t="shared" si="56"/>
        <v>0.52499999999999991</v>
      </c>
      <c r="S115" s="74">
        <f t="shared" si="57"/>
        <v>0</v>
      </c>
      <c r="T115" s="74">
        <f t="shared" si="58"/>
        <v>0</v>
      </c>
      <c r="U115" s="75">
        <f t="shared" si="59"/>
        <v>4.1999999999999993</v>
      </c>
      <c r="V115" s="76">
        <f t="shared" si="60"/>
        <v>12.599999999999998</v>
      </c>
      <c r="W115" s="77">
        <v>0</v>
      </c>
      <c r="X115" s="78">
        <f t="shared" si="61"/>
        <v>0</v>
      </c>
      <c r="Y115" s="79">
        <f t="shared" si="62"/>
        <v>0</v>
      </c>
      <c r="Z115" s="79">
        <f t="shared" si="63"/>
        <v>0</v>
      </c>
      <c r="AA115" s="78">
        <f t="shared" si="64"/>
        <v>1</v>
      </c>
      <c r="AB115" s="79">
        <f t="shared" si="65"/>
        <v>1</v>
      </c>
      <c r="AC115" s="79">
        <f t="shared" si="66"/>
        <v>0</v>
      </c>
      <c r="AD115" s="79">
        <f t="shared" si="67"/>
        <v>0</v>
      </c>
      <c r="AE115" s="79">
        <f t="shared" si="68"/>
        <v>0</v>
      </c>
      <c r="AF115" s="78">
        <f t="shared" si="69"/>
        <v>1</v>
      </c>
      <c r="AG115" s="79">
        <f t="shared" si="70"/>
        <v>0</v>
      </c>
      <c r="AH115" s="79">
        <f t="shared" si="71"/>
        <v>0</v>
      </c>
      <c r="AI115" s="78">
        <f t="shared" si="72"/>
        <v>0</v>
      </c>
      <c r="AJ115" s="79">
        <f t="shared" si="73"/>
        <v>0</v>
      </c>
      <c r="AK115" s="79">
        <f t="shared" si="74"/>
        <v>0</v>
      </c>
      <c r="AL115" s="80">
        <f t="shared" si="75"/>
        <v>0</v>
      </c>
      <c r="AM115" s="81">
        <f t="shared" si="76"/>
        <v>0.21</v>
      </c>
      <c r="AN115" s="82" t="str">
        <f t="shared" si="77"/>
        <v/>
      </c>
      <c r="AO115" s="79" t="str">
        <f t="shared" si="78"/>
        <v/>
      </c>
      <c r="AP115" t="str">
        <f t="shared" si="79"/>
        <v/>
      </c>
      <c r="AQ115" s="82" t="str">
        <f t="shared" si="80"/>
        <v>X</v>
      </c>
      <c r="AR115" t="str">
        <f t="shared" si="81"/>
        <v>X</v>
      </c>
      <c r="AS115" t="str">
        <f t="shared" si="82"/>
        <v/>
      </c>
      <c r="AT115" t="str">
        <f t="shared" si="83"/>
        <v/>
      </c>
      <c r="AU115" t="str">
        <f t="shared" si="84"/>
        <v/>
      </c>
      <c r="AV115" s="82" t="str">
        <f t="shared" si="85"/>
        <v>X</v>
      </c>
      <c r="AW115" t="str">
        <f t="shared" si="86"/>
        <v/>
      </c>
      <c r="AX115" t="str">
        <f t="shared" si="87"/>
        <v/>
      </c>
      <c r="AY115" s="82" t="str">
        <f t="shared" si="88"/>
        <v/>
      </c>
      <c r="AZ115" t="str">
        <f t="shared" si="89"/>
        <v/>
      </c>
      <c r="BA115" t="str">
        <f t="shared" si="90"/>
        <v/>
      </c>
      <c r="BB115" s="83" t="str">
        <f t="shared" si="91"/>
        <v/>
      </c>
      <c r="BC115" s="84">
        <f t="shared" si="92"/>
        <v>0</v>
      </c>
      <c r="BD115" s="84">
        <f t="shared" si="93"/>
        <v>0.42857142857142849</v>
      </c>
      <c r="BE115" s="84">
        <f t="shared" si="94"/>
        <v>0.35294117647058826</v>
      </c>
      <c r="BF115" s="84">
        <f t="shared" si="95"/>
        <v>0</v>
      </c>
      <c r="BG115" s="78">
        <f>IF(AN115="",0,VLOOKUP(AN115,Tables!$AB$3:$AC$12,2))</f>
        <v>0</v>
      </c>
      <c r="BH115" s="79">
        <f>IF(AO115="",0,VLOOKUP(AO115,Tables!$AB$3:$AC$12,2))</f>
        <v>0</v>
      </c>
      <c r="BI115" s="79">
        <f>IF(AP115="",0,VLOOKUP(AP115,Tables!$AB$3:$AC$12,2))</f>
        <v>0</v>
      </c>
      <c r="BJ115" s="78">
        <f>IF(AQ115="",0,VLOOKUP(AQ115,Tables!$AB$3:$AC$12,2))</f>
        <v>1</v>
      </c>
      <c r="BK115" s="79">
        <f>IF(AR115="",0,VLOOKUP(AR115,Tables!$AB$3:$AC$12,2))</f>
        <v>1</v>
      </c>
      <c r="BL115" s="79">
        <f>IF(AS115="",0,VLOOKUP(AS115,Tables!$AB$3:$AC$12,2))</f>
        <v>0</v>
      </c>
      <c r="BM115" s="79">
        <f>IF(AT115="",0,VLOOKUP(AT115,Tables!$AB$3:$AC$12,2))</f>
        <v>0</v>
      </c>
      <c r="BN115" s="79">
        <f>IF(AU115="",0,VLOOKUP(AU115,Tables!$AB$3:$AC$12,2))</f>
        <v>0</v>
      </c>
      <c r="BO115" s="78">
        <f>IF(AV115="",0,VLOOKUP(AV115,Tables!$AB$3:$AC$12,2))</f>
        <v>1</v>
      </c>
      <c r="BP115" s="79">
        <f>IF(AW115="",0,VLOOKUP(AW115,Tables!$AB$3:$AC$12,2))</f>
        <v>0</v>
      </c>
      <c r="BQ115" s="79">
        <f>IF(AX115="",0,VLOOKUP(AX115,Tables!$AB$3:$AC$12,2))</f>
        <v>0</v>
      </c>
      <c r="BR115" s="78">
        <f>IF(AY115="",0,VLOOKUP(AY115,Tables!$AB$3:$AC$12,2))</f>
        <v>0</v>
      </c>
      <c r="BS115" s="79">
        <f>IF(AZ115="",0,VLOOKUP(AZ115,Tables!$AB$3:$AC$12,2))</f>
        <v>0</v>
      </c>
      <c r="BT115" s="79">
        <f>IF(BA115="",0,VLOOKUP(BA115,Tables!$AB$3:$AC$12,2))</f>
        <v>0</v>
      </c>
      <c r="BU115" s="80">
        <f>IF(BB115="",0,VLOOKUP(BB115,Tables!$AB$3:$AC$12,2))</f>
        <v>0</v>
      </c>
      <c r="BV115" s="85">
        <f>IF(AN115="",0,VLOOKUP(B115,Tables!$B$3:$D$36,2,FALSE())*X$1)</f>
        <v>0</v>
      </c>
      <c r="BW115" s="72">
        <f>IF(AO115="",0,VLOOKUP(C115,Tables!$B$3:$D$36,2,FALSE())*Y$1)</f>
        <v>0</v>
      </c>
      <c r="BX115" s="72">
        <f>IF(AP115="",0,VLOOKUP(D115,Tables!$B$3:$D$36,2,FALSE())*Z$1)</f>
        <v>0</v>
      </c>
      <c r="BY115" s="85">
        <f>IF(AQ115="",0,VLOOKUP(E115,Tables!$B$3:$D$36,2,FALSE())*AA$1)</f>
        <v>2.4</v>
      </c>
      <c r="BZ115" s="72">
        <f>IF(AR115="",0,VLOOKUP(F115,Tables!$B$3:$D$36,2,FALSE())*AB$1)</f>
        <v>4.8</v>
      </c>
      <c r="CA115" s="72">
        <f>IF(AS115="",0,VLOOKUP(G115,Tables!$B$3:$D$36,2,FALSE())*AC$1)</f>
        <v>0</v>
      </c>
      <c r="CB115" s="72">
        <f>IF(AT115="",0,VLOOKUP(H115,Tables!$B$3:$D$36,2,FALSE())*AD$1)</f>
        <v>0</v>
      </c>
      <c r="CC115" s="72">
        <f>IF(AU115="",0,VLOOKUP(I115,Tables!$B$3:$D$36,2,FALSE())*AE$1)</f>
        <v>0</v>
      </c>
      <c r="CD115" s="85">
        <f>IF(AV115="",0,VLOOKUP(J115,Tables!$B$3:$D$36,2,FALSE())*AF$1)</f>
        <v>9.6</v>
      </c>
      <c r="CE115" s="72">
        <f>IF(AW115="",0,VLOOKUP(K115,Tables!$B$3:$D$36,2,FALSE())*AG$1)</f>
        <v>0</v>
      </c>
      <c r="CF115" s="72">
        <f>IF(AX115="",0,VLOOKUP(L115,Tables!$B$3:$D$36,2,FALSE())*AH$1)</f>
        <v>0</v>
      </c>
      <c r="CG115" s="85">
        <f>IF(AY115="",0,VLOOKUP(M115,Tables!$B$3:$D$36,2,FALSE())*AI$1)</f>
        <v>0</v>
      </c>
      <c r="CH115" s="72">
        <f>IF(AZ115="",0,VLOOKUP(N115,Tables!$B$3:$D$36,2,FALSE())*AJ$1)</f>
        <v>0</v>
      </c>
      <c r="CI115" s="72">
        <f>IF(BA115="",0,VLOOKUP(O115,Tables!$B$3:$D$36,2,FALSE())*AK$1)</f>
        <v>0</v>
      </c>
      <c r="CJ115" s="86">
        <f>IF(BB115="",0,VLOOKUP(P115,Tables!$B$3:$D$36,2,FALSE())*AL$1)</f>
        <v>0</v>
      </c>
      <c r="CK115" s="87">
        <f>IF(AN115="",0,VLOOKUP(B115,Tables!$B$3:$D$36,3,FALSE())*X$1)*IF(OR(AN115="K",AN115="P"),2,1)</f>
        <v>0</v>
      </c>
      <c r="CL115" s="73">
        <f>IF(AO115="",0,VLOOKUP(C115,Tables!$B$3:$D$36,3,FALSE())*Y$1)*IF(OR(AO115="K",AO115="P"),2,1)</f>
        <v>0</v>
      </c>
      <c r="CM115" s="73">
        <f>IF(AP115="",0,VLOOKUP(D115,Tables!$B$3:$D$36,3,FALSE())*Z$1)*IF(OR(AP115="K",AP115="P"),2,1)</f>
        <v>0</v>
      </c>
      <c r="CN115" s="87">
        <f>IF(AQ115="",0,VLOOKUP(E115,Tables!$B$3:$D$36,3,FALSE())*AA$1)</f>
        <v>7.4999999999999997E-2</v>
      </c>
      <c r="CO115" s="73">
        <f>IF(AR115="",0,VLOOKUP(F115,Tables!$B$3:$D$36,3,FALSE())*AB$1)</f>
        <v>0.15</v>
      </c>
      <c r="CP115" s="73">
        <f>IF(AS115="",0,VLOOKUP(G115,Tables!$B$3:$D$36,3,FALSE())*AC$1)</f>
        <v>0</v>
      </c>
      <c r="CQ115" s="73">
        <f>IF(AT115="",0,VLOOKUP(H115,Tables!$B$3:$D$36,3,FALSE())*AD$1)</f>
        <v>0</v>
      </c>
      <c r="CR115" s="73">
        <f>IF(AU115="",0,VLOOKUP(I115,Tables!$B$3:$D$36,3,FALSE())*AE$1)</f>
        <v>0</v>
      </c>
      <c r="CS115" s="87">
        <f>IF(AV115="",0,VLOOKUP(J115,Tables!$B$3:$D$36,3,FALSE())*AF$1)</f>
        <v>0.3</v>
      </c>
      <c r="CT115" s="73">
        <f>IF(AW115="",0,VLOOKUP(K115,Tables!$B$3:$D$36,3,FALSE())*AG$1)</f>
        <v>0</v>
      </c>
      <c r="CU115" s="73">
        <f>IF(AX115="",0,VLOOKUP(L115,Tables!$B$3:$D$36,3,FALSE())*AH$1)</f>
        <v>0</v>
      </c>
      <c r="CV115" s="87">
        <f>IF(AY115="",0,VLOOKUP(M115,Tables!$B$3:$D$36,3,FALSE())*AI$1)</f>
        <v>0</v>
      </c>
      <c r="CW115" s="73">
        <f>IF(AZ115="",0,VLOOKUP(N115,Tables!$B$3:$D$36,3,FALSE())*AJ$1)</f>
        <v>0</v>
      </c>
      <c r="CX115" s="73">
        <f>IF(BA115="",0,VLOOKUP(O115,Tables!$B$3:$D$36,3,FALSE())*AK$1)</f>
        <v>0</v>
      </c>
      <c r="CY115" s="88">
        <f>IF(BB115="",0,VLOOKUP(P115,Tables!$B$3:$D$36,3,FALSE())*AL$1)</f>
        <v>0</v>
      </c>
      <c r="CZ115" s="89">
        <f t="shared" si="96"/>
        <v>0</v>
      </c>
      <c r="DA115" s="75">
        <f t="shared" si="97"/>
        <v>0</v>
      </c>
      <c r="DB115" s="75">
        <f t="shared" si="98"/>
        <v>0</v>
      </c>
      <c r="DC115" s="89">
        <f t="shared" si="99"/>
        <v>1</v>
      </c>
      <c r="DD115" s="75">
        <f t="shared" si="100"/>
        <v>1</v>
      </c>
      <c r="DE115" s="75">
        <f t="shared" si="101"/>
        <v>0</v>
      </c>
      <c r="DF115" s="75">
        <f t="shared" si="102"/>
        <v>0</v>
      </c>
      <c r="DG115" s="75">
        <f t="shared" si="103"/>
        <v>0</v>
      </c>
      <c r="DH115" s="89">
        <f t="shared" si="104"/>
        <v>1</v>
      </c>
      <c r="DI115" s="75">
        <f t="shared" si="105"/>
        <v>0</v>
      </c>
      <c r="DJ115" s="75">
        <f t="shared" si="106"/>
        <v>0</v>
      </c>
      <c r="DK115" s="89">
        <f t="shared" si="107"/>
        <v>0</v>
      </c>
      <c r="DL115" s="75">
        <f t="shared" si="108"/>
        <v>0</v>
      </c>
      <c r="DM115" s="75">
        <f t="shared" si="109"/>
        <v>0</v>
      </c>
      <c r="DN115" s="90">
        <f t="shared" si="110"/>
        <v>0</v>
      </c>
      <c r="DO115" s="91">
        <f>IF(AN115="",0,VLOOKUP(B115,Tables!$B$3:$M$36,11,FALSE())*X$1)</f>
        <v>0</v>
      </c>
      <c r="DP115" s="92">
        <f>IF(AO115="",0,VLOOKUP(C115,Tables!$B$3:$M$36,11,FALSE())*Y$1)</f>
        <v>0</v>
      </c>
      <c r="DQ115" s="92">
        <f>IF(AP115="",0,VLOOKUP(D115,Tables!$B$3:$M$36,11,FALSE())*Z$1)</f>
        <v>0</v>
      </c>
      <c r="DR115" s="91">
        <f>IF(AQ115="",0,VLOOKUP(E115,Tables!$B$3:$M$36,11,FALSE())*AA$1)</f>
        <v>0.6</v>
      </c>
      <c r="DS115" s="92">
        <f>IF(AR115="",0,VLOOKUP(F115,Tables!$B$3:$M$36,11,FALSE())*AB$1)</f>
        <v>1.2</v>
      </c>
      <c r="DT115" s="92">
        <f>IF(AS115="",0,VLOOKUP(G115,Tables!$B$3:$M$36,11,FALSE())*AC$1)</f>
        <v>0</v>
      </c>
      <c r="DU115" s="92">
        <f>IF(AT115="",0,VLOOKUP(H115,Tables!$B$3:$M$36,11,FALSE())*AD$1)</f>
        <v>0</v>
      </c>
      <c r="DV115" s="92">
        <f>IF(AU115="",0,VLOOKUP(I115,Tables!$B$3:$M$36,11,FALSE())*AE$1)</f>
        <v>0</v>
      </c>
      <c r="DW115" s="91">
        <f>IF(AV115="",0,VLOOKUP(J115,Tables!$B$3:$M$36,11,FALSE())*AF$1)</f>
        <v>2.4</v>
      </c>
      <c r="DX115" s="92">
        <f>IF(AW115="",0,VLOOKUP(K115,Tables!$B$3:$M$36,11,FALSE())*AG$1)</f>
        <v>0</v>
      </c>
      <c r="DY115" s="92">
        <f>IF(AX115="",0,VLOOKUP(L115,Tables!$B$3:$M$36,11,FALSE())*AH$1)</f>
        <v>0</v>
      </c>
      <c r="DZ115" s="91">
        <f>IF(AY115="",0,VLOOKUP(M115,Tables!$B$3:$M$36,11,FALSE())*AI$1)</f>
        <v>0</v>
      </c>
      <c r="EA115" s="92">
        <f>IF(AZ115="",0,VLOOKUP(N115,Tables!$B$3:$M$36,11,FALSE())*AJ$1)</f>
        <v>0</v>
      </c>
      <c r="EB115" s="92">
        <f>IF(BA115="",0,VLOOKUP(O115,Tables!$B$3:$M$36,11,FALSE())*AK$1)</f>
        <v>0</v>
      </c>
      <c r="EC115" s="93">
        <f>IF(BB115="",0,VLOOKUP(P115,Tables!$B$3:$M$36,11,FALSE())*AL$1)</f>
        <v>0</v>
      </c>
      <c r="ED115" s="91">
        <f>IF(AN115="",0,VLOOKUP(B115,Tables!$B$3:$M$36,12,FALSE())*X$1)</f>
        <v>0</v>
      </c>
      <c r="EE115" s="92">
        <f>IF(AO115="",0,VLOOKUP(C115,Tables!$B$3:$M$36,12,FALSE())*Y$1)</f>
        <v>0</v>
      </c>
      <c r="EF115" s="92">
        <f>IF(AP115="",0,VLOOKUP(D115,Tables!$B$3:$M$36,12,FALSE())*Z$1)</f>
        <v>0</v>
      </c>
      <c r="EG115" s="91">
        <f>IF(AQ115="",0,VLOOKUP(E115,Tables!$B$3:$M$36,12,FALSE())*AA$1)</f>
        <v>1.7999999999999998</v>
      </c>
      <c r="EH115" s="92">
        <f>IF(AR115="",0,VLOOKUP(F115,Tables!$B$3:$M$36,12,FALSE())*AB$1)</f>
        <v>3.5999999999999996</v>
      </c>
      <c r="EI115" s="92">
        <f>IF(AS115="",0,VLOOKUP(G115,Tables!$B$3:$M$36,12,FALSE())*AC$1)</f>
        <v>0</v>
      </c>
      <c r="EJ115" s="92">
        <f>IF(AT115="",0,VLOOKUP(H115,Tables!$B$3:$M$36,12,FALSE())*AD$1)</f>
        <v>0</v>
      </c>
      <c r="EK115" s="92">
        <f>IF(AU115="",0,VLOOKUP(I115,Tables!$B$3:$M$36,12,FALSE())*AE$1)</f>
        <v>0</v>
      </c>
      <c r="EL115" s="91">
        <f>IF(AV115="",0,VLOOKUP(J115,Tables!$B$3:$M$36,12,FALSE())*AF$1)</f>
        <v>7.1999999999999993</v>
      </c>
      <c r="EM115" s="92">
        <f>IF(AW115="",0,VLOOKUP(K115,Tables!$B$3:$M$36,12,FALSE())*AG$1)</f>
        <v>0</v>
      </c>
      <c r="EN115" s="92">
        <f>IF(AX115="",0,VLOOKUP(L115,Tables!$B$3:$M$36,12,FALSE())*AH$1)</f>
        <v>0</v>
      </c>
      <c r="EO115" s="91">
        <f>IF(AY115="",0,VLOOKUP(M115,Tables!$B$3:$M$36,12,FALSE())*AI$1)</f>
        <v>0</v>
      </c>
      <c r="EP115" s="92">
        <f>IF(AZ115="",0,VLOOKUP(N115,Tables!$B$3:$M$36,12,FALSE())*AJ$1)</f>
        <v>0</v>
      </c>
      <c r="EQ115" s="92">
        <f>IF(BA115="",0,VLOOKUP(O115,Tables!$B$3:$M$36,12,FALSE())*AK$1)</f>
        <v>0</v>
      </c>
      <c r="ER115" s="93">
        <f>IF(BB115="",0,VLOOKUP(P115,Tables!$B$3:$M$36,12,FALSE())*AL$1)</f>
        <v>0</v>
      </c>
      <c r="ES115" s="94">
        <f t="shared" si="111"/>
        <v>0</v>
      </c>
      <c r="ET115" s="95">
        <f>IF(AN115="",10,MIN(VLOOKUP(B115,MATERIAL,13,FALSE()),'Item Builder'!$W115))</f>
        <v>10</v>
      </c>
      <c r="EU115" s="95">
        <f>IF(AO115="",10,MIN(VLOOKUP(C115,MATERIAL,13,FALSE()),'Item Builder'!$W115))</f>
        <v>10</v>
      </c>
      <c r="EV115" s="95">
        <f>IF(AP115="",10,MIN(VLOOKUP(D115,MATERIAL,13,FALSE()),'Item Builder'!$W115))</f>
        <v>10</v>
      </c>
      <c r="EW115" s="95">
        <f>IF(AQ115="",10,MIN(VLOOKUP(E115,MATERIAL,13,FALSE()),'Item Builder'!$W115))</f>
        <v>0</v>
      </c>
      <c r="EX115" s="95">
        <f>IF(AR115="",10,MIN(VLOOKUP(F115,MATERIAL,13,FALSE()),'Item Builder'!$W115))</f>
        <v>0</v>
      </c>
      <c r="EY115" s="95">
        <f>IF(AS115="",10,MIN(VLOOKUP(G115,MATERIAL,13,FALSE()),'Item Builder'!$W115))</f>
        <v>10</v>
      </c>
      <c r="EZ115" s="95">
        <f>IF(AT115="",10,MIN(VLOOKUP(H115,MATERIAL,13,FALSE()),'Item Builder'!$W115))</f>
        <v>10</v>
      </c>
      <c r="FA115" s="95">
        <f>IF(AU115="",10,MIN(VLOOKUP(I115,MATERIAL,13,FALSE()),'Item Builder'!$W115))</f>
        <v>10</v>
      </c>
      <c r="FB115" s="95">
        <f>IF(AV115="",10,MIN(VLOOKUP(J115,MATERIAL,13,FALSE()),'Item Builder'!$W115))</f>
        <v>0</v>
      </c>
      <c r="FC115" s="95">
        <f>IF(AW115="",10,MIN(VLOOKUP(K115,MATERIAL,13,FALSE()),'Item Builder'!$W115))</f>
        <v>10</v>
      </c>
      <c r="FD115" s="95">
        <f>IF(AX115="",10,MIN(VLOOKUP(L115,MATERIAL,13,FALSE()),'Item Builder'!$W115))</f>
        <v>10</v>
      </c>
      <c r="FE115" s="95">
        <f>IF(AY115="",10,MIN(VLOOKUP(M115,MATERIAL,13,FALSE()),'Item Builder'!$W115))</f>
        <v>10</v>
      </c>
      <c r="FF115" s="95">
        <f>IF(AZ115="",10,MIN(VLOOKUP(N115,MATERIAL,13,FALSE()),'Item Builder'!$W115))</f>
        <v>10</v>
      </c>
      <c r="FG115" s="95">
        <f>IF(BA115="",10,MIN(VLOOKUP(O115,MATERIAL,13,FALSE()),'Item Builder'!$W115))</f>
        <v>10</v>
      </c>
      <c r="FH115" s="95">
        <f>IF(BB115="",10,MIN(VLOOKUP(P115,MATERIAL,13,FALSE()),'Item Builder'!$W115))</f>
        <v>10</v>
      </c>
    </row>
    <row r="116" spans="1:164" x14ac:dyDescent="0.25">
      <c r="A116" s="67" t="s">
        <v>256</v>
      </c>
      <c r="B116" s="68"/>
      <c r="C116" s="69"/>
      <c r="D116" s="70"/>
      <c r="E116" s="68"/>
      <c r="F116" s="69"/>
      <c r="G116" s="69"/>
      <c r="H116" s="69"/>
      <c r="I116" s="70" t="s">
        <v>161</v>
      </c>
      <c r="J116" s="68"/>
      <c r="K116" s="69"/>
      <c r="L116" s="70"/>
      <c r="M116" s="68"/>
      <c r="N116" s="69"/>
      <c r="O116" s="69"/>
      <c r="P116" s="71"/>
      <c r="Q116" s="72">
        <f>SUM(BV116:CJ116)*VLOOKUP(W116,Tables!$W$3:$Z$8,4)</f>
        <v>4</v>
      </c>
      <c r="R116" s="73">
        <f t="shared" si="56"/>
        <v>0.125</v>
      </c>
      <c r="S116" s="74">
        <f t="shared" si="57"/>
        <v>0</v>
      </c>
      <c r="T116" s="74">
        <f t="shared" si="58"/>
        <v>0</v>
      </c>
      <c r="U116" s="75">
        <f t="shared" si="59"/>
        <v>1</v>
      </c>
      <c r="V116" s="76">
        <f t="shared" si="60"/>
        <v>3</v>
      </c>
      <c r="W116" s="77">
        <v>0</v>
      </c>
      <c r="X116" s="78">
        <f t="shared" si="61"/>
        <v>0</v>
      </c>
      <c r="Y116" s="79">
        <f t="shared" si="62"/>
        <v>0</v>
      </c>
      <c r="Z116" s="79">
        <f t="shared" si="63"/>
        <v>0</v>
      </c>
      <c r="AA116" s="78">
        <f t="shared" si="64"/>
        <v>0</v>
      </c>
      <c r="AB116" s="79">
        <f t="shared" si="65"/>
        <v>0</v>
      </c>
      <c r="AC116" s="79">
        <f t="shared" si="66"/>
        <v>0</v>
      </c>
      <c r="AD116" s="79">
        <f t="shared" si="67"/>
        <v>0</v>
      </c>
      <c r="AE116" s="79">
        <f t="shared" si="68"/>
        <v>1</v>
      </c>
      <c r="AF116" s="78">
        <f t="shared" si="69"/>
        <v>0</v>
      </c>
      <c r="AG116" s="79">
        <f t="shared" si="70"/>
        <v>0</v>
      </c>
      <c r="AH116" s="79">
        <f t="shared" si="71"/>
        <v>0</v>
      </c>
      <c r="AI116" s="78">
        <f t="shared" si="72"/>
        <v>0</v>
      </c>
      <c r="AJ116" s="79">
        <f t="shared" si="73"/>
        <v>0</v>
      </c>
      <c r="AK116" s="79">
        <f t="shared" si="74"/>
        <v>0</v>
      </c>
      <c r="AL116" s="80">
        <f t="shared" si="75"/>
        <v>0</v>
      </c>
      <c r="AM116" s="81">
        <f t="shared" si="76"/>
        <v>0.05</v>
      </c>
      <c r="AN116" s="82" t="str">
        <f t="shared" si="77"/>
        <v/>
      </c>
      <c r="AO116" s="79" t="str">
        <f t="shared" si="78"/>
        <v/>
      </c>
      <c r="AP116" t="str">
        <f t="shared" si="79"/>
        <v/>
      </c>
      <c r="AQ116" s="82" t="str">
        <f t="shared" si="80"/>
        <v/>
      </c>
      <c r="AR116" t="str">
        <f t="shared" si="81"/>
        <v/>
      </c>
      <c r="AS116" t="str">
        <f t="shared" si="82"/>
        <v/>
      </c>
      <c r="AT116" t="str">
        <f t="shared" si="83"/>
        <v/>
      </c>
      <c r="AU116" t="str">
        <f t="shared" si="84"/>
        <v>X</v>
      </c>
      <c r="AV116" s="82" t="str">
        <f t="shared" si="85"/>
        <v/>
      </c>
      <c r="AW116" t="str">
        <f t="shared" si="86"/>
        <v/>
      </c>
      <c r="AX116" t="str">
        <f t="shared" si="87"/>
        <v/>
      </c>
      <c r="AY116" s="82" t="str">
        <f t="shared" si="88"/>
        <v/>
      </c>
      <c r="AZ116" t="str">
        <f t="shared" si="89"/>
        <v/>
      </c>
      <c r="BA116" t="str">
        <f t="shared" si="90"/>
        <v/>
      </c>
      <c r="BB116" s="83" t="str">
        <f t="shared" si="91"/>
        <v/>
      </c>
      <c r="BC116" s="84">
        <f t="shared" si="92"/>
        <v>0</v>
      </c>
      <c r="BD116" s="84">
        <f t="shared" si="93"/>
        <v>0.23809523809523808</v>
      </c>
      <c r="BE116" s="84">
        <f t="shared" si="94"/>
        <v>0</v>
      </c>
      <c r="BF116" s="84">
        <f t="shared" si="95"/>
        <v>0</v>
      </c>
      <c r="BG116" s="78">
        <f>IF(AN116="",0,VLOOKUP(AN116,Tables!$AB$3:$AC$12,2))</f>
        <v>0</v>
      </c>
      <c r="BH116" s="79">
        <f>IF(AO116="",0,VLOOKUP(AO116,Tables!$AB$3:$AC$12,2))</f>
        <v>0</v>
      </c>
      <c r="BI116" s="79">
        <f>IF(AP116="",0,VLOOKUP(AP116,Tables!$AB$3:$AC$12,2))</f>
        <v>0</v>
      </c>
      <c r="BJ116" s="78">
        <f>IF(AQ116="",0,VLOOKUP(AQ116,Tables!$AB$3:$AC$12,2))</f>
        <v>0</v>
      </c>
      <c r="BK116" s="79">
        <f>IF(AR116="",0,VLOOKUP(AR116,Tables!$AB$3:$AC$12,2))</f>
        <v>0</v>
      </c>
      <c r="BL116" s="79">
        <f>IF(AS116="",0,VLOOKUP(AS116,Tables!$AB$3:$AC$12,2))</f>
        <v>0</v>
      </c>
      <c r="BM116" s="79">
        <f>IF(AT116="",0,VLOOKUP(AT116,Tables!$AB$3:$AC$12,2))</f>
        <v>0</v>
      </c>
      <c r="BN116" s="79">
        <f>IF(AU116="",0,VLOOKUP(AU116,Tables!$AB$3:$AC$12,2))</f>
        <v>1</v>
      </c>
      <c r="BO116" s="78">
        <f>IF(AV116="",0,VLOOKUP(AV116,Tables!$AB$3:$AC$12,2))</f>
        <v>0</v>
      </c>
      <c r="BP116" s="79">
        <f>IF(AW116="",0,VLOOKUP(AW116,Tables!$AB$3:$AC$12,2))</f>
        <v>0</v>
      </c>
      <c r="BQ116" s="79">
        <f>IF(AX116="",0,VLOOKUP(AX116,Tables!$AB$3:$AC$12,2))</f>
        <v>0</v>
      </c>
      <c r="BR116" s="78">
        <f>IF(AY116="",0,VLOOKUP(AY116,Tables!$AB$3:$AC$12,2))</f>
        <v>0</v>
      </c>
      <c r="BS116" s="79">
        <f>IF(AZ116="",0,VLOOKUP(AZ116,Tables!$AB$3:$AC$12,2))</f>
        <v>0</v>
      </c>
      <c r="BT116" s="79">
        <f>IF(BA116="",0,VLOOKUP(BA116,Tables!$AB$3:$AC$12,2))</f>
        <v>0</v>
      </c>
      <c r="BU116" s="80">
        <f>IF(BB116="",0,VLOOKUP(BB116,Tables!$AB$3:$AC$12,2))</f>
        <v>0</v>
      </c>
      <c r="BV116" s="85">
        <f>IF(AN116="",0,VLOOKUP(B116,Tables!$B$3:$D$36,2,FALSE())*X$1)</f>
        <v>0</v>
      </c>
      <c r="BW116" s="72">
        <f>IF(AO116="",0,VLOOKUP(C116,Tables!$B$3:$D$36,2,FALSE())*Y$1)</f>
        <v>0</v>
      </c>
      <c r="BX116" s="72">
        <f>IF(AP116="",0,VLOOKUP(D116,Tables!$B$3:$D$36,2,FALSE())*Z$1)</f>
        <v>0</v>
      </c>
      <c r="BY116" s="85">
        <f>IF(AQ116="",0,VLOOKUP(E116,Tables!$B$3:$D$36,2,FALSE())*AA$1)</f>
        <v>0</v>
      </c>
      <c r="BZ116" s="72">
        <f>IF(AR116="",0,VLOOKUP(F116,Tables!$B$3:$D$36,2,FALSE())*AB$1)</f>
        <v>0</v>
      </c>
      <c r="CA116" s="72">
        <f>IF(AS116="",0,VLOOKUP(G116,Tables!$B$3:$D$36,2,FALSE())*AC$1)</f>
        <v>0</v>
      </c>
      <c r="CB116" s="72">
        <f>IF(AT116="",0,VLOOKUP(H116,Tables!$B$3:$D$36,2,FALSE())*AD$1)</f>
        <v>0</v>
      </c>
      <c r="CC116" s="72">
        <f>IF(AU116="",0,VLOOKUP(I116,Tables!$B$3:$D$36,2,FALSE())*AE$1)</f>
        <v>4</v>
      </c>
      <c r="CD116" s="85">
        <f>IF(AV116="",0,VLOOKUP(J116,Tables!$B$3:$D$36,2,FALSE())*AF$1)</f>
        <v>0</v>
      </c>
      <c r="CE116" s="72">
        <f>IF(AW116="",0,VLOOKUP(K116,Tables!$B$3:$D$36,2,FALSE())*AG$1)</f>
        <v>0</v>
      </c>
      <c r="CF116" s="72">
        <f>IF(AX116="",0,VLOOKUP(L116,Tables!$B$3:$D$36,2,FALSE())*AH$1)</f>
        <v>0</v>
      </c>
      <c r="CG116" s="85">
        <f>IF(AY116="",0,VLOOKUP(M116,Tables!$B$3:$D$36,2,FALSE())*AI$1)</f>
        <v>0</v>
      </c>
      <c r="CH116" s="72">
        <f>IF(AZ116="",0,VLOOKUP(N116,Tables!$B$3:$D$36,2,FALSE())*AJ$1)</f>
        <v>0</v>
      </c>
      <c r="CI116" s="72">
        <f>IF(BA116="",0,VLOOKUP(O116,Tables!$B$3:$D$36,2,FALSE())*AK$1)</f>
        <v>0</v>
      </c>
      <c r="CJ116" s="86">
        <f>IF(BB116="",0,VLOOKUP(P116,Tables!$B$3:$D$36,2,FALSE())*AL$1)</f>
        <v>0</v>
      </c>
      <c r="CK116" s="87">
        <f>IF(AN116="",0,VLOOKUP(B116,Tables!$B$3:$D$36,3,FALSE())*X$1)*IF(OR(AN116="K",AN116="P"),2,1)</f>
        <v>0</v>
      </c>
      <c r="CL116" s="73">
        <f>IF(AO116="",0,VLOOKUP(C116,Tables!$B$3:$D$36,3,FALSE())*Y$1)*IF(OR(AO116="K",AO116="P"),2,1)</f>
        <v>0</v>
      </c>
      <c r="CM116" s="73">
        <f>IF(AP116="",0,VLOOKUP(D116,Tables!$B$3:$D$36,3,FALSE())*Z$1)*IF(OR(AP116="K",AP116="P"),2,1)</f>
        <v>0</v>
      </c>
      <c r="CN116" s="87">
        <f>IF(AQ116="",0,VLOOKUP(E116,Tables!$B$3:$D$36,3,FALSE())*AA$1)</f>
        <v>0</v>
      </c>
      <c r="CO116" s="73">
        <f>IF(AR116="",0,VLOOKUP(F116,Tables!$B$3:$D$36,3,FALSE())*AB$1)</f>
        <v>0</v>
      </c>
      <c r="CP116" s="73">
        <f>IF(AS116="",0,VLOOKUP(G116,Tables!$B$3:$D$36,3,FALSE())*AC$1)</f>
        <v>0</v>
      </c>
      <c r="CQ116" s="73">
        <f>IF(AT116="",0,VLOOKUP(H116,Tables!$B$3:$D$36,3,FALSE())*AD$1)</f>
        <v>0</v>
      </c>
      <c r="CR116" s="73">
        <f>IF(AU116="",0,VLOOKUP(I116,Tables!$B$3:$D$36,3,FALSE())*AE$1)</f>
        <v>0.125</v>
      </c>
      <c r="CS116" s="87">
        <f>IF(AV116="",0,VLOOKUP(J116,Tables!$B$3:$D$36,3,FALSE())*AF$1)</f>
        <v>0</v>
      </c>
      <c r="CT116" s="73">
        <f>IF(AW116="",0,VLOOKUP(K116,Tables!$B$3:$D$36,3,FALSE())*AG$1)</f>
        <v>0</v>
      </c>
      <c r="CU116" s="73">
        <f>IF(AX116="",0,VLOOKUP(L116,Tables!$B$3:$D$36,3,FALSE())*AH$1)</f>
        <v>0</v>
      </c>
      <c r="CV116" s="87">
        <f>IF(AY116="",0,VLOOKUP(M116,Tables!$B$3:$D$36,3,FALSE())*AI$1)</f>
        <v>0</v>
      </c>
      <c r="CW116" s="73">
        <f>IF(AZ116="",0,VLOOKUP(N116,Tables!$B$3:$D$36,3,FALSE())*AJ$1)</f>
        <v>0</v>
      </c>
      <c r="CX116" s="73">
        <f>IF(BA116="",0,VLOOKUP(O116,Tables!$B$3:$D$36,3,FALSE())*AK$1)</f>
        <v>0</v>
      </c>
      <c r="CY116" s="88">
        <f>IF(BB116="",0,VLOOKUP(P116,Tables!$B$3:$D$36,3,FALSE())*AL$1)</f>
        <v>0</v>
      </c>
      <c r="CZ116" s="89">
        <f t="shared" si="96"/>
        <v>0</v>
      </c>
      <c r="DA116" s="75">
        <f t="shared" si="97"/>
        <v>0</v>
      </c>
      <c r="DB116" s="75">
        <f t="shared" si="98"/>
        <v>0</v>
      </c>
      <c r="DC116" s="89">
        <f t="shared" si="99"/>
        <v>0</v>
      </c>
      <c r="DD116" s="75">
        <f t="shared" si="100"/>
        <v>0</v>
      </c>
      <c r="DE116" s="75">
        <f t="shared" si="101"/>
        <v>0</v>
      </c>
      <c r="DF116" s="75">
        <f t="shared" si="102"/>
        <v>0</v>
      </c>
      <c r="DG116" s="75">
        <f t="shared" si="103"/>
        <v>1</v>
      </c>
      <c r="DH116" s="89">
        <f t="shared" si="104"/>
        <v>0</v>
      </c>
      <c r="DI116" s="75">
        <f t="shared" si="105"/>
        <v>0</v>
      </c>
      <c r="DJ116" s="75">
        <f t="shared" si="106"/>
        <v>0</v>
      </c>
      <c r="DK116" s="89">
        <f t="shared" si="107"/>
        <v>0</v>
      </c>
      <c r="DL116" s="75">
        <f t="shared" si="108"/>
        <v>0</v>
      </c>
      <c r="DM116" s="75">
        <f t="shared" si="109"/>
        <v>0</v>
      </c>
      <c r="DN116" s="90">
        <f t="shared" si="110"/>
        <v>0</v>
      </c>
      <c r="DO116" s="91">
        <f>IF(AN116="",0,VLOOKUP(B116,Tables!$B$3:$M$36,11,FALSE())*X$1)</f>
        <v>0</v>
      </c>
      <c r="DP116" s="92">
        <f>IF(AO116="",0,VLOOKUP(C116,Tables!$B$3:$M$36,11,FALSE())*Y$1)</f>
        <v>0</v>
      </c>
      <c r="DQ116" s="92">
        <f>IF(AP116="",0,VLOOKUP(D116,Tables!$B$3:$M$36,11,FALSE())*Z$1)</f>
        <v>0</v>
      </c>
      <c r="DR116" s="91">
        <f>IF(AQ116="",0,VLOOKUP(E116,Tables!$B$3:$M$36,11,FALSE())*AA$1)</f>
        <v>0</v>
      </c>
      <c r="DS116" s="92">
        <f>IF(AR116="",0,VLOOKUP(F116,Tables!$B$3:$M$36,11,FALSE())*AB$1)</f>
        <v>0</v>
      </c>
      <c r="DT116" s="92">
        <f>IF(AS116="",0,VLOOKUP(G116,Tables!$B$3:$M$36,11,FALSE())*AC$1)</f>
        <v>0</v>
      </c>
      <c r="DU116" s="92">
        <f>IF(AT116="",0,VLOOKUP(H116,Tables!$B$3:$M$36,11,FALSE())*AD$1)</f>
        <v>0</v>
      </c>
      <c r="DV116" s="92">
        <f>IF(AU116="",0,VLOOKUP(I116,Tables!$B$3:$M$36,11,FALSE())*AE$1)</f>
        <v>1</v>
      </c>
      <c r="DW116" s="91">
        <f>IF(AV116="",0,VLOOKUP(J116,Tables!$B$3:$M$36,11,FALSE())*AF$1)</f>
        <v>0</v>
      </c>
      <c r="DX116" s="92">
        <f>IF(AW116="",0,VLOOKUP(K116,Tables!$B$3:$M$36,11,FALSE())*AG$1)</f>
        <v>0</v>
      </c>
      <c r="DY116" s="92">
        <f>IF(AX116="",0,VLOOKUP(L116,Tables!$B$3:$M$36,11,FALSE())*AH$1)</f>
        <v>0</v>
      </c>
      <c r="DZ116" s="91">
        <f>IF(AY116="",0,VLOOKUP(M116,Tables!$B$3:$M$36,11,FALSE())*AI$1)</f>
        <v>0</v>
      </c>
      <c r="EA116" s="92">
        <f>IF(AZ116="",0,VLOOKUP(N116,Tables!$B$3:$M$36,11,FALSE())*AJ$1)</f>
        <v>0</v>
      </c>
      <c r="EB116" s="92">
        <f>IF(BA116="",0,VLOOKUP(O116,Tables!$B$3:$M$36,11,FALSE())*AK$1)</f>
        <v>0</v>
      </c>
      <c r="EC116" s="93">
        <f>IF(BB116="",0,VLOOKUP(P116,Tables!$B$3:$M$36,11,FALSE())*AL$1)</f>
        <v>0</v>
      </c>
      <c r="ED116" s="91">
        <f>IF(AN116="",0,VLOOKUP(B116,Tables!$B$3:$M$36,12,FALSE())*X$1)</f>
        <v>0</v>
      </c>
      <c r="EE116" s="92">
        <f>IF(AO116="",0,VLOOKUP(C116,Tables!$B$3:$M$36,12,FALSE())*Y$1)</f>
        <v>0</v>
      </c>
      <c r="EF116" s="92">
        <f>IF(AP116="",0,VLOOKUP(D116,Tables!$B$3:$M$36,12,FALSE())*Z$1)</f>
        <v>0</v>
      </c>
      <c r="EG116" s="91">
        <f>IF(AQ116="",0,VLOOKUP(E116,Tables!$B$3:$M$36,12,FALSE())*AA$1)</f>
        <v>0</v>
      </c>
      <c r="EH116" s="92">
        <f>IF(AR116="",0,VLOOKUP(F116,Tables!$B$3:$M$36,12,FALSE())*AB$1)</f>
        <v>0</v>
      </c>
      <c r="EI116" s="92">
        <f>IF(AS116="",0,VLOOKUP(G116,Tables!$B$3:$M$36,12,FALSE())*AC$1)</f>
        <v>0</v>
      </c>
      <c r="EJ116" s="92">
        <f>IF(AT116="",0,VLOOKUP(H116,Tables!$B$3:$M$36,12,FALSE())*AD$1)</f>
        <v>0</v>
      </c>
      <c r="EK116" s="92">
        <f>IF(AU116="",0,VLOOKUP(I116,Tables!$B$3:$M$36,12,FALSE())*AE$1)</f>
        <v>3</v>
      </c>
      <c r="EL116" s="91">
        <f>IF(AV116="",0,VLOOKUP(J116,Tables!$B$3:$M$36,12,FALSE())*AF$1)</f>
        <v>0</v>
      </c>
      <c r="EM116" s="92">
        <f>IF(AW116="",0,VLOOKUP(K116,Tables!$B$3:$M$36,12,FALSE())*AG$1)</f>
        <v>0</v>
      </c>
      <c r="EN116" s="92">
        <f>IF(AX116="",0,VLOOKUP(L116,Tables!$B$3:$M$36,12,FALSE())*AH$1)</f>
        <v>0</v>
      </c>
      <c r="EO116" s="91">
        <f>IF(AY116="",0,VLOOKUP(M116,Tables!$B$3:$M$36,12,FALSE())*AI$1)</f>
        <v>0</v>
      </c>
      <c r="EP116" s="92">
        <f>IF(AZ116="",0,VLOOKUP(N116,Tables!$B$3:$M$36,12,FALSE())*AJ$1)</f>
        <v>0</v>
      </c>
      <c r="EQ116" s="92">
        <f>IF(BA116="",0,VLOOKUP(O116,Tables!$B$3:$M$36,12,FALSE())*AK$1)</f>
        <v>0</v>
      </c>
      <c r="ER116" s="93">
        <f>IF(BB116="",0,VLOOKUP(P116,Tables!$B$3:$M$36,12,FALSE())*AL$1)</f>
        <v>0</v>
      </c>
      <c r="ES116" s="94">
        <f t="shared" si="111"/>
        <v>0</v>
      </c>
      <c r="ET116" s="95">
        <f>IF(AN116="",10,MIN(VLOOKUP(B116,MATERIAL,13,FALSE()),'Item Builder'!$W116))</f>
        <v>10</v>
      </c>
      <c r="EU116" s="95">
        <f>IF(AO116="",10,MIN(VLOOKUP(C116,MATERIAL,13,FALSE()),'Item Builder'!$W116))</f>
        <v>10</v>
      </c>
      <c r="EV116" s="95">
        <f>IF(AP116="",10,MIN(VLOOKUP(D116,MATERIAL,13,FALSE()),'Item Builder'!$W116))</f>
        <v>10</v>
      </c>
      <c r="EW116" s="95">
        <f>IF(AQ116="",10,MIN(VLOOKUP(E116,MATERIAL,13,FALSE()),'Item Builder'!$W116))</f>
        <v>10</v>
      </c>
      <c r="EX116" s="95">
        <f>IF(AR116="",10,MIN(VLOOKUP(F116,MATERIAL,13,FALSE()),'Item Builder'!$W116))</f>
        <v>10</v>
      </c>
      <c r="EY116" s="95">
        <f>IF(AS116="",10,MIN(VLOOKUP(G116,MATERIAL,13,FALSE()),'Item Builder'!$W116))</f>
        <v>10</v>
      </c>
      <c r="EZ116" s="95">
        <f>IF(AT116="",10,MIN(VLOOKUP(H116,MATERIAL,13,FALSE()),'Item Builder'!$W116))</f>
        <v>10</v>
      </c>
      <c r="FA116" s="95">
        <f>IF(AU116="",10,MIN(VLOOKUP(I116,MATERIAL,13,FALSE()),'Item Builder'!$W116))</f>
        <v>0</v>
      </c>
      <c r="FB116" s="95">
        <f>IF(AV116="",10,MIN(VLOOKUP(J116,MATERIAL,13,FALSE()),'Item Builder'!$W116))</f>
        <v>10</v>
      </c>
      <c r="FC116" s="95">
        <f>IF(AW116="",10,MIN(VLOOKUP(K116,MATERIAL,13,FALSE()),'Item Builder'!$W116))</f>
        <v>10</v>
      </c>
      <c r="FD116" s="95">
        <f>IF(AX116="",10,MIN(VLOOKUP(L116,MATERIAL,13,FALSE()),'Item Builder'!$W116))</f>
        <v>10</v>
      </c>
      <c r="FE116" s="95">
        <f>IF(AY116="",10,MIN(VLOOKUP(M116,MATERIAL,13,FALSE()),'Item Builder'!$W116))</f>
        <v>10</v>
      </c>
      <c r="FF116" s="95">
        <f>IF(AZ116="",10,MIN(VLOOKUP(N116,MATERIAL,13,FALSE()),'Item Builder'!$W116))</f>
        <v>10</v>
      </c>
      <c r="FG116" s="95">
        <f>IF(BA116="",10,MIN(VLOOKUP(O116,MATERIAL,13,FALSE()),'Item Builder'!$W116))</f>
        <v>10</v>
      </c>
      <c r="FH116" s="95">
        <f>IF(BB116="",10,MIN(VLOOKUP(P116,MATERIAL,13,FALSE()),'Item Builder'!$W116))</f>
        <v>10</v>
      </c>
    </row>
    <row r="117" spans="1:164" x14ac:dyDescent="0.25">
      <c r="A117" s="67" t="s">
        <v>257</v>
      </c>
      <c r="B117" s="68"/>
      <c r="C117" s="69"/>
      <c r="D117" s="70"/>
      <c r="E117" s="68"/>
      <c r="F117" s="69"/>
      <c r="G117" s="69"/>
      <c r="H117" s="69"/>
      <c r="I117" s="70"/>
      <c r="J117" s="68" t="s">
        <v>161</v>
      </c>
      <c r="K117" s="69" t="s">
        <v>161</v>
      </c>
      <c r="L117" s="70"/>
      <c r="M117" s="68"/>
      <c r="N117" s="69"/>
      <c r="O117" s="69"/>
      <c r="P117" s="71"/>
      <c r="Q117" s="72">
        <f>SUM(BV117:CJ117)*VLOOKUP(W117,Tables!$W$3:$Z$8,4)</f>
        <v>19.2</v>
      </c>
      <c r="R117" s="73">
        <f t="shared" si="56"/>
        <v>0.6</v>
      </c>
      <c r="S117" s="74">
        <f t="shared" si="57"/>
        <v>0</v>
      </c>
      <c r="T117" s="74">
        <f t="shared" si="58"/>
        <v>0</v>
      </c>
      <c r="U117" s="75">
        <f t="shared" si="59"/>
        <v>4.8</v>
      </c>
      <c r="V117" s="76">
        <f t="shared" si="60"/>
        <v>14.399999999999999</v>
      </c>
      <c r="W117" s="77">
        <v>0</v>
      </c>
      <c r="X117" s="78">
        <f t="shared" si="61"/>
        <v>0</v>
      </c>
      <c r="Y117" s="79">
        <f t="shared" si="62"/>
        <v>0</v>
      </c>
      <c r="Z117" s="79">
        <f t="shared" si="63"/>
        <v>0</v>
      </c>
      <c r="AA117" s="78">
        <f t="shared" si="64"/>
        <v>0</v>
      </c>
      <c r="AB117" s="79">
        <f t="shared" si="65"/>
        <v>0</v>
      </c>
      <c r="AC117" s="79">
        <f t="shared" si="66"/>
        <v>0</v>
      </c>
      <c r="AD117" s="79">
        <f t="shared" si="67"/>
        <v>0</v>
      </c>
      <c r="AE117" s="79">
        <f t="shared" si="68"/>
        <v>0</v>
      </c>
      <c r="AF117" s="78">
        <f t="shared" si="69"/>
        <v>1</v>
      </c>
      <c r="AG117" s="79">
        <f t="shared" si="70"/>
        <v>1</v>
      </c>
      <c r="AH117" s="79">
        <f t="shared" si="71"/>
        <v>0</v>
      </c>
      <c r="AI117" s="78">
        <f t="shared" si="72"/>
        <v>0</v>
      </c>
      <c r="AJ117" s="79">
        <f t="shared" si="73"/>
        <v>0</v>
      </c>
      <c r="AK117" s="79">
        <f t="shared" si="74"/>
        <v>0</v>
      </c>
      <c r="AL117" s="80">
        <f t="shared" si="75"/>
        <v>0</v>
      </c>
      <c r="AM117" s="81">
        <f t="shared" si="76"/>
        <v>0.24</v>
      </c>
      <c r="AN117" s="82" t="str">
        <f t="shared" si="77"/>
        <v/>
      </c>
      <c r="AO117" s="79" t="str">
        <f t="shared" si="78"/>
        <v/>
      </c>
      <c r="AP117" t="str">
        <f t="shared" si="79"/>
        <v/>
      </c>
      <c r="AQ117" s="82" t="str">
        <f t="shared" si="80"/>
        <v/>
      </c>
      <c r="AR117" t="str">
        <f t="shared" si="81"/>
        <v/>
      </c>
      <c r="AS117" t="str">
        <f t="shared" si="82"/>
        <v/>
      </c>
      <c r="AT117" t="str">
        <f t="shared" si="83"/>
        <v/>
      </c>
      <c r="AU117" t="str">
        <f t="shared" si="84"/>
        <v/>
      </c>
      <c r="AV117" s="82" t="str">
        <f t="shared" si="85"/>
        <v>X</v>
      </c>
      <c r="AW117" t="str">
        <f t="shared" si="86"/>
        <v>X</v>
      </c>
      <c r="AX117" t="str">
        <f t="shared" si="87"/>
        <v/>
      </c>
      <c r="AY117" s="82" t="str">
        <f t="shared" si="88"/>
        <v/>
      </c>
      <c r="AZ117" t="str">
        <f t="shared" si="89"/>
        <v/>
      </c>
      <c r="BA117" t="str">
        <f t="shared" si="90"/>
        <v/>
      </c>
      <c r="BB117" s="83" t="str">
        <f t="shared" si="91"/>
        <v/>
      </c>
      <c r="BC117" s="84">
        <f t="shared" si="92"/>
        <v>0</v>
      </c>
      <c r="BD117" s="84">
        <f t="shared" si="93"/>
        <v>0</v>
      </c>
      <c r="BE117" s="84">
        <f t="shared" si="94"/>
        <v>0.70588235294117652</v>
      </c>
      <c r="BF117" s="84">
        <f t="shared" si="95"/>
        <v>0</v>
      </c>
      <c r="BG117" s="78">
        <f>IF(AN117="",0,VLOOKUP(AN117,Tables!$AB$3:$AC$12,2))</f>
        <v>0</v>
      </c>
      <c r="BH117" s="79">
        <f>IF(AO117="",0,VLOOKUP(AO117,Tables!$AB$3:$AC$12,2))</f>
        <v>0</v>
      </c>
      <c r="BI117" s="79">
        <f>IF(AP117="",0,VLOOKUP(AP117,Tables!$AB$3:$AC$12,2))</f>
        <v>0</v>
      </c>
      <c r="BJ117" s="78">
        <f>IF(AQ117="",0,VLOOKUP(AQ117,Tables!$AB$3:$AC$12,2))</f>
        <v>0</v>
      </c>
      <c r="BK117" s="79">
        <f>IF(AR117="",0,VLOOKUP(AR117,Tables!$AB$3:$AC$12,2))</f>
        <v>0</v>
      </c>
      <c r="BL117" s="79">
        <f>IF(AS117="",0,VLOOKUP(AS117,Tables!$AB$3:$AC$12,2))</f>
        <v>0</v>
      </c>
      <c r="BM117" s="79">
        <f>IF(AT117="",0,VLOOKUP(AT117,Tables!$AB$3:$AC$12,2))</f>
        <v>0</v>
      </c>
      <c r="BN117" s="79">
        <f>IF(AU117="",0,VLOOKUP(AU117,Tables!$AB$3:$AC$12,2))</f>
        <v>0</v>
      </c>
      <c r="BO117" s="78">
        <f>IF(AV117="",0,VLOOKUP(AV117,Tables!$AB$3:$AC$12,2))</f>
        <v>1</v>
      </c>
      <c r="BP117" s="79">
        <f>IF(AW117="",0,VLOOKUP(AW117,Tables!$AB$3:$AC$12,2))</f>
        <v>1</v>
      </c>
      <c r="BQ117" s="79">
        <f>IF(AX117="",0,VLOOKUP(AX117,Tables!$AB$3:$AC$12,2))</f>
        <v>0</v>
      </c>
      <c r="BR117" s="78">
        <f>IF(AY117="",0,VLOOKUP(AY117,Tables!$AB$3:$AC$12,2))</f>
        <v>0</v>
      </c>
      <c r="BS117" s="79">
        <f>IF(AZ117="",0,VLOOKUP(AZ117,Tables!$AB$3:$AC$12,2))</f>
        <v>0</v>
      </c>
      <c r="BT117" s="79">
        <f>IF(BA117="",0,VLOOKUP(BA117,Tables!$AB$3:$AC$12,2))</f>
        <v>0</v>
      </c>
      <c r="BU117" s="80">
        <f>IF(BB117="",0,VLOOKUP(BB117,Tables!$AB$3:$AC$12,2))</f>
        <v>0</v>
      </c>
      <c r="BV117" s="85">
        <f>IF(AN117="",0,VLOOKUP(B117,Tables!$B$3:$D$36,2,FALSE())*X$1)</f>
        <v>0</v>
      </c>
      <c r="BW117" s="72">
        <f>IF(AO117="",0,VLOOKUP(C117,Tables!$B$3:$D$36,2,FALSE())*Y$1)</f>
        <v>0</v>
      </c>
      <c r="BX117" s="72">
        <f>IF(AP117="",0,VLOOKUP(D117,Tables!$B$3:$D$36,2,FALSE())*Z$1)</f>
        <v>0</v>
      </c>
      <c r="BY117" s="85">
        <f>IF(AQ117="",0,VLOOKUP(E117,Tables!$B$3:$D$36,2,FALSE())*AA$1)</f>
        <v>0</v>
      </c>
      <c r="BZ117" s="72">
        <f>IF(AR117="",0,VLOOKUP(F117,Tables!$B$3:$D$36,2,FALSE())*AB$1)</f>
        <v>0</v>
      </c>
      <c r="CA117" s="72">
        <f>IF(AS117="",0,VLOOKUP(G117,Tables!$B$3:$D$36,2,FALSE())*AC$1)</f>
        <v>0</v>
      </c>
      <c r="CB117" s="72">
        <f>IF(AT117="",0,VLOOKUP(H117,Tables!$B$3:$D$36,2,FALSE())*AD$1)</f>
        <v>0</v>
      </c>
      <c r="CC117" s="72">
        <f>IF(AU117="",0,VLOOKUP(I117,Tables!$B$3:$D$36,2,FALSE())*AE$1)</f>
        <v>0</v>
      </c>
      <c r="CD117" s="85">
        <f>IF(AV117="",0,VLOOKUP(J117,Tables!$B$3:$D$36,2,FALSE())*AF$1)</f>
        <v>9.6</v>
      </c>
      <c r="CE117" s="72">
        <f>IF(AW117="",0,VLOOKUP(K117,Tables!$B$3:$D$36,2,FALSE())*AG$1)</f>
        <v>9.6</v>
      </c>
      <c r="CF117" s="72">
        <f>IF(AX117="",0,VLOOKUP(L117,Tables!$B$3:$D$36,2,FALSE())*AH$1)</f>
        <v>0</v>
      </c>
      <c r="CG117" s="85">
        <f>IF(AY117="",0,VLOOKUP(M117,Tables!$B$3:$D$36,2,FALSE())*AI$1)</f>
        <v>0</v>
      </c>
      <c r="CH117" s="72">
        <f>IF(AZ117="",0,VLOOKUP(N117,Tables!$B$3:$D$36,2,FALSE())*AJ$1)</f>
        <v>0</v>
      </c>
      <c r="CI117" s="72">
        <f>IF(BA117="",0,VLOOKUP(O117,Tables!$B$3:$D$36,2,FALSE())*AK$1)</f>
        <v>0</v>
      </c>
      <c r="CJ117" s="86">
        <f>IF(BB117="",0,VLOOKUP(P117,Tables!$B$3:$D$36,2,FALSE())*AL$1)</f>
        <v>0</v>
      </c>
      <c r="CK117" s="87">
        <f>IF(AN117="",0,VLOOKUP(B117,Tables!$B$3:$D$36,3,FALSE())*X$1)*IF(OR(AN117="K",AN117="P"),2,1)</f>
        <v>0</v>
      </c>
      <c r="CL117" s="73">
        <f>IF(AO117="",0,VLOOKUP(C117,Tables!$B$3:$D$36,3,FALSE())*Y$1)*IF(OR(AO117="K",AO117="P"),2,1)</f>
        <v>0</v>
      </c>
      <c r="CM117" s="73">
        <f>IF(AP117="",0,VLOOKUP(D117,Tables!$B$3:$D$36,3,FALSE())*Z$1)*IF(OR(AP117="K",AP117="P"),2,1)</f>
        <v>0</v>
      </c>
      <c r="CN117" s="87">
        <f>IF(AQ117="",0,VLOOKUP(E117,Tables!$B$3:$D$36,3,FALSE())*AA$1)</f>
        <v>0</v>
      </c>
      <c r="CO117" s="73">
        <f>IF(AR117="",0,VLOOKUP(F117,Tables!$B$3:$D$36,3,FALSE())*AB$1)</f>
        <v>0</v>
      </c>
      <c r="CP117" s="73">
        <f>IF(AS117="",0,VLOOKUP(G117,Tables!$B$3:$D$36,3,FALSE())*AC$1)</f>
        <v>0</v>
      </c>
      <c r="CQ117" s="73">
        <f>IF(AT117="",0,VLOOKUP(H117,Tables!$B$3:$D$36,3,FALSE())*AD$1)</f>
        <v>0</v>
      </c>
      <c r="CR117" s="73">
        <f>IF(AU117="",0,VLOOKUP(I117,Tables!$B$3:$D$36,3,FALSE())*AE$1)</f>
        <v>0</v>
      </c>
      <c r="CS117" s="87">
        <f>IF(AV117="",0,VLOOKUP(J117,Tables!$B$3:$D$36,3,FALSE())*AF$1)</f>
        <v>0.3</v>
      </c>
      <c r="CT117" s="73">
        <f>IF(AW117="",0,VLOOKUP(K117,Tables!$B$3:$D$36,3,FALSE())*AG$1)</f>
        <v>0.3</v>
      </c>
      <c r="CU117" s="73">
        <f>IF(AX117="",0,VLOOKUP(L117,Tables!$B$3:$D$36,3,FALSE())*AH$1)</f>
        <v>0</v>
      </c>
      <c r="CV117" s="87">
        <f>IF(AY117="",0,VLOOKUP(M117,Tables!$B$3:$D$36,3,FALSE())*AI$1)</f>
        <v>0</v>
      </c>
      <c r="CW117" s="73">
        <f>IF(AZ117="",0,VLOOKUP(N117,Tables!$B$3:$D$36,3,FALSE())*AJ$1)</f>
        <v>0</v>
      </c>
      <c r="CX117" s="73">
        <f>IF(BA117="",0,VLOOKUP(O117,Tables!$B$3:$D$36,3,FALSE())*AK$1)</f>
        <v>0</v>
      </c>
      <c r="CY117" s="88">
        <f>IF(BB117="",0,VLOOKUP(P117,Tables!$B$3:$D$36,3,FALSE())*AL$1)</f>
        <v>0</v>
      </c>
      <c r="CZ117" s="89">
        <f t="shared" si="96"/>
        <v>0</v>
      </c>
      <c r="DA117" s="75">
        <f t="shared" si="97"/>
        <v>0</v>
      </c>
      <c r="DB117" s="75">
        <f t="shared" si="98"/>
        <v>0</v>
      </c>
      <c r="DC117" s="89">
        <f t="shared" si="99"/>
        <v>0</v>
      </c>
      <c r="DD117" s="75">
        <f t="shared" si="100"/>
        <v>0</v>
      </c>
      <c r="DE117" s="75">
        <f t="shared" si="101"/>
        <v>0</v>
      </c>
      <c r="DF117" s="75">
        <f t="shared" si="102"/>
        <v>0</v>
      </c>
      <c r="DG117" s="75">
        <f t="shared" si="103"/>
        <v>0</v>
      </c>
      <c r="DH117" s="89">
        <f t="shared" si="104"/>
        <v>1</v>
      </c>
      <c r="DI117" s="75">
        <f t="shared" si="105"/>
        <v>1</v>
      </c>
      <c r="DJ117" s="75">
        <f t="shared" si="106"/>
        <v>0</v>
      </c>
      <c r="DK117" s="89">
        <f t="shared" si="107"/>
        <v>0</v>
      </c>
      <c r="DL117" s="75">
        <f t="shared" si="108"/>
        <v>0</v>
      </c>
      <c r="DM117" s="75">
        <f t="shared" si="109"/>
        <v>0</v>
      </c>
      <c r="DN117" s="90">
        <f t="shared" si="110"/>
        <v>0</v>
      </c>
      <c r="DO117" s="91">
        <f>IF(AN117="",0,VLOOKUP(B117,Tables!$B$3:$M$36,11,FALSE())*X$1)</f>
        <v>0</v>
      </c>
      <c r="DP117" s="92">
        <f>IF(AO117="",0,VLOOKUP(C117,Tables!$B$3:$M$36,11,FALSE())*Y$1)</f>
        <v>0</v>
      </c>
      <c r="DQ117" s="92">
        <f>IF(AP117="",0,VLOOKUP(D117,Tables!$B$3:$M$36,11,FALSE())*Z$1)</f>
        <v>0</v>
      </c>
      <c r="DR117" s="91">
        <f>IF(AQ117="",0,VLOOKUP(E117,Tables!$B$3:$M$36,11,FALSE())*AA$1)</f>
        <v>0</v>
      </c>
      <c r="DS117" s="92">
        <f>IF(AR117="",0,VLOOKUP(F117,Tables!$B$3:$M$36,11,FALSE())*AB$1)</f>
        <v>0</v>
      </c>
      <c r="DT117" s="92">
        <f>IF(AS117="",0,VLOOKUP(G117,Tables!$B$3:$M$36,11,FALSE())*AC$1)</f>
        <v>0</v>
      </c>
      <c r="DU117" s="92">
        <f>IF(AT117="",0,VLOOKUP(H117,Tables!$B$3:$M$36,11,FALSE())*AD$1)</f>
        <v>0</v>
      </c>
      <c r="DV117" s="92">
        <f>IF(AU117="",0,VLOOKUP(I117,Tables!$B$3:$M$36,11,FALSE())*AE$1)</f>
        <v>0</v>
      </c>
      <c r="DW117" s="91">
        <f>IF(AV117="",0,VLOOKUP(J117,Tables!$B$3:$M$36,11,FALSE())*AF$1)</f>
        <v>2.4</v>
      </c>
      <c r="DX117" s="92">
        <f>IF(AW117="",0,VLOOKUP(K117,Tables!$B$3:$M$36,11,FALSE())*AG$1)</f>
        <v>2.4</v>
      </c>
      <c r="DY117" s="92">
        <f>IF(AX117="",0,VLOOKUP(L117,Tables!$B$3:$M$36,11,FALSE())*AH$1)</f>
        <v>0</v>
      </c>
      <c r="DZ117" s="91">
        <f>IF(AY117="",0,VLOOKUP(M117,Tables!$B$3:$M$36,11,FALSE())*AI$1)</f>
        <v>0</v>
      </c>
      <c r="EA117" s="92">
        <f>IF(AZ117="",0,VLOOKUP(N117,Tables!$B$3:$M$36,11,FALSE())*AJ$1)</f>
        <v>0</v>
      </c>
      <c r="EB117" s="92">
        <f>IF(BA117="",0,VLOOKUP(O117,Tables!$B$3:$M$36,11,FALSE())*AK$1)</f>
        <v>0</v>
      </c>
      <c r="EC117" s="93">
        <f>IF(BB117="",0,VLOOKUP(P117,Tables!$B$3:$M$36,11,FALSE())*AL$1)</f>
        <v>0</v>
      </c>
      <c r="ED117" s="91">
        <f>IF(AN117="",0,VLOOKUP(B117,Tables!$B$3:$M$36,12,FALSE())*X$1)</f>
        <v>0</v>
      </c>
      <c r="EE117" s="92">
        <f>IF(AO117="",0,VLOOKUP(C117,Tables!$B$3:$M$36,12,FALSE())*Y$1)</f>
        <v>0</v>
      </c>
      <c r="EF117" s="92">
        <f>IF(AP117="",0,VLOOKUP(D117,Tables!$B$3:$M$36,12,FALSE())*Z$1)</f>
        <v>0</v>
      </c>
      <c r="EG117" s="91">
        <f>IF(AQ117="",0,VLOOKUP(E117,Tables!$B$3:$M$36,12,FALSE())*AA$1)</f>
        <v>0</v>
      </c>
      <c r="EH117" s="92">
        <f>IF(AR117="",0,VLOOKUP(F117,Tables!$B$3:$M$36,12,FALSE())*AB$1)</f>
        <v>0</v>
      </c>
      <c r="EI117" s="92">
        <f>IF(AS117="",0,VLOOKUP(G117,Tables!$B$3:$M$36,12,FALSE())*AC$1)</f>
        <v>0</v>
      </c>
      <c r="EJ117" s="92">
        <f>IF(AT117="",0,VLOOKUP(H117,Tables!$B$3:$M$36,12,FALSE())*AD$1)</f>
        <v>0</v>
      </c>
      <c r="EK117" s="92">
        <f>IF(AU117="",0,VLOOKUP(I117,Tables!$B$3:$M$36,12,FALSE())*AE$1)</f>
        <v>0</v>
      </c>
      <c r="EL117" s="91">
        <f>IF(AV117="",0,VLOOKUP(J117,Tables!$B$3:$M$36,12,FALSE())*AF$1)</f>
        <v>7.1999999999999993</v>
      </c>
      <c r="EM117" s="92">
        <f>IF(AW117="",0,VLOOKUP(K117,Tables!$B$3:$M$36,12,FALSE())*AG$1)</f>
        <v>7.1999999999999993</v>
      </c>
      <c r="EN117" s="92">
        <f>IF(AX117="",0,VLOOKUP(L117,Tables!$B$3:$M$36,12,FALSE())*AH$1)</f>
        <v>0</v>
      </c>
      <c r="EO117" s="91">
        <f>IF(AY117="",0,VLOOKUP(M117,Tables!$B$3:$M$36,12,FALSE())*AI$1)</f>
        <v>0</v>
      </c>
      <c r="EP117" s="92">
        <f>IF(AZ117="",0,VLOOKUP(N117,Tables!$B$3:$M$36,12,FALSE())*AJ$1)</f>
        <v>0</v>
      </c>
      <c r="EQ117" s="92">
        <f>IF(BA117="",0,VLOOKUP(O117,Tables!$B$3:$M$36,12,FALSE())*AK$1)</f>
        <v>0</v>
      </c>
      <c r="ER117" s="93">
        <f>IF(BB117="",0,VLOOKUP(P117,Tables!$B$3:$M$36,12,FALSE())*AL$1)</f>
        <v>0</v>
      </c>
      <c r="ES117" s="94">
        <f t="shared" si="111"/>
        <v>0</v>
      </c>
      <c r="ET117" s="95">
        <f>IF(AN117="",10,MIN(VLOOKUP(B117,MATERIAL,13,FALSE()),'Item Builder'!$W117))</f>
        <v>10</v>
      </c>
      <c r="EU117" s="95">
        <f>IF(AO117="",10,MIN(VLOOKUP(C117,MATERIAL,13,FALSE()),'Item Builder'!$W117))</f>
        <v>10</v>
      </c>
      <c r="EV117" s="95">
        <f>IF(AP117="",10,MIN(VLOOKUP(D117,MATERIAL,13,FALSE()),'Item Builder'!$W117))</f>
        <v>10</v>
      </c>
      <c r="EW117" s="95">
        <f>IF(AQ117="",10,MIN(VLOOKUP(E117,MATERIAL,13,FALSE()),'Item Builder'!$W117))</f>
        <v>10</v>
      </c>
      <c r="EX117" s="95">
        <f>IF(AR117="",10,MIN(VLOOKUP(F117,MATERIAL,13,FALSE()),'Item Builder'!$W117))</f>
        <v>10</v>
      </c>
      <c r="EY117" s="95">
        <f>IF(AS117="",10,MIN(VLOOKUP(G117,MATERIAL,13,FALSE()),'Item Builder'!$W117))</f>
        <v>10</v>
      </c>
      <c r="EZ117" s="95">
        <f>IF(AT117="",10,MIN(VLOOKUP(H117,MATERIAL,13,FALSE()),'Item Builder'!$W117))</f>
        <v>10</v>
      </c>
      <c r="FA117" s="95">
        <f>IF(AU117="",10,MIN(VLOOKUP(I117,MATERIAL,13,FALSE()),'Item Builder'!$W117))</f>
        <v>10</v>
      </c>
      <c r="FB117" s="95">
        <f>IF(AV117="",10,MIN(VLOOKUP(J117,MATERIAL,13,FALSE()),'Item Builder'!$W117))</f>
        <v>0</v>
      </c>
      <c r="FC117" s="95">
        <f>IF(AW117="",10,MIN(VLOOKUP(K117,MATERIAL,13,FALSE()),'Item Builder'!$W117))</f>
        <v>0</v>
      </c>
      <c r="FD117" s="95">
        <f>IF(AX117="",10,MIN(VLOOKUP(L117,MATERIAL,13,FALSE()),'Item Builder'!$W117))</f>
        <v>10</v>
      </c>
      <c r="FE117" s="95">
        <f>IF(AY117="",10,MIN(VLOOKUP(M117,MATERIAL,13,FALSE()),'Item Builder'!$W117))</f>
        <v>10</v>
      </c>
      <c r="FF117" s="95">
        <f>IF(AZ117="",10,MIN(VLOOKUP(N117,MATERIAL,13,FALSE()),'Item Builder'!$W117))</f>
        <v>10</v>
      </c>
      <c r="FG117" s="95">
        <f>IF(BA117="",10,MIN(VLOOKUP(O117,MATERIAL,13,FALSE()),'Item Builder'!$W117))</f>
        <v>10</v>
      </c>
      <c r="FH117" s="95">
        <f>IF(BB117="",10,MIN(VLOOKUP(P117,MATERIAL,13,FALSE()),'Item Builder'!$W117))</f>
        <v>10</v>
      </c>
    </row>
    <row r="118" spans="1:164" x14ac:dyDescent="0.25">
      <c r="A118" s="67" t="s">
        <v>258</v>
      </c>
      <c r="B118" s="68"/>
      <c r="C118" s="69"/>
      <c r="D118" s="70"/>
      <c r="E118" s="68" t="s">
        <v>161</v>
      </c>
      <c r="F118" s="69" t="s">
        <v>161</v>
      </c>
      <c r="G118" s="69"/>
      <c r="H118" s="69"/>
      <c r="I118" s="70"/>
      <c r="J118" s="68" t="s">
        <v>161</v>
      </c>
      <c r="K118" s="69" t="s">
        <v>161</v>
      </c>
      <c r="L118" s="70"/>
      <c r="M118" s="68"/>
      <c r="N118" s="69"/>
      <c r="O118" s="69"/>
      <c r="P118" s="71"/>
      <c r="Q118" s="72">
        <f>SUM(BV118:CJ118)*VLOOKUP(W118,Tables!$W$3:$Z$8,4)</f>
        <v>26.4</v>
      </c>
      <c r="R118" s="73">
        <f t="shared" si="56"/>
        <v>0.82499999999999996</v>
      </c>
      <c r="S118" s="74">
        <f t="shared" si="57"/>
        <v>0</v>
      </c>
      <c r="T118" s="74">
        <f t="shared" si="58"/>
        <v>0</v>
      </c>
      <c r="U118" s="75">
        <f t="shared" si="59"/>
        <v>6.6</v>
      </c>
      <c r="V118" s="76">
        <f t="shared" si="60"/>
        <v>19.799999999999997</v>
      </c>
      <c r="W118" s="77">
        <v>0</v>
      </c>
      <c r="X118" s="78">
        <f t="shared" si="61"/>
        <v>0</v>
      </c>
      <c r="Y118" s="79">
        <f t="shared" si="62"/>
        <v>0</v>
      </c>
      <c r="Z118" s="79">
        <f t="shared" si="63"/>
        <v>0</v>
      </c>
      <c r="AA118" s="78">
        <f t="shared" si="64"/>
        <v>1</v>
      </c>
      <c r="AB118" s="79">
        <f t="shared" si="65"/>
        <v>1</v>
      </c>
      <c r="AC118" s="79">
        <f t="shared" si="66"/>
        <v>0</v>
      </c>
      <c r="AD118" s="79">
        <f t="shared" si="67"/>
        <v>0</v>
      </c>
      <c r="AE118" s="79">
        <f t="shared" si="68"/>
        <v>0</v>
      </c>
      <c r="AF118" s="78">
        <f t="shared" si="69"/>
        <v>1</v>
      </c>
      <c r="AG118" s="79">
        <f t="shared" si="70"/>
        <v>1</v>
      </c>
      <c r="AH118" s="79">
        <f t="shared" si="71"/>
        <v>0</v>
      </c>
      <c r="AI118" s="78">
        <f t="shared" si="72"/>
        <v>0</v>
      </c>
      <c r="AJ118" s="79">
        <f t="shared" si="73"/>
        <v>0</v>
      </c>
      <c r="AK118" s="79">
        <f t="shared" si="74"/>
        <v>0</v>
      </c>
      <c r="AL118" s="80">
        <f t="shared" si="75"/>
        <v>0</v>
      </c>
      <c r="AM118" s="81">
        <f t="shared" si="76"/>
        <v>0.32999999999999996</v>
      </c>
      <c r="AN118" s="82" t="str">
        <f t="shared" si="77"/>
        <v/>
      </c>
      <c r="AO118" s="79" t="str">
        <f t="shared" si="78"/>
        <v/>
      </c>
      <c r="AP118" t="str">
        <f t="shared" si="79"/>
        <v/>
      </c>
      <c r="AQ118" s="82" t="str">
        <f t="shared" si="80"/>
        <v>X</v>
      </c>
      <c r="AR118" t="str">
        <f t="shared" si="81"/>
        <v>X</v>
      </c>
      <c r="AS118" t="str">
        <f t="shared" si="82"/>
        <v/>
      </c>
      <c r="AT118" t="str">
        <f t="shared" si="83"/>
        <v/>
      </c>
      <c r="AU118" t="str">
        <f t="shared" si="84"/>
        <v/>
      </c>
      <c r="AV118" s="82" t="str">
        <f t="shared" si="85"/>
        <v>X</v>
      </c>
      <c r="AW118" t="str">
        <f t="shared" si="86"/>
        <v>X</v>
      </c>
      <c r="AX118" t="str">
        <f t="shared" si="87"/>
        <v/>
      </c>
      <c r="AY118" s="82" t="str">
        <f t="shared" si="88"/>
        <v/>
      </c>
      <c r="AZ118" t="str">
        <f t="shared" si="89"/>
        <v/>
      </c>
      <c r="BA118" t="str">
        <f t="shared" si="90"/>
        <v/>
      </c>
      <c r="BB118" s="83" t="str">
        <f t="shared" si="91"/>
        <v/>
      </c>
      <c r="BC118" s="84">
        <f t="shared" si="92"/>
        <v>0</v>
      </c>
      <c r="BD118" s="84">
        <f t="shared" si="93"/>
        <v>0.42857142857142849</v>
      </c>
      <c r="BE118" s="84">
        <f t="shared" si="94"/>
        <v>0.70588235294117652</v>
      </c>
      <c r="BF118" s="84">
        <f t="shared" si="95"/>
        <v>0</v>
      </c>
      <c r="BG118" s="78">
        <f>IF(AN118="",0,VLOOKUP(AN118,Tables!$AB$3:$AC$12,2))</f>
        <v>0</v>
      </c>
      <c r="BH118" s="79">
        <f>IF(AO118="",0,VLOOKUP(AO118,Tables!$AB$3:$AC$12,2))</f>
        <v>0</v>
      </c>
      <c r="BI118" s="79">
        <f>IF(AP118="",0,VLOOKUP(AP118,Tables!$AB$3:$AC$12,2))</f>
        <v>0</v>
      </c>
      <c r="BJ118" s="78">
        <f>IF(AQ118="",0,VLOOKUP(AQ118,Tables!$AB$3:$AC$12,2))</f>
        <v>1</v>
      </c>
      <c r="BK118" s="79">
        <f>IF(AR118="",0,VLOOKUP(AR118,Tables!$AB$3:$AC$12,2))</f>
        <v>1</v>
      </c>
      <c r="BL118" s="79">
        <f>IF(AS118="",0,VLOOKUP(AS118,Tables!$AB$3:$AC$12,2))</f>
        <v>0</v>
      </c>
      <c r="BM118" s="79">
        <f>IF(AT118="",0,VLOOKUP(AT118,Tables!$AB$3:$AC$12,2))</f>
        <v>0</v>
      </c>
      <c r="BN118" s="79">
        <f>IF(AU118="",0,VLOOKUP(AU118,Tables!$AB$3:$AC$12,2))</f>
        <v>0</v>
      </c>
      <c r="BO118" s="78">
        <f>IF(AV118="",0,VLOOKUP(AV118,Tables!$AB$3:$AC$12,2))</f>
        <v>1</v>
      </c>
      <c r="BP118" s="79">
        <f>IF(AW118="",0,VLOOKUP(AW118,Tables!$AB$3:$AC$12,2))</f>
        <v>1</v>
      </c>
      <c r="BQ118" s="79">
        <f>IF(AX118="",0,VLOOKUP(AX118,Tables!$AB$3:$AC$12,2))</f>
        <v>0</v>
      </c>
      <c r="BR118" s="78">
        <f>IF(AY118="",0,VLOOKUP(AY118,Tables!$AB$3:$AC$12,2))</f>
        <v>0</v>
      </c>
      <c r="BS118" s="79">
        <f>IF(AZ118="",0,VLOOKUP(AZ118,Tables!$AB$3:$AC$12,2))</f>
        <v>0</v>
      </c>
      <c r="BT118" s="79">
        <f>IF(BA118="",0,VLOOKUP(BA118,Tables!$AB$3:$AC$12,2))</f>
        <v>0</v>
      </c>
      <c r="BU118" s="80">
        <f>IF(BB118="",0,VLOOKUP(BB118,Tables!$AB$3:$AC$12,2))</f>
        <v>0</v>
      </c>
      <c r="BV118" s="85">
        <f>IF(AN118="",0,VLOOKUP(B118,Tables!$B$3:$D$36,2,FALSE())*X$1)</f>
        <v>0</v>
      </c>
      <c r="BW118" s="72">
        <f>IF(AO118="",0,VLOOKUP(C118,Tables!$B$3:$D$36,2,FALSE())*Y$1)</f>
        <v>0</v>
      </c>
      <c r="BX118" s="72">
        <f>IF(AP118="",0,VLOOKUP(D118,Tables!$B$3:$D$36,2,FALSE())*Z$1)</f>
        <v>0</v>
      </c>
      <c r="BY118" s="85">
        <f>IF(AQ118="",0,VLOOKUP(E118,Tables!$B$3:$D$36,2,FALSE())*AA$1)</f>
        <v>2.4</v>
      </c>
      <c r="BZ118" s="72">
        <f>IF(AR118="",0,VLOOKUP(F118,Tables!$B$3:$D$36,2,FALSE())*AB$1)</f>
        <v>4.8</v>
      </c>
      <c r="CA118" s="72">
        <f>IF(AS118="",0,VLOOKUP(G118,Tables!$B$3:$D$36,2,FALSE())*AC$1)</f>
        <v>0</v>
      </c>
      <c r="CB118" s="72">
        <f>IF(AT118="",0,VLOOKUP(H118,Tables!$B$3:$D$36,2,FALSE())*AD$1)</f>
        <v>0</v>
      </c>
      <c r="CC118" s="72">
        <f>IF(AU118="",0,VLOOKUP(I118,Tables!$B$3:$D$36,2,FALSE())*AE$1)</f>
        <v>0</v>
      </c>
      <c r="CD118" s="85">
        <f>IF(AV118="",0,VLOOKUP(J118,Tables!$B$3:$D$36,2,FALSE())*AF$1)</f>
        <v>9.6</v>
      </c>
      <c r="CE118" s="72">
        <f>IF(AW118="",0,VLOOKUP(K118,Tables!$B$3:$D$36,2,FALSE())*AG$1)</f>
        <v>9.6</v>
      </c>
      <c r="CF118" s="72">
        <f>IF(AX118="",0,VLOOKUP(L118,Tables!$B$3:$D$36,2,FALSE())*AH$1)</f>
        <v>0</v>
      </c>
      <c r="CG118" s="85">
        <f>IF(AY118="",0,VLOOKUP(M118,Tables!$B$3:$D$36,2,FALSE())*AI$1)</f>
        <v>0</v>
      </c>
      <c r="CH118" s="72">
        <f>IF(AZ118="",0,VLOOKUP(N118,Tables!$B$3:$D$36,2,FALSE())*AJ$1)</f>
        <v>0</v>
      </c>
      <c r="CI118" s="72">
        <f>IF(BA118="",0,VLOOKUP(O118,Tables!$B$3:$D$36,2,FALSE())*AK$1)</f>
        <v>0</v>
      </c>
      <c r="CJ118" s="86">
        <f>IF(BB118="",0,VLOOKUP(P118,Tables!$B$3:$D$36,2,FALSE())*AL$1)</f>
        <v>0</v>
      </c>
      <c r="CK118" s="87">
        <f>IF(AN118="",0,VLOOKUP(B118,Tables!$B$3:$D$36,3,FALSE())*X$1)*IF(OR(AN118="K",AN118="P"),2,1)</f>
        <v>0</v>
      </c>
      <c r="CL118" s="73">
        <f>IF(AO118="",0,VLOOKUP(C118,Tables!$B$3:$D$36,3,FALSE())*Y$1)*IF(OR(AO118="K",AO118="P"),2,1)</f>
        <v>0</v>
      </c>
      <c r="CM118" s="73">
        <f>IF(AP118="",0,VLOOKUP(D118,Tables!$B$3:$D$36,3,FALSE())*Z$1)*IF(OR(AP118="K",AP118="P"),2,1)</f>
        <v>0</v>
      </c>
      <c r="CN118" s="87">
        <f>IF(AQ118="",0,VLOOKUP(E118,Tables!$B$3:$D$36,3,FALSE())*AA$1)</f>
        <v>7.4999999999999997E-2</v>
      </c>
      <c r="CO118" s="73">
        <f>IF(AR118="",0,VLOOKUP(F118,Tables!$B$3:$D$36,3,FALSE())*AB$1)</f>
        <v>0.15</v>
      </c>
      <c r="CP118" s="73">
        <f>IF(AS118="",0,VLOOKUP(G118,Tables!$B$3:$D$36,3,FALSE())*AC$1)</f>
        <v>0</v>
      </c>
      <c r="CQ118" s="73">
        <f>IF(AT118="",0,VLOOKUP(H118,Tables!$B$3:$D$36,3,FALSE())*AD$1)</f>
        <v>0</v>
      </c>
      <c r="CR118" s="73">
        <f>IF(AU118="",0,VLOOKUP(I118,Tables!$B$3:$D$36,3,FALSE())*AE$1)</f>
        <v>0</v>
      </c>
      <c r="CS118" s="87">
        <f>IF(AV118="",0,VLOOKUP(J118,Tables!$B$3:$D$36,3,FALSE())*AF$1)</f>
        <v>0.3</v>
      </c>
      <c r="CT118" s="73">
        <f>IF(AW118="",0,VLOOKUP(K118,Tables!$B$3:$D$36,3,FALSE())*AG$1)</f>
        <v>0.3</v>
      </c>
      <c r="CU118" s="73">
        <f>IF(AX118="",0,VLOOKUP(L118,Tables!$B$3:$D$36,3,FALSE())*AH$1)</f>
        <v>0</v>
      </c>
      <c r="CV118" s="87">
        <f>IF(AY118="",0,VLOOKUP(M118,Tables!$B$3:$D$36,3,FALSE())*AI$1)</f>
        <v>0</v>
      </c>
      <c r="CW118" s="73">
        <f>IF(AZ118="",0,VLOOKUP(N118,Tables!$B$3:$D$36,3,FALSE())*AJ$1)</f>
        <v>0</v>
      </c>
      <c r="CX118" s="73">
        <f>IF(BA118="",0,VLOOKUP(O118,Tables!$B$3:$D$36,3,FALSE())*AK$1)</f>
        <v>0</v>
      </c>
      <c r="CY118" s="88">
        <f>IF(BB118="",0,VLOOKUP(P118,Tables!$B$3:$D$36,3,FALSE())*AL$1)</f>
        <v>0</v>
      </c>
      <c r="CZ118" s="89">
        <f t="shared" si="96"/>
        <v>0</v>
      </c>
      <c r="DA118" s="75">
        <f t="shared" si="97"/>
        <v>0</v>
      </c>
      <c r="DB118" s="75">
        <f t="shared" si="98"/>
        <v>0</v>
      </c>
      <c r="DC118" s="89">
        <f t="shared" si="99"/>
        <v>1</v>
      </c>
      <c r="DD118" s="75">
        <f t="shared" si="100"/>
        <v>1</v>
      </c>
      <c r="DE118" s="75">
        <f t="shared" si="101"/>
        <v>0</v>
      </c>
      <c r="DF118" s="75">
        <f t="shared" si="102"/>
        <v>0</v>
      </c>
      <c r="DG118" s="75">
        <f t="shared" si="103"/>
        <v>0</v>
      </c>
      <c r="DH118" s="89">
        <f t="shared" si="104"/>
        <v>1</v>
      </c>
      <c r="DI118" s="75">
        <f t="shared" si="105"/>
        <v>1</v>
      </c>
      <c r="DJ118" s="75">
        <f t="shared" si="106"/>
        <v>0</v>
      </c>
      <c r="DK118" s="89">
        <f t="shared" si="107"/>
        <v>0</v>
      </c>
      <c r="DL118" s="75">
        <f t="shared" si="108"/>
        <v>0</v>
      </c>
      <c r="DM118" s="75">
        <f t="shared" si="109"/>
        <v>0</v>
      </c>
      <c r="DN118" s="90">
        <f t="shared" si="110"/>
        <v>0</v>
      </c>
      <c r="DO118" s="91">
        <f>IF(AN118="",0,VLOOKUP(B118,Tables!$B$3:$M$36,11,FALSE())*X$1)</f>
        <v>0</v>
      </c>
      <c r="DP118" s="92">
        <f>IF(AO118="",0,VLOOKUP(C118,Tables!$B$3:$M$36,11,FALSE())*Y$1)</f>
        <v>0</v>
      </c>
      <c r="DQ118" s="92">
        <f>IF(AP118="",0,VLOOKUP(D118,Tables!$B$3:$M$36,11,FALSE())*Z$1)</f>
        <v>0</v>
      </c>
      <c r="DR118" s="91">
        <f>IF(AQ118="",0,VLOOKUP(E118,Tables!$B$3:$M$36,11,FALSE())*AA$1)</f>
        <v>0.6</v>
      </c>
      <c r="DS118" s="92">
        <f>IF(AR118="",0,VLOOKUP(F118,Tables!$B$3:$M$36,11,FALSE())*AB$1)</f>
        <v>1.2</v>
      </c>
      <c r="DT118" s="92">
        <f>IF(AS118="",0,VLOOKUP(G118,Tables!$B$3:$M$36,11,FALSE())*AC$1)</f>
        <v>0</v>
      </c>
      <c r="DU118" s="92">
        <f>IF(AT118="",0,VLOOKUP(H118,Tables!$B$3:$M$36,11,FALSE())*AD$1)</f>
        <v>0</v>
      </c>
      <c r="DV118" s="92">
        <f>IF(AU118="",0,VLOOKUP(I118,Tables!$B$3:$M$36,11,FALSE())*AE$1)</f>
        <v>0</v>
      </c>
      <c r="DW118" s="91">
        <f>IF(AV118="",0,VLOOKUP(J118,Tables!$B$3:$M$36,11,FALSE())*AF$1)</f>
        <v>2.4</v>
      </c>
      <c r="DX118" s="92">
        <f>IF(AW118="",0,VLOOKUP(K118,Tables!$B$3:$M$36,11,FALSE())*AG$1)</f>
        <v>2.4</v>
      </c>
      <c r="DY118" s="92">
        <f>IF(AX118="",0,VLOOKUP(L118,Tables!$B$3:$M$36,11,FALSE())*AH$1)</f>
        <v>0</v>
      </c>
      <c r="DZ118" s="91">
        <f>IF(AY118="",0,VLOOKUP(M118,Tables!$B$3:$M$36,11,FALSE())*AI$1)</f>
        <v>0</v>
      </c>
      <c r="EA118" s="92">
        <f>IF(AZ118="",0,VLOOKUP(N118,Tables!$B$3:$M$36,11,FALSE())*AJ$1)</f>
        <v>0</v>
      </c>
      <c r="EB118" s="92">
        <f>IF(BA118="",0,VLOOKUP(O118,Tables!$B$3:$M$36,11,FALSE())*AK$1)</f>
        <v>0</v>
      </c>
      <c r="EC118" s="93">
        <f>IF(BB118="",0,VLOOKUP(P118,Tables!$B$3:$M$36,11,FALSE())*AL$1)</f>
        <v>0</v>
      </c>
      <c r="ED118" s="91">
        <f>IF(AN118="",0,VLOOKUP(B118,Tables!$B$3:$M$36,12,FALSE())*X$1)</f>
        <v>0</v>
      </c>
      <c r="EE118" s="92">
        <f>IF(AO118="",0,VLOOKUP(C118,Tables!$B$3:$M$36,12,FALSE())*Y$1)</f>
        <v>0</v>
      </c>
      <c r="EF118" s="92">
        <f>IF(AP118="",0,VLOOKUP(D118,Tables!$B$3:$M$36,12,FALSE())*Z$1)</f>
        <v>0</v>
      </c>
      <c r="EG118" s="91">
        <f>IF(AQ118="",0,VLOOKUP(E118,Tables!$B$3:$M$36,12,FALSE())*AA$1)</f>
        <v>1.7999999999999998</v>
      </c>
      <c r="EH118" s="92">
        <f>IF(AR118="",0,VLOOKUP(F118,Tables!$B$3:$M$36,12,FALSE())*AB$1)</f>
        <v>3.5999999999999996</v>
      </c>
      <c r="EI118" s="92">
        <f>IF(AS118="",0,VLOOKUP(G118,Tables!$B$3:$M$36,12,FALSE())*AC$1)</f>
        <v>0</v>
      </c>
      <c r="EJ118" s="92">
        <f>IF(AT118="",0,VLOOKUP(H118,Tables!$B$3:$M$36,12,FALSE())*AD$1)</f>
        <v>0</v>
      </c>
      <c r="EK118" s="92">
        <f>IF(AU118="",0,VLOOKUP(I118,Tables!$B$3:$M$36,12,FALSE())*AE$1)</f>
        <v>0</v>
      </c>
      <c r="EL118" s="91">
        <f>IF(AV118="",0,VLOOKUP(J118,Tables!$B$3:$M$36,12,FALSE())*AF$1)</f>
        <v>7.1999999999999993</v>
      </c>
      <c r="EM118" s="92">
        <f>IF(AW118="",0,VLOOKUP(K118,Tables!$B$3:$M$36,12,FALSE())*AG$1)</f>
        <v>7.1999999999999993</v>
      </c>
      <c r="EN118" s="92">
        <f>IF(AX118="",0,VLOOKUP(L118,Tables!$B$3:$M$36,12,FALSE())*AH$1)</f>
        <v>0</v>
      </c>
      <c r="EO118" s="91">
        <f>IF(AY118="",0,VLOOKUP(M118,Tables!$B$3:$M$36,12,FALSE())*AI$1)</f>
        <v>0</v>
      </c>
      <c r="EP118" s="92">
        <f>IF(AZ118="",0,VLOOKUP(N118,Tables!$B$3:$M$36,12,FALSE())*AJ$1)</f>
        <v>0</v>
      </c>
      <c r="EQ118" s="92">
        <f>IF(BA118="",0,VLOOKUP(O118,Tables!$B$3:$M$36,12,FALSE())*AK$1)</f>
        <v>0</v>
      </c>
      <c r="ER118" s="93">
        <f>IF(BB118="",0,VLOOKUP(P118,Tables!$B$3:$M$36,12,FALSE())*AL$1)</f>
        <v>0</v>
      </c>
      <c r="ES118" s="94">
        <f t="shared" si="111"/>
        <v>0</v>
      </c>
      <c r="ET118" s="95">
        <f>IF(AN118="",10,MIN(VLOOKUP(B118,MATERIAL,13,FALSE()),'Item Builder'!$W118))</f>
        <v>10</v>
      </c>
      <c r="EU118" s="95">
        <f>IF(AO118="",10,MIN(VLOOKUP(C118,MATERIAL,13,FALSE()),'Item Builder'!$W118))</f>
        <v>10</v>
      </c>
      <c r="EV118" s="95">
        <f>IF(AP118="",10,MIN(VLOOKUP(D118,MATERIAL,13,FALSE()),'Item Builder'!$W118))</f>
        <v>10</v>
      </c>
      <c r="EW118" s="95">
        <f>IF(AQ118="",10,MIN(VLOOKUP(E118,MATERIAL,13,FALSE()),'Item Builder'!$W118))</f>
        <v>0</v>
      </c>
      <c r="EX118" s="95">
        <f>IF(AR118="",10,MIN(VLOOKUP(F118,MATERIAL,13,FALSE()),'Item Builder'!$W118))</f>
        <v>0</v>
      </c>
      <c r="EY118" s="95">
        <f>IF(AS118="",10,MIN(VLOOKUP(G118,MATERIAL,13,FALSE()),'Item Builder'!$W118))</f>
        <v>10</v>
      </c>
      <c r="EZ118" s="95">
        <f>IF(AT118="",10,MIN(VLOOKUP(H118,MATERIAL,13,FALSE()),'Item Builder'!$W118))</f>
        <v>10</v>
      </c>
      <c r="FA118" s="95">
        <f>IF(AU118="",10,MIN(VLOOKUP(I118,MATERIAL,13,FALSE()),'Item Builder'!$W118))</f>
        <v>10</v>
      </c>
      <c r="FB118" s="95">
        <f>IF(AV118="",10,MIN(VLOOKUP(J118,MATERIAL,13,FALSE()),'Item Builder'!$W118))</f>
        <v>0</v>
      </c>
      <c r="FC118" s="95">
        <f>IF(AW118="",10,MIN(VLOOKUP(K118,MATERIAL,13,FALSE()),'Item Builder'!$W118))</f>
        <v>0</v>
      </c>
      <c r="FD118" s="95">
        <f>IF(AX118="",10,MIN(VLOOKUP(L118,MATERIAL,13,FALSE()),'Item Builder'!$W118))</f>
        <v>10</v>
      </c>
      <c r="FE118" s="95">
        <f>IF(AY118="",10,MIN(VLOOKUP(M118,MATERIAL,13,FALSE()),'Item Builder'!$W118))</f>
        <v>10</v>
      </c>
      <c r="FF118" s="95">
        <f>IF(AZ118="",10,MIN(VLOOKUP(N118,MATERIAL,13,FALSE()),'Item Builder'!$W118))</f>
        <v>10</v>
      </c>
      <c r="FG118" s="95">
        <f>IF(BA118="",10,MIN(VLOOKUP(O118,MATERIAL,13,FALSE()),'Item Builder'!$W118))</f>
        <v>10</v>
      </c>
      <c r="FH118" s="95">
        <f>IF(BB118="",10,MIN(VLOOKUP(P118,MATERIAL,13,FALSE()),'Item Builder'!$W118))</f>
        <v>10</v>
      </c>
    </row>
    <row r="119" spans="1:164" x14ac:dyDescent="0.25">
      <c r="A119" s="67" t="s">
        <v>259</v>
      </c>
      <c r="B119" s="68"/>
      <c r="C119" s="69"/>
      <c r="D119" s="70"/>
      <c r="E119" s="68" t="s">
        <v>161</v>
      </c>
      <c r="F119" s="69" t="s">
        <v>161</v>
      </c>
      <c r="G119" s="69" t="s">
        <v>161</v>
      </c>
      <c r="H119" s="69"/>
      <c r="I119" s="70"/>
      <c r="J119" s="68" t="s">
        <v>161</v>
      </c>
      <c r="K119" s="69" t="s">
        <v>161</v>
      </c>
      <c r="L119" s="70" t="s">
        <v>161</v>
      </c>
      <c r="M119" s="68"/>
      <c r="N119" s="69"/>
      <c r="O119" s="69"/>
      <c r="P119" s="71"/>
      <c r="Q119" s="72">
        <f>SUM(BV119:CJ119)*VLOOKUP(W119,Tables!$W$3:$Z$8,4)</f>
        <v>36</v>
      </c>
      <c r="R119" s="73">
        <f t="shared" si="56"/>
        <v>1.125</v>
      </c>
      <c r="S119" s="74">
        <f t="shared" si="57"/>
        <v>0</v>
      </c>
      <c r="T119" s="74">
        <f t="shared" si="58"/>
        <v>0</v>
      </c>
      <c r="U119" s="75">
        <f t="shared" si="59"/>
        <v>9</v>
      </c>
      <c r="V119" s="76">
        <f t="shared" si="60"/>
        <v>27</v>
      </c>
      <c r="W119" s="77">
        <v>0</v>
      </c>
      <c r="X119" s="78">
        <f t="shared" si="61"/>
        <v>0</v>
      </c>
      <c r="Y119" s="79">
        <f t="shared" si="62"/>
        <v>0</v>
      </c>
      <c r="Z119" s="79">
        <f t="shared" si="63"/>
        <v>0</v>
      </c>
      <c r="AA119" s="78">
        <f t="shared" si="64"/>
        <v>1</v>
      </c>
      <c r="AB119" s="79">
        <f t="shared" si="65"/>
        <v>1</v>
      </c>
      <c r="AC119" s="79">
        <f t="shared" si="66"/>
        <v>1</v>
      </c>
      <c r="AD119" s="79">
        <f t="shared" si="67"/>
        <v>0</v>
      </c>
      <c r="AE119" s="79">
        <f t="shared" si="68"/>
        <v>0</v>
      </c>
      <c r="AF119" s="78">
        <f t="shared" si="69"/>
        <v>1</v>
      </c>
      <c r="AG119" s="79">
        <f t="shared" si="70"/>
        <v>1</v>
      </c>
      <c r="AH119" s="79">
        <f t="shared" si="71"/>
        <v>1</v>
      </c>
      <c r="AI119" s="78">
        <f t="shared" si="72"/>
        <v>0</v>
      </c>
      <c r="AJ119" s="79">
        <f t="shared" si="73"/>
        <v>0</v>
      </c>
      <c r="AK119" s="79">
        <f t="shared" si="74"/>
        <v>0</v>
      </c>
      <c r="AL119" s="80">
        <f t="shared" si="75"/>
        <v>0</v>
      </c>
      <c r="AM119" s="81">
        <f t="shared" si="76"/>
        <v>0.44999999999999996</v>
      </c>
      <c r="AN119" s="82" t="str">
        <f t="shared" si="77"/>
        <v/>
      </c>
      <c r="AO119" s="79" t="str">
        <f t="shared" si="78"/>
        <v/>
      </c>
      <c r="AP119" t="str">
        <f t="shared" si="79"/>
        <v/>
      </c>
      <c r="AQ119" s="82" t="str">
        <f t="shared" si="80"/>
        <v>X</v>
      </c>
      <c r="AR119" t="str">
        <f t="shared" si="81"/>
        <v>X</v>
      </c>
      <c r="AS119" t="str">
        <f t="shared" si="82"/>
        <v>X</v>
      </c>
      <c r="AT119" t="str">
        <f t="shared" si="83"/>
        <v/>
      </c>
      <c r="AU119" t="str">
        <f t="shared" si="84"/>
        <v/>
      </c>
      <c r="AV119" s="82" t="str">
        <f t="shared" si="85"/>
        <v>X</v>
      </c>
      <c r="AW119" t="str">
        <f t="shared" si="86"/>
        <v>X</v>
      </c>
      <c r="AX119" t="str">
        <f t="shared" si="87"/>
        <v>X</v>
      </c>
      <c r="AY119" s="82" t="str">
        <f t="shared" si="88"/>
        <v/>
      </c>
      <c r="AZ119" t="str">
        <f t="shared" si="89"/>
        <v/>
      </c>
      <c r="BA119" t="str">
        <f t="shared" si="90"/>
        <v/>
      </c>
      <c r="BB119" s="83" t="str">
        <f t="shared" si="91"/>
        <v/>
      </c>
      <c r="BC119" s="84">
        <f t="shared" si="92"/>
        <v>0</v>
      </c>
      <c r="BD119" s="84">
        <f t="shared" si="93"/>
        <v>0.52380952380952372</v>
      </c>
      <c r="BE119" s="84">
        <f t="shared" si="94"/>
        <v>1</v>
      </c>
      <c r="BF119" s="84">
        <f t="shared" si="95"/>
        <v>0</v>
      </c>
      <c r="BG119" s="78">
        <f>IF(AN119="",0,VLOOKUP(AN119,Tables!$AB$3:$AC$12,2))</f>
        <v>0</v>
      </c>
      <c r="BH119" s="79">
        <f>IF(AO119="",0,VLOOKUP(AO119,Tables!$AB$3:$AC$12,2))</f>
        <v>0</v>
      </c>
      <c r="BI119" s="79">
        <f>IF(AP119="",0,VLOOKUP(AP119,Tables!$AB$3:$AC$12,2))</f>
        <v>0</v>
      </c>
      <c r="BJ119" s="78">
        <f>IF(AQ119="",0,VLOOKUP(AQ119,Tables!$AB$3:$AC$12,2))</f>
        <v>1</v>
      </c>
      <c r="BK119" s="79">
        <f>IF(AR119="",0,VLOOKUP(AR119,Tables!$AB$3:$AC$12,2))</f>
        <v>1</v>
      </c>
      <c r="BL119" s="79">
        <f>IF(AS119="",0,VLOOKUP(AS119,Tables!$AB$3:$AC$12,2))</f>
        <v>1</v>
      </c>
      <c r="BM119" s="79">
        <f>IF(AT119="",0,VLOOKUP(AT119,Tables!$AB$3:$AC$12,2))</f>
        <v>0</v>
      </c>
      <c r="BN119" s="79">
        <f>IF(AU119="",0,VLOOKUP(AU119,Tables!$AB$3:$AC$12,2))</f>
        <v>0</v>
      </c>
      <c r="BO119" s="78">
        <f>IF(AV119="",0,VLOOKUP(AV119,Tables!$AB$3:$AC$12,2))</f>
        <v>1</v>
      </c>
      <c r="BP119" s="79">
        <f>IF(AW119="",0,VLOOKUP(AW119,Tables!$AB$3:$AC$12,2))</f>
        <v>1</v>
      </c>
      <c r="BQ119" s="79">
        <f>IF(AX119="",0,VLOOKUP(AX119,Tables!$AB$3:$AC$12,2))</f>
        <v>1</v>
      </c>
      <c r="BR119" s="78">
        <f>IF(AY119="",0,VLOOKUP(AY119,Tables!$AB$3:$AC$12,2))</f>
        <v>0</v>
      </c>
      <c r="BS119" s="79">
        <f>IF(AZ119="",0,VLOOKUP(AZ119,Tables!$AB$3:$AC$12,2))</f>
        <v>0</v>
      </c>
      <c r="BT119" s="79">
        <f>IF(BA119="",0,VLOOKUP(BA119,Tables!$AB$3:$AC$12,2))</f>
        <v>0</v>
      </c>
      <c r="BU119" s="80">
        <f>IF(BB119="",0,VLOOKUP(BB119,Tables!$AB$3:$AC$12,2))</f>
        <v>0</v>
      </c>
      <c r="BV119" s="85">
        <f>IF(AN119="",0,VLOOKUP(B119,Tables!$B$3:$D$36,2,FALSE())*X$1)</f>
        <v>0</v>
      </c>
      <c r="BW119" s="72">
        <f>IF(AO119="",0,VLOOKUP(C119,Tables!$B$3:$D$36,2,FALSE())*Y$1)</f>
        <v>0</v>
      </c>
      <c r="BX119" s="72">
        <f>IF(AP119="",0,VLOOKUP(D119,Tables!$B$3:$D$36,2,FALSE())*Z$1)</f>
        <v>0</v>
      </c>
      <c r="BY119" s="85">
        <f>IF(AQ119="",0,VLOOKUP(E119,Tables!$B$3:$D$36,2,FALSE())*AA$1)</f>
        <v>2.4</v>
      </c>
      <c r="BZ119" s="72">
        <f>IF(AR119="",0,VLOOKUP(F119,Tables!$B$3:$D$36,2,FALSE())*AB$1)</f>
        <v>4.8</v>
      </c>
      <c r="CA119" s="72">
        <f>IF(AS119="",0,VLOOKUP(G119,Tables!$B$3:$D$36,2,FALSE())*AC$1)</f>
        <v>1.6</v>
      </c>
      <c r="CB119" s="72">
        <f>IF(AT119="",0,VLOOKUP(H119,Tables!$B$3:$D$36,2,FALSE())*AD$1)</f>
        <v>0</v>
      </c>
      <c r="CC119" s="72">
        <f>IF(AU119="",0,VLOOKUP(I119,Tables!$B$3:$D$36,2,FALSE())*AE$1)</f>
        <v>0</v>
      </c>
      <c r="CD119" s="85">
        <f>IF(AV119="",0,VLOOKUP(J119,Tables!$B$3:$D$36,2,FALSE())*AF$1)</f>
        <v>9.6</v>
      </c>
      <c r="CE119" s="72">
        <f>IF(AW119="",0,VLOOKUP(K119,Tables!$B$3:$D$36,2,FALSE())*AG$1)</f>
        <v>9.6</v>
      </c>
      <c r="CF119" s="72">
        <f>IF(AX119="",0,VLOOKUP(L119,Tables!$B$3:$D$36,2,FALSE())*AH$1)</f>
        <v>8</v>
      </c>
      <c r="CG119" s="85">
        <f>IF(AY119="",0,VLOOKUP(M119,Tables!$B$3:$D$36,2,FALSE())*AI$1)</f>
        <v>0</v>
      </c>
      <c r="CH119" s="72">
        <f>IF(AZ119="",0,VLOOKUP(N119,Tables!$B$3:$D$36,2,FALSE())*AJ$1)</f>
        <v>0</v>
      </c>
      <c r="CI119" s="72">
        <f>IF(BA119="",0,VLOOKUP(O119,Tables!$B$3:$D$36,2,FALSE())*AK$1)</f>
        <v>0</v>
      </c>
      <c r="CJ119" s="86">
        <f>IF(BB119="",0,VLOOKUP(P119,Tables!$B$3:$D$36,2,FALSE())*AL$1)</f>
        <v>0</v>
      </c>
      <c r="CK119" s="87">
        <f>IF(AN119="",0,VLOOKUP(B119,Tables!$B$3:$D$36,3,FALSE())*X$1)*IF(OR(AN119="K",AN119="P"),2,1)</f>
        <v>0</v>
      </c>
      <c r="CL119" s="73">
        <f>IF(AO119="",0,VLOOKUP(C119,Tables!$B$3:$D$36,3,FALSE())*Y$1)*IF(OR(AO119="K",AO119="P"),2,1)</f>
        <v>0</v>
      </c>
      <c r="CM119" s="73">
        <f>IF(AP119="",0,VLOOKUP(D119,Tables!$B$3:$D$36,3,FALSE())*Z$1)*IF(OR(AP119="K",AP119="P"),2,1)</f>
        <v>0</v>
      </c>
      <c r="CN119" s="87">
        <f>IF(AQ119="",0,VLOOKUP(E119,Tables!$B$3:$D$36,3,FALSE())*AA$1)</f>
        <v>7.4999999999999997E-2</v>
      </c>
      <c r="CO119" s="73">
        <f>IF(AR119="",0,VLOOKUP(F119,Tables!$B$3:$D$36,3,FALSE())*AB$1)</f>
        <v>0.15</v>
      </c>
      <c r="CP119" s="73">
        <f>IF(AS119="",0,VLOOKUP(G119,Tables!$B$3:$D$36,3,FALSE())*AC$1)</f>
        <v>0.05</v>
      </c>
      <c r="CQ119" s="73">
        <f>IF(AT119="",0,VLOOKUP(H119,Tables!$B$3:$D$36,3,FALSE())*AD$1)</f>
        <v>0</v>
      </c>
      <c r="CR119" s="73">
        <f>IF(AU119="",0,VLOOKUP(I119,Tables!$B$3:$D$36,3,FALSE())*AE$1)</f>
        <v>0</v>
      </c>
      <c r="CS119" s="87">
        <f>IF(AV119="",0,VLOOKUP(J119,Tables!$B$3:$D$36,3,FALSE())*AF$1)</f>
        <v>0.3</v>
      </c>
      <c r="CT119" s="73">
        <f>IF(AW119="",0,VLOOKUP(K119,Tables!$B$3:$D$36,3,FALSE())*AG$1)</f>
        <v>0.3</v>
      </c>
      <c r="CU119" s="73">
        <f>IF(AX119="",0,VLOOKUP(L119,Tables!$B$3:$D$36,3,FALSE())*AH$1)</f>
        <v>0.25</v>
      </c>
      <c r="CV119" s="87">
        <f>IF(AY119="",0,VLOOKUP(M119,Tables!$B$3:$D$36,3,FALSE())*AI$1)</f>
        <v>0</v>
      </c>
      <c r="CW119" s="73">
        <f>IF(AZ119="",0,VLOOKUP(N119,Tables!$B$3:$D$36,3,FALSE())*AJ$1)</f>
        <v>0</v>
      </c>
      <c r="CX119" s="73">
        <f>IF(BA119="",0,VLOOKUP(O119,Tables!$B$3:$D$36,3,FALSE())*AK$1)</f>
        <v>0</v>
      </c>
      <c r="CY119" s="88">
        <f>IF(BB119="",0,VLOOKUP(P119,Tables!$B$3:$D$36,3,FALSE())*AL$1)</f>
        <v>0</v>
      </c>
      <c r="CZ119" s="89">
        <f t="shared" si="96"/>
        <v>0</v>
      </c>
      <c r="DA119" s="75">
        <f t="shared" si="97"/>
        <v>0</v>
      </c>
      <c r="DB119" s="75">
        <f t="shared" si="98"/>
        <v>0</v>
      </c>
      <c r="DC119" s="89">
        <f t="shared" si="99"/>
        <v>1</v>
      </c>
      <c r="DD119" s="75">
        <f t="shared" si="100"/>
        <v>1</v>
      </c>
      <c r="DE119" s="75">
        <f t="shared" si="101"/>
        <v>1</v>
      </c>
      <c r="DF119" s="75">
        <f t="shared" si="102"/>
        <v>0</v>
      </c>
      <c r="DG119" s="75">
        <f t="shared" si="103"/>
        <v>0</v>
      </c>
      <c r="DH119" s="89">
        <f t="shared" si="104"/>
        <v>1</v>
      </c>
      <c r="DI119" s="75">
        <f t="shared" si="105"/>
        <v>1</v>
      </c>
      <c r="DJ119" s="75">
        <f t="shared" si="106"/>
        <v>1</v>
      </c>
      <c r="DK119" s="89">
        <f t="shared" si="107"/>
        <v>0</v>
      </c>
      <c r="DL119" s="75">
        <f t="shared" si="108"/>
        <v>0</v>
      </c>
      <c r="DM119" s="75">
        <f t="shared" si="109"/>
        <v>0</v>
      </c>
      <c r="DN119" s="90">
        <f t="shared" si="110"/>
        <v>0</v>
      </c>
      <c r="DO119" s="91">
        <f>IF(AN119="",0,VLOOKUP(B119,Tables!$B$3:$M$36,11,FALSE())*X$1)</f>
        <v>0</v>
      </c>
      <c r="DP119" s="92">
        <f>IF(AO119="",0,VLOOKUP(C119,Tables!$B$3:$M$36,11,FALSE())*Y$1)</f>
        <v>0</v>
      </c>
      <c r="DQ119" s="92">
        <f>IF(AP119="",0,VLOOKUP(D119,Tables!$B$3:$M$36,11,FALSE())*Z$1)</f>
        <v>0</v>
      </c>
      <c r="DR119" s="91">
        <f>IF(AQ119="",0,VLOOKUP(E119,Tables!$B$3:$M$36,11,FALSE())*AA$1)</f>
        <v>0.6</v>
      </c>
      <c r="DS119" s="92">
        <f>IF(AR119="",0,VLOOKUP(F119,Tables!$B$3:$M$36,11,FALSE())*AB$1)</f>
        <v>1.2</v>
      </c>
      <c r="DT119" s="92">
        <f>IF(AS119="",0,VLOOKUP(G119,Tables!$B$3:$M$36,11,FALSE())*AC$1)</f>
        <v>0.4</v>
      </c>
      <c r="DU119" s="92">
        <f>IF(AT119="",0,VLOOKUP(H119,Tables!$B$3:$M$36,11,FALSE())*AD$1)</f>
        <v>0</v>
      </c>
      <c r="DV119" s="92">
        <f>IF(AU119="",0,VLOOKUP(I119,Tables!$B$3:$M$36,11,FALSE())*AE$1)</f>
        <v>0</v>
      </c>
      <c r="DW119" s="91">
        <f>IF(AV119="",0,VLOOKUP(J119,Tables!$B$3:$M$36,11,FALSE())*AF$1)</f>
        <v>2.4</v>
      </c>
      <c r="DX119" s="92">
        <f>IF(AW119="",0,VLOOKUP(K119,Tables!$B$3:$M$36,11,FALSE())*AG$1)</f>
        <v>2.4</v>
      </c>
      <c r="DY119" s="92">
        <f>IF(AX119="",0,VLOOKUP(L119,Tables!$B$3:$M$36,11,FALSE())*AH$1)</f>
        <v>2</v>
      </c>
      <c r="DZ119" s="91">
        <f>IF(AY119="",0,VLOOKUP(M119,Tables!$B$3:$M$36,11,FALSE())*AI$1)</f>
        <v>0</v>
      </c>
      <c r="EA119" s="92">
        <f>IF(AZ119="",0,VLOOKUP(N119,Tables!$B$3:$M$36,11,FALSE())*AJ$1)</f>
        <v>0</v>
      </c>
      <c r="EB119" s="92">
        <f>IF(BA119="",0,VLOOKUP(O119,Tables!$B$3:$M$36,11,FALSE())*AK$1)</f>
        <v>0</v>
      </c>
      <c r="EC119" s="93">
        <f>IF(BB119="",0,VLOOKUP(P119,Tables!$B$3:$M$36,11,FALSE())*AL$1)</f>
        <v>0</v>
      </c>
      <c r="ED119" s="91">
        <f>IF(AN119="",0,VLOOKUP(B119,Tables!$B$3:$M$36,12,FALSE())*X$1)</f>
        <v>0</v>
      </c>
      <c r="EE119" s="92">
        <f>IF(AO119="",0,VLOOKUP(C119,Tables!$B$3:$M$36,12,FALSE())*Y$1)</f>
        <v>0</v>
      </c>
      <c r="EF119" s="92">
        <f>IF(AP119="",0,VLOOKUP(D119,Tables!$B$3:$M$36,12,FALSE())*Z$1)</f>
        <v>0</v>
      </c>
      <c r="EG119" s="91">
        <f>IF(AQ119="",0,VLOOKUP(E119,Tables!$B$3:$M$36,12,FALSE())*AA$1)</f>
        <v>1.7999999999999998</v>
      </c>
      <c r="EH119" s="92">
        <f>IF(AR119="",0,VLOOKUP(F119,Tables!$B$3:$M$36,12,FALSE())*AB$1)</f>
        <v>3.5999999999999996</v>
      </c>
      <c r="EI119" s="92">
        <f>IF(AS119="",0,VLOOKUP(G119,Tables!$B$3:$M$36,12,FALSE())*AC$1)</f>
        <v>1.2</v>
      </c>
      <c r="EJ119" s="92">
        <f>IF(AT119="",0,VLOOKUP(H119,Tables!$B$3:$M$36,12,FALSE())*AD$1)</f>
        <v>0</v>
      </c>
      <c r="EK119" s="92">
        <f>IF(AU119="",0,VLOOKUP(I119,Tables!$B$3:$M$36,12,FALSE())*AE$1)</f>
        <v>0</v>
      </c>
      <c r="EL119" s="91">
        <f>IF(AV119="",0,VLOOKUP(J119,Tables!$B$3:$M$36,12,FALSE())*AF$1)</f>
        <v>7.1999999999999993</v>
      </c>
      <c r="EM119" s="92">
        <f>IF(AW119="",0,VLOOKUP(K119,Tables!$B$3:$M$36,12,FALSE())*AG$1)</f>
        <v>7.1999999999999993</v>
      </c>
      <c r="EN119" s="92">
        <f>IF(AX119="",0,VLOOKUP(L119,Tables!$B$3:$M$36,12,FALSE())*AH$1)</f>
        <v>6</v>
      </c>
      <c r="EO119" s="91">
        <f>IF(AY119="",0,VLOOKUP(M119,Tables!$B$3:$M$36,12,FALSE())*AI$1)</f>
        <v>0</v>
      </c>
      <c r="EP119" s="92">
        <f>IF(AZ119="",0,VLOOKUP(N119,Tables!$B$3:$M$36,12,FALSE())*AJ$1)</f>
        <v>0</v>
      </c>
      <c r="EQ119" s="92">
        <f>IF(BA119="",0,VLOOKUP(O119,Tables!$B$3:$M$36,12,FALSE())*AK$1)</f>
        <v>0</v>
      </c>
      <c r="ER119" s="93">
        <f>IF(BB119="",0,VLOOKUP(P119,Tables!$B$3:$M$36,12,FALSE())*AL$1)</f>
        <v>0</v>
      </c>
      <c r="ES119" s="94">
        <f t="shared" si="111"/>
        <v>0</v>
      </c>
      <c r="ET119" s="95">
        <f>IF(AN119="",10,MIN(VLOOKUP(B119,MATERIAL,13,FALSE()),'Item Builder'!$W119))</f>
        <v>10</v>
      </c>
      <c r="EU119" s="95">
        <f>IF(AO119="",10,MIN(VLOOKUP(C119,MATERIAL,13,FALSE()),'Item Builder'!$W119))</f>
        <v>10</v>
      </c>
      <c r="EV119" s="95">
        <f>IF(AP119="",10,MIN(VLOOKUP(D119,MATERIAL,13,FALSE()),'Item Builder'!$W119))</f>
        <v>10</v>
      </c>
      <c r="EW119" s="95">
        <f>IF(AQ119="",10,MIN(VLOOKUP(E119,MATERIAL,13,FALSE()),'Item Builder'!$W119))</f>
        <v>0</v>
      </c>
      <c r="EX119" s="95">
        <f>IF(AR119="",10,MIN(VLOOKUP(F119,MATERIAL,13,FALSE()),'Item Builder'!$W119))</f>
        <v>0</v>
      </c>
      <c r="EY119" s="95">
        <f>IF(AS119="",10,MIN(VLOOKUP(G119,MATERIAL,13,FALSE()),'Item Builder'!$W119))</f>
        <v>0</v>
      </c>
      <c r="EZ119" s="95">
        <f>IF(AT119="",10,MIN(VLOOKUP(H119,MATERIAL,13,FALSE()),'Item Builder'!$W119))</f>
        <v>10</v>
      </c>
      <c r="FA119" s="95">
        <f>IF(AU119="",10,MIN(VLOOKUP(I119,MATERIAL,13,FALSE()),'Item Builder'!$W119))</f>
        <v>10</v>
      </c>
      <c r="FB119" s="95">
        <f>IF(AV119="",10,MIN(VLOOKUP(J119,MATERIAL,13,FALSE()),'Item Builder'!$W119))</f>
        <v>0</v>
      </c>
      <c r="FC119" s="95">
        <f>IF(AW119="",10,MIN(VLOOKUP(K119,MATERIAL,13,FALSE()),'Item Builder'!$W119))</f>
        <v>0</v>
      </c>
      <c r="FD119" s="95">
        <f>IF(AX119="",10,MIN(VLOOKUP(L119,MATERIAL,13,FALSE()),'Item Builder'!$W119))</f>
        <v>0</v>
      </c>
      <c r="FE119" s="95">
        <f>IF(AY119="",10,MIN(VLOOKUP(M119,MATERIAL,13,FALSE()),'Item Builder'!$W119))</f>
        <v>10</v>
      </c>
      <c r="FF119" s="95">
        <f>IF(AZ119="",10,MIN(VLOOKUP(N119,MATERIAL,13,FALSE()),'Item Builder'!$W119))</f>
        <v>10</v>
      </c>
      <c r="FG119" s="95">
        <f>IF(BA119="",10,MIN(VLOOKUP(O119,MATERIAL,13,FALSE()),'Item Builder'!$W119))</f>
        <v>10</v>
      </c>
      <c r="FH119" s="95">
        <f>IF(BB119="",10,MIN(VLOOKUP(P119,MATERIAL,13,FALSE()),'Item Builder'!$W119))</f>
        <v>10</v>
      </c>
    </row>
    <row r="120" spans="1:164" x14ac:dyDescent="0.25">
      <c r="A120" s="67" t="s">
        <v>260</v>
      </c>
      <c r="B120" s="68"/>
      <c r="C120" s="69"/>
      <c r="D120" s="70"/>
      <c r="E120" s="68" t="s">
        <v>161</v>
      </c>
      <c r="F120" s="69" t="s">
        <v>161</v>
      </c>
      <c r="G120" s="69" t="s">
        <v>161</v>
      </c>
      <c r="H120" s="69" t="s">
        <v>161</v>
      </c>
      <c r="I120" s="70"/>
      <c r="J120" s="68" t="s">
        <v>161</v>
      </c>
      <c r="K120" s="69" t="s">
        <v>161</v>
      </c>
      <c r="L120" s="70" t="s">
        <v>161</v>
      </c>
      <c r="M120" s="68"/>
      <c r="N120" s="69"/>
      <c r="O120" s="69"/>
      <c r="P120" s="71"/>
      <c r="Q120" s="72">
        <f>SUM(BV120:CJ120)*VLOOKUP(W120,Tables!$W$3:$Z$8,4)</f>
        <v>40</v>
      </c>
      <c r="R120" s="73">
        <f t="shared" si="56"/>
        <v>1.25</v>
      </c>
      <c r="S120" s="74">
        <f t="shared" si="57"/>
        <v>0</v>
      </c>
      <c r="T120" s="74">
        <f t="shared" si="58"/>
        <v>0</v>
      </c>
      <c r="U120" s="75">
        <f t="shared" si="59"/>
        <v>10</v>
      </c>
      <c r="V120" s="76">
        <f t="shared" si="60"/>
        <v>29.999999999999996</v>
      </c>
      <c r="W120" s="77">
        <v>0</v>
      </c>
      <c r="X120" s="78">
        <f t="shared" si="61"/>
        <v>0</v>
      </c>
      <c r="Y120" s="79">
        <f t="shared" si="62"/>
        <v>0</v>
      </c>
      <c r="Z120" s="79">
        <f t="shared" si="63"/>
        <v>0</v>
      </c>
      <c r="AA120" s="78">
        <f t="shared" si="64"/>
        <v>1</v>
      </c>
      <c r="AB120" s="79">
        <f t="shared" si="65"/>
        <v>1</v>
      </c>
      <c r="AC120" s="79">
        <f t="shared" si="66"/>
        <v>1</v>
      </c>
      <c r="AD120" s="79">
        <f t="shared" si="67"/>
        <v>1</v>
      </c>
      <c r="AE120" s="79">
        <f t="shared" si="68"/>
        <v>0</v>
      </c>
      <c r="AF120" s="78">
        <f t="shared" si="69"/>
        <v>1</v>
      </c>
      <c r="AG120" s="79">
        <f t="shared" si="70"/>
        <v>1</v>
      </c>
      <c r="AH120" s="79">
        <f t="shared" si="71"/>
        <v>1</v>
      </c>
      <c r="AI120" s="78">
        <f t="shared" si="72"/>
        <v>0</v>
      </c>
      <c r="AJ120" s="79">
        <f t="shared" si="73"/>
        <v>0</v>
      </c>
      <c r="AK120" s="79">
        <f t="shared" si="74"/>
        <v>0</v>
      </c>
      <c r="AL120" s="80">
        <f t="shared" si="75"/>
        <v>0</v>
      </c>
      <c r="AM120" s="81">
        <f t="shared" si="76"/>
        <v>0.5</v>
      </c>
      <c r="AN120" s="82" t="str">
        <f t="shared" si="77"/>
        <v/>
      </c>
      <c r="AO120" s="79" t="str">
        <f t="shared" si="78"/>
        <v/>
      </c>
      <c r="AP120" t="str">
        <f t="shared" si="79"/>
        <v/>
      </c>
      <c r="AQ120" s="82" t="str">
        <f t="shared" si="80"/>
        <v>X</v>
      </c>
      <c r="AR120" t="str">
        <f t="shared" si="81"/>
        <v>X</v>
      </c>
      <c r="AS120" t="str">
        <f t="shared" si="82"/>
        <v>X</v>
      </c>
      <c r="AT120" t="str">
        <f t="shared" si="83"/>
        <v>X</v>
      </c>
      <c r="AU120" t="str">
        <f t="shared" si="84"/>
        <v/>
      </c>
      <c r="AV120" s="82" t="str">
        <f t="shared" si="85"/>
        <v>X</v>
      </c>
      <c r="AW120" t="str">
        <f t="shared" si="86"/>
        <v>X</v>
      </c>
      <c r="AX120" t="str">
        <f t="shared" si="87"/>
        <v>X</v>
      </c>
      <c r="AY120" s="82" t="str">
        <f t="shared" si="88"/>
        <v/>
      </c>
      <c r="AZ120" t="str">
        <f t="shared" si="89"/>
        <v/>
      </c>
      <c r="BA120" t="str">
        <f t="shared" si="90"/>
        <v/>
      </c>
      <c r="BB120" s="83" t="str">
        <f t="shared" si="91"/>
        <v/>
      </c>
      <c r="BC120" s="84">
        <f t="shared" si="92"/>
        <v>0</v>
      </c>
      <c r="BD120" s="84">
        <f t="shared" si="93"/>
        <v>0.76190476190476186</v>
      </c>
      <c r="BE120" s="84">
        <f t="shared" si="94"/>
        <v>1</v>
      </c>
      <c r="BF120" s="84">
        <f t="shared" si="95"/>
        <v>0</v>
      </c>
      <c r="BG120" s="78">
        <f>IF(AN120="",0,VLOOKUP(AN120,Tables!$AB$3:$AC$12,2))</f>
        <v>0</v>
      </c>
      <c r="BH120" s="79">
        <f>IF(AO120="",0,VLOOKUP(AO120,Tables!$AB$3:$AC$12,2))</f>
        <v>0</v>
      </c>
      <c r="BI120" s="79">
        <f>IF(AP120="",0,VLOOKUP(AP120,Tables!$AB$3:$AC$12,2))</f>
        <v>0</v>
      </c>
      <c r="BJ120" s="78">
        <f>IF(AQ120="",0,VLOOKUP(AQ120,Tables!$AB$3:$AC$12,2))</f>
        <v>1</v>
      </c>
      <c r="BK120" s="79">
        <f>IF(AR120="",0,VLOOKUP(AR120,Tables!$AB$3:$AC$12,2))</f>
        <v>1</v>
      </c>
      <c r="BL120" s="79">
        <f>IF(AS120="",0,VLOOKUP(AS120,Tables!$AB$3:$AC$12,2))</f>
        <v>1</v>
      </c>
      <c r="BM120" s="79">
        <f>IF(AT120="",0,VLOOKUP(AT120,Tables!$AB$3:$AC$12,2))</f>
        <v>1</v>
      </c>
      <c r="BN120" s="79">
        <f>IF(AU120="",0,VLOOKUP(AU120,Tables!$AB$3:$AC$12,2))</f>
        <v>0</v>
      </c>
      <c r="BO120" s="78">
        <f>IF(AV120="",0,VLOOKUP(AV120,Tables!$AB$3:$AC$12,2))</f>
        <v>1</v>
      </c>
      <c r="BP120" s="79">
        <f>IF(AW120="",0,VLOOKUP(AW120,Tables!$AB$3:$AC$12,2))</f>
        <v>1</v>
      </c>
      <c r="BQ120" s="79">
        <f>IF(AX120="",0,VLOOKUP(AX120,Tables!$AB$3:$AC$12,2))</f>
        <v>1</v>
      </c>
      <c r="BR120" s="78">
        <f>IF(AY120="",0,VLOOKUP(AY120,Tables!$AB$3:$AC$12,2))</f>
        <v>0</v>
      </c>
      <c r="BS120" s="79">
        <f>IF(AZ120="",0,VLOOKUP(AZ120,Tables!$AB$3:$AC$12,2))</f>
        <v>0</v>
      </c>
      <c r="BT120" s="79">
        <f>IF(BA120="",0,VLOOKUP(BA120,Tables!$AB$3:$AC$12,2))</f>
        <v>0</v>
      </c>
      <c r="BU120" s="80">
        <f>IF(BB120="",0,VLOOKUP(BB120,Tables!$AB$3:$AC$12,2))</f>
        <v>0</v>
      </c>
      <c r="BV120" s="85">
        <f>IF(AN120="",0,VLOOKUP(B120,Tables!$B$3:$D$36,2,FALSE())*X$1)</f>
        <v>0</v>
      </c>
      <c r="BW120" s="72">
        <f>IF(AO120="",0,VLOOKUP(C120,Tables!$B$3:$D$36,2,FALSE())*Y$1)</f>
        <v>0</v>
      </c>
      <c r="BX120" s="72">
        <f>IF(AP120="",0,VLOOKUP(D120,Tables!$B$3:$D$36,2,FALSE())*Z$1)</f>
        <v>0</v>
      </c>
      <c r="BY120" s="85">
        <f>IF(AQ120="",0,VLOOKUP(E120,Tables!$B$3:$D$36,2,FALSE())*AA$1)</f>
        <v>2.4</v>
      </c>
      <c r="BZ120" s="72">
        <f>IF(AR120="",0,VLOOKUP(F120,Tables!$B$3:$D$36,2,FALSE())*AB$1)</f>
        <v>4.8</v>
      </c>
      <c r="CA120" s="72">
        <f>IF(AS120="",0,VLOOKUP(G120,Tables!$B$3:$D$36,2,FALSE())*AC$1)</f>
        <v>1.6</v>
      </c>
      <c r="CB120" s="72">
        <f>IF(AT120="",0,VLOOKUP(H120,Tables!$B$3:$D$36,2,FALSE())*AD$1)</f>
        <v>4</v>
      </c>
      <c r="CC120" s="72">
        <f>IF(AU120="",0,VLOOKUP(I120,Tables!$B$3:$D$36,2,FALSE())*AE$1)</f>
        <v>0</v>
      </c>
      <c r="CD120" s="85">
        <f>IF(AV120="",0,VLOOKUP(J120,Tables!$B$3:$D$36,2,FALSE())*AF$1)</f>
        <v>9.6</v>
      </c>
      <c r="CE120" s="72">
        <f>IF(AW120="",0,VLOOKUP(K120,Tables!$B$3:$D$36,2,FALSE())*AG$1)</f>
        <v>9.6</v>
      </c>
      <c r="CF120" s="72">
        <f>IF(AX120="",0,VLOOKUP(L120,Tables!$B$3:$D$36,2,FALSE())*AH$1)</f>
        <v>8</v>
      </c>
      <c r="CG120" s="85">
        <f>IF(AY120="",0,VLOOKUP(M120,Tables!$B$3:$D$36,2,FALSE())*AI$1)</f>
        <v>0</v>
      </c>
      <c r="CH120" s="72">
        <f>IF(AZ120="",0,VLOOKUP(N120,Tables!$B$3:$D$36,2,FALSE())*AJ$1)</f>
        <v>0</v>
      </c>
      <c r="CI120" s="72">
        <f>IF(BA120="",0,VLOOKUP(O120,Tables!$B$3:$D$36,2,FALSE())*AK$1)</f>
        <v>0</v>
      </c>
      <c r="CJ120" s="86">
        <f>IF(BB120="",0,VLOOKUP(P120,Tables!$B$3:$D$36,2,FALSE())*AL$1)</f>
        <v>0</v>
      </c>
      <c r="CK120" s="87">
        <f>IF(AN120="",0,VLOOKUP(B120,Tables!$B$3:$D$36,3,FALSE())*X$1)*IF(OR(AN120="K",AN120="P"),2,1)</f>
        <v>0</v>
      </c>
      <c r="CL120" s="73">
        <f>IF(AO120="",0,VLOOKUP(C120,Tables!$B$3:$D$36,3,FALSE())*Y$1)*IF(OR(AO120="K",AO120="P"),2,1)</f>
        <v>0</v>
      </c>
      <c r="CM120" s="73">
        <f>IF(AP120="",0,VLOOKUP(D120,Tables!$B$3:$D$36,3,FALSE())*Z$1)*IF(OR(AP120="K",AP120="P"),2,1)</f>
        <v>0</v>
      </c>
      <c r="CN120" s="87">
        <f>IF(AQ120="",0,VLOOKUP(E120,Tables!$B$3:$D$36,3,FALSE())*AA$1)</f>
        <v>7.4999999999999997E-2</v>
      </c>
      <c r="CO120" s="73">
        <f>IF(AR120="",0,VLOOKUP(F120,Tables!$B$3:$D$36,3,FALSE())*AB$1)</f>
        <v>0.15</v>
      </c>
      <c r="CP120" s="73">
        <f>IF(AS120="",0,VLOOKUP(G120,Tables!$B$3:$D$36,3,FALSE())*AC$1)</f>
        <v>0.05</v>
      </c>
      <c r="CQ120" s="73">
        <f>IF(AT120="",0,VLOOKUP(H120,Tables!$B$3:$D$36,3,FALSE())*AD$1)</f>
        <v>0.125</v>
      </c>
      <c r="CR120" s="73">
        <f>IF(AU120="",0,VLOOKUP(I120,Tables!$B$3:$D$36,3,FALSE())*AE$1)</f>
        <v>0</v>
      </c>
      <c r="CS120" s="87">
        <f>IF(AV120="",0,VLOOKUP(J120,Tables!$B$3:$D$36,3,FALSE())*AF$1)</f>
        <v>0.3</v>
      </c>
      <c r="CT120" s="73">
        <f>IF(AW120="",0,VLOOKUP(K120,Tables!$B$3:$D$36,3,FALSE())*AG$1)</f>
        <v>0.3</v>
      </c>
      <c r="CU120" s="73">
        <f>IF(AX120="",0,VLOOKUP(L120,Tables!$B$3:$D$36,3,FALSE())*AH$1)</f>
        <v>0.25</v>
      </c>
      <c r="CV120" s="87">
        <f>IF(AY120="",0,VLOOKUP(M120,Tables!$B$3:$D$36,3,FALSE())*AI$1)</f>
        <v>0</v>
      </c>
      <c r="CW120" s="73">
        <f>IF(AZ120="",0,VLOOKUP(N120,Tables!$B$3:$D$36,3,FALSE())*AJ$1)</f>
        <v>0</v>
      </c>
      <c r="CX120" s="73">
        <f>IF(BA120="",0,VLOOKUP(O120,Tables!$B$3:$D$36,3,FALSE())*AK$1)</f>
        <v>0</v>
      </c>
      <c r="CY120" s="88">
        <f>IF(BB120="",0,VLOOKUP(P120,Tables!$B$3:$D$36,3,FALSE())*AL$1)</f>
        <v>0</v>
      </c>
      <c r="CZ120" s="89">
        <f t="shared" si="96"/>
        <v>0</v>
      </c>
      <c r="DA120" s="75">
        <f t="shared" si="97"/>
        <v>0</v>
      </c>
      <c r="DB120" s="75">
        <f t="shared" si="98"/>
        <v>0</v>
      </c>
      <c r="DC120" s="89">
        <f t="shared" si="99"/>
        <v>1</v>
      </c>
      <c r="DD120" s="75">
        <f t="shared" si="100"/>
        <v>1</v>
      </c>
      <c r="DE120" s="75">
        <f t="shared" si="101"/>
        <v>1</v>
      </c>
      <c r="DF120" s="75">
        <f t="shared" si="102"/>
        <v>1</v>
      </c>
      <c r="DG120" s="75">
        <f t="shared" si="103"/>
        <v>0</v>
      </c>
      <c r="DH120" s="89">
        <f t="shared" si="104"/>
        <v>1</v>
      </c>
      <c r="DI120" s="75">
        <f t="shared" si="105"/>
        <v>1</v>
      </c>
      <c r="DJ120" s="75">
        <f t="shared" si="106"/>
        <v>1</v>
      </c>
      <c r="DK120" s="89">
        <f t="shared" si="107"/>
        <v>0</v>
      </c>
      <c r="DL120" s="75">
        <f t="shared" si="108"/>
        <v>0</v>
      </c>
      <c r="DM120" s="75">
        <f t="shared" si="109"/>
        <v>0</v>
      </c>
      <c r="DN120" s="90">
        <f t="shared" si="110"/>
        <v>0</v>
      </c>
      <c r="DO120" s="91">
        <f>IF(AN120="",0,VLOOKUP(B120,Tables!$B$3:$M$36,11,FALSE())*X$1)</f>
        <v>0</v>
      </c>
      <c r="DP120" s="92">
        <f>IF(AO120="",0,VLOOKUP(C120,Tables!$B$3:$M$36,11,FALSE())*Y$1)</f>
        <v>0</v>
      </c>
      <c r="DQ120" s="92">
        <f>IF(AP120="",0,VLOOKUP(D120,Tables!$B$3:$M$36,11,FALSE())*Z$1)</f>
        <v>0</v>
      </c>
      <c r="DR120" s="91">
        <f>IF(AQ120="",0,VLOOKUP(E120,Tables!$B$3:$M$36,11,FALSE())*AA$1)</f>
        <v>0.6</v>
      </c>
      <c r="DS120" s="92">
        <f>IF(AR120="",0,VLOOKUP(F120,Tables!$B$3:$M$36,11,FALSE())*AB$1)</f>
        <v>1.2</v>
      </c>
      <c r="DT120" s="92">
        <f>IF(AS120="",0,VLOOKUP(G120,Tables!$B$3:$M$36,11,FALSE())*AC$1)</f>
        <v>0.4</v>
      </c>
      <c r="DU120" s="92">
        <f>IF(AT120="",0,VLOOKUP(H120,Tables!$B$3:$M$36,11,FALSE())*AD$1)</f>
        <v>1</v>
      </c>
      <c r="DV120" s="92">
        <f>IF(AU120="",0,VLOOKUP(I120,Tables!$B$3:$M$36,11,FALSE())*AE$1)</f>
        <v>0</v>
      </c>
      <c r="DW120" s="91">
        <f>IF(AV120="",0,VLOOKUP(J120,Tables!$B$3:$M$36,11,FALSE())*AF$1)</f>
        <v>2.4</v>
      </c>
      <c r="DX120" s="92">
        <f>IF(AW120="",0,VLOOKUP(K120,Tables!$B$3:$M$36,11,FALSE())*AG$1)</f>
        <v>2.4</v>
      </c>
      <c r="DY120" s="92">
        <f>IF(AX120="",0,VLOOKUP(L120,Tables!$B$3:$M$36,11,FALSE())*AH$1)</f>
        <v>2</v>
      </c>
      <c r="DZ120" s="91">
        <f>IF(AY120="",0,VLOOKUP(M120,Tables!$B$3:$M$36,11,FALSE())*AI$1)</f>
        <v>0</v>
      </c>
      <c r="EA120" s="92">
        <f>IF(AZ120="",0,VLOOKUP(N120,Tables!$B$3:$M$36,11,FALSE())*AJ$1)</f>
        <v>0</v>
      </c>
      <c r="EB120" s="92">
        <f>IF(BA120="",0,VLOOKUP(O120,Tables!$B$3:$M$36,11,FALSE())*AK$1)</f>
        <v>0</v>
      </c>
      <c r="EC120" s="93">
        <f>IF(BB120="",0,VLOOKUP(P120,Tables!$B$3:$M$36,11,FALSE())*AL$1)</f>
        <v>0</v>
      </c>
      <c r="ED120" s="91">
        <f>IF(AN120="",0,VLOOKUP(B120,Tables!$B$3:$M$36,12,FALSE())*X$1)</f>
        <v>0</v>
      </c>
      <c r="EE120" s="92">
        <f>IF(AO120="",0,VLOOKUP(C120,Tables!$B$3:$M$36,12,FALSE())*Y$1)</f>
        <v>0</v>
      </c>
      <c r="EF120" s="92">
        <f>IF(AP120="",0,VLOOKUP(D120,Tables!$B$3:$M$36,12,FALSE())*Z$1)</f>
        <v>0</v>
      </c>
      <c r="EG120" s="91">
        <f>IF(AQ120="",0,VLOOKUP(E120,Tables!$B$3:$M$36,12,FALSE())*AA$1)</f>
        <v>1.7999999999999998</v>
      </c>
      <c r="EH120" s="92">
        <f>IF(AR120="",0,VLOOKUP(F120,Tables!$B$3:$M$36,12,FALSE())*AB$1)</f>
        <v>3.5999999999999996</v>
      </c>
      <c r="EI120" s="92">
        <f>IF(AS120="",0,VLOOKUP(G120,Tables!$B$3:$M$36,12,FALSE())*AC$1)</f>
        <v>1.2</v>
      </c>
      <c r="EJ120" s="92">
        <f>IF(AT120="",0,VLOOKUP(H120,Tables!$B$3:$M$36,12,FALSE())*AD$1)</f>
        <v>3</v>
      </c>
      <c r="EK120" s="92">
        <f>IF(AU120="",0,VLOOKUP(I120,Tables!$B$3:$M$36,12,FALSE())*AE$1)</f>
        <v>0</v>
      </c>
      <c r="EL120" s="91">
        <f>IF(AV120="",0,VLOOKUP(J120,Tables!$B$3:$M$36,12,FALSE())*AF$1)</f>
        <v>7.1999999999999993</v>
      </c>
      <c r="EM120" s="92">
        <f>IF(AW120="",0,VLOOKUP(K120,Tables!$B$3:$M$36,12,FALSE())*AG$1)</f>
        <v>7.1999999999999993</v>
      </c>
      <c r="EN120" s="92">
        <f>IF(AX120="",0,VLOOKUP(L120,Tables!$B$3:$M$36,12,FALSE())*AH$1)</f>
        <v>6</v>
      </c>
      <c r="EO120" s="91">
        <f>IF(AY120="",0,VLOOKUP(M120,Tables!$B$3:$M$36,12,FALSE())*AI$1)</f>
        <v>0</v>
      </c>
      <c r="EP120" s="92">
        <f>IF(AZ120="",0,VLOOKUP(N120,Tables!$B$3:$M$36,12,FALSE())*AJ$1)</f>
        <v>0</v>
      </c>
      <c r="EQ120" s="92">
        <f>IF(BA120="",0,VLOOKUP(O120,Tables!$B$3:$M$36,12,FALSE())*AK$1)</f>
        <v>0</v>
      </c>
      <c r="ER120" s="93">
        <f>IF(BB120="",0,VLOOKUP(P120,Tables!$B$3:$M$36,12,FALSE())*AL$1)</f>
        <v>0</v>
      </c>
      <c r="ES120" s="94">
        <f t="shared" si="111"/>
        <v>0</v>
      </c>
      <c r="ET120" s="95">
        <f>IF(AN120="",10,MIN(VLOOKUP(B120,MATERIAL,13,FALSE()),'Item Builder'!$W120))</f>
        <v>10</v>
      </c>
      <c r="EU120" s="95">
        <f>IF(AO120="",10,MIN(VLOOKUP(C120,MATERIAL,13,FALSE()),'Item Builder'!$W120))</f>
        <v>10</v>
      </c>
      <c r="EV120" s="95">
        <f>IF(AP120="",10,MIN(VLOOKUP(D120,MATERIAL,13,FALSE()),'Item Builder'!$W120))</f>
        <v>10</v>
      </c>
      <c r="EW120" s="95">
        <f>IF(AQ120="",10,MIN(VLOOKUP(E120,MATERIAL,13,FALSE()),'Item Builder'!$W120))</f>
        <v>0</v>
      </c>
      <c r="EX120" s="95">
        <f>IF(AR120="",10,MIN(VLOOKUP(F120,MATERIAL,13,FALSE()),'Item Builder'!$W120))</f>
        <v>0</v>
      </c>
      <c r="EY120" s="95">
        <f>IF(AS120="",10,MIN(VLOOKUP(G120,MATERIAL,13,FALSE()),'Item Builder'!$W120))</f>
        <v>0</v>
      </c>
      <c r="EZ120" s="95">
        <f>IF(AT120="",10,MIN(VLOOKUP(H120,MATERIAL,13,FALSE()),'Item Builder'!$W120))</f>
        <v>0</v>
      </c>
      <c r="FA120" s="95">
        <f>IF(AU120="",10,MIN(VLOOKUP(I120,MATERIAL,13,FALSE()),'Item Builder'!$W120))</f>
        <v>10</v>
      </c>
      <c r="FB120" s="95">
        <f>IF(AV120="",10,MIN(VLOOKUP(J120,MATERIAL,13,FALSE()),'Item Builder'!$W120))</f>
        <v>0</v>
      </c>
      <c r="FC120" s="95">
        <f>IF(AW120="",10,MIN(VLOOKUP(K120,MATERIAL,13,FALSE()),'Item Builder'!$W120))</f>
        <v>0</v>
      </c>
      <c r="FD120" s="95">
        <f>IF(AX120="",10,MIN(VLOOKUP(L120,MATERIAL,13,FALSE()),'Item Builder'!$W120))</f>
        <v>0</v>
      </c>
      <c r="FE120" s="95">
        <f>IF(AY120="",10,MIN(VLOOKUP(M120,MATERIAL,13,FALSE()),'Item Builder'!$W120))</f>
        <v>10</v>
      </c>
      <c r="FF120" s="95">
        <f>IF(AZ120="",10,MIN(VLOOKUP(N120,MATERIAL,13,FALSE()),'Item Builder'!$W120))</f>
        <v>10</v>
      </c>
      <c r="FG120" s="95">
        <f>IF(BA120="",10,MIN(VLOOKUP(O120,MATERIAL,13,FALSE()),'Item Builder'!$W120))</f>
        <v>10</v>
      </c>
      <c r="FH120" s="95">
        <f>IF(BB120="",10,MIN(VLOOKUP(P120,MATERIAL,13,FALSE()),'Item Builder'!$W120))</f>
        <v>10</v>
      </c>
    </row>
    <row r="121" spans="1:164" x14ac:dyDescent="0.25">
      <c r="A121" s="67" t="s">
        <v>261</v>
      </c>
      <c r="B121" s="68"/>
      <c r="C121" s="69"/>
      <c r="D121" s="70"/>
      <c r="E121" s="68" t="s">
        <v>161</v>
      </c>
      <c r="F121" s="69" t="s">
        <v>161</v>
      </c>
      <c r="G121" s="69" t="s">
        <v>161</v>
      </c>
      <c r="H121" s="69" t="s">
        <v>161</v>
      </c>
      <c r="I121" s="70"/>
      <c r="J121" s="68" t="s">
        <v>161</v>
      </c>
      <c r="K121" s="69" t="s">
        <v>161</v>
      </c>
      <c r="L121" s="70" t="s">
        <v>161</v>
      </c>
      <c r="M121" s="68" t="s">
        <v>161</v>
      </c>
      <c r="N121" s="69"/>
      <c r="O121" s="69"/>
      <c r="P121" s="71"/>
      <c r="Q121" s="72">
        <f>SUM(BV121:CJ121)*VLOOKUP(W121,Tables!$W$3:$Z$8,4)</f>
        <v>51.2</v>
      </c>
      <c r="R121" s="73">
        <f t="shared" si="56"/>
        <v>1.6</v>
      </c>
      <c r="S121" s="74">
        <f t="shared" si="57"/>
        <v>0</v>
      </c>
      <c r="T121" s="74">
        <f t="shared" si="58"/>
        <v>0</v>
      </c>
      <c r="U121" s="75">
        <f t="shared" si="59"/>
        <v>12.8</v>
      </c>
      <c r="V121" s="76">
        <f t="shared" si="60"/>
        <v>38.4</v>
      </c>
      <c r="W121" s="77">
        <v>0</v>
      </c>
      <c r="X121" s="78">
        <f t="shared" si="61"/>
        <v>0</v>
      </c>
      <c r="Y121" s="79">
        <f t="shared" si="62"/>
        <v>0</v>
      </c>
      <c r="Z121" s="79">
        <f t="shared" si="63"/>
        <v>0</v>
      </c>
      <c r="AA121" s="78">
        <f t="shared" si="64"/>
        <v>1</v>
      </c>
      <c r="AB121" s="79">
        <f t="shared" si="65"/>
        <v>1</v>
      </c>
      <c r="AC121" s="79">
        <f t="shared" si="66"/>
        <v>1</v>
      </c>
      <c r="AD121" s="79">
        <f t="shared" si="67"/>
        <v>1</v>
      </c>
      <c r="AE121" s="79">
        <f t="shared" si="68"/>
        <v>0</v>
      </c>
      <c r="AF121" s="78">
        <f t="shared" si="69"/>
        <v>1</v>
      </c>
      <c r="AG121" s="79">
        <f t="shared" si="70"/>
        <v>1</v>
      </c>
      <c r="AH121" s="79">
        <f t="shared" si="71"/>
        <v>1</v>
      </c>
      <c r="AI121" s="78">
        <f t="shared" si="72"/>
        <v>1</v>
      </c>
      <c r="AJ121" s="79">
        <f t="shared" si="73"/>
        <v>0</v>
      </c>
      <c r="AK121" s="79">
        <f t="shared" si="74"/>
        <v>0</v>
      </c>
      <c r="AL121" s="80">
        <f t="shared" si="75"/>
        <v>0</v>
      </c>
      <c r="AM121" s="81">
        <f t="shared" si="76"/>
        <v>0.64</v>
      </c>
      <c r="AN121" s="82" t="str">
        <f t="shared" si="77"/>
        <v/>
      </c>
      <c r="AO121" s="79" t="str">
        <f t="shared" si="78"/>
        <v/>
      </c>
      <c r="AP121" t="str">
        <f t="shared" si="79"/>
        <v/>
      </c>
      <c r="AQ121" s="82" t="str">
        <f t="shared" si="80"/>
        <v>X</v>
      </c>
      <c r="AR121" t="str">
        <f t="shared" si="81"/>
        <v>X</v>
      </c>
      <c r="AS121" t="str">
        <f t="shared" si="82"/>
        <v>X</v>
      </c>
      <c r="AT121" t="str">
        <f t="shared" si="83"/>
        <v>X</v>
      </c>
      <c r="AU121" t="str">
        <f t="shared" si="84"/>
        <v/>
      </c>
      <c r="AV121" s="82" t="str">
        <f t="shared" si="85"/>
        <v>X</v>
      </c>
      <c r="AW121" t="str">
        <f t="shared" si="86"/>
        <v>X</v>
      </c>
      <c r="AX121" t="str">
        <f t="shared" si="87"/>
        <v>X</v>
      </c>
      <c r="AY121" s="82" t="str">
        <f t="shared" si="88"/>
        <v>X</v>
      </c>
      <c r="AZ121" t="str">
        <f t="shared" si="89"/>
        <v/>
      </c>
      <c r="BA121" t="str">
        <f t="shared" si="90"/>
        <v/>
      </c>
      <c r="BB121" s="83" t="str">
        <f t="shared" si="91"/>
        <v/>
      </c>
      <c r="BC121" s="84">
        <f t="shared" si="92"/>
        <v>0</v>
      </c>
      <c r="BD121" s="84">
        <f t="shared" si="93"/>
        <v>0.76190476190476186</v>
      </c>
      <c r="BE121" s="84">
        <f t="shared" si="94"/>
        <v>1</v>
      </c>
      <c r="BF121" s="84">
        <f t="shared" si="95"/>
        <v>0.3888888888888889</v>
      </c>
      <c r="BG121" s="78">
        <f>IF(AN121="",0,VLOOKUP(AN121,Tables!$AB$3:$AC$12,2))</f>
        <v>0</v>
      </c>
      <c r="BH121" s="79">
        <f>IF(AO121="",0,VLOOKUP(AO121,Tables!$AB$3:$AC$12,2))</f>
        <v>0</v>
      </c>
      <c r="BI121" s="79">
        <f>IF(AP121="",0,VLOOKUP(AP121,Tables!$AB$3:$AC$12,2))</f>
        <v>0</v>
      </c>
      <c r="BJ121" s="78">
        <f>IF(AQ121="",0,VLOOKUP(AQ121,Tables!$AB$3:$AC$12,2))</f>
        <v>1</v>
      </c>
      <c r="BK121" s="79">
        <f>IF(AR121="",0,VLOOKUP(AR121,Tables!$AB$3:$AC$12,2))</f>
        <v>1</v>
      </c>
      <c r="BL121" s="79">
        <f>IF(AS121="",0,VLOOKUP(AS121,Tables!$AB$3:$AC$12,2))</f>
        <v>1</v>
      </c>
      <c r="BM121" s="79">
        <f>IF(AT121="",0,VLOOKUP(AT121,Tables!$AB$3:$AC$12,2))</f>
        <v>1</v>
      </c>
      <c r="BN121" s="79">
        <f>IF(AU121="",0,VLOOKUP(AU121,Tables!$AB$3:$AC$12,2))</f>
        <v>0</v>
      </c>
      <c r="BO121" s="78">
        <f>IF(AV121="",0,VLOOKUP(AV121,Tables!$AB$3:$AC$12,2))</f>
        <v>1</v>
      </c>
      <c r="BP121" s="79">
        <f>IF(AW121="",0,VLOOKUP(AW121,Tables!$AB$3:$AC$12,2))</f>
        <v>1</v>
      </c>
      <c r="BQ121" s="79">
        <f>IF(AX121="",0,VLOOKUP(AX121,Tables!$AB$3:$AC$12,2))</f>
        <v>1</v>
      </c>
      <c r="BR121" s="78">
        <f>IF(AY121="",0,VLOOKUP(AY121,Tables!$AB$3:$AC$12,2))</f>
        <v>1</v>
      </c>
      <c r="BS121" s="79">
        <f>IF(AZ121="",0,VLOOKUP(AZ121,Tables!$AB$3:$AC$12,2))</f>
        <v>0</v>
      </c>
      <c r="BT121" s="79">
        <f>IF(BA121="",0,VLOOKUP(BA121,Tables!$AB$3:$AC$12,2))</f>
        <v>0</v>
      </c>
      <c r="BU121" s="80">
        <f>IF(BB121="",0,VLOOKUP(BB121,Tables!$AB$3:$AC$12,2))</f>
        <v>0</v>
      </c>
      <c r="BV121" s="85">
        <f>IF(AN121="",0,VLOOKUP(B121,Tables!$B$3:$D$36,2,FALSE())*X$1)</f>
        <v>0</v>
      </c>
      <c r="BW121" s="72">
        <f>IF(AO121="",0,VLOOKUP(C121,Tables!$B$3:$D$36,2,FALSE())*Y$1)</f>
        <v>0</v>
      </c>
      <c r="BX121" s="72">
        <f>IF(AP121="",0,VLOOKUP(D121,Tables!$B$3:$D$36,2,FALSE())*Z$1)</f>
        <v>0</v>
      </c>
      <c r="BY121" s="85">
        <f>IF(AQ121="",0,VLOOKUP(E121,Tables!$B$3:$D$36,2,FALSE())*AA$1)</f>
        <v>2.4</v>
      </c>
      <c r="BZ121" s="72">
        <f>IF(AR121="",0,VLOOKUP(F121,Tables!$B$3:$D$36,2,FALSE())*AB$1)</f>
        <v>4.8</v>
      </c>
      <c r="CA121" s="72">
        <f>IF(AS121="",0,VLOOKUP(G121,Tables!$B$3:$D$36,2,FALSE())*AC$1)</f>
        <v>1.6</v>
      </c>
      <c r="CB121" s="72">
        <f>IF(AT121="",0,VLOOKUP(H121,Tables!$B$3:$D$36,2,FALSE())*AD$1)</f>
        <v>4</v>
      </c>
      <c r="CC121" s="72">
        <f>IF(AU121="",0,VLOOKUP(I121,Tables!$B$3:$D$36,2,FALSE())*AE$1)</f>
        <v>0</v>
      </c>
      <c r="CD121" s="85">
        <f>IF(AV121="",0,VLOOKUP(J121,Tables!$B$3:$D$36,2,FALSE())*AF$1)</f>
        <v>9.6</v>
      </c>
      <c r="CE121" s="72">
        <f>IF(AW121="",0,VLOOKUP(K121,Tables!$B$3:$D$36,2,FALSE())*AG$1)</f>
        <v>9.6</v>
      </c>
      <c r="CF121" s="72">
        <f>IF(AX121="",0,VLOOKUP(L121,Tables!$B$3:$D$36,2,FALSE())*AH$1)</f>
        <v>8</v>
      </c>
      <c r="CG121" s="85">
        <f>IF(AY121="",0,VLOOKUP(M121,Tables!$B$3:$D$36,2,FALSE())*AI$1)</f>
        <v>11.200000000000001</v>
      </c>
      <c r="CH121" s="72">
        <f>IF(AZ121="",0,VLOOKUP(N121,Tables!$B$3:$D$36,2,FALSE())*AJ$1)</f>
        <v>0</v>
      </c>
      <c r="CI121" s="72">
        <f>IF(BA121="",0,VLOOKUP(O121,Tables!$B$3:$D$36,2,FALSE())*AK$1)</f>
        <v>0</v>
      </c>
      <c r="CJ121" s="86">
        <f>IF(BB121="",0,VLOOKUP(P121,Tables!$B$3:$D$36,2,FALSE())*AL$1)</f>
        <v>0</v>
      </c>
      <c r="CK121" s="87">
        <f>IF(AN121="",0,VLOOKUP(B121,Tables!$B$3:$D$36,3,FALSE())*X$1)*IF(OR(AN121="K",AN121="P"),2,1)</f>
        <v>0</v>
      </c>
      <c r="CL121" s="73">
        <f>IF(AO121="",0,VLOOKUP(C121,Tables!$B$3:$D$36,3,FALSE())*Y$1)*IF(OR(AO121="K",AO121="P"),2,1)</f>
        <v>0</v>
      </c>
      <c r="CM121" s="73">
        <f>IF(AP121="",0,VLOOKUP(D121,Tables!$B$3:$D$36,3,FALSE())*Z$1)*IF(OR(AP121="K",AP121="P"),2,1)</f>
        <v>0</v>
      </c>
      <c r="CN121" s="87">
        <f>IF(AQ121="",0,VLOOKUP(E121,Tables!$B$3:$D$36,3,FALSE())*AA$1)</f>
        <v>7.4999999999999997E-2</v>
      </c>
      <c r="CO121" s="73">
        <f>IF(AR121="",0,VLOOKUP(F121,Tables!$B$3:$D$36,3,FALSE())*AB$1)</f>
        <v>0.15</v>
      </c>
      <c r="CP121" s="73">
        <f>IF(AS121="",0,VLOOKUP(G121,Tables!$B$3:$D$36,3,FALSE())*AC$1)</f>
        <v>0.05</v>
      </c>
      <c r="CQ121" s="73">
        <f>IF(AT121="",0,VLOOKUP(H121,Tables!$B$3:$D$36,3,FALSE())*AD$1)</f>
        <v>0.125</v>
      </c>
      <c r="CR121" s="73">
        <f>IF(AU121="",0,VLOOKUP(I121,Tables!$B$3:$D$36,3,FALSE())*AE$1)</f>
        <v>0</v>
      </c>
      <c r="CS121" s="87">
        <f>IF(AV121="",0,VLOOKUP(J121,Tables!$B$3:$D$36,3,FALSE())*AF$1)</f>
        <v>0.3</v>
      </c>
      <c r="CT121" s="73">
        <f>IF(AW121="",0,VLOOKUP(K121,Tables!$B$3:$D$36,3,FALSE())*AG$1)</f>
        <v>0.3</v>
      </c>
      <c r="CU121" s="73">
        <f>IF(AX121="",0,VLOOKUP(L121,Tables!$B$3:$D$36,3,FALSE())*AH$1)</f>
        <v>0.25</v>
      </c>
      <c r="CV121" s="87">
        <f>IF(AY121="",0,VLOOKUP(M121,Tables!$B$3:$D$36,3,FALSE())*AI$1)</f>
        <v>0.35000000000000003</v>
      </c>
      <c r="CW121" s="73">
        <f>IF(AZ121="",0,VLOOKUP(N121,Tables!$B$3:$D$36,3,FALSE())*AJ$1)</f>
        <v>0</v>
      </c>
      <c r="CX121" s="73">
        <f>IF(BA121="",0,VLOOKUP(O121,Tables!$B$3:$D$36,3,FALSE())*AK$1)</f>
        <v>0</v>
      </c>
      <c r="CY121" s="88">
        <f>IF(BB121="",0,VLOOKUP(P121,Tables!$B$3:$D$36,3,FALSE())*AL$1)</f>
        <v>0</v>
      </c>
      <c r="CZ121" s="89">
        <f t="shared" si="96"/>
        <v>0</v>
      </c>
      <c r="DA121" s="75">
        <f t="shared" si="97"/>
        <v>0</v>
      </c>
      <c r="DB121" s="75">
        <f t="shared" si="98"/>
        <v>0</v>
      </c>
      <c r="DC121" s="89">
        <f t="shared" si="99"/>
        <v>1</v>
      </c>
      <c r="DD121" s="75">
        <f t="shared" si="100"/>
        <v>1</v>
      </c>
      <c r="DE121" s="75">
        <f t="shared" si="101"/>
        <v>1</v>
      </c>
      <c r="DF121" s="75">
        <f t="shared" si="102"/>
        <v>1</v>
      </c>
      <c r="DG121" s="75">
        <f t="shared" si="103"/>
        <v>0</v>
      </c>
      <c r="DH121" s="89">
        <f t="shared" si="104"/>
        <v>1</v>
      </c>
      <c r="DI121" s="75">
        <f t="shared" si="105"/>
        <v>1</v>
      </c>
      <c r="DJ121" s="75">
        <f t="shared" si="106"/>
        <v>1</v>
      </c>
      <c r="DK121" s="89">
        <f t="shared" si="107"/>
        <v>1</v>
      </c>
      <c r="DL121" s="75">
        <f t="shared" si="108"/>
        <v>0</v>
      </c>
      <c r="DM121" s="75">
        <f t="shared" si="109"/>
        <v>0</v>
      </c>
      <c r="DN121" s="90">
        <f t="shared" si="110"/>
        <v>0</v>
      </c>
      <c r="DO121" s="91">
        <f>IF(AN121="",0,VLOOKUP(B121,Tables!$B$3:$M$36,11,FALSE())*X$1)</f>
        <v>0</v>
      </c>
      <c r="DP121" s="92">
        <f>IF(AO121="",0,VLOOKUP(C121,Tables!$B$3:$M$36,11,FALSE())*Y$1)</f>
        <v>0</v>
      </c>
      <c r="DQ121" s="92">
        <f>IF(AP121="",0,VLOOKUP(D121,Tables!$B$3:$M$36,11,FALSE())*Z$1)</f>
        <v>0</v>
      </c>
      <c r="DR121" s="91">
        <f>IF(AQ121="",0,VLOOKUP(E121,Tables!$B$3:$M$36,11,FALSE())*AA$1)</f>
        <v>0.6</v>
      </c>
      <c r="DS121" s="92">
        <f>IF(AR121="",0,VLOOKUP(F121,Tables!$B$3:$M$36,11,FALSE())*AB$1)</f>
        <v>1.2</v>
      </c>
      <c r="DT121" s="92">
        <f>IF(AS121="",0,VLOOKUP(G121,Tables!$B$3:$M$36,11,FALSE())*AC$1)</f>
        <v>0.4</v>
      </c>
      <c r="DU121" s="92">
        <f>IF(AT121="",0,VLOOKUP(H121,Tables!$B$3:$M$36,11,FALSE())*AD$1)</f>
        <v>1</v>
      </c>
      <c r="DV121" s="92">
        <f>IF(AU121="",0,VLOOKUP(I121,Tables!$B$3:$M$36,11,FALSE())*AE$1)</f>
        <v>0</v>
      </c>
      <c r="DW121" s="91">
        <f>IF(AV121="",0,VLOOKUP(J121,Tables!$B$3:$M$36,11,FALSE())*AF$1)</f>
        <v>2.4</v>
      </c>
      <c r="DX121" s="92">
        <f>IF(AW121="",0,VLOOKUP(K121,Tables!$B$3:$M$36,11,FALSE())*AG$1)</f>
        <v>2.4</v>
      </c>
      <c r="DY121" s="92">
        <f>IF(AX121="",0,VLOOKUP(L121,Tables!$B$3:$M$36,11,FALSE())*AH$1)</f>
        <v>2</v>
      </c>
      <c r="DZ121" s="91">
        <f>IF(AY121="",0,VLOOKUP(M121,Tables!$B$3:$M$36,11,FALSE())*AI$1)</f>
        <v>2.8000000000000003</v>
      </c>
      <c r="EA121" s="92">
        <f>IF(AZ121="",0,VLOOKUP(N121,Tables!$B$3:$M$36,11,FALSE())*AJ$1)</f>
        <v>0</v>
      </c>
      <c r="EB121" s="92">
        <f>IF(BA121="",0,VLOOKUP(O121,Tables!$B$3:$M$36,11,FALSE())*AK$1)</f>
        <v>0</v>
      </c>
      <c r="EC121" s="93">
        <f>IF(BB121="",0,VLOOKUP(P121,Tables!$B$3:$M$36,11,FALSE())*AL$1)</f>
        <v>0</v>
      </c>
      <c r="ED121" s="91">
        <f>IF(AN121="",0,VLOOKUP(B121,Tables!$B$3:$M$36,12,FALSE())*X$1)</f>
        <v>0</v>
      </c>
      <c r="EE121" s="92">
        <f>IF(AO121="",0,VLOOKUP(C121,Tables!$B$3:$M$36,12,FALSE())*Y$1)</f>
        <v>0</v>
      </c>
      <c r="EF121" s="92">
        <f>IF(AP121="",0,VLOOKUP(D121,Tables!$B$3:$M$36,12,FALSE())*Z$1)</f>
        <v>0</v>
      </c>
      <c r="EG121" s="91">
        <f>IF(AQ121="",0,VLOOKUP(E121,Tables!$B$3:$M$36,12,FALSE())*AA$1)</f>
        <v>1.7999999999999998</v>
      </c>
      <c r="EH121" s="92">
        <f>IF(AR121="",0,VLOOKUP(F121,Tables!$B$3:$M$36,12,FALSE())*AB$1)</f>
        <v>3.5999999999999996</v>
      </c>
      <c r="EI121" s="92">
        <f>IF(AS121="",0,VLOOKUP(G121,Tables!$B$3:$M$36,12,FALSE())*AC$1)</f>
        <v>1.2</v>
      </c>
      <c r="EJ121" s="92">
        <f>IF(AT121="",0,VLOOKUP(H121,Tables!$B$3:$M$36,12,FALSE())*AD$1)</f>
        <v>3</v>
      </c>
      <c r="EK121" s="92">
        <f>IF(AU121="",0,VLOOKUP(I121,Tables!$B$3:$M$36,12,FALSE())*AE$1)</f>
        <v>0</v>
      </c>
      <c r="EL121" s="91">
        <f>IF(AV121="",0,VLOOKUP(J121,Tables!$B$3:$M$36,12,FALSE())*AF$1)</f>
        <v>7.1999999999999993</v>
      </c>
      <c r="EM121" s="92">
        <f>IF(AW121="",0,VLOOKUP(K121,Tables!$B$3:$M$36,12,FALSE())*AG$1)</f>
        <v>7.1999999999999993</v>
      </c>
      <c r="EN121" s="92">
        <f>IF(AX121="",0,VLOOKUP(L121,Tables!$B$3:$M$36,12,FALSE())*AH$1)</f>
        <v>6</v>
      </c>
      <c r="EO121" s="91">
        <f>IF(AY121="",0,VLOOKUP(M121,Tables!$B$3:$M$36,12,FALSE())*AI$1)</f>
        <v>8.4</v>
      </c>
      <c r="EP121" s="92">
        <f>IF(AZ121="",0,VLOOKUP(N121,Tables!$B$3:$M$36,12,FALSE())*AJ$1)</f>
        <v>0</v>
      </c>
      <c r="EQ121" s="92">
        <f>IF(BA121="",0,VLOOKUP(O121,Tables!$B$3:$M$36,12,FALSE())*AK$1)</f>
        <v>0</v>
      </c>
      <c r="ER121" s="93">
        <f>IF(BB121="",0,VLOOKUP(P121,Tables!$B$3:$M$36,12,FALSE())*AL$1)</f>
        <v>0</v>
      </c>
      <c r="ES121" s="94">
        <f t="shared" si="111"/>
        <v>0</v>
      </c>
      <c r="ET121" s="95">
        <f>IF(AN121="",10,MIN(VLOOKUP(B121,MATERIAL,13,FALSE()),'Item Builder'!$W121))</f>
        <v>10</v>
      </c>
      <c r="EU121" s="95">
        <f>IF(AO121="",10,MIN(VLOOKUP(C121,MATERIAL,13,FALSE()),'Item Builder'!$W121))</f>
        <v>10</v>
      </c>
      <c r="EV121" s="95">
        <f>IF(AP121="",10,MIN(VLOOKUP(D121,MATERIAL,13,FALSE()),'Item Builder'!$W121))</f>
        <v>10</v>
      </c>
      <c r="EW121" s="95">
        <f>IF(AQ121="",10,MIN(VLOOKUP(E121,MATERIAL,13,FALSE()),'Item Builder'!$W121))</f>
        <v>0</v>
      </c>
      <c r="EX121" s="95">
        <f>IF(AR121="",10,MIN(VLOOKUP(F121,MATERIAL,13,FALSE()),'Item Builder'!$W121))</f>
        <v>0</v>
      </c>
      <c r="EY121" s="95">
        <f>IF(AS121="",10,MIN(VLOOKUP(G121,MATERIAL,13,FALSE()),'Item Builder'!$W121))</f>
        <v>0</v>
      </c>
      <c r="EZ121" s="95">
        <f>IF(AT121="",10,MIN(VLOOKUP(H121,MATERIAL,13,FALSE()),'Item Builder'!$W121))</f>
        <v>0</v>
      </c>
      <c r="FA121" s="95">
        <f>IF(AU121="",10,MIN(VLOOKUP(I121,MATERIAL,13,FALSE()),'Item Builder'!$W121))</f>
        <v>10</v>
      </c>
      <c r="FB121" s="95">
        <f>IF(AV121="",10,MIN(VLOOKUP(J121,MATERIAL,13,FALSE()),'Item Builder'!$W121))</f>
        <v>0</v>
      </c>
      <c r="FC121" s="95">
        <f>IF(AW121="",10,MIN(VLOOKUP(K121,MATERIAL,13,FALSE()),'Item Builder'!$W121))</f>
        <v>0</v>
      </c>
      <c r="FD121" s="95">
        <f>IF(AX121="",10,MIN(VLOOKUP(L121,MATERIAL,13,FALSE()),'Item Builder'!$W121))</f>
        <v>0</v>
      </c>
      <c r="FE121" s="95">
        <f>IF(AY121="",10,MIN(VLOOKUP(M121,MATERIAL,13,FALSE()),'Item Builder'!$W121))</f>
        <v>0</v>
      </c>
      <c r="FF121" s="95">
        <f>IF(AZ121="",10,MIN(VLOOKUP(N121,MATERIAL,13,FALSE()),'Item Builder'!$W121))</f>
        <v>10</v>
      </c>
      <c r="FG121" s="95">
        <f>IF(BA121="",10,MIN(VLOOKUP(O121,MATERIAL,13,FALSE()),'Item Builder'!$W121))</f>
        <v>10</v>
      </c>
      <c r="FH121" s="95">
        <f>IF(BB121="",10,MIN(VLOOKUP(P121,MATERIAL,13,FALSE()),'Item Builder'!$W121))</f>
        <v>10</v>
      </c>
    </row>
    <row r="122" spans="1:164" x14ac:dyDescent="0.25">
      <c r="A122" s="67" t="s">
        <v>262</v>
      </c>
      <c r="B122" s="68"/>
      <c r="C122" s="69"/>
      <c r="D122" s="70"/>
      <c r="E122" s="68" t="s">
        <v>161</v>
      </c>
      <c r="F122" s="69"/>
      <c r="G122" s="69"/>
      <c r="H122" s="69"/>
      <c r="I122" s="70"/>
      <c r="J122" s="68" t="s">
        <v>161</v>
      </c>
      <c r="K122" s="69" t="s">
        <v>161</v>
      </c>
      <c r="L122" s="70" t="s">
        <v>161</v>
      </c>
      <c r="M122" s="68" t="s">
        <v>161</v>
      </c>
      <c r="N122" s="69" t="s">
        <v>161</v>
      </c>
      <c r="O122" s="69"/>
      <c r="P122" s="71"/>
      <c r="Q122" s="72">
        <f>SUM(BV122:CJ122)*VLOOKUP(W122,Tables!$W$3:$Z$8,4)</f>
        <v>43.2</v>
      </c>
      <c r="R122" s="73">
        <f t="shared" si="56"/>
        <v>1.35</v>
      </c>
      <c r="S122" s="74">
        <f t="shared" si="57"/>
        <v>0</v>
      </c>
      <c r="T122" s="74">
        <f t="shared" si="58"/>
        <v>0</v>
      </c>
      <c r="U122" s="75">
        <f t="shared" si="59"/>
        <v>10.8</v>
      </c>
      <c r="V122" s="76">
        <f t="shared" si="60"/>
        <v>32.4</v>
      </c>
      <c r="W122" s="77">
        <v>0</v>
      </c>
      <c r="X122" s="78">
        <f t="shared" si="61"/>
        <v>0</v>
      </c>
      <c r="Y122" s="79">
        <f t="shared" si="62"/>
        <v>0</v>
      </c>
      <c r="Z122" s="79">
        <f t="shared" si="63"/>
        <v>0</v>
      </c>
      <c r="AA122" s="78">
        <f t="shared" si="64"/>
        <v>1</v>
      </c>
      <c r="AB122" s="79">
        <f t="shared" si="65"/>
        <v>0</v>
      </c>
      <c r="AC122" s="79">
        <f t="shared" si="66"/>
        <v>0</v>
      </c>
      <c r="AD122" s="79">
        <f t="shared" si="67"/>
        <v>0</v>
      </c>
      <c r="AE122" s="79">
        <f t="shared" si="68"/>
        <v>0</v>
      </c>
      <c r="AF122" s="78">
        <f t="shared" si="69"/>
        <v>1</v>
      </c>
      <c r="AG122" s="79">
        <f t="shared" si="70"/>
        <v>1</v>
      </c>
      <c r="AH122" s="79">
        <f t="shared" si="71"/>
        <v>1</v>
      </c>
      <c r="AI122" s="78">
        <f t="shared" si="72"/>
        <v>1</v>
      </c>
      <c r="AJ122" s="79">
        <f t="shared" si="73"/>
        <v>1</v>
      </c>
      <c r="AK122" s="79">
        <f t="shared" si="74"/>
        <v>0</v>
      </c>
      <c r="AL122" s="80">
        <f t="shared" si="75"/>
        <v>0</v>
      </c>
      <c r="AM122" s="81">
        <f t="shared" si="76"/>
        <v>0.54</v>
      </c>
      <c r="AN122" s="82" t="str">
        <f t="shared" si="77"/>
        <v/>
      </c>
      <c r="AO122" s="79" t="str">
        <f t="shared" si="78"/>
        <v/>
      </c>
      <c r="AP122" t="str">
        <f t="shared" si="79"/>
        <v/>
      </c>
      <c r="AQ122" s="82" t="str">
        <f t="shared" si="80"/>
        <v>X</v>
      </c>
      <c r="AR122" t="str">
        <f t="shared" si="81"/>
        <v/>
      </c>
      <c r="AS122" t="str">
        <f t="shared" si="82"/>
        <v/>
      </c>
      <c r="AT122" t="str">
        <f t="shared" si="83"/>
        <v/>
      </c>
      <c r="AU122" t="str">
        <f t="shared" si="84"/>
        <v/>
      </c>
      <c r="AV122" s="82" t="str">
        <f t="shared" si="85"/>
        <v>X</v>
      </c>
      <c r="AW122" t="str">
        <f t="shared" si="86"/>
        <v>X</v>
      </c>
      <c r="AX122" t="str">
        <f t="shared" si="87"/>
        <v>X</v>
      </c>
      <c r="AY122" s="82" t="str">
        <f t="shared" si="88"/>
        <v>X</v>
      </c>
      <c r="AZ122" t="str">
        <f t="shared" si="89"/>
        <v>X</v>
      </c>
      <c r="BA122" t="str">
        <f t="shared" si="90"/>
        <v/>
      </c>
      <c r="BB122" s="83" t="str">
        <f t="shared" si="91"/>
        <v/>
      </c>
      <c r="BC122" s="84">
        <f t="shared" si="92"/>
        <v>0</v>
      </c>
      <c r="BD122" s="84">
        <f t="shared" si="93"/>
        <v>0.14285714285714285</v>
      </c>
      <c r="BE122" s="84">
        <f t="shared" si="94"/>
        <v>1</v>
      </c>
      <c r="BF122" s="84">
        <f t="shared" si="95"/>
        <v>0.47222222222222221</v>
      </c>
      <c r="BG122" s="78">
        <f>IF(AN122="",0,VLOOKUP(AN122,Tables!$AB$3:$AC$12,2))</f>
        <v>0</v>
      </c>
      <c r="BH122" s="79">
        <f>IF(AO122="",0,VLOOKUP(AO122,Tables!$AB$3:$AC$12,2))</f>
        <v>0</v>
      </c>
      <c r="BI122" s="79">
        <f>IF(AP122="",0,VLOOKUP(AP122,Tables!$AB$3:$AC$12,2))</f>
        <v>0</v>
      </c>
      <c r="BJ122" s="78">
        <f>IF(AQ122="",0,VLOOKUP(AQ122,Tables!$AB$3:$AC$12,2))</f>
        <v>1</v>
      </c>
      <c r="BK122" s="79">
        <f>IF(AR122="",0,VLOOKUP(AR122,Tables!$AB$3:$AC$12,2))</f>
        <v>0</v>
      </c>
      <c r="BL122" s="79">
        <f>IF(AS122="",0,VLOOKUP(AS122,Tables!$AB$3:$AC$12,2))</f>
        <v>0</v>
      </c>
      <c r="BM122" s="79">
        <f>IF(AT122="",0,VLOOKUP(AT122,Tables!$AB$3:$AC$12,2))</f>
        <v>0</v>
      </c>
      <c r="BN122" s="79">
        <f>IF(AU122="",0,VLOOKUP(AU122,Tables!$AB$3:$AC$12,2))</f>
        <v>0</v>
      </c>
      <c r="BO122" s="78">
        <f>IF(AV122="",0,VLOOKUP(AV122,Tables!$AB$3:$AC$12,2))</f>
        <v>1</v>
      </c>
      <c r="BP122" s="79">
        <f>IF(AW122="",0,VLOOKUP(AW122,Tables!$AB$3:$AC$12,2))</f>
        <v>1</v>
      </c>
      <c r="BQ122" s="79">
        <f>IF(AX122="",0,VLOOKUP(AX122,Tables!$AB$3:$AC$12,2))</f>
        <v>1</v>
      </c>
      <c r="BR122" s="78">
        <f>IF(AY122="",0,VLOOKUP(AY122,Tables!$AB$3:$AC$12,2))</f>
        <v>1</v>
      </c>
      <c r="BS122" s="79">
        <f>IF(AZ122="",0,VLOOKUP(AZ122,Tables!$AB$3:$AC$12,2))</f>
        <v>1</v>
      </c>
      <c r="BT122" s="79">
        <f>IF(BA122="",0,VLOOKUP(BA122,Tables!$AB$3:$AC$12,2))</f>
        <v>0</v>
      </c>
      <c r="BU122" s="80">
        <f>IF(BB122="",0,VLOOKUP(BB122,Tables!$AB$3:$AC$12,2))</f>
        <v>0</v>
      </c>
      <c r="BV122" s="85">
        <f>IF(AN122="",0,VLOOKUP(B122,Tables!$B$3:$D$36,2,FALSE())*X$1)</f>
        <v>0</v>
      </c>
      <c r="BW122" s="72">
        <f>IF(AO122="",0,VLOOKUP(C122,Tables!$B$3:$D$36,2,FALSE())*Y$1)</f>
        <v>0</v>
      </c>
      <c r="BX122" s="72">
        <f>IF(AP122="",0,VLOOKUP(D122,Tables!$B$3:$D$36,2,FALSE())*Z$1)</f>
        <v>0</v>
      </c>
      <c r="BY122" s="85">
        <f>IF(AQ122="",0,VLOOKUP(E122,Tables!$B$3:$D$36,2,FALSE())*AA$1)</f>
        <v>2.4</v>
      </c>
      <c r="BZ122" s="72">
        <f>IF(AR122="",0,VLOOKUP(F122,Tables!$B$3:$D$36,2,FALSE())*AB$1)</f>
        <v>0</v>
      </c>
      <c r="CA122" s="72">
        <f>IF(AS122="",0,VLOOKUP(G122,Tables!$B$3:$D$36,2,FALSE())*AC$1)</f>
        <v>0</v>
      </c>
      <c r="CB122" s="72">
        <f>IF(AT122="",0,VLOOKUP(H122,Tables!$B$3:$D$36,2,FALSE())*AD$1)</f>
        <v>0</v>
      </c>
      <c r="CC122" s="72">
        <f>IF(AU122="",0,VLOOKUP(I122,Tables!$B$3:$D$36,2,FALSE())*AE$1)</f>
        <v>0</v>
      </c>
      <c r="CD122" s="85">
        <f>IF(AV122="",0,VLOOKUP(J122,Tables!$B$3:$D$36,2,FALSE())*AF$1)</f>
        <v>9.6</v>
      </c>
      <c r="CE122" s="72">
        <f>IF(AW122="",0,VLOOKUP(K122,Tables!$B$3:$D$36,2,FALSE())*AG$1)</f>
        <v>9.6</v>
      </c>
      <c r="CF122" s="72">
        <f>IF(AX122="",0,VLOOKUP(L122,Tables!$B$3:$D$36,2,FALSE())*AH$1)</f>
        <v>8</v>
      </c>
      <c r="CG122" s="85">
        <f>IF(AY122="",0,VLOOKUP(M122,Tables!$B$3:$D$36,2,FALSE())*AI$1)</f>
        <v>11.200000000000001</v>
      </c>
      <c r="CH122" s="72">
        <f>IF(AZ122="",0,VLOOKUP(N122,Tables!$B$3:$D$36,2,FALSE())*AJ$1)</f>
        <v>2.4</v>
      </c>
      <c r="CI122" s="72">
        <f>IF(BA122="",0,VLOOKUP(O122,Tables!$B$3:$D$36,2,FALSE())*AK$1)</f>
        <v>0</v>
      </c>
      <c r="CJ122" s="86">
        <f>IF(BB122="",0,VLOOKUP(P122,Tables!$B$3:$D$36,2,FALSE())*AL$1)</f>
        <v>0</v>
      </c>
      <c r="CK122" s="87">
        <f>IF(AN122="",0,VLOOKUP(B122,Tables!$B$3:$D$36,3,FALSE())*X$1)*IF(OR(AN122="K",AN122="P"),2,1)</f>
        <v>0</v>
      </c>
      <c r="CL122" s="73">
        <f>IF(AO122="",0,VLOOKUP(C122,Tables!$B$3:$D$36,3,FALSE())*Y$1)*IF(OR(AO122="K",AO122="P"),2,1)</f>
        <v>0</v>
      </c>
      <c r="CM122" s="73">
        <f>IF(AP122="",0,VLOOKUP(D122,Tables!$B$3:$D$36,3,FALSE())*Z$1)*IF(OR(AP122="K",AP122="P"),2,1)</f>
        <v>0</v>
      </c>
      <c r="CN122" s="87">
        <f>IF(AQ122="",0,VLOOKUP(E122,Tables!$B$3:$D$36,3,FALSE())*AA$1)</f>
        <v>7.4999999999999997E-2</v>
      </c>
      <c r="CO122" s="73">
        <f>IF(AR122="",0,VLOOKUP(F122,Tables!$B$3:$D$36,3,FALSE())*AB$1)</f>
        <v>0</v>
      </c>
      <c r="CP122" s="73">
        <f>IF(AS122="",0,VLOOKUP(G122,Tables!$B$3:$D$36,3,FALSE())*AC$1)</f>
        <v>0</v>
      </c>
      <c r="CQ122" s="73">
        <f>IF(AT122="",0,VLOOKUP(H122,Tables!$B$3:$D$36,3,FALSE())*AD$1)</f>
        <v>0</v>
      </c>
      <c r="CR122" s="73">
        <f>IF(AU122="",0,VLOOKUP(I122,Tables!$B$3:$D$36,3,FALSE())*AE$1)</f>
        <v>0</v>
      </c>
      <c r="CS122" s="87">
        <f>IF(AV122="",0,VLOOKUP(J122,Tables!$B$3:$D$36,3,FALSE())*AF$1)</f>
        <v>0.3</v>
      </c>
      <c r="CT122" s="73">
        <f>IF(AW122="",0,VLOOKUP(K122,Tables!$B$3:$D$36,3,FALSE())*AG$1)</f>
        <v>0.3</v>
      </c>
      <c r="CU122" s="73">
        <f>IF(AX122="",0,VLOOKUP(L122,Tables!$B$3:$D$36,3,FALSE())*AH$1)</f>
        <v>0.25</v>
      </c>
      <c r="CV122" s="87">
        <f>IF(AY122="",0,VLOOKUP(M122,Tables!$B$3:$D$36,3,FALSE())*AI$1)</f>
        <v>0.35000000000000003</v>
      </c>
      <c r="CW122" s="73">
        <f>IF(AZ122="",0,VLOOKUP(N122,Tables!$B$3:$D$36,3,FALSE())*AJ$1)</f>
        <v>7.4999999999999997E-2</v>
      </c>
      <c r="CX122" s="73">
        <f>IF(BA122="",0,VLOOKUP(O122,Tables!$B$3:$D$36,3,FALSE())*AK$1)</f>
        <v>0</v>
      </c>
      <c r="CY122" s="88">
        <f>IF(BB122="",0,VLOOKUP(P122,Tables!$B$3:$D$36,3,FALSE())*AL$1)</f>
        <v>0</v>
      </c>
      <c r="CZ122" s="89">
        <f t="shared" si="96"/>
        <v>0</v>
      </c>
      <c r="DA122" s="75">
        <f t="shared" si="97"/>
        <v>0</v>
      </c>
      <c r="DB122" s="75">
        <f t="shared" si="98"/>
        <v>0</v>
      </c>
      <c r="DC122" s="89">
        <f t="shared" si="99"/>
        <v>1</v>
      </c>
      <c r="DD122" s="75">
        <f t="shared" si="100"/>
        <v>0</v>
      </c>
      <c r="DE122" s="75">
        <f t="shared" si="101"/>
        <v>0</v>
      </c>
      <c r="DF122" s="75">
        <f t="shared" si="102"/>
        <v>0</v>
      </c>
      <c r="DG122" s="75">
        <f t="shared" si="103"/>
        <v>0</v>
      </c>
      <c r="DH122" s="89">
        <f t="shared" si="104"/>
        <v>1</v>
      </c>
      <c r="DI122" s="75">
        <f t="shared" si="105"/>
        <v>1</v>
      </c>
      <c r="DJ122" s="75">
        <f t="shared" si="106"/>
        <v>1</v>
      </c>
      <c r="DK122" s="89">
        <f t="shared" si="107"/>
        <v>1</v>
      </c>
      <c r="DL122" s="75">
        <f t="shared" si="108"/>
        <v>1</v>
      </c>
      <c r="DM122" s="75">
        <f t="shared" si="109"/>
        <v>0</v>
      </c>
      <c r="DN122" s="90">
        <f t="shared" si="110"/>
        <v>0</v>
      </c>
      <c r="DO122" s="91">
        <f>IF(AN122="",0,VLOOKUP(B122,Tables!$B$3:$M$36,11,FALSE())*X$1)</f>
        <v>0</v>
      </c>
      <c r="DP122" s="92">
        <f>IF(AO122="",0,VLOOKUP(C122,Tables!$B$3:$M$36,11,FALSE())*Y$1)</f>
        <v>0</v>
      </c>
      <c r="DQ122" s="92">
        <f>IF(AP122="",0,VLOOKUP(D122,Tables!$B$3:$M$36,11,FALSE())*Z$1)</f>
        <v>0</v>
      </c>
      <c r="DR122" s="91">
        <f>IF(AQ122="",0,VLOOKUP(E122,Tables!$B$3:$M$36,11,FALSE())*AA$1)</f>
        <v>0.6</v>
      </c>
      <c r="DS122" s="92">
        <f>IF(AR122="",0,VLOOKUP(F122,Tables!$B$3:$M$36,11,FALSE())*AB$1)</f>
        <v>0</v>
      </c>
      <c r="DT122" s="92">
        <f>IF(AS122="",0,VLOOKUP(G122,Tables!$B$3:$M$36,11,FALSE())*AC$1)</f>
        <v>0</v>
      </c>
      <c r="DU122" s="92">
        <f>IF(AT122="",0,VLOOKUP(H122,Tables!$B$3:$M$36,11,FALSE())*AD$1)</f>
        <v>0</v>
      </c>
      <c r="DV122" s="92">
        <f>IF(AU122="",0,VLOOKUP(I122,Tables!$B$3:$M$36,11,FALSE())*AE$1)</f>
        <v>0</v>
      </c>
      <c r="DW122" s="91">
        <f>IF(AV122="",0,VLOOKUP(J122,Tables!$B$3:$M$36,11,FALSE())*AF$1)</f>
        <v>2.4</v>
      </c>
      <c r="DX122" s="92">
        <f>IF(AW122="",0,VLOOKUP(K122,Tables!$B$3:$M$36,11,FALSE())*AG$1)</f>
        <v>2.4</v>
      </c>
      <c r="DY122" s="92">
        <f>IF(AX122="",0,VLOOKUP(L122,Tables!$B$3:$M$36,11,FALSE())*AH$1)</f>
        <v>2</v>
      </c>
      <c r="DZ122" s="91">
        <f>IF(AY122="",0,VLOOKUP(M122,Tables!$B$3:$M$36,11,FALSE())*AI$1)</f>
        <v>2.8000000000000003</v>
      </c>
      <c r="EA122" s="92">
        <f>IF(AZ122="",0,VLOOKUP(N122,Tables!$B$3:$M$36,11,FALSE())*AJ$1)</f>
        <v>0.6</v>
      </c>
      <c r="EB122" s="92">
        <f>IF(BA122="",0,VLOOKUP(O122,Tables!$B$3:$M$36,11,FALSE())*AK$1)</f>
        <v>0</v>
      </c>
      <c r="EC122" s="93">
        <f>IF(BB122="",0,VLOOKUP(P122,Tables!$B$3:$M$36,11,FALSE())*AL$1)</f>
        <v>0</v>
      </c>
      <c r="ED122" s="91">
        <f>IF(AN122="",0,VLOOKUP(B122,Tables!$B$3:$M$36,12,FALSE())*X$1)</f>
        <v>0</v>
      </c>
      <c r="EE122" s="92">
        <f>IF(AO122="",0,VLOOKUP(C122,Tables!$B$3:$M$36,12,FALSE())*Y$1)</f>
        <v>0</v>
      </c>
      <c r="EF122" s="92">
        <f>IF(AP122="",0,VLOOKUP(D122,Tables!$B$3:$M$36,12,FALSE())*Z$1)</f>
        <v>0</v>
      </c>
      <c r="EG122" s="91">
        <f>IF(AQ122="",0,VLOOKUP(E122,Tables!$B$3:$M$36,12,FALSE())*AA$1)</f>
        <v>1.7999999999999998</v>
      </c>
      <c r="EH122" s="92">
        <f>IF(AR122="",0,VLOOKUP(F122,Tables!$B$3:$M$36,12,FALSE())*AB$1)</f>
        <v>0</v>
      </c>
      <c r="EI122" s="92">
        <f>IF(AS122="",0,VLOOKUP(G122,Tables!$B$3:$M$36,12,FALSE())*AC$1)</f>
        <v>0</v>
      </c>
      <c r="EJ122" s="92">
        <f>IF(AT122="",0,VLOOKUP(H122,Tables!$B$3:$M$36,12,FALSE())*AD$1)</f>
        <v>0</v>
      </c>
      <c r="EK122" s="92">
        <f>IF(AU122="",0,VLOOKUP(I122,Tables!$B$3:$M$36,12,FALSE())*AE$1)</f>
        <v>0</v>
      </c>
      <c r="EL122" s="91">
        <f>IF(AV122="",0,VLOOKUP(J122,Tables!$B$3:$M$36,12,FALSE())*AF$1)</f>
        <v>7.1999999999999993</v>
      </c>
      <c r="EM122" s="92">
        <f>IF(AW122="",0,VLOOKUP(K122,Tables!$B$3:$M$36,12,FALSE())*AG$1)</f>
        <v>7.1999999999999993</v>
      </c>
      <c r="EN122" s="92">
        <f>IF(AX122="",0,VLOOKUP(L122,Tables!$B$3:$M$36,12,FALSE())*AH$1)</f>
        <v>6</v>
      </c>
      <c r="EO122" s="91">
        <f>IF(AY122="",0,VLOOKUP(M122,Tables!$B$3:$M$36,12,FALSE())*AI$1)</f>
        <v>8.4</v>
      </c>
      <c r="EP122" s="92">
        <f>IF(AZ122="",0,VLOOKUP(N122,Tables!$B$3:$M$36,12,FALSE())*AJ$1)</f>
        <v>1.7999999999999998</v>
      </c>
      <c r="EQ122" s="92">
        <f>IF(BA122="",0,VLOOKUP(O122,Tables!$B$3:$M$36,12,FALSE())*AK$1)</f>
        <v>0</v>
      </c>
      <c r="ER122" s="93">
        <f>IF(BB122="",0,VLOOKUP(P122,Tables!$B$3:$M$36,12,FALSE())*AL$1)</f>
        <v>0</v>
      </c>
      <c r="ES122" s="94">
        <f t="shared" si="111"/>
        <v>0</v>
      </c>
      <c r="ET122" s="95">
        <f>IF(AN122="",10,MIN(VLOOKUP(B122,MATERIAL,13,FALSE()),'Item Builder'!$W122))</f>
        <v>10</v>
      </c>
      <c r="EU122" s="95">
        <f>IF(AO122="",10,MIN(VLOOKUP(C122,MATERIAL,13,FALSE()),'Item Builder'!$W122))</f>
        <v>10</v>
      </c>
      <c r="EV122" s="95">
        <f>IF(AP122="",10,MIN(VLOOKUP(D122,MATERIAL,13,FALSE()),'Item Builder'!$W122))</f>
        <v>10</v>
      </c>
      <c r="EW122" s="95">
        <f>IF(AQ122="",10,MIN(VLOOKUP(E122,MATERIAL,13,FALSE()),'Item Builder'!$W122))</f>
        <v>0</v>
      </c>
      <c r="EX122" s="95">
        <f>IF(AR122="",10,MIN(VLOOKUP(F122,MATERIAL,13,FALSE()),'Item Builder'!$W122))</f>
        <v>10</v>
      </c>
      <c r="EY122" s="95">
        <f>IF(AS122="",10,MIN(VLOOKUP(G122,MATERIAL,13,FALSE()),'Item Builder'!$W122))</f>
        <v>10</v>
      </c>
      <c r="EZ122" s="95">
        <f>IF(AT122="",10,MIN(VLOOKUP(H122,MATERIAL,13,FALSE()),'Item Builder'!$W122))</f>
        <v>10</v>
      </c>
      <c r="FA122" s="95">
        <f>IF(AU122="",10,MIN(VLOOKUP(I122,MATERIAL,13,FALSE()),'Item Builder'!$W122))</f>
        <v>10</v>
      </c>
      <c r="FB122" s="95">
        <f>IF(AV122="",10,MIN(VLOOKUP(J122,MATERIAL,13,FALSE()),'Item Builder'!$W122))</f>
        <v>0</v>
      </c>
      <c r="FC122" s="95">
        <f>IF(AW122="",10,MIN(VLOOKUP(K122,MATERIAL,13,FALSE()),'Item Builder'!$W122))</f>
        <v>0</v>
      </c>
      <c r="FD122" s="95">
        <f>IF(AX122="",10,MIN(VLOOKUP(L122,MATERIAL,13,FALSE()),'Item Builder'!$W122))</f>
        <v>0</v>
      </c>
      <c r="FE122" s="95">
        <f>IF(AY122="",10,MIN(VLOOKUP(M122,MATERIAL,13,FALSE()),'Item Builder'!$W122))</f>
        <v>0</v>
      </c>
      <c r="FF122" s="95">
        <f>IF(AZ122="",10,MIN(VLOOKUP(N122,MATERIAL,13,FALSE()),'Item Builder'!$W122))</f>
        <v>0</v>
      </c>
      <c r="FG122" s="95">
        <f>IF(BA122="",10,MIN(VLOOKUP(O122,MATERIAL,13,FALSE()),'Item Builder'!$W122))</f>
        <v>10</v>
      </c>
      <c r="FH122" s="95">
        <f>IF(BB122="",10,MIN(VLOOKUP(P122,MATERIAL,13,FALSE()),'Item Builder'!$W122))</f>
        <v>10</v>
      </c>
    </row>
    <row r="123" spans="1:164" x14ac:dyDescent="0.25">
      <c r="A123" s="67" t="s">
        <v>263</v>
      </c>
      <c r="B123" s="68"/>
      <c r="C123" s="69"/>
      <c r="D123" s="70"/>
      <c r="E123" s="68" t="s">
        <v>161</v>
      </c>
      <c r="F123" s="69"/>
      <c r="G123" s="69"/>
      <c r="H123" s="69"/>
      <c r="I123" s="70"/>
      <c r="J123" s="68" t="s">
        <v>161</v>
      </c>
      <c r="K123" s="69" t="s">
        <v>161</v>
      </c>
      <c r="L123" s="70" t="s">
        <v>161</v>
      </c>
      <c r="M123" s="68" t="s">
        <v>161</v>
      </c>
      <c r="N123" s="69" t="s">
        <v>161</v>
      </c>
      <c r="O123" s="69" t="s">
        <v>161</v>
      </c>
      <c r="P123" s="71"/>
      <c r="Q123" s="72">
        <f>SUM(BV123:CJ123)*VLOOKUP(W123,Tables!$W$3:$Z$8,4)</f>
        <v>52.800000000000004</v>
      </c>
      <c r="R123" s="73">
        <f t="shared" si="56"/>
        <v>1.6500000000000001</v>
      </c>
      <c r="S123" s="74">
        <f t="shared" si="57"/>
        <v>0</v>
      </c>
      <c r="T123" s="74">
        <f t="shared" si="58"/>
        <v>0</v>
      </c>
      <c r="U123" s="75">
        <f t="shared" si="59"/>
        <v>13.200000000000001</v>
      </c>
      <c r="V123" s="76">
        <f t="shared" si="60"/>
        <v>39.599999999999994</v>
      </c>
      <c r="W123" s="77">
        <v>0</v>
      </c>
      <c r="X123" s="78">
        <f t="shared" si="61"/>
        <v>0</v>
      </c>
      <c r="Y123" s="79">
        <f t="shared" si="62"/>
        <v>0</v>
      </c>
      <c r="Z123" s="79">
        <f t="shared" si="63"/>
        <v>0</v>
      </c>
      <c r="AA123" s="78">
        <f t="shared" si="64"/>
        <v>1</v>
      </c>
      <c r="AB123" s="79">
        <f t="shared" si="65"/>
        <v>0</v>
      </c>
      <c r="AC123" s="79">
        <f t="shared" si="66"/>
        <v>0</v>
      </c>
      <c r="AD123" s="79">
        <f t="shared" si="67"/>
        <v>0</v>
      </c>
      <c r="AE123" s="79">
        <f t="shared" si="68"/>
        <v>0</v>
      </c>
      <c r="AF123" s="78">
        <f t="shared" si="69"/>
        <v>1</v>
      </c>
      <c r="AG123" s="79">
        <f t="shared" si="70"/>
        <v>1</v>
      </c>
      <c r="AH123" s="79">
        <f t="shared" si="71"/>
        <v>1</v>
      </c>
      <c r="AI123" s="78">
        <f t="shared" si="72"/>
        <v>1</v>
      </c>
      <c r="AJ123" s="79">
        <f t="shared" si="73"/>
        <v>1</v>
      </c>
      <c r="AK123" s="79">
        <f t="shared" si="74"/>
        <v>1</v>
      </c>
      <c r="AL123" s="80">
        <f t="shared" si="75"/>
        <v>0</v>
      </c>
      <c r="AM123" s="81">
        <f t="shared" si="76"/>
        <v>0.66</v>
      </c>
      <c r="AN123" s="82" t="str">
        <f t="shared" si="77"/>
        <v/>
      </c>
      <c r="AO123" s="79" t="str">
        <f t="shared" si="78"/>
        <v/>
      </c>
      <c r="AP123" t="str">
        <f t="shared" si="79"/>
        <v/>
      </c>
      <c r="AQ123" s="82" t="str">
        <f t="shared" si="80"/>
        <v>X</v>
      </c>
      <c r="AR123" t="str">
        <f t="shared" si="81"/>
        <v/>
      </c>
      <c r="AS123" t="str">
        <f t="shared" si="82"/>
        <v/>
      </c>
      <c r="AT123" t="str">
        <f t="shared" si="83"/>
        <v/>
      </c>
      <c r="AU123" t="str">
        <f t="shared" si="84"/>
        <v/>
      </c>
      <c r="AV123" s="82" t="str">
        <f t="shared" si="85"/>
        <v>X</v>
      </c>
      <c r="AW123" t="str">
        <f t="shared" si="86"/>
        <v>X</v>
      </c>
      <c r="AX123" t="str">
        <f t="shared" si="87"/>
        <v>X</v>
      </c>
      <c r="AY123" s="82" t="str">
        <f t="shared" si="88"/>
        <v>X</v>
      </c>
      <c r="AZ123" t="str">
        <f t="shared" si="89"/>
        <v>X</v>
      </c>
      <c r="BA123" t="str">
        <f t="shared" si="90"/>
        <v>X</v>
      </c>
      <c r="BB123" s="83" t="str">
        <f t="shared" si="91"/>
        <v/>
      </c>
      <c r="BC123" s="84">
        <f t="shared" si="92"/>
        <v>0</v>
      </c>
      <c r="BD123" s="84">
        <f t="shared" si="93"/>
        <v>0.14285714285714285</v>
      </c>
      <c r="BE123" s="84">
        <f t="shared" si="94"/>
        <v>1</v>
      </c>
      <c r="BF123" s="84">
        <f t="shared" si="95"/>
        <v>0.80555555555555558</v>
      </c>
      <c r="BG123" s="78">
        <f>IF(AN123="",0,VLOOKUP(AN123,Tables!$AB$3:$AC$12,2))</f>
        <v>0</v>
      </c>
      <c r="BH123" s="79">
        <f>IF(AO123="",0,VLOOKUP(AO123,Tables!$AB$3:$AC$12,2))</f>
        <v>0</v>
      </c>
      <c r="BI123" s="79">
        <f>IF(AP123="",0,VLOOKUP(AP123,Tables!$AB$3:$AC$12,2))</f>
        <v>0</v>
      </c>
      <c r="BJ123" s="78">
        <f>IF(AQ123="",0,VLOOKUP(AQ123,Tables!$AB$3:$AC$12,2))</f>
        <v>1</v>
      </c>
      <c r="BK123" s="79">
        <f>IF(AR123="",0,VLOOKUP(AR123,Tables!$AB$3:$AC$12,2))</f>
        <v>0</v>
      </c>
      <c r="BL123" s="79">
        <f>IF(AS123="",0,VLOOKUP(AS123,Tables!$AB$3:$AC$12,2))</f>
        <v>0</v>
      </c>
      <c r="BM123" s="79">
        <f>IF(AT123="",0,VLOOKUP(AT123,Tables!$AB$3:$AC$12,2))</f>
        <v>0</v>
      </c>
      <c r="BN123" s="79">
        <f>IF(AU123="",0,VLOOKUP(AU123,Tables!$AB$3:$AC$12,2))</f>
        <v>0</v>
      </c>
      <c r="BO123" s="78">
        <f>IF(AV123="",0,VLOOKUP(AV123,Tables!$AB$3:$AC$12,2))</f>
        <v>1</v>
      </c>
      <c r="BP123" s="79">
        <f>IF(AW123="",0,VLOOKUP(AW123,Tables!$AB$3:$AC$12,2))</f>
        <v>1</v>
      </c>
      <c r="BQ123" s="79">
        <f>IF(AX123="",0,VLOOKUP(AX123,Tables!$AB$3:$AC$12,2))</f>
        <v>1</v>
      </c>
      <c r="BR123" s="78">
        <f>IF(AY123="",0,VLOOKUP(AY123,Tables!$AB$3:$AC$12,2))</f>
        <v>1</v>
      </c>
      <c r="BS123" s="79">
        <f>IF(AZ123="",0,VLOOKUP(AZ123,Tables!$AB$3:$AC$12,2))</f>
        <v>1</v>
      </c>
      <c r="BT123" s="79">
        <f>IF(BA123="",0,VLOOKUP(BA123,Tables!$AB$3:$AC$12,2))</f>
        <v>1</v>
      </c>
      <c r="BU123" s="80">
        <f>IF(BB123="",0,VLOOKUP(BB123,Tables!$AB$3:$AC$12,2))</f>
        <v>0</v>
      </c>
      <c r="BV123" s="85">
        <f>IF(AN123="",0,VLOOKUP(B123,Tables!$B$3:$D$36,2,FALSE())*X$1)</f>
        <v>0</v>
      </c>
      <c r="BW123" s="72">
        <f>IF(AO123="",0,VLOOKUP(C123,Tables!$B$3:$D$36,2,FALSE())*Y$1)</f>
        <v>0</v>
      </c>
      <c r="BX123" s="72">
        <f>IF(AP123="",0,VLOOKUP(D123,Tables!$B$3:$D$36,2,FALSE())*Z$1)</f>
        <v>0</v>
      </c>
      <c r="BY123" s="85">
        <f>IF(AQ123="",0,VLOOKUP(E123,Tables!$B$3:$D$36,2,FALSE())*AA$1)</f>
        <v>2.4</v>
      </c>
      <c r="BZ123" s="72">
        <f>IF(AR123="",0,VLOOKUP(F123,Tables!$B$3:$D$36,2,FALSE())*AB$1)</f>
        <v>0</v>
      </c>
      <c r="CA123" s="72">
        <f>IF(AS123="",0,VLOOKUP(G123,Tables!$B$3:$D$36,2,FALSE())*AC$1)</f>
        <v>0</v>
      </c>
      <c r="CB123" s="72">
        <f>IF(AT123="",0,VLOOKUP(H123,Tables!$B$3:$D$36,2,FALSE())*AD$1)</f>
        <v>0</v>
      </c>
      <c r="CC123" s="72">
        <f>IF(AU123="",0,VLOOKUP(I123,Tables!$B$3:$D$36,2,FALSE())*AE$1)</f>
        <v>0</v>
      </c>
      <c r="CD123" s="85">
        <f>IF(AV123="",0,VLOOKUP(J123,Tables!$B$3:$D$36,2,FALSE())*AF$1)</f>
        <v>9.6</v>
      </c>
      <c r="CE123" s="72">
        <f>IF(AW123="",0,VLOOKUP(K123,Tables!$B$3:$D$36,2,FALSE())*AG$1)</f>
        <v>9.6</v>
      </c>
      <c r="CF123" s="72">
        <f>IF(AX123="",0,VLOOKUP(L123,Tables!$B$3:$D$36,2,FALSE())*AH$1)</f>
        <v>8</v>
      </c>
      <c r="CG123" s="85">
        <f>IF(AY123="",0,VLOOKUP(M123,Tables!$B$3:$D$36,2,FALSE())*AI$1)</f>
        <v>11.200000000000001</v>
      </c>
      <c r="CH123" s="72">
        <f>IF(AZ123="",0,VLOOKUP(N123,Tables!$B$3:$D$36,2,FALSE())*AJ$1)</f>
        <v>2.4</v>
      </c>
      <c r="CI123" s="72">
        <f>IF(BA123="",0,VLOOKUP(O123,Tables!$B$3:$D$36,2,FALSE())*AK$1)</f>
        <v>9.6</v>
      </c>
      <c r="CJ123" s="86">
        <f>IF(BB123="",0,VLOOKUP(P123,Tables!$B$3:$D$36,2,FALSE())*AL$1)</f>
        <v>0</v>
      </c>
      <c r="CK123" s="87">
        <f>IF(AN123="",0,VLOOKUP(B123,Tables!$B$3:$D$36,3,FALSE())*X$1)*IF(OR(AN123="K",AN123="P"),2,1)</f>
        <v>0</v>
      </c>
      <c r="CL123" s="73">
        <f>IF(AO123="",0,VLOOKUP(C123,Tables!$B$3:$D$36,3,FALSE())*Y$1)*IF(OR(AO123="K",AO123="P"),2,1)</f>
        <v>0</v>
      </c>
      <c r="CM123" s="73">
        <f>IF(AP123="",0,VLOOKUP(D123,Tables!$B$3:$D$36,3,FALSE())*Z$1)*IF(OR(AP123="K",AP123="P"),2,1)</f>
        <v>0</v>
      </c>
      <c r="CN123" s="87">
        <f>IF(AQ123="",0,VLOOKUP(E123,Tables!$B$3:$D$36,3,FALSE())*AA$1)</f>
        <v>7.4999999999999997E-2</v>
      </c>
      <c r="CO123" s="73">
        <f>IF(AR123="",0,VLOOKUP(F123,Tables!$B$3:$D$36,3,FALSE())*AB$1)</f>
        <v>0</v>
      </c>
      <c r="CP123" s="73">
        <f>IF(AS123="",0,VLOOKUP(G123,Tables!$B$3:$D$36,3,FALSE())*AC$1)</f>
        <v>0</v>
      </c>
      <c r="CQ123" s="73">
        <f>IF(AT123="",0,VLOOKUP(H123,Tables!$B$3:$D$36,3,FALSE())*AD$1)</f>
        <v>0</v>
      </c>
      <c r="CR123" s="73">
        <f>IF(AU123="",0,VLOOKUP(I123,Tables!$B$3:$D$36,3,FALSE())*AE$1)</f>
        <v>0</v>
      </c>
      <c r="CS123" s="87">
        <f>IF(AV123="",0,VLOOKUP(J123,Tables!$B$3:$D$36,3,FALSE())*AF$1)</f>
        <v>0.3</v>
      </c>
      <c r="CT123" s="73">
        <f>IF(AW123="",0,VLOOKUP(K123,Tables!$B$3:$D$36,3,FALSE())*AG$1)</f>
        <v>0.3</v>
      </c>
      <c r="CU123" s="73">
        <f>IF(AX123="",0,VLOOKUP(L123,Tables!$B$3:$D$36,3,FALSE())*AH$1)</f>
        <v>0.25</v>
      </c>
      <c r="CV123" s="87">
        <f>IF(AY123="",0,VLOOKUP(M123,Tables!$B$3:$D$36,3,FALSE())*AI$1)</f>
        <v>0.35000000000000003</v>
      </c>
      <c r="CW123" s="73">
        <f>IF(AZ123="",0,VLOOKUP(N123,Tables!$B$3:$D$36,3,FALSE())*AJ$1)</f>
        <v>7.4999999999999997E-2</v>
      </c>
      <c r="CX123" s="73">
        <f>IF(BA123="",0,VLOOKUP(O123,Tables!$B$3:$D$36,3,FALSE())*AK$1)</f>
        <v>0.3</v>
      </c>
      <c r="CY123" s="88">
        <f>IF(BB123="",0,VLOOKUP(P123,Tables!$B$3:$D$36,3,FALSE())*AL$1)</f>
        <v>0</v>
      </c>
      <c r="CZ123" s="89">
        <f t="shared" si="96"/>
        <v>0</v>
      </c>
      <c r="DA123" s="75">
        <f t="shared" si="97"/>
        <v>0</v>
      </c>
      <c r="DB123" s="75">
        <f t="shared" si="98"/>
        <v>0</v>
      </c>
      <c r="DC123" s="89">
        <f t="shared" si="99"/>
        <v>1</v>
      </c>
      <c r="DD123" s="75">
        <f t="shared" si="100"/>
        <v>0</v>
      </c>
      <c r="DE123" s="75">
        <f t="shared" si="101"/>
        <v>0</v>
      </c>
      <c r="DF123" s="75">
        <f t="shared" si="102"/>
        <v>0</v>
      </c>
      <c r="DG123" s="75">
        <f t="shared" si="103"/>
        <v>0</v>
      </c>
      <c r="DH123" s="89">
        <f t="shared" si="104"/>
        <v>1</v>
      </c>
      <c r="DI123" s="75">
        <f t="shared" si="105"/>
        <v>1</v>
      </c>
      <c r="DJ123" s="75">
        <f t="shared" si="106"/>
        <v>1</v>
      </c>
      <c r="DK123" s="89">
        <f t="shared" si="107"/>
        <v>1</v>
      </c>
      <c r="DL123" s="75">
        <f t="shared" si="108"/>
        <v>1</v>
      </c>
      <c r="DM123" s="75">
        <f t="shared" si="109"/>
        <v>1</v>
      </c>
      <c r="DN123" s="90">
        <f t="shared" si="110"/>
        <v>0</v>
      </c>
      <c r="DO123" s="91">
        <f>IF(AN123="",0,VLOOKUP(B123,Tables!$B$3:$M$36,11,FALSE())*X$1)</f>
        <v>0</v>
      </c>
      <c r="DP123" s="92">
        <f>IF(AO123="",0,VLOOKUP(C123,Tables!$B$3:$M$36,11,FALSE())*Y$1)</f>
        <v>0</v>
      </c>
      <c r="DQ123" s="92">
        <f>IF(AP123="",0,VLOOKUP(D123,Tables!$B$3:$M$36,11,FALSE())*Z$1)</f>
        <v>0</v>
      </c>
      <c r="DR123" s="91">
        <f>IF(AQ123="",0,VLOOKUP(E123,Tables!$B$3:$M$36,11,FALSE())*AA$1)</f>
        <v>0.6</v>
      </c>
      <c r="DS123" s="92">
        <f>IF(AR123="",0,VLOOKUP(F123,Tables!$B$3:$M$36,11,FALSE())*AB$1)</f>
        <v>0</v>
      </c>
      <c r="DT123" s="92">
        <f>IF(AS123="",0,VLOOKUP(G123,Tables!$B$3:$M$36,11,FALSE())*AC$1)</f>
        <v>0</v>
      </c>
      <c r="DU123" s="92">
        <f>IF(AT123="",0,VLOOKUP(H123,Tables!$B$3:$M$36,11,FALSE())*AD$1)</f>
        <v>0</v>
      </c>
      <c r="DV123" s="92">
        <f>IF(AU123="",0,VLOOKUP(I123,Tables!$B$3:$M$36,11,FALSE())*AE$1)</f>
        <v>0</v>
      </c>
      <c r="DW123" s="91">
        <f>IF(AV123="",0,VLOOKUP(J123,Tables!$B$3:$M$36,11,FALSE())*AF$1)</f>
        <v>2.4</v>
      </c>
      <c r="DX123" s="92">
        <f>IF(AW123="",0,VLOOKUP(K123,Tables!$B$3:$M$36,11,FALSE())*AG$1)</f>
        <v>2.4</v>
      </c>
      <c r="DY123" s="92">
        <f>IF(AX123="",0,VLOOKUP(L123,Tables!$B$3:$M$36,11,FALSE())*AH$1)</f>
        <v>2</v>
      </c>
      <c r="DZ123" s="91">
        <f>IF(AY123="",0,VLOOKUP(M123,Tables!$B$3:$M$36,11,FALSE())*AI$1)</f>
        <v>2.8000000000000003</v>
      </c>
      <c r="EA123" s="92">
        <f>IF(AZ123="",0,VLOOKUP(N123,Tables!$B$3:$M$36,11,FALSE())*AJ$1)</f>
        <v>0.6</v>
      </c>
      <c r="EB123" s="92">
        <f>IF(BA123="",0,VLOOKUP(O123,Tables!$B$3:$M$36,11,FALSE())*AK$1)</f>
        <v>2.4</v>
      </c>
      <c r="EC123" s="93">
        <f>IF(BB123="",0,VLOOKUP(P123,Tables!$B$3:$M$36,11,FALSE())*AL$1)</f>
        <v>0</v>
      </c>
      <c r="ED123" s="91">
        <f>IF(AN123="",0,VLOOKUP(B123,Tables!$B$3:$M$36,12,FALSE())*X$1)</f>
        <v>0</v>
      </c>
      <c r="EE123" s="92">
        <f>IF(AO123="",0,VLOOKUP(C123,Tables!$B$3:$M$36,12,FALSE())*Y$1)</f>
        <v>0</v>
      </c>
      <c r="EF123" s="92">
        <f>IF(AP123="",0,VLOOKUP(D123,Tables!$B$3:$M$36,12,FALSE())*Z$1)</f>
        <v>0</v>
      </c>
      <c r="EG123" s="91">
        <f>IF(AQ123="",0,VLOOKUP(E123,Tables!$B$3:$M$36,12,FALSE())*AA$1)</f>
        <v>1.7999999999999998</v>
      </c>
      <c r="EH123" s="92">
        <f>IF(AR123="",0,VLOOKUP(F123,Tables!$B$3:$M$36,12,FALSE())*AB$1)</f>
        <v>0</v>
      </c>
      <c r="EI123" s="92">
        <f>IF(AS123="",0,VLOOKUP(G123,Tables!$B$3:$M$36,12,FALSE())*AC$1)</f>
        <v>0</v>
      </c>
      <c r="EJ123" s="92">
        <f>IF(AT123="",0,VLOOKUP(H123,Tables!$B$3:$M$36,12,FALSE())*AD$1)</f>
        <v>0</v>
      </c>
      <c r="EK123" s="92">
        <f>IF(AU123="",0,VLOOKUP(I123,Tables!$B$3:$M$36,12,FALSE())*AE$1)</f>
        <v>0</v>
      </c>
      <c r="EL123" s="91">
        <f>IF(AV123="",0,VLOOKUP(J123,Tables!$B$3:$M$36,12,FALSE())*AF$1)</f>
        <v>7.1999999999999993</v>
      </c>
      <c r="EM123" s="92">
        <f>IF(AW123="",0,VLOOKUP(K123,Tables!$B$3:$M$36,12,FALSE())*AG$1)</f>
        <v>7.1999999999999993</v>
      </c>
      <c r="EN123" s="92">
        <f>IF(AX123="",0,VLOOKUP(L123,Tables!$B$3:$M$36,12,FALSE())*AH$1)</f>
        <v>6</v>
      </c>
      <c r="EO123" s="91">
        <f>IF(AY123="",0,VLOOKUP(M123,Tables!$B$3:$M$36,12,FALSE())*AI$1)</f>
        <v>8.4</v>
      </c>
      <c r="EP123" s="92">
        <f>IF(AZ123="",0,VLOOKUP(N123,Tables!$B$3:$M$36,12,FALSE())*AJ$1)</f>
        <v>1.7999999999999998</v>
      </c>
      <c r="EQ123" s="92">
        <f>IF(BA123="",0,VLOOKUP(O123,Tables!$B$3:$M$36,12,FALSE())*AK$1)</f>
        <v>7.1999999999999993</v>
      </c>
      <c r="ER123" s="93">
        <f>IF(BB123="",0,VLOOKUP(P123,Tables!$B$3:$M$36,12,FALSE())*AL$1)</f>
        <v>0</v>
      </c>
      <c r="ES123" s="94">
        <f t="shared" si="111"/>
        <v>0</v>
      </c>
      <c r="ET123" s="95">
        <f>IF(AN123="",10,MIN(VLOOKUP(B123,MATERIAL,13,FALSE()),'Item Builder'!$W123))</f>
        <v>10</v>
      </c>
      <c r="EU123" s="95">
        <f>IF(AO123="",10,MIN(VLOOKUP(C123,MATERIAL,13,FALSE()),'Item Builder'!$W123))</f>
        <v>10</v>
      </c>
      <c r="EV123" s="95">
        <f>IF(AP123="",10,MIN(VLOOKUP(D123,MATERIAL,13,FALSE()),'Item Builder'!$W123))</f>
        <v>10</v>
      </c>
      <c r="EW123" s="95">
        <f>IF(AQ123="",10,MIN(VLOOKUP(E123,MATERIAL,13,FALSE()),'Item Builder'!$W123))</f>
        <v>0</v>
      </c>
      <c r="EX123" s="95">
        <f>IF(AR123="",10,MIN(VLOOKUP(F123,MATERIAL,13,FALSE()),'Item Builder'!$W123))</f>
        <v>10</v>
      </c>
      <c r="EY123" s="95">
        <f>IF(AS123="",10,MIN(VLOOKUP(G123,MATERIAL,13,FALSE()),'Item Builder'!$W123))</f>
        <v>10</v>
      </c>
      <c r="EZ123" s="95">
        <f>IF(AT123="",10,MIN(VLOOKUP(H123,MATERIAL,13,FALSE()),'Item Builder'!$W123))</f>
        <v>10</v>
      </c>
      <c r="FA123" s="95">
        <f>IF(AU123="",10,MIN(VLOOKUP(I123,MATERIAL,13,FALSE()),'Item Builder'!$W123))</f>
        <v>10</v>
      </c>
      <c r="FB123" s="95">
        <f>IF(AV123="",10,MIN(VLOOKUP(J123,MATERIAL,13,FALSE()),'Item Builder'!$W123))</f>
        <v>0</v>
      </c>
      <c r="FC123" s="95">
        <f>IF(AW123="",10,MIN(VLOOKUP(K123,MATERIAL,13,FALSE()),'Item Builder'!$W123))</f>
        <v>0</v>
      </c>
      <c r="FD123" s="95">
        <f>IF(AX123="",10,MIN(VLOOKUP(L123,MATERIAL,13,FALSE()),'Item Builder'!$W123))</f>
        <v>0</v>
      </c>
      <c r="FE123" s="95">
        <f>IF(AY123="",10,MIN(VLOOKUP(M123,MATERIAL,13,FALSE()),'Item Builder'!$W123))</f>
        <v>0</v>
      </c>
      <c r="FF123" s="95">
        <f>IF(AZ123="",10,MIN(VLOOKUP(N123,MATERIAL,13,FALSE()),'Item Builder'!$W123))</f>
        <v>0</v>
      </c>
      <c r="FG123" s="95">
        <f>IF(BA123="",10,MIN(VLOOKUP(O123,MATERIAL,13,FALSE()),'Item Builder'!$W123))</f>
        <v>0</v>
      </c>
      <c r="FH123" s="95">
        <f>IF(BB123="",10,MIN(VLOOKUP(P123,MATERIAL,13,FALSE()),'Item Builder'!$W123))</f>
        <v>10</v>
      </c>
    </row>
    <row r="124" spans="1:164" x14ac:dyDescent="0.25">
      <c r="A124" s="67" t="s">
        <v>264</v>
      </c>
      <c r="B124" s="68"/>
      <c r="C124" s="69"/>
      <c r="D124" s="70"/>
      <c r="E124" s="68" t="s">
        <v>161</v>
      </c>
      <c r="F124" s="69" t="s">
        <v>161</v>
      </c>
      <c r="G124" s="69" t="s">
        <v>161</v>
      </c>
      <c r="H124" s="69" t="s">
        <v>161</v>
      </c>
      <c r="I124" s="70"/>
      <c r="J124" s="68" t="s">
        <v>161</v>
      </c>
      <c r="K124" s="69" t="s">
        <v>161</v>
      </c>
      <c r="L124" s="70" t="s">
        <v>161</v>
      </c>
      <c r="M124" s="68" t="s">
        <v>161</v>
      </c>
      <c r="N124" s="69" t="s">
        <v>161</v>
      </c>
      <c r="O124" s="69" t="s">
        <v>161</v>
      </c>
      <c r="P124" s="71"/>
      <c r="Q124" s="72">
        <f>SUM(BV124:CJ124)*VLOOKUP(W124,Tables!$W$3:$Z$8,4)</f>
        <v>63.2</v>
      </c>
      <c r="R124" s="73">
        <f t="shared" si="56"/>
        <v>1.9750000000000001</v>
      </c>
      <c r="S124" s="74">
        <f t="shared" si="57"/>
        <v>0</v>
      </c>
      <c r="T124" s="74">
        <f t="shared" si="58"/>
        <v>0</v>
      </c>
      <c r="U124" s="75">
        <f t="shared" si="59"/>
        <v>15.8</v>
      </c>
      <c r="V124" s="76">
        <f t="shared" si="60"/>
        <v>47.399999999999991</v>
      </c>
      <c r="W124" s="77">
        <v>0</v>
      </c>
      <c r="X124" s="78">
        <f t="shared" si="61"/>
        <v>0</v>
      </c>
      <c r="Y124" s="79">
        <f t="shared" si="62"/>
        <v>0</v>
      </c>
      <c r="Z124" s="79">
        <f t="shared" si="63"/>
        <v>0</v>
      </c>
      <c r="AA124" s="78">
        <f t="shared" si="64"/>
        <v>1</v>
      </c>
      <c r="AB124" s="79">
        <f t="shared" si="65"/>
        <v>1</v>
      </c>
      <c r="AC124" s="79">
        <f t="shared" si="66"/>
        <v>1</v>
      </c>
      <c r="AD124" s="79">
        <f t="shared" si="67"/>
        <v>1</v>
      </c>
      <c r="AE124" s="79">
        <f t="shared" si="68"/>
        <v>0</v>
      </c>
      <c r="AF124" s="78">
        <f t="shared" si="69"/>
        <v>1</v>
      </c>
      <c r="AG124" s="79">
        <f t="shared" si="70"/>
        <v>1</v>
      </c>
      <c r="AH124" s="79">
        <f t="shared" si="71"/>
        <v>1</v>
      </c>
      <c r="AI124" s="78">
        <f t="shared" si="72"/>
        <v>1</v>
      </c>
      <c r="AJ124" s="79">
        <f t="shared" si="73"/>
        <v>1</v>
      </c>
      <c r="AK124" s="79">
        <f t="shared" si="74"/>
        <v>1</v>
      </c>
      <c r="AL124" s="80">
        <f t="shared" si="75"/>
        <v>0</v>
      </c>
      <c r="AM124" s="81">
        <f t="shared" si="76"/>
        <v>0.79</v>
      </c>
      <c r="AN124" s="82" t="str">
        <f t="shared" si="77"/>
        <v/>
      </c>
      <c r="AO124" s="79" t="str">
        <f t="shared" si="78"/>
        <v/>
      </c>
      <c r="AP124" t="str">
        <f t="shared" si="79"/>
        <v/>
      </c>
      <c r="AQ124" s="82" t="str">
        <f t="shared" si="80"/>
        <v>X</v>
      </c>
      <c r="AR124" t="str">
        <f t="shared" si="81"/>
        <v>X</v>
      </c>
      <c r="AS124" t="str">
        <f t="shared" si="82"/>
        <v>X</v>
      </c>
      <c r="AT124" t="str">
        <f t="shared" si="83"/>
        <v>X</v>
      </c>
      <c r="AU124" t="str">
        <f t="shared" si="84"/>
        <v/>
      </c>
      <c r="AV124" s="82" t="str">
        <f t="shared" si="85"/>
        <v>X</v>
      </c>
      <c r="AW124" t="str">
        <f t="shared" si="86"/>
        <v>X</v>
      </c>
      <c r="AX124" t="str">
        <f t="shared" si="87"/>
        <v>X</v>
      </c>
      <c r="AY124" s="82" t="str">
        <f t="shared" si="88"/>
        <v>X</v>
      </c>
      <c r="AZ124" t="str">
        <f t="shared" si="89"/>
        <v>X</v>
      </c>
      <c r="BA124" t="str">
        <f t="shared" si="90"/>
        <v>X</v>
      </c>
      <c r="BB124" s="83" t="str">
        <f t="shared" si="91"/>
        <v/>
      </c>
      <c r="BC124" s="84">
        <f t="shared" si="92"/>
        <v>0</v>
      </c>
      <c r="BD124" s="84">
        <f t="shared" si="93"/>
        <v>0.76190476190476186</v>
      </c>
      <c r="BE124" s="84">
        <f t="shared" si="94"/>
        <v>1</v>
      </c>
      <c r="BF124" s="84">
        <f t="shared" si="95"/>
        <v>0.80555555555555558</v>
      </c>
      <c r="BG124" s="78">
        <f>IF(AN124="",0,VLOOKUP(AN124,Tables!$AB$3:$AC$12,2))</f>
        <v>0</v>
      </c>
      <c r="BH124" s="79">
        <f>IF(AO124="",0,VLOOKUP(AO124,Tables!$AB$3:$AC$12,2))</f>
        <v>0</v>
      </c>
      <c r="BI124" s="79">
        <f>IF(AP124="",0,VLOOKUP(AP124,Tables!$AB$3:$AC$12,2))</f>
        <v>0</v>
      </c>
      <c r="BJ124" s="78">
        <f>IF(AQ124="",0,VLOOKUP(AQ124,Tables!$AB$3:$AC$12,2))</f>
        <v>1</v>
      </c>
      <c r="BK124" s="79">
        <f>IF(AR124="",0,VLOOKUP(AR124,Tables!$AB$3:$AC$12,2))</f>
        <v>1</v>
      </c>
      <c r="BL124" s="79">
        <f>IF(AS124="",0,VLOOKUP(AS124,Tables!$AB$3:$AC$12,2))</f>
        <v>1</v>
      </c>
      <c r="BM124" s="79">
        <f>IF(AT124="",0,VLOOKUP(AT124,Tables!$AB$3:$AC$12,2))</f>
        <v>1</v>
      </c>
      <c r="BN124" s="79">
        <f>IF(AU124="",0,VLOOKUP(AU124,Tables!$AB$3:$AC$12,2))</f>
        <v>0</v>
      </c>
      <c r="BO124" s="78">
        <f>IF(AV124="",0,VLOOKUP(AV124,Tables!$AB$3:$AC$12,2))</f>
        <v>1</v>
      </c>
      <c r="BP124" s="79">
        <f>IF(AW124="",0,VLOOKUP(AW124,Tables!$AB$3:$AC$12,2))</f>
        <v>1</v>
      </c>
      <c r="BQ124" s="79">
        <f>IF(AX124="",0,VLOOKUP(AX124,Tables!$AB$3:$AC$12,2))</f>
        <v>1</v>
      </c>
      <c r="BR124" s="78">
        <f>IF(AY124="",0,VLOOKUP(AY124,Tables!$AB$3:$AC$12,2))</f>
        <v>1</v>
      </c>
      <c r="BS124" s="79">
        <f>IF(AZ124="",0,VLOOKUP(AZ124,Tables!$AB$3:$AC$12,2))</f>
        <v>1</v>
      </c>
      <c r="BT124" s="79">
        <f>IF(BA124="",0,VLOOKUP(BA124,Tables!$AB$3:$AC$12,2))</f>
        <v>1</v>
      </c>
      <c r="BU124" s="80">
        <f>IF(BB124="",0,VLOOKUP(BB124,Tables!$AB$3:$AC$12,2))</f>
        <v>0</v>
      </c>
      <c r="BV124" s="85">
        <f>IF(AN124="",0,VLOOKUP(B124,Tables!$B$3:$D$36,2,FALSE())*X$1)</f>
        <v>0</v>
      </c>
      <c r="BW124" s="72">
        <f>IF(AO124="",0,VLOOKUP(C124,Tables!$B$3:$D$36,2,FALSE())*Y$1)</f>
        <v>0</v>
      </c>
      <c r="BX124" s="72">
        <f>IF(AP124="",0,VLOOKUP(D124,Tables!$B$3:$D$36,2,FALSE())*Z$1)</f>
        <v>0</v>
      </c>
      <c r="BY124" s="85">
        <f>IF(AQ124="",0,VLOOKUP(E124,Tables!$B$3:$D$36,2,FALSE())*AA$1)</f>
        <v>2.4</v>
      </c>
      <c r="BZ124" s="72">
        <f>IF(AR124="",0,VLOOKUP(F124,Tables!$B$3:$D$36,2,FALSE())*AB$1)</f>
        <v>4.8</v>
      </c>
      <c r="CA124" s="72">
        <f>IF(AS124="",0,VLOOKUP(G124,Tables!$B$3:$D$36,2,FALSE())*AC$1)</f>
        <v>1.6</v>
      </c>
      <c r="CB124" s="72">
        <f>IF(AT124="",0,VLOOKUP(H124,Tables!$B$3:$D$36,2,FALSE())*AD$1)</f>
        <v>4</v>
      </c>
      <c r="CC124" s="72">
        <f>IF(AU124="",0,VLOOKUP(I124,Tables!$B$3:$D$36,2,FALSE())*AE$1)</f>
        <v>0</v>
      </c>
      <c r="CD124" s="85">
        <f>IF(AV124="",0,VLOOKUP(J124,Tables!$B$3:$D$36,2,FALSE())*AF$1)</f>
        <v>9.6</v>
      </c>
      <c r="CE124" s="72">
        <f>IF(AW124="",0,VLOOKUP(K124,Tables!$B$3:$D$36,2,FALSE())*AG$1)</f>
        <v>9.6</v>
      </c>
      <c r="CF124" s="72">
        <f>IF(AX124="",0,VLOOKUP(L124,Tables!$B$3:$D$36,2,FALSE())*AH$1)</f>
        <v>8</v>
      </c>
      <c r="CG124" s="85">
        <f>IF(AY124="",0,VLOOKUP(M124,Tables!$B$3:$D$36,2,FALSE())*AI$1)</f>
        <v>11.200000000000001</v>
      </c>
      <c r="CH124" s="72">
        <f>IF(AZ124="",0,VLOOKUP(N124,Tables!$B$3:$D$36,2,FALSE())*AJ$1)</f>
        <v>2.4</v>
      </c>
      <c r="CI124" s="72">
        <f>IF(BA124="",0,VLOOKUP(O124,Tables!$B$3:$D$36,2,FALSE())*AK$1)</f>
        <v>9.6</v>
      </c>
      <c r="CJ124" s="86">
        <f>IF(BB124="",0,VLOOKUP(P124,Tables!$B$3:$D$36,2,FALSE())*AL$1)</f>
        <v>0</v>
      </c>
      <c r="CK124" s="87">
        <f>IF(AN124="",0,VLOOKUP(B124,Tables!$B$3:$D$36,3,FALSE())*X$1)*IF(OR(AN124="K",AN124="P"),2,1)</f>
        <v>0</v>
      </c>
      <c r="CL124" s="73">
        <f>IF(AO124="",0,VLOOKUP(C124,Tables!$B$3:$D$36,3,FALSE())*Y$1)*IF(OR(AO124="K",AO124="P"),2,1)</f>
        <v>0</v>
      </c>
      <c r="CM124" s="73">
        <f>IF(AP124="",0,VLOOKUP(D124,Tables!$B$3:$D$36,3,FALSE())*Z$1)*IF(OR(AP124="K",AP124="P"),2,1)</f>
        <v>0</v>
      </c>
      <c r="CN124" s="87">
        <f>IF(AQ124="",0,VLOOKUP(E124,Tables!$B$3:$D$36,3,FALSE())*AA$1)</f>
        <v>7.4999999999999997E-2</v>
      </c>
      <c r="CO124" s="73">
        <f>IF(AR124="",0,VLOOKUP(F124,Tables!$B$3:$D$36,3,FALSE())*AB$1)</f>
        <v>0.15</v>
      </c>
      <c r="CP124" s="73">
        <f>IF(AS124="",0,VLOOKUP(G124,Tables!$B$3:$D$36,3,FALSE())*AC$1)</f>
        <v>0.05</v>
      </c>
      <c r="CQ124" s="73">
        <f>IF(AT124="",0,VLOOKUP(H124,Tables!$B$3:$D$36,3,FALSE())*AD$1)</f>
        <v>0.125</v>
      </c>
      <c r="CR124" s="73">
        <f>IF(AU124="",0,VLOOKUP(I124,Tables!$B$3:$D$36,3,FALSE())*AE$1)</f>
        <v>0</v>
      </c>
      <c r="CS124" s="87">
        <f>IF(AV124="",0,VLOOKUP(J124,Tables!$B$3:$D$36,3,FALSE())*AF$1)</f>
        <v>0.3</v>
      </c>
      <c r="CT124" s="73">
        <f>IF(AW124="",0,VLOOKUP(K124,Tables!$B$3:$D$36,3,FALSE())*AG$1)</f>
        <v>0.3</v>
      </c>
      <c r="CU124" s="73">
        <f>IF(AX124="",0,VLOOKUP(L124,Tables!$B$3:$D$36,3,FALSE())*AH$1)</f>
        <v>0.25</v>
      </c>
      <c r="CV124" s="87">
        <f>IF(AY124="",0,VLOOKUP(M124,Tables!$B$3:$D$36,3,FALSE())*AI$1)</f>
        <v>0.35000000000000003</v>
      </c>
      <c r="CW124" s="73">
        <f>IF(AZ124="",0,VLOOKUP(N124,Tables!$B$3:$D$36,3,FALSE())*AJ$1)</f>
        <v>7.4999999999999997E-2</v>
      </c>
      <c r="CX124" s="73">
        <f>IF(BA124="",0,VLOOKUP(O124,Tables!$B$3:$D$36,3,FALSE())*AK$1)</f>
        <v>0.3</v>
      </c>
      <c r="CY124" s="88">
        <f>IF(BB124="",0,VLOOKUP(P124,Tables!$B$3:$D$36,3,FALSE())*AL$1)</f>
        <v>0</v>
      </c>
      <c r="CZ124" s="89">
        <f t="shared" si="96"/>
        <v>0</v>
      </c>
      <c r="DA124" s="75">
        <f t="shared" si="97"/>
        <v>0</v>
      </c>
      <c r="DB124" s="75">
        <f t="shared" si="98"/>
        <v>0</v>
      </c>
      <c r="DC124" s="89">
        <f t="shared" si="99"/>
        <v>1</v>
      </c>
      <c r="DD124" s="75">
        <f t="shared" si="100"/>
        <v>1</v>
      </c>
      <c r="DE124" s="75">
        <f t="shared" si="101"/>
        <v>1</v>
      </c>
      <c r="DF124" s="75">
        <f t="shared" si="102"/>
        <v>1</v>
      </c>
      <c r="DG124" s="75">
        <f t="shared" si="103"/>
        <v>0</v>
      </c>
      <c r="DH124" s="89">
        <f t="shared" si="104"/>
        <v>1</v>
      </c>
      <c r="DI124" s="75">
        <f t="shared" si="105"/>
        <v>1</v>
      </c>
      <c r="DJ124" s="75">
        <f t="shared" si="106"/>
        <v>1</v>
      </c>
      <c r="DK124" s="89">
        <f t="shared" si="107"/>
        <v>1</v>
      </c>
      <c r="DL124" s="75">
        <f t="shared" si="108"/>
        <v>1</v>
      </c>
      <c r="DM124" s="75">
        <f t="shared" si="109"/>
        <v>1</v>
      </c>
      <c r="DN124" s="90">
        <f t="shared" si="110"/>
        <v>0</v>
      </c>
      <c r="DO124" s="91">
        <f>IF(AN124="",0,VLOOKUP(B124,Tables!$B$3:$M$36,11,FALSE())*X$1)</f>
        <v>0</v>
      </c>
      <c r="DP124" s="92">
        <f>IF(AO124="",0,VLOOKUP(C124,Tables!$B$3:$M$36,11,FALSE())*Y$1)</f>
        <v>0</v>
      </c>
      <c r="DQ124" s="92">
        <f>IF(AP124="",0,VLOOKUP(D124,Tables!$B$3:$M$36,11,FALSE())*Z$1)</f>
        <v>0</v>
      </c>
      <c r="DR124" s="91">
        <f>IF(AQ124="",0,VLOOKUP(E124,Tables!$B$3:$M$36,11,FALSE())*AA$1)</f>
        <v>0.6</v>
      </c>
      <c r="DS124" s="92">
        <f>IF(AR124="",0,VLOOKUP(F124,Tables!$B$3:$M$36,11,FALSE())*AB$1)</f>
        <v>1.2</v>
      </c>
      <c r="DT124" s="92">
        <f>IF(AS124="",0,VLOOKUP(G124,Tables!$B$3:$M$36,11,FALSE())*AC$1)</f>
        <v>0.4</v>
      </c>
      <c r="DU124" s="92">
        <f>IF(AT124="",0,VLOOKUP(H124,Tables!$B$3:$M$36,11,FALSE())*AD$1)</f>
        <v>1</v>
      </c>
      <c r="DV124" s="92">
        <f>IF(AU124="",0,VLOOKUP(I124,Tables!$B$3:$M$36,11,FALSE())*AE$1)</f>
        <v>0</v>
      </c>
      <c r="DW124" s="91">
        <f>IF(AV124="",0,VLOOKUP(J124,Tables!$B$3:$M$36,11,FALSE())*AF$1)</f>
        <v>2.4</v>
      </c>
      <c r="DX124" s="92">
        <f>IF(AW124="",0,VLOOKUP(K124,Tables!$B$3:$M$36,11,FALSE())*AG$1)</f>
        <v>2.4</v>
      </c>
      <c r="DY124" s="92">
        <f>IF(AX124="",0,VLOOKUP(L124,Tables!$B$3:$M$36,11,FALSE())*AH$1)</f>
        <v>2</v>
      </c>
      <c r="DZ124" s="91">
        <f>IF(AY124="",0,VLOOKUP(M124,Tables!$B$3:$M$36,11,FALSE())*AI$1)</f>
        <v>2.8000000000000003</v>
      </c>
      <c r="EA124" s="92">
        <f>IF(AZ124="",0,VLOOKUP(N124,Tables!$B$3:$M$36,11,FALSE())*AJ$1)</f>
        <v>0.6</v>
      </c>
      <c r="EB124" s="92">
        <f>IF(BA124="",0,VLOOKUP(O124,Tables!$B$3:$M$36,11,FALSE())*AK$1)</f>
        <v>2.4</v>
      </c>
      <c r="EC124" s="93">
        <f>IF(BB124="",0,VLOOKUP(P124,Tables!$B$3:$M$36,11,FALSE())*AL$1)</f>
        <v>0</v>
      </c>
      <c r="ED124" s="91">
        <f>IF(AN124="",0,VLOOKUP(B124,Tables!$B$3:$M$36,12,FALSE())*X$1)</f>
        <v>0</v>
      </c>
      <c r="EE124" s="92">
        <f>IF(AO124="",0,VLOOKUP(C124,Tables!$B$3:$M$36,12,FALSE())*Y$1)</f>
        <v>0</v>
      </c>
      <c r="EF124" s="92">
        <f>IF(AP124="",0,VLOOKUP(D124,Tables!$B$3:$M$36,12,FALSE())*Z$1)</f>
        <v>0</v>
      </c>
      <c r="EG124" s="91">
        <f>IF(AQ124="",0,VLOOKUP(E124,Tables!$B$3:$M$36,12,FALSE())*AA$1)</f>
        <v>1.7999999999999998</v>
      </c>
      <c r="EH124" s="92">
        <f>IF(AR124="",0,VLOOKUP(F124,Tables!$B$3:$M$36,12,FALSE())*AB$1)</f>
        <v>3.5999999999999996</v>
      </c>
      <c r="EI124" s="92">
        <f>IF(AS124="",0,VLOOKUP(G124,Tables!$B$3:$M$36,12,FALSE())*AC$1)</f>
        <v>1.2</v>
      </c>
      <c r="EJ124" s="92">
        <f>IF(AT124="",0,VLOOKUP(H124,Tables!$B$3:$M$36,12,FALSE())*AD$1)</f>
        <v>3</v>
      </c>
      <c r="EK124" s="92">
        <f>IF(AU124="",0,VLOOKUP(I124,Tables!$B$3:$M$36,12,FALSE())*AE$1)</f>
        <v>0</v>
      </c>
      <c r="EL124" s="91">
        <f>IF(AV124="",0,VLOOKUP(J124,Tables!$B$3:$M$36,12,FALSE())*AF$1)</f>
        <v>7.1999999999999993</v>
      </c>
      <c r="EM124" s="92">
        <f>IF(AW124="",0,VLOOKUP(K124,Tables!$B$3:$M$36,12,FALSE())*AG$1)</f>
        <v>7.1999999999999993</v>
      </c>
      <c r="EN124" s="92">
        <f>IF(AX124="",0,VLOOKUP(L124,Tables!$B$3:$M$36,12,FALSE())*AH$1)</f>
        <v>6</v>
      </c>
      <c r="EO124" s="91">
        <f>IF(AY124="",0,VLOOKUP(M124,Tables!$B$3:$M$36,12,FALSE())*AI$1)</f>
        <v>8.4</v>
      </c>
      <c r="EP124" s="92">
        <f>IF(AZ124="",0,VLOOKUP(N124,Tables!$B$3:$M$36,12,FALSE())*AJ$1)</f>
        <v>1.7999999999999998</v>
      </c>
      <c r="EQ124" s="92">
        <f>IF(BA124="",0,VLOOKUP(O124,Tables!$B$3:$M$36,12,FALSE())*AK$1)</f>
        <v>7.1999999999999993</v>
      </c>
      <c r="ER124" s="93">
        <f>IF(BB124="",0,VLOOKUP(P124,Tables!$B$3:$M$36,12,FALSE())*AL$1)</f>
        <v>0</v>
      </c>
      <c r="ES124" s="94">
        <f t="shared" si="111"/>
        <v>0</v>
      </c>
      <c r="ET124" s="95">
        <f>IF(AN124="",10,MIN(VLOOKUP(B124,MATERIAL,13,FALSE()),'Item Builder'!$W124))</f>
        <v>10</v>
      </c>
      <c r="EU124" s="95">
        <f>IF(AO124="",10,MIN(VLOOKUP(C124,MATERIAL,13,FALSE()),'Item Builder'!$W124))</f>
        <v>10</v>
      </c>
      <c r="EV124" s="95">
        <f>IF(AP124="",10,MIN(VLOOKUP(D124,MATERIAL,13,FALSE()),'Item Builder'!$W124))</f>
        <v>10</v>
      </c>
      <c r="EW124" s="95">
        <f>IF(AQ124="",10,MIN(VLOOKUP(E124,MATERIAL,13,FALSE()),'Item Builder'!$W124))</f>
        <v>0</v>
      </c>
      <c r="EX124" s="95">
        <f>IF(AR124="",10,MIN(VLOOKUP(F124,MATERIAL,13,FALSE()),'Item Builder'!$W124))</f>
        <v>0</v>
      </c>
      <c r="EY124" s="95">
        <f>IF(AS124="",10,MIN(VLOOKUP(G124,MATERIAL,13,FALSE()),'Item Builder'!$W124))</f>
        <v>0</v>
      </c>
      <c r="EZ124" s="95">
        <f>IF(AT124="",10,MIN(VLOOKUP(H124,MATERIAL,13,FALSE()),'Item Builder'!$W124))</f>
        <v>0</v>
      </c>
      <c r="FA124" s="95">
        <f>IF(AU124="",10,MIN(VLOOKUP(I124,MATERIAL,13,FALSE()),'Item Builder'!$W124))</f>
        <v>10</v>
      </c>
      <c r="FB124" s="95">
        <f>IF(AV124="",10,MIN(VLOOKUP(J124,MATERIAL,13,FALSE()),'Item Builder'!$W124))</f>
        <v>0</v>
      </c>
      <c r="FC124" s="95">
        <f>IF(AW124="",10,MIN(VLOOKUP(K124,MATERIAL,13,FALSE()),'Item Builder'!$W124))</f>
        <v>0</v>
      </c>
      <c r="FD124" s="95">
        <f>IF(AX124="",10,MIN(VLOOKUP(L124,MATERIAL,13,FALSE()),'Item Builder'!$W124))</f>
        <v>0</v>
      </c>
      <c r="FE124" s="95">
        <f>IF(AY124="",10,MIN(VLOOKUP(M124,MATERIAL,13,FALSE()),'Item Builder'!$W124))</f>
        <v>0</v>
      </c>
      <c r="FF124" s="95">
        <f>IF(AZ124="",10,MIN(VLOOKUP(N124,MATERIAL,13,FALSE()),'Item Builder'!$W124))</f>
        <v>0</v>
      </c>
      <c r="FG124" s="95">
        <f>IF(BA124="",10,MIN(VLOOKUP(O124,MATERIAL,13,FALSE()),'Item Builder'!$W124))</f>
        <v>0</v>
      </c>
      <c r="FH124" s="95">
        <f>IF(BB124="",10,MIN(VLOOKUP(P124,MATERIAL,13,FALSE()),'Item Builder'!$W124))</f>
        <v>10</v>
      </c>
    </row>
    <row r="125" spans="1:164" x14ac:dyDescent="0.25">
      <c r="A125" s="67" t="s">
        <v>265</v>
      </c>
      <c r="B125" s="68"/>
      <c r="C125" s="69"/>
      <c r="D125" s="70"/>
      <c r="E125" s="68"/>
      <c r="F125" s="69"/>
      <c r="G125" s="69"/>
      <c r="H125" s="69"/>
      <c r="I125" s="70"/>
      <c r="J125" s="68"/>
      <c r="K125" s="69"/>
      <c r="L125" s="70" t="s">
        <v>161</v>
      </c>
      <c r="M125" s="68" t="s">
        <v>161</v>
      </c>
      <c r="N125" s="69" t="s">
        <v>161</v>
      </c>
      <c r="O125" s="69"/>
      <c r="P125" s="71"/>
      <c r="Q125" s="72">
        <f>SUM(BV125:CJ125)*VLOOKUP(W125,Tables!$W$3:$Z$8,4)</f>
        <v>21.6</v>
      </c>
      <c r="R125" s="73">
        <f t="shared" si="56"/>
        <v>0.67500000000000004</v>
      </c>
      <c r="S125" s="74">
        <f t="shared" si="57"/>
        <v>0</v>
      </c>
      <c r="T125" s="74">
        <f t="shared" si="58"/>
        <v>0</v>
      </c>
      <c r="U125" s="75">
        <f t="shared" si="59"/>
        <v>5.4</v>
      </c>
      <c r="V125" s="76">
        <f t="shared" si="60"/>
        <v>16.2</v>
      </c>
      <c r="W125" s="77">
        <v>0</v>
      </c>
      <c r="X125" s="78">
        <f t="shared" si="61"/>
        <v>0</v>
      </c>
      <c r="Y125" s="79">
        <f t="shared" si="62"/>
        <v>0</v>
      </c>
      <c r="Z125" s="79">
        <f t="shared" si="63"/>
        <v>0</v>
      </c>
      <c r="AA125" s="78">
        <f t="shared" si="64"/>
        <v>0</v>
      </c>
      <c r="AB125" s="79">
        <f t="shared" si="65"/>
        <v>0</v>
      </c>
      <c r="AC125" s="79">
        <f t="shared" si="66"/>
        <v>0</v>
      </c>
      <c r="AD125" s="79">
        <f t="shared" si="67"/>
        <v>0</v>
      </c>
      <c r="AE125" s="79">
        <f t="shared" si="68"/>
        <v>0</v>
      </c>
      <c r="AF125" s="78">
        <f t="shared" si="69"/>
        <v>0</v>
      </c>
      <c r="AG125" s="79">
        <f t="shared" si="70"/>
        <v>0</v>
      </c>
      <c r="AH125" s="79">
        <f t="shared" si="71"/>
        <v>1</v>
      </c>
      <c r="AI125" s="78">
        <f t="shared" si="72"/>
        <v>1</v>
      </c>
      <c r="AJ125" s="79">
        <f t="shared" si="73"/>
        <v>1</v>
      </c>
      <c r="AK125" s="79">
        <f t="shared" si="74"/>
        <v>0</v>
      </c>
      <c r="AL125" s="80">
        <f t="shared" si="75"/>
        <v>0</v>
      </c>
      <c r="AM125" s="81">
        <f t="shared" si="76"/>
        <v>0.27</v>
      </c>
      <c r="AN125" s="82" t="str">
        <f t="shared" si="77"/>
        <v/>
      </c>
      <c r="AO125" s="79" t="str">
        <f t="shared" si="78"/>
        <v/>
      </c>
      <c r="AP125" t="str">
        <f t="shared" si="79"/>
        <v/>
      </c>
      <c r="AQ125" s="82" t="str">
        <f t="shared" si="80"/>
        <v/>
      </c>
      <c r="AR125" t="str">
        <f t="shared" si="81"/>
        <v/>
      </c>
      <c r="AS125" t="str">
        <f t="shared" si="82"/>
        <v/>
      </c>
      <c r="AT125" t="str">
        <f t="shared" si="83"/>
        <v/>
      </c>
      <c r="AU125" t="str">
        <f t="shared" si="84"/>
        <v/>
      </c>
      <c r="AV125" s="82" t="str">
        <f t="shared" si="85"/>
        <v/>
      </c>
      <c r="AW125" t="str">
        <f t="shared" si="86"/>
        <v/>
      </c>
      <c r="AX125" t="str">
        <f t="shared" si="87"/>
        <v>X</v>
      </c>
      <c r="AY125" s="82" t="str">
        <f t="shared" si="88"/>
        <v>X</v>
      </c>
      <c r="AZ125" t="str">
        <f t="shared" si="89"/>
        <v>X</v>
      </c>
      <c r="BA125" t="str">
        <f t="shared" si="90"/>
        <v/>
      </c>
      <c r="BB125" s="83" t="str">
        <f t="shared" si="91"/>
        <v/>
      </c>
      <c r="BC125" s="84">
        <f t="shared" si="92"/>
        <v>0</v>
      </c>
      <c r="BD125" s="84">
        <f t="shared" si="93"/>
        <v>0</v>
      </c>
      <c r="BE125" s="84">
        <f t="shared" si="94"/>
        <v>0.29411764705882359</v>
      </c>
      <c r="BF125" s="84">
        <f t="shared" si="95"/>
        <v>0.47222222222222221</v>
      </c>
      <c r="BG125" s="78">
        <f>IF(AN125="",0,VLOOKUP(AN125,Tables!$AB$3:$AC$12,2))</f>
        <v>0</v>
      </c>
      <c r="BH125" s="79">
        <f>IF(AO125="",0,VLOOKUP(AO125,Tables!$AB$3:$AC$12,2))</f>
        <v>0</v>
      </c>
      <c r="BI125" s="79">
        <f>IF(AP125="",0,VLOOKUP(AP125,Tables!$AB$3:$AC$12,2))</f>
        <v>0</v>
      </c>
      <c r="BJ125" s="78">
        <f>IF(AQ125="",0,VLOOKUP(AQ125,Tables!$AB$3:$AC$12,2))</f>
        <v>0</v>
      </c>
      <c r="BK125" s="79">
        <f>IF(AR125="",0,VLOOKUP(AR125,Tables!$AB$3:$AC$12,2))</f>
        <v>0</v>
      </c>
      <c r="BL125" s="79">
        <f>IF(AS125="",0,VLOOKUP(AS125,Tables!$AB$3:$AC$12,2))</f>
        <v>0</v>
      </c>
      <c r="BM125" s="79">
        <f>IF(AT125="",0,VLOOKUP(AT125,Tables!$AB$3:$AC$12,2))</f>
        <v>0</v>
      </c>
      <c r="BN125" s="79">
        <f>IF(AU125="",0,VLOOKUP(AU125,Tables!$AB$3:$AC$12,2))</f>
        <v>0</v>
      </c>
      <c r="BO125" s="78">
        <f>IF(AV125="",0,VLOOKUP(AV125,Tables!$AB$3:$AC$12,2))</f>
        <v>0</v>
      </c>
      <c r="BP125" s="79">
        <f>IF(AW125="",0,VLOOKUP(AW125,Tables!$AB$3:$AC$12,2))</f>
        <v>0</v>
      </c>
      <c r="BQ125" s="79">
        <f>IF(AX125="",0,VLOOKUP(AX125,Tables!$AB$3:$AC$12,2))</f>
        <v>1</v>
      </c>
      <c r="BR125" s="78">
        <f>IF(AY125="",0,VLOOKUP(AY125,Tables!$AB$3:$AC$12,2))</f>
        <v>1</v>
      </c>
      <c r="BS125" s="79">
        <f>IF(AZ125="",0,VLOOKUP(AZ125,Tables!$AB$3:$AC$12,2))</f>
        <v>1</v>
      </c>
      <c r="BT125" s="79">
        <f>IF(BA125="",0,VLOOKUP(BA125,Tables!$AB$3:$AC$12,2))</f>
        <v>0</v>
      </c>
      <c r="BU125" s="80">
        <f>IF(BB125="",0,VLOOKUP(BB125,Tables!$AB$3:$AC$12,2))</f>
        <v>0</v>
      </c>
      <c r="BV125" s="85">
        <f>IF(AN125="",0,VLOOKUP(B125,Tables!$B$3:$D$36,2,FALSE())*X$1)</f>
        <v>0</v>
      </c>
      <c r="BW125" s="72">
        <f>IF(AO125="",0,VLOOKUP(C125,Tables!$B$3:$D$36,2,FALSE())*Y$1)</f>
        <v>0</v>
      </c>
      <c r="BX125" s="72">
        <f>IF(AP125="",0,VLOOKUP(D125,Tables!$B$3:$D$36,2,FALSE())*Z$1)</f>
        <v>0</v>
      </c>
      <c r="BY125" s="85">
        <f>IF(AQ125="",0,VLOOKUP(E125,Tables!$B$3:$D$36,2,FALSE())*AA$1)</f>
        <v>0</v>
      </c>
      <c r="BZ125" s="72">
        <f>IF(AR125="",0,VLOOKUP(F125,Tables!$B$3:$D$36,2,FALSE())*AB$1)</f>
        <v>0</v>
      </c>
      <c r="CA125" s="72">
        <f>IF(AS125="",0,VLOOKUP(G125,Tables!$B$3:$D$36,2,FALSE())*AC$1)</f>
        <v>0</v>
      </c>
      <c r="CB125" s="72">
        <f>IF(AT125="",0,VLOOKUP(H125,Tables!$B$3:$D$36,2,FALSE())*AD$1)</f>
        <v>0</v>
      </c>
      <c r="CC125" s="72">
        <f>IF(AU125="",0,VLOOKUP(I125,Tables!$B$3:$D$36,2,FALSE())*AE$1)</f>
        <v>0</v>
      </c>
      <c r="CD125" s="85">
        <f>IF(AV125="",0,VLOOKUP(J125,Tables!$B$3:$D$36,2,FALSE())*AF$1)</f>
        <v>0</v>
      </c>
      <c r="CE125" s="72">
        <f>IF(AW125="",0,VLOOKUP(K125,Tables!$B$3:$D$36,2,FALSE())*AG$1)</f>
        <v>0</v>
      </c>
      <c r="CF125" s="72">
        <f>IF(AX125="",0,VLOOKUP(L125,Tables!$B$3:$D$36,2,FALSE())*AH$1)</f>
        <v>8</v>
      </c>
      <c r="CG125" s="85">
        <f>IF(AY125="",0,VLOOKUP(M125,Tables!$B$3:$D$36,2,FALSE())*AI$1)</f>
        <v>11.200000000000001</v>
      </c>
      <c r="CH125" s="72">
        <f>IF(AZ125="",0,VLOOKUP(N125,Tables!$B$3:$D$36,2,FALSE())*AJ$1)</f>
        <v>2.4</v>
      </c>
      <c r="CI125" s="72">
        <f>IF(BA125="",0,VLOOKUP(O125,Tables!$B$3:$D$36,2,FALSE())*AK$1)</f>
        <v>0</v>
      </c>
      <c r="CJ125" s="86">
        <f>IF(BB125="",0,VLOOKUP(P125,Tables!$B$3:$D$36,2,FALSE())*AL$1)</f>
        <v>0</v>
      </c>
      <c r="CK125" s="87">
        <f>IF(AN125="",0,VLOOKUP(B125,Tables!$B$3:$D$36,3,FALSE())*X$1)*IF(OR(AN125="K",AN125="P"),2,1)</f>
        <v>0</v>
      </c>
      <c r="CL125" s="73">
        <f>IF(AO125="",0,VLOOKUP(C125,Tables!$B$3:$D$36,3,FALSE())*Y$1)*IF(OR(AO125="K",AO125="P"),2,1)</f>
        <v>0</v>
      </c>
      <c r="CM125" s="73">
        <f>IF(AP125="",0,VLOOKUP(D125,Tables!$B$3:$D$36,3,FALSE())*Z$1)*IF(OR(AP125="K",AP125="P"),2,1)</f>
        <v>0</v>
      </c>
      <c r="CN125" s="87">
        <f>IF(AQ125="",0,VLOOKUP(E125,Tables!$B$3:$D$36,3,FALSE())*AA$1)</f>
        <v>0</v>
      </c>
      <c r="CO125" s="73">
        <f>IF(AR125="",0,VLOOKUP(F125,Tables!$B$3:$D$36,3,FALSE())*AB$1)</f>
        <v>0</v>
      </c>
      <c r="CP125" s="73">
        <f>IF(AS125="",0,VLOOKUP(G125,Tables!$B$3:$D$36,3,FALSE())*AC$1)</f>
        <v>0</v>
      </c>
      <c r="CQ125" s="73">
        <f>IF(AT125="",0,VLOOKUP(H125,Tables!$B$3:$D$36,3,FALSE())*AD$1)</f>
        <v>0</v>
      </c>
      <c r="CR125" s="73">
        <f>IF(AU125="",0,VLOOKUP(I125,Tables!$B$3:$D$36,3,FALSE())*AE$1)</f>
        <v>0</v>
      </c>
      <c r="CS125" s="87">
        <f>IF(AV125="",0,VLOOKUP(J125,Tables!$B$3:$D$36,3,FALSE())*AF$1)</f>
        <v>0</v>
      </c>
      <c r="CT125" s="73">
        <f>IF(AW125="",0,VLOOKUP(K125,Tables!$B$3:$D$36,3,FALSE())*AG$1)</f>
        <v>0</v>
      </c>
      <c r="CU125" s="73">
        <f>IF(AX125="",0,VLOOKUP(L125,Tables!$B$3:$D$36,3,FALSE())*AH$1)</f>
        <v>0.25</v>
      </c>
      <c r="CV125" s="87">
        <f>IF(AY125="",0,VLOOKUP(M125,Tables!$B$3:$D$36,3,FALSE())*AI$1)</f>
        <v>0.35000000000000003</v>
      </c>
      <c r="CW125" s="73">
        <f>IF(AZ125="",0,VLOOKUP(N125,Tables!$B$3:$D$36,3,FALSE())*AJ$1)</f>
        <v>7.4999999999999997E-2</v>
      </c>
      <c r="CX125" s="73">
        <f>IF(BA125="",0,VLOOKUP(O125,Tables!$B$3:$D$36,3,FALSE())*AK$1)</f>
        <v>0</v>
      </c>
      <c r="CY125" s="88">
        <f>IF(BB125="",0,VLOOKUP(P125,Tables!$B$3:$D$36,3,FALSE())*AL$1)</f>
        <v>0</v>
      </c>
      <c r="CZ125" s="89">
        <f t="shared" si="96"/>
        <v>0</v>
      </c>
      <c r="DA125" s="75">
        <f t="shared" si="97"/>
        <v>0</v>
      </c>
      <c r="DB125" s="75">
        <f t="shared" si="98"/>
        <v>0</v>
      </c>
      <c r="DC125" s="89">
        <f t="shared" si="99"/>
        <v>0</v>
      </c>
      <c r="DD125" s="75">
        <f t="shared" si="100"/>
        <v>0</v>
      </c>
      <c r="DE125" s="75">
        <f t="shared" si="101"/>
        <v>0</v>
      </c>
      <c r="DF125" s="75">
        <f t="shared" si="102"/>
        <v>0</v>
      </c>
      <c r="DG125" s="75">
        <f t="shared" si="103"/>
        <v>0</v>
      </c>
      <c r="DH125" s="89">
        <f t="shared" si="104"/>
        <v>0</v>
      </c>
      <c r="DI125" s="75">
        <f t="shared" si="105"/>
        <v>0</v>
      </c>
      <c r="DJ125" s="75">
        <f t="shared" si="106"/>
        <v>1</v>
      </c>
      <c r="DK125" s="89">
        <f t="shared" si="107"/>
        <v>1</v>
      </c>
      <c r="DL125" s="75">
        <f t="shared" si="108"/>
        <v>1</v>
      </c>
      <c r="DM125" s="75">
        <f t="shared" si="109"/>
        <v>0</v>
      </c>
      <c r="DN125" s="90">
        <f t="shared" si="110"/>
        <v>0</v>
      </c>
      <c r="DO125" s="91">
        <f>IF(AN125="",0,VLOOKUP(B125,Tables!$B$3:$M$36,11,FALSE())*X$1)</f>
        <v>0</v>
      </c>
      <c r="DP125" s="92">
        <f>IF(AO125="",0,VLOOKUP(C125,Tables!$B$3:$M$36,11,FALSE())*Y$1)</f>
        <v>0</v>
      </c>
      <c r="DQ125" s="92">
        <f>IF(AP125="",0,VLOOKUP(D125,Tables!$B$3:$M$36,11,FALSE())*Z$1)</f>
        <v>0</v>
      </c>
      <c r="DR125" s="91">
        <f>IF(AQ125="",0,VLOOKUP(E125,Tables!$B$3:$M$36,11,FALSE())*AA$1)</f>
        <v>0</v>
      </c>
      <c r="DS125" s="92">
        <f>IF(AR125="",0,VLOOKUP(F125,Tables!$B$3:$M$36,11,FALSE())*AB$1)</f>
        <v>0</v>
      </c>
      <c r="DT125" s="92">
        <f>IF(AS125="",0,VLOOKUP(G125,Tables!$B$3:$M$36,11,FALSE())*AC$1)</f>
        <v>0</v>
      </c>
      <c r="DU125" s="92">
        <f>IF(AT125="",0,VLOOKUP(H125,Tables!$B$3:$M$36,11,FALSE())*AD$1)</f>
        <v>0</v>
      </c>
      <c r="DV125" s="92">
        <f>IF(AU125="",0,VLOOKUP(I125,Tables!$B$3:$M$36,11,FALSE())*AE$1)</f>
        <v>0</v>
      </c>
      <c r="DW125" s="91">
        <f>IF(AV125="",0,VLOOKUP(J125,Tables!$B$3:$M$36,11,FALSE())*AF$1)</f>
        <v>0</v>
      </c>
      <c r="DX125" s="92">
        <f>IF(AW125="",0,VLOOKUP(K125,Tables!$B$3:$M$36,11,FALSE())*AG$1)</f>
        <v>0</v>
      </c>
      <c r="DY125" s="92">
        <f>IF(AX125="",0,VLOOKUP(L125,Tables!$B$3:$M$36,11,FALSE())*AH$1)</f>
        <v>2</v>
      </c>
      <c r="DZ125" s="91">
        <f>IF(AY125="",0,VLOOKUP(M125,Tables!$B$3:$M$36,11,FALSE())*AI$1)</f>
        <v>2.8000000000000003</v>
      </c>
      <c r="EA125" s="92">
        <f>IF(AZ125="",0,VLOOKUP(N125,Tables!$B$3:$M$36,11,FALSE())*AJ$1)</f>
        <v>0.6</v>
      </c>
      <c r="EB125" s="92">
        <f>IF(BA125="",0,VLOOKUP(O125,Tables!$B$3:$M$36,11,FALSE())*AK$1)</f>
        <v>0</v>
      </c>
      <c r="EC125" s="93">
        <f>IF(BB125="",0,VLOOKUP(P125,Tables!$B$3:$M$36,11,FALSE())*AL$1)</f>
        <v>0</v>
      </c>
      <c r="ED125" s="91">
        <f>IF(AN125="",0,VLOOKUP(B125,Tables!$B$3:$M$36,12,FALSE())*X$1)</f>
        <v>0</v>
      </c>
      <c r="EE125" s="92">
        <f>IF(AO125="",0,VLOOKUP(C125,Tables!$B$3:$M$36,12,FALSE())*Y$1)</f>
        <v>0</v>
      </c>
      <c r="EF125" s="92">
        <f>IF(AP125="",0,VLOOKUP(D125,Tables!$B$3:$M$36,12,FALSE())*Z$1)</f>
        <v>0</v>
      </c>
      <c r="EG125" s="91">
        <f>IF(AQ125="",0,VLOOKUP(E125,Tables!$B$3:$M$36,12,FALSE())*AA$1)</f>
        <v>0</v>
      </c>
      <c r="EH125" s="92">
        <f>IF(AR125="",0,VLOOKUP(F125,Tables!$B$3:$M$36,12,FALSE())*AB$1)</f>
        <v>0</v>
      </c>
      <c r="EI125" s="92">
        <f>IF(AS125="",0,VLOOKUP(G125,Tables!$B$3:$M$36,12,FALSE())*AC$1)</f>
        <v>0</v>
      </c>
      <c r="EJ125" s="92">
        <f>IF(AT125="",0,VLOOKUP(H125,Tables!$B$3:$M$36,12,FALSE())*AD$1)</f>
        <v>0</v>
      </c>
      <c r="EK125" s="92">
        <f>IF(AU125="",0,VLOOKUP(I125,Tables!$B$3:$M$36,12,FALSE())*AE$1)</f>
        <v>0</v>
      </c>
      <c r="EL125" s="91">
        <f>IF(AV125="",0,VLOOKUP(J125,Tables!$B$3:$M$36,12,FALSE())*AF$1)</f>
        <v>0</v>
      </c>
      <c r="EM125" s="92">
        <f>IF(AW125="",0,VLOOKUP(K125,Tables!$B$3:$M$36,12,FALSE())*AG$1)</f>
        <v>0</v>
      </c>
      <c r="EN125" s="92">
        <f>IF(AX125="",0,VLOOKUP(L125,Tables!$B$3:$M$36,12,FALSE())*AH$1)</f>
        <v>6</v>
      </c>
      <c r="EO125" s="91">
        <f>IF(AY125="",0,VLOOKUP(M125,Tables!$B$3:$M$36,12,FALSE())*AI$1)</f>
        <v>8.4</v>
      </c>
      <c r="EP125" s="92">
        <f>IF(AZ125="",0,VLOOKUP(N125,Tables!$B$3:$M$36,12,FALSE())*AJ$1)</f>
        <v>1.7999999999999998</v>
      </c>
      <c r="EQ125" s="92">
        <f>IF(BA125="",0,VLOOKUP(O125,Tables!$B$3:$M$36,12,FALSE())*AK$1)</f>
        <v>0</v>
      </c>
      <c r="ER125" s="93">
        <f>IF(BB125="",0,VLOOKUP(P125,Tables!$B$3:$M$36,12,FALSE())*AL$1)</f>
        <v>0</v>
      </c>
      <c r="ES125" s="94">
        <f t="shared" si="111"/>
        <v>0</v>
      </c>
      <c r="ET125" s="95">
        <f>IF(AN125="",10,MIN(VLOOKUP(B125,MATERIAL,13,FALSE()),'Item Builder'!$W125))</f>
        <v>10</v>
      </c>
      <c r="EU125" s="95">
        <f>IF(AO125="",10,MIN(VLOOKUP(C125,MATERIAL,13,FALSE()),'Item Builder'!$W125))</f>
        <v>10</v>
      </c>
      <c r="EV125" s="95">
        <f>IF(AP125="",10,MIN(VLOOKUP(D125,MATERIAL,13,FALSE()),'Item Builder'!$W125))</f>
        <v>10</v>
      </c>
      <c r="EW125" s="95">
        <f>IF(AQ125="",10,MIN(VLOOKUP(E125,MATERIAL,13,FALSE()),'Item Builder'!$W125))</f>
        <v>10</v>
      </c>
      <c r="EX125" s="95">
        <f>IF(AR125="",10,MIN(VLOOKUP(F125,MATERIAL,13,FALSE()),'Item Builder'!$W125))</f>
        <v>10</v>
      </c>
      <c r="EY125" s="95">
        <f>IF(AS125="",10,MIN(VLOOKUP(G125,MATERIAL,13,FALSE()),'Item Builder'!$W125))</f>
        <v>10</v>
      </c>
      <c r="EZ125" s="95">
        <f>IF(AT125="",10,MIN(VLOOKUP(H125,MATERIAL,13,FALSE()),'Item Builder'!$W125))</f>
        <v>10</v>
      </c>
      <c r="FA125" s="95">
        <f>IF(AU125="",10,MIN(VLOOKUP(I125,MATERIAL,13,FALSE()),'Item Builder'!$W125))</f>
        <v>10</v>
      </c>
      <c r="FB125" s="95">
        <f>IF(AV125="",10,MIN(VLOOKUP(J125,MATERIAL,13,FALSE()),'Item Builder'!$W125))</f>
        <v>10</v>
      </c>
      <c r="FC125" s="95">
        <f>IF(AW125="",10,MIN(VLOOKUP(K125,MATERIAL,13,FALSE()),'Item Builder'!$W125))</f>
        <v>10</v>
      </c>
      <c r="FD125" s="95">
        <f>IF(AX125="",10,MIN(VLOOKUP(L125,MATERIAL,13,FALSE()),'Item Builder'!$W125))</f>
        <v>0</v>
      </c>
      <c r="FE125" s="95">
        <f>IF(AY125="",10,MIN(VLOOKUP(M125,MATERIAL,13,FALSE()),'Item Builder'!$W125))</f>
        <v>0</v>
      </c>
      <c r="FF125" s="95">
        <f>IF(AZ125="",10,MIN(VLOOKUP(N125,MATERIAL,13,FALSE()),'Item Builder'!$W125))</f>
        <v>0</v>
      </c>
      <c r="FG125" s="95">
        <f>IF(BA125="",10,MIN(VLOOKUP(O125,MATERIAL,13,FALSE()),'Item Builder'!$W125))</f>
        <v>10</v>
      </c>
      <c r="FH125" s="95">
        <f>IF(BB125="",10,MIN(VLOOKUP(P125,MATERIAL,13,FALSE()),'Item Builder'!$W125))</f>
        <v>10</v>
      </c>
    </row>
    <row r="126" spans="1:164" x14ac:dyDescent="0.25">
      <c r="A126" s="67" t="s">
        <v>266</v>
      </c>
      <c r="B126" s="68"/>
      <c r="C126" s="69"/>
      <c r="D126" s="70"/>
      <c r="E126" s="68"/>
      <c r="F126" s="69"/>
      <c r="G126" s="69"/>
      <c r="H126" s="69"/>
      <c r="I126" s="70"/>
      <c r="J126" s="68"/>
      <c r="K126" s="69"/>
      <c r="L126" s="70" t="s">
        <v>161</v>
      </c>
      <c r="M126" s="68" t="s">
        <v>161</v>
      </c>
      <c r="N126" s="69" t="s">
        <v>161</v>
      </c>
      <c r="O126" s="69" t="s">
        <v>161</v>
      </c>
      <c r="P126" s="71"/>
      <c r="Q126" s="72">
        <f>SUM(BV126:CJ126)*VLOOKUP(W126,Tables!$W$3:$Z$8,4)</f>
        <v>31.200000000000003</v>
      </c>
      <c r="R126" s="73">
        <f t="shared" si="56"/>
        <v>0.97500000000000009</v>
      </c>
      <c r="S126" s="74">
        <f t="shared" si="57"/>
        <v>0</v>
      </c>
      <c r="T126" s="74">
        <f t="shared" si="58"/>
        <v>0</v>
      </c>
      <c r="U126" s="75">
        <f t="shared" si="59"/>
        <v>7.8000000000000007</v>
      </c>
      <c r="V126" s="76">
        <f t="shared" si="60"/>
        <v>23.4</v>
      </c>
      <c r="W126" s="77">
        <v>0</v>
      </c>
      <c r="X126" s="78">
        <f t="shared" si="61"/>
        <v>0</v>
      </c>
      <c r="Y126" s="79">
        <f t="shared" si="62"/>
        <v>0</v>
      </c>
      <c r="Z126" s="79">
        <f t="shared" si="63"/>
        <v>0</v>
      </c>
      <c r="AA126" s="78">
        <f t="shared" si="64"/>
        <v>0</v>
      </c>
      <c r="AB126" s="79">
        <f t="shared" si="65"/>
        <v>0</v>
      </c>
      <c r="AC126" s="79">
        <f t="shared" si="66"/>
        <v>0</v>
      </c>
      <c r="AD126" s="79">
        <f t="shared" si="67"/>
        <v>0</v>
      </c>
      <c r="AE126" s="79">
        <f t="shared" si="68"/>
        <v>0</v>
      </c>
      <c r="AF126" s="78">
        <f t="shared" si="69"/>
        <v>0</v>
      </c>
      <c r="AG126" s="79">
        <f t="shared" si="70"/>
        <v>0</v>
      </c>
      <c r="AH126" s="79">
        <f t="shared" si="71"/>
        <v>1</v>
      </c>
      <c r="AI126" s="78">
        <f t="shared" si="72"/>
        <v>1</v>
      </c>
      <c r="AJ126" s="79">
        <f t="shared" si="73"/>
        <v>1</v>
      </c>
      <c r="AK126" s="79">
        <f t="shared" si="74"/>
        <v>1</v>
      </c>
      <c r="AL126" s="80">
        <f t="shared" si="75"/>
        <v>0</v>
      </c>
      <c r="AM126" s="81">
        <f t="shared" si="76"/>
        <v>0.39</v>
      </c>
      <c r="AN126" s="82" t="str">
        <f t="shared" si="77"/>
        <v/>
      </c>
      <c r="AO126" s="79" t="str">
        <f t="shared" si="78"/>
        <v/>
      </c>
      <c r="AP126" t="str">
        <f t="shared" si="79"/>
        <v/>
      </c>
      <c r="AQ126" s="82" t="str">
        <f t="shared" si="80"/>
        <v/>
      </c>
      <c r="AR126" t="str">
        <f t="shared" si="81"/>
        <v/>
      </c>
      <c r="AS126" t="str">
        <f t="shared" si="82"/>
        <v/>
      </c>
      <c r="AT126" t="str">
        <f t="shared" si="83"/>
        <v/>
      </c>
      <c r="AU126" t="str">
        <f t="shared" si="84"/>
        <v/>
      </c>
      <c r="AV126" s="82" t="str">
        <f t="shared" si="85"/>
        <v/>
      </c>
      <c r="AW126" t="str">
        <f t="shared" si="86"/>
        <v/>
      </c>
      <c r="AX126" t="str">
        <f t="shared" si="87"/>
        <v>X</v>
      </c>
      <c r="AY126" s="82" t="str">
        <f t="shared" si="88"/>
        <v>X</v>
      </c>
      <c r="AZ126" t="str">
        <f t="shared" si="89"/>
        <v>X</v>
      </c>
      <c r="BA126" t="str">
        <f t="shared" si="90"/>
        <v>X</v>
      </c>
      <c r="BB126" s="83" t="str">
        <f t="shared" si="91"/>
        <v/>
      </c>
      <c r="BC126" s="84">
        <f t="shared" si="92"/>
        <v>0</v>
      </c>
      <c r="BD126" s="84">
        <f t="shared" si="93"/>
        <v>0</v>
      </c>
      <c r="BE126" s="84">
        <f t="shared" si="94"/>
        <v>0.29411764705882359</v>
      </c>
      <c r="BF126" s="84">
        <f t="shared" si="95"/>
        <v>0.80555555555555558</v>
      </c>
      <c r="BG126" s="78">
        <f>IF(AN126="",0,VLOOKUP(AN126,Tables!$AB$3:$AC$12,2))</f>
        <v>0</v>
      </c>
      <c r="BH126" s="79">
        <f>IF(AO126="",0,VLOOKUP(AO126,Tables!$AB$3:$AC$12,2))</f>
        <v>0</v>
      </c>
      <c r="BI126" s="79">
        <f>IF(AP126="",0,VLOOKUP(AP126,Tables!$AB$3:$AC$12,2))</f>
        <v>0</v>
      </c>
      <c r="BJ126" s="78">
        <f>IF(AQ126="",0,VLOOKUP(AQ126,Tables!$AB$3:$AC$12,2))</f>
        <v>0</v>
      </c>
      <c r="BK126" s="79">
        <f>IF(AR126="",0,VLOOKUP(AR126,Tables!$AB$3:$AC$12,2))</f>
        <v>0</v>
      </c>
      <c r="BL126" s="79">
        <f>IF(AS126="",0,VLOOKUP(AS126,Tables!$AB$3:$AC$12,2))</f>
        <v>0</v>
      </c>
      <c r="BM126" s="79">
        <f>IF(AT126="",0,VLOOKUP(AT126,Tables!$AB$3:$AC$12,2))</f>
        <v>0</v>
      </c>
      <c r="BN126" s="79">
        <f>IF(AU126="",0,VLOOKUP(AU126,Tables!$AB$3:$AC$12,2))</f>
        <v>0</v>
      </c>
      <c r="BO126" s="78">
        <f>IF(AV126="",0,VLOOKUP(AV126,Tables!$AB$3:$AC$12,2))</f>
        <v>0</v>
      </c>
      <c r="BP126" s="79">
        <f>IF(AW126="",0,VLOOKUP(AW126,Tables!$AB$3:$AC$12,2))</f>
        <v>0</v>
      </c>
      <c r="BQ126" s="79">
        <f>IF(AX126="",0,VLOOKUP(AX126,Tables!$AB$3:$AC$12,2))</f>
        <v>1</v>
      </c>
      <c r="BR126" s="78">
        <f>IF(AY126="",0,VLOOKUP(AY126,Tables!$AB$3:$AC$12,2))</f>
        <v>1</v>
      </c>
      <c r="BS126" s="79">
        <f>IF(AZ126="",0,VLOOKUP(AZ126,Tables!$AB$3:$AC$12,2))</f>
        <v>1</v>
      </c>
      <c r="BT126" s="79">
        <f>IF(BA126="",0,VLOOKUP(BA126,Tables!$AB$3:$AC$12,2))</f>
        <v>1</v>
      </c>
      <c r="BU126" s="80">
        <f>IF(BB126="",0,VLOOKUP(BB126,Tables!$AB$3:$AC$12,2))</f>
        <v>0</v>
      </c>
      <c r="BV126" s="85">
        <f>IF(AN126="",0,VLOOKUP(B126,Tables!$B$3:$D$36,2,FALSE())*X$1)</f>
        <v>0</v>
      </c>
      <c r="BW126" s="72">
        <f>IF(AO126="",0,VLOOKUP(C126,Tables!$B$3:$D$36,2,FALSE())*Y$1)</f>
        <v>0</v>
      </c>
      <c r="BX126" s="72">
        <f>IF(AP126="",0,VLOOKUP(D126,Tables!$B$3:$D$36,2,FALSE())*Z$1)</f>
        <v>0</v>
      </c>
      <c r="BY126" s="85">
        <f>IF(AQ126="",0,VLOOKUP(E126,Tables!$B$3:$D$36,2,FALSE())*AA$1)</f>
        <v>0</v>
      </c>
      <c r="BZ126" s="72">
        <f>IF(AR126="",0,VLOOKUP(F126,Tables!$B$3:$D$36,2,FALSE())*AB$1)</f>
        <v>0</v>
      </c>
      <c r="CA126" s="72">
        <f>IF(AS126="",0,VLOOKUP(G126,Tables!$B$3:$D$36,2,FALSE())*AC$1)</f>
        <v>0</v>
      </c>
      <c r="CB126" s="72">
        <f>IF(AT126="",0,VLOOKUP(H126,Tables!$B$3:$D$36,2,FALSE())*AD$1)</f>
        <v>0</v>
      </c>
      <c r="CC126" s="72">
        <f>IF(AU126="",0,VLOOKUP(I126,Tables!$B$3:$D$36,2,FALSE())*AE$1)</f>
        <v>0</v>
      </c>
      <c r="CD126" s="85">
        <f>IF(AV126="",0,VLOOKUP(J126,Tables!$B$3:$D$36,2,FALSE())*AF$1)</f>
        <v>0</v>
      </c>
      <c r="CE126" s="72">
        <f>IF(AW126="",0,VLOOKUP(K126,Tables!$B$3:$D$36,2,FALSE())*AG$1)</f>
        <v>0</v>
      </c>
      <c r="CF126" s="72">
        <f>IF(AX126="",0,VLOOKUP(L126,Tables!$B$3:$D$36,2,FALSE())*AH$1)</f>
        <v>8</v>
      </c>
      <c r="CG126" s="85">
        <f>IF(AY126="",0,VLOOKUP(M126,Tables!$B$3:$D$36,2,FALSE())*AI$1)</f>
        <v>11.200000000000001</v>
      </c>
      <c r="CH126" s="72">
        <f>IF(AZ126="",0,VLOOKUP(N126,Tables!$B$3:$D$36,2,FALSE())*AJ$1)</f>
        <v>2.4</v>
      </c>
      <c r="CI126" s="72">
        <f>IF(BA126="",0,VLOOKUP(O126,Tables!$B$3:$D$36,2,FALSE())*AK$1)</f>
        <v>9.6</v>
      </c>
      <c r="CJ126" s="86">
        <f>IF(BB126="",0,VLOOKUP(P126,Tables!$B$3:$D$36,2,FALSE())*AL$1)</f>
        <v>0</v>
      </c>
      <c r="CK126" s="87">
        <f>IF(AN126="",0,VLOOKUP(B126,Tables!$B$3:$D$36,3,FALSE())*X$1)*IF(OR(AN126="K",AN126="P"),2,1)</f>
        <v>0</v>
      </c>
      <c r="CL126" s="73">
        <f>IF(AO126="",0,VLOOKUP(C126,Tables!$B$3:$D$36,3,FALSE())*Y$1)*IF(OR(AO126="K",AO126="P"),2,1)</f>
        <v>0</v>
      </c>
      <c r="CM126" s="73">
        <f>IF(AP126="",0,VLOOKUP(D126,Tables!$B$3:$D$36,3,FALSE())*Z$1)*IF(OR(AP126="K",AP126="P"),2,1)</f>
        <v>0</v>
      </c>
      <c r="CN126" s="87">
        <f>IF(AQ126="",0,VLOOKUP(E126,Tables!$B$3:$D$36,3,FALSE())*AA$1)</f>
        <v>0</v>
      </c>
      <c r="CO126" s="73">
        <f>IF(AR126="",0,VLOOKUP(F126,Tables!$B$3:$D$36,3,FALSE())*AB$1)</f>
        <v>0</v>
      </c>
      <c r="CP126" s="73">
        <f>IF(AS126="",0,VLOOKUP(G126,Tables!$B$3:$D$36,3,FALSE())*AC$1)</f>
        <v>0</v>
      </c>
      <c r="CQ126" s="73">
        <f>IF(AT126="",0,VLOOKUP(H126,Tables!$B$3:$D$36,3,FALSE())*AD$1)</f>
        <v>0</v>
      </c>
      <c r="CR126" s="73">
        <f>IF(AU126="",0,VLOOKUP(I126,Tables!$B$3:$D$36,3,FALSE())*AE$1)</f>
        <v>0</v>
      </c>
      <c r="CS126" s="87">
        <f>IF(AV126="",0,VLOOKUP(J126,Tables!$B$3:$D$36,3,FALSE())*AF$1)</f>
        <v>0</v>
      </c>
      <c r="CT126" s="73">
        <f>IF(AW126="",0,VLOOKUP(K126,Tables!$B$3:$D$36,3,FALSE())*AG$1)</f>
        <v>0</v>
      </c>
      <c r="CU126" s="73">
        <f>IF(AX126="",0,VLOOKUP(L126,Tables!$B$3:$D$36,3,FALSE())*AH$1)</f>
        <v>0.25</v>
      </c>
      <c r="CV126" s="87">
        <f>IF(AY126="",0,VLOOKUP(M126,Tables!$B$3:$D$36,3,FALSE())*AI$1)</f>
        <v>0.35000000000000003</v>
      </c>
      <c r="CW126" s="73">
        <f>IF(AZ126="",0,VLOOKUP(N126,Tables!$B$3:$D$36,3,FALSE())*AJ$1)</f>
        <v>7.4999999999999997E-2</v>
      </c>
      <c r="CX126" s="73">
        <f>IF(BA126="",0,VLOOKUP(O126,Tables!$B$3:$D$36,3,FALSE())*AK$1)</f>
        <v>0.3</v>
      </c>
      <c r="CY126" s="88">
        <f>IF(BB126="",0,VLOOKUP(P126,Tables!$B$3:$D$36,3,FALSE())*AL$1)</f>
        <v>0</v>
      </c>
      <c r="CZ126" s="89">
        <f t="shared" si="96"/>
        <v>0</v>
      </c>
      <c r="DA126" s="75">
        <f t="shared" si="97"/>
        <v>0</v>
      </c>
      <c r="DB126" s="75">
        <f t="shared" si="98"/>
        <v>0</v>
      </c>
      <c r="DC126" s="89">
        <f t="shared" si="99"/>
        <v>0</v>
      </c>
      <c r="DD126" s="75">
        <f t="shared" si="100"/>
        <v>0</v>
      </c>
      <c r="DE126" s="75">
        <f t="shared" si="101"/>
        <v>0</v>
      </c>
      <c r="DF126" s="75">
        <f t="shared" si="102"/>
        <v>0</v>
      </c>
      <c r="DG126" s="75">
        <f t="shared" si="103"/>
        <v>0</v>
      </c>
      <c r="DH126" s="89">
        <f t="shared" si="104"/>
        <v>0</v>
      </c>
      <c r="DI126" s="75">
        <f t="shared" si="105"/>
        <v>0</v>
      </c>
      <c r="DJ126" s="75">
        <f t="shared" si="106"/>
        <v>1</v>
      </c>
      <c r="DK126" s="89">
        <f t="shared" si="107"/>
        <v>1</v>
      </c>
      <c r="DL126" s="75">
        <f t="shared" si="108"/>
        <v>1</v>
      </c>
      <c r="DM126" s="75">
        <f t="shared" si="109"/>
        <v>1</v>
      </c>
      <c r="DN126" s="90">
        <f t="shared" si="110"/>
        <v>0</v>
      </c>
      <c r="DO126" s="91">
        <f>IF(AN126="",0,VLOOKUP(B126,Tables!$B$3:$M$36,11,FALSE())*X$1)</f>
        <v>0</v>
      </c>
      <c r="DP126" s="92">
        <f>IF(AO126="",0,VLOOKUP(C126,Tables!$B$3:$M$36,11,FALSE())*Y$1)</f>
        <v>0</v>
      </c>
      <c r="DQ126" s="92">
        <f>IF(AP126="",0,VLOOKUP(D126,Tables!$B$3:$M$36,11,FALSE())*Z$1)</f>
        <v>0</v>
      </c>
      <c r="DR126" s="91">
        <f>IF(AQ126="",0,VLOOKUP(E126,Tables!$B$3:$M$36,11,FALSE())*AA$1)</f>
        <v>0</v>
      </c>
      <c r="DS126" s="92">
        <f>IF(AR126="",0,VLOOKUP(F126,Tables!$B$3:$M$36,11,FALSE())*AB$1)</f>
        <v>0</v>
      </c>
      <c r="DT126" s="92">
        <f>IF(AS126="",0,VLOOKUP(G126,Tables!$B$3:$M$36,11,FALSE())*AC$1)</f>
        <v>0</v>
      </c>
      <c r="DU126" s="92">
        <f>IF(AT126="",0,VLOOKUP(H126,Tables!$B$3:$M$36,11,FALSE())*AD$1)</f>
        <v>0</v>
      </c>
      <c r="DV126" s="92">
        <f>IF(AU126="",0,VLOOKUP(I126,Tables!$B$3:$M$36,11,FALSE())*AE$1)</f>
        <v>0</v>
      </c>
      <c r="DW126" s="91">
        <f>IF(AV126="",0,VLOOKUP(J126,Tables!$B$3:$M$36,11,FALSE())*AF$1)</f>
        <v>0</v>
      </c>
      <c r="DX126" s="92">
        <f>IF(AW126="",0,VLOOKUP(K126,Tables!$B$3:$M$36,11,FALSE())*AG$1)</f>
        <v>0</v>
      </c>
      <c r="DY126" s="92">
        <f>IF(AX126="",0,VLOOKUP(L126,Tables!$B$3:$M$36,11,FALSE())*AH$1)</f>
        <v>2</v>
      </c>
      <c r="DZ126" s="91">
        <f>IF(AY126="",0,VLOOKUP(M126,Tables!$B$3:$M$36,11,FALSE())*AI$1)</f>
        <v>2.8000000000000003</v>
      </c>
      <c r="EA126" s="92">
        <f>IF(AZ126="",0,VLOOKUP(N126,Tables!$B$3:$M$36,11,FALSE())*AJ$1)</f>
        <v>0.6</v>
      </c>
      <c r="EB126" s="92">
        <f>IF(BA126="",0,VLOOKUP(O126,Tables!$B$3:$M$36,11,FALSE())*AK$1)</f>
        <v>2.4</v>
      </c>
      <c r="EC126" s="93">
        <f>IF(BB126="",0,VLOOKUP(P126,Tables!$B$3:$M$36,11,FALSE())*AL$1)</f>
        <v>0</v>
      </c>
      <c r="ED126" s="91">
        <f>IF(AN126="",0,VLOOKUP(B126,Tables!$B$3:$M$36,12,FALSE())*X$1)</f>
        <v>0</v>
      </c>
      <c r="EE126" s="92">
        <f>IF(AO126="",0,VLOOKUP(C126,Tables!$B$3:$M$36,12,FALSE())*Y$1)</f>
        <v>0</v>
      </c>
      <c r="EF126" s="92">
        <f>IF(AP126="",0,VLOOKUP(D126,Tables!$B$3:$M$36,12,FALSE())*Z$1)</f>
        <v>0</v>
      </c>
      <c r="EG126" s="91">
        <f>IF(AQ126="",0,VLOOKUP(E126,Tables!$B$3:$M$36,12,FALSE())*AA$1)</f>
        <v>0</v>
      </c>
      <c r="EH126" s="92">
        <f>IF(AR126="",0,VLOOKUP(F126,Tables!$B$3:$M$36,12,FALSE())*AB$1)</f>
        <v>0</v>
      </c>
      <c r="EI126" s="92">
        <f>IF(AS126="",0,VLOOKUP(G126,Tables!$B$3:$M$36,12,FALSE())*AC$1)</f>
        <v>0</v>
      </c>
      <c r="EJ126" s="92">
        <f>IF(AT126="",0,VLOOKUP(H126,Tables!$B$3:$M$36,12,FALSE())*AD$1)</f>
        <v>0</v>
      </c>
      <c r="EK126" s="92">
        <f>IF(AU126="",0,VLOOKUP(I126,Tables!$B$3:$M$36,12,FALSE())*AE$1)</f>
        <v>0</v>
      </c>
      <c r="EL126" s="91">
        <f>IF(AV126="",0,VLOOKUP(J126,Tables!$B$3:$M$36,12,FALSE())*AF$1)</f>
        <v>0</v>
      </c>
      <c r="EM126" s="92">
        <f>IF(AW126="",0,VLOOKUP(K126,Tables!$B$3:$M$36,12,FALSE())*AG$1)</f>
        <v>0</v>
      </c>
      <c r="EN126" s="92">
        <f>IF(AX126="",0,VLOOKUP(L126,Tables!$B$3:$M$36,12,FALSE())*AH$1)</f>
        <v>6</v>
      </c>
      <c r="EO126" s="91">
        <f>IF(AY126="",0,VLOOKUP(M126,Tables!$B$3:$M$36,12,FALSE())*AI$1)</f>
        <v>8.4</v>
      </c>
      <c r="EP126" s="92">
        <f>IF(AZ126="",0,VLOOKUP(N126,Tables!$B$3:$M$36,12,FALSE())*AJ$1)</f>
        <v>1.7999999999999998</v>
      </c>
      <c r="EQ126" s="92">
        <f>IF(BA126="",0,VLOOKUP(O126,Tables!$B$3:$M$36,12,FALSE())*AK$1)</f>
        <v>7.1999999999999993</v>
      </c>
      <c r="ER126" s="93">
        <f>IF(BB126="",0,VLOOKUP(P126,Tables!$B$3:$M$36,12,FALSE())*AL$1)</f>
        <v>0</v>
      </c>
      <c r="ES126" s="94">
        <f t="shared" si="111"/>
        <v>0</v>
      </c>
      <c r="ET126" s="95">
        <f>IF(AN126="",10,MIN(VLOOKUP(B126,MATERIAL,13,FALSE()),'Item Builder'!$W126))</f>
        <v>10</v>
      </c>
      <c r="EU126" s="95">
        <f>IF(AO126="",10,MIN(VLOOKUP(C126,MATERIAL,13,FALSE()),'Item Builder'!$W126))</f>
        <v>10</v>
      </c>
      <c r="EV126" s="95">
        <f>IF(AP126="",10,MIN(VLOOKUP(D126,MATERIAL,13,FALSE()),'Item Builder'!$W126))</f>
        <v>10</v>
      </c>
      <c r="EW126" s="95">
        <f>IF(AQ126="",10,MIN(VLOOKUP(E126,MATERIAL,13,FALSE()),'Item Builder'!$W126))</f>
        <v>10</v>
      </c>
      <c r="EX126" s="95">
        <f>IF(AR126="",10,MIN(VLOOKUP(F126,MATERIAL,13,FALSE()),'Item Builder'!$W126))</f>
        <v>10</v>
      </c>
      <c r="EY126" s="95">
        <f>IF(AS126="",10,MIN(VLOOKUP(G126,MATERIAL,13,FALSE()),'Item Builder'!$W126))</f>
        <v>10</v>
      </c>
      <c r="EZ126" s="95">
        <f>IF(AT126="",10,MIN(VLOOKUP(H126,MATERIAL,13,FALSE()),'Item Builder'!$W126))</f>
        <v>10</v>
      </c>
      <c r="FA126" s="95">
        <f>IF(AU126="",10,MIN(VLOOKUP(I126,MATERIAL,13,FALSE()),'Item Builder'!$W126))</f>
        <v>10</v>
      </c>
      <c r="FB126" s="95">
        <f>IF(AV126="",10,MIN(VLOOKUP(J126,MATERIAL,13,FALSE()),'Item Builder'!$W126))</f>
        <v>10</v>
      </c>
      <c r="FC126" s="95">
        <f>IF(AW126="",10,MIN(VLOOKUP(K126,MATERIAL,13,FALSE()),'Item Builder'!$W126))</f>
        <v>10</v>
      </c>
      <c r="FD126" s="95">
        <f>IF(AX126="",10,MIN(VLOOKUP(L126,MATERIAL,13,FALSE()),'Item Builder'!$W126))</f>
        <v>0</v>
      </c>
      <c r="FE126" s="95">
        <f>IF(AY126="",10,MIN(VLOOKUP(M126,MATERIAL,13,FALSE()),'Item Builder'!$W126))</f>
        <v>0</v>
      </c>
      <c r="FF126" s="95">
        <f>IF(AZ126="",10,MIN(VLOOKUP(N126,MATERIAL,13,FALSE()),'Item Builder'!$W126))</f>
        <v>0</v>
      </c>
      <c r="FG126" s="95">
        <f>IF(BA126="",10,MIN(VLOOKUP(O126,MATERIAL,13,FALSE()),'Item Builder'!$W126))</f>
        <v>0</v>
      </c>
      <c r="FH126" s="95">
        <f>IF(BB126="",10,MIN(VLOOKUP(P126,MATERIAL,13,FALSE()),'Item Builder'!$W126))</f>
        <v>10</v>
      </c>
    </row>
    <row r="127" spans="1:164" x14ac:dyDescent="0.25">
      <c r="A127" s="67" t="s">
        <v>267</v>
      </c>
      <c r="B127" s="68"/>
      <c r="C127" s="69"/>
      <c r="D127" s="70"/>
      <c r="E127" s="68"/>
      <c r="F127" s="69"/>
      <c r="G127" s="69"/>
      <c r="H127" s="69"/>
      <c r="I127" s="70"/>
      <c r="J127" s="68"/>
      <c r="K127" s="69"/>
      <c r="L127" s="70"/>
      <c r="M127" s="68" t="s">
        <v>161</v>
      </c>
      <c r="N127" s="69" t="s">
        <v>161</v>
      </c>
      <c r="O127" s="69" t="s">
        <v>161</v>
      </c>
      <c r="P127" s="71" t="s">
        <v>161</v>
      </c>
      <c r="Q127" s="72">
        <f>SUM(BV127:CJ127)*VLOOKUP(W127,Tables!$W$3:$Z$8,4)</f>
        <v>28.800000000000004</v>
      </c>
      <c r="R127" s="73">
        <f t="shared" si="56"/>
        <v>0.90000000000000013</v>
      </c>
      <c r="S127" s="74">
        <f t="shared" si="57"/>
        <v>0</v>
      </c>
      <c r="T127" s="74">
        <f t="shared" si="58"/>
        <v>0</v>
      </c>
      <c r="U127" s="75">
        <f t="shared" si="59"/>
        <v>7.2000000000000011</v>
      </c>
      <c r="V127" s="76">
        <f t="shared" si="60"/>
        <v>21.599999999999998</v>
      </c>
      <c r="W127" s="77">
        <v>0</v>
      </c>
      <c r="X127" s="78">
        <f t="shared" si="61"/>
        <v>0</v>
      </c>
      <c r="Y127" s="79">
        <f t="shared" si="62"/>
        <v>0</v>
      </c>
      <c r="Z127" s="79">
        <f t="shared" si="63"/>
        <v>0</v>
      </c>
      <c r="AA127" s="78">
        <f t="shared" si="64"/>
        <v>0</v>
      </c>
      <c r="AB127" s="79">
        <f t="shared" si="65"/>
        <v>0</v>
      </c>
      <c r="AC127" s="79">
        <f t="shared" si="66"/>
        <v>0</v>
      </c>
      <c r="AD127" s="79">
        <f t="shared" si="67"/>
        <v>0</v>
      </c>
      <c r="AE127" s="79">
        <f t="shared" si="68"/>
        <v>0</v>
      </c>
      <c r="AF127" s="78">
        <f t="shared" si="69"/>
        <v>0</v>
      </c>
      <c r="AG127" s="79">
        <f t="shared" si="70"/>
        <v>0</v>
      </c>
      <c r="AH127" s="79">
        <f t="shared" si="71"/>
        <v>0</v>
      </c>
      <c r="AI127" s="78">
        <f t="shared" si="72"/>
        <v>1</v>
      </c>
      <c r="AJ127" s="79">
        <f t="shared" si="73"/>
        <v>1</v>
      </c>
      <c r="AK127" s="79">
        <f t="shared" si="74"/>
        <v>1</v>
      </c>
      <c r="AL127" s="80">
        <f t="shared" si="75"/>
        <v>1</v>
      </c>
      <c r="AM127" s="81">
        <f t="shared" si="76"/>
        <v>0.36000000000000004</v>
      </c>
      <c r="AN127" s="82" t="str">
        <f t="shared" si="77"/>
        <v/>
      </c>
      <c r="AO127" s="79" t="str">
        <f t="shared" si="78"/>
        <v/>
      </c>
      <c r="AP127" t="str">
        <f t="shared" si="79"/>
        <v/>
      </c>
      <c r="AQ127" s="82" t="str">
        <f t="shared" si="80"/>
        <v/>
      </c>
      <c r="AR127" t="str">
        <f t="shared" si="81"/>
        <v/>
      </c>
      <c r="AS127" t="str">
        <f t="shared" si="82"/>
        <v/>
      </c>
      <c r="AT127" t="str">
        <f t="shared" si="83"/>
        <v/>
      </c>
      <c r="AU127" t="str">
        <f t="shared" si="84"/>
        <v/>
      </c>
      <c r="AV127" s="82" t="str">
        <f t="shared" si="85"/>
        <v/>
      </c>
      <c r="AW127" t="str">
        <f t="shared" si="86"/>
        <v/>
      </c>
      <c r="AX127" t="str">
        <f t="shared" si="87"/>
        <v/>
      </c>
      <c r="AY127" s="82" t="str">
        <f t="shared" si="88"/>
        <v>X</v>
      </c>
      <c r="AZ127" t="str">
        <f t="shared" si="89"/>
        <v>X</v>
      </c>
      <c r="BA127" t="str">
        <f t="shared" si="90"/>
        <v>X</v>
      </c>
      <c r="BB127" s="83" t="str">
        <f t="shared" si="91"/>
        <v>X</v>
      </c>
      <c r="BC127" s="84">
        <f t="shared" si="92"/>
        <v>0</v>
      </c>
      <c r="BD127" s="84">
        <f t="shared" si="93"/>
        <v>0</v>
      </c>
      <c r="BE127" s="84">
        <f t="shared" si="94"/>
        <v>0</v>
      </c>
      <c r="BF127" s="84">
        <f t="shared" si="95"/>
        <v>1</v>
      </c>
      <c r="BG127" s="78">
        <f>IF(AN127="",0,VLOOKUP(AN127,Tables!$AB$3:$AC$12,2))</f>
        <v>0</v>
      </c>
      <c r="BH127" s="79">
        <f>IF(AO127="",0,VLOOKUP(AO127,Tables!$AB$3:$AC$12,2))</f>
        <v>0</v>
      </c>
      <c r="BI127" s="79">
        <f>IF(AP127="",0,VLOOKUP(AP127,Tables!$AB$3:$AC$12,2))</f>
        <v>0</v>
      </c>
      <c r="BJ127" s="78">
        <f>IF(AQ127="",0,VLOOKUP(AQ127,Tables!$AB$3:$AC$12,2))</f>
        <v>0</v>
      </c>
      <c r="BK127" s="79">
        <f>IF(AR127="",0,VLOOKUP(AR127,Tables!$AB$3:$AC$12,2))</f>
        <v>0</v>
      </c>
      <c r="BL127" s="79">
        <f>IF(AS127="",0,VLOOKUP(AS127,Tables!$AB$3:$AC$12,2))</f>
        <v>0</v>
      </c>
      <c r="BM127" s="79">
        <f>IF(AT127="",0,VLOOKUP(AT127,Tables!$AB$3:$AC$12,2))</f>
        <v>0</v>
      </c>
      <c r="BN127" s="79">
        <f>IF(AU127="",0,VLOOKUP(AU127,Tables!$AB$3:$AC$12,2))</f>
        <v>0</v>
      </c>
      <c r="BO127" s="78">
        <f>IF(AV127="",0,VLOOKUP(AV127,Tables!$AB$3:$AC$12,2))</f>
        <v>0</v>
      </c>
      <c r="BP127" s="79">
        <f>IF(AW127="",0,VLOOKUP(AW127,Tables!$AB$3:$AC$12,2))</f>
        <v>0</v>
      </c>
      <c r="BQ127" s="79">
        <f>IF(AX127="",0,VLOOKUP(AX127,Tables!$AB$3:$AC$12,2))</f>
        <v>0</v>
      </c>
      <c r="BR127" s="78">
        <f>IF(AY127="",0,VLOOKUP(AY127,Tables!$AB$3:$AC$12,2))</f>
        <v>1</v>
      </c>
      <c r="BS127" s="79">
        <f>IF(AZ127="",0,VLOOKUP(AZ127,Tables!$AB$3:$AC$12,2))</f>
        <v>1</v>
      </c>
      <c r="BT127" s="79">
        <f>IF(BA127="",0,VLOOKUP(BA127,Tables!$AB$3:$AC$12,2))</f>
        <v>1</v>
      </c>
      <c r="BU127" s="80">
        <f>IF(BB127="",0,VLOOKUP(BB127,Tables!$AB$3:$AC$12,2))</f>
        <v>1</v>
      </c>
      <c r="BV127" s="85">
        <f>IF(AN127="",0,VLOOKUP(B127,Tables!$B$3:$D$36,2,FALSE())*X$1)</f>
        <v>0</v>
      </c>
      <c r="BW127" s="72">
        <f>IF(AO127="",0,VLOOKUP(C127,Tables!$B$3:$D$36,2,FALSE())*Y$1)</f>
        <v>0</v>
      </c>
      <c r="BX127" s="72">
        <f>IF(AP127="",0,VLOOKUP(D127,Tables!$B$3:$D$36,2,FALSE())*Z$1)</f>
        <v>0</v>
      </c>
      <c r="BY127" s="85">
        <f>IF(AQ127="",0,VLOOKUP(E127,Tables!$B$3:$D$36,2,FALSE())*AA$1)</f>
        <v>0</v>
      </c>
      <c r="BZ127" s="72">
        <f>IF(AR127="",0,VLOOKUP(F127,Tables!$B$3:$D$36,2,FALSE())*AB$1)</f>
        <v>0</v>
      </c>
      <c r="CA127" s="72">
        <f>IF(AS127="",0,VLOOKUP(G127,Tables!$B$3:$D$36,2,FALSE())*AC$1)</f>
        <v>0</v>
      </c>
      <c r="CB127" s="72">
        <f>IF(AT127="",0,VLOOKUP(H127,Tables!$B$3:$D$36,2,FALSE())*AD$1)</f>
        <v>0</v>
      </c>
      <c r="CC127" s="72">
        <f>IF(AU127="",0,VLOOKUP(I127,Tables!$B$3:$D$36,2,FALSE())*AE$1)</f>
        <v>0</v>
      </c>
      <c r="CD127" s="85">
        <f>IF(AV127="",0,VLOOKUP(J127,Tables!$B$3:$D$36,2,FALSE())*AF$1)</f>
        <v>0</v>
      </c>
      <c r="CE127" s="72">
        <f>IF(AW127="",0,VLOOKUP(K127,Tables!$B$3:$D$36,2,FALSE())*AG$1)</f>
        <v>0</v>
      </c>
      <c r="CF127" s="72">
        <f>IF(AX127="",0,VLOOKUP(L127,Tables!$B$3:$D$36,2,FALSE())*AH$1)</f>
        <v>0</v>
      </c>
      <c r="CG127" s="85">
        <f>IF(AY127="",0,VLOOKUP(M127,Tables!$B$3:$D$36,2,FALSE())*AI$1)</f>
        <v>11.200000000000001</v>
      </c>
      <c r="CH127" s="72">
        <f>IF(AZ127="",0,VLOOKUP(N127,Tables!$B$3:$D$36,2,FALSE())*AJ$1)</f>
        <v>2.4</v>
      </c>
      <c r="CI127" s="72">
        <f>IF(BA127="",0,VLOOKUP(O127,Tables!$B$3:$D$36,2,FALSE())*AK$1)</f>
        <v>9.6</v>
      </c>
      <c r="CJ127" s="86">
        <f>IF(BB127="",0,VLOOKUP(P127,Tables!$B$3:$D$36,2,FALSE())*AL$1)</f>
        <v>5.6000000000000005</v>
      </c>
      <c r="CK127" s="87">
        <f>IF(AN127="",0,VLOOKUP(B127,Tables!$B$3:$D$36,3,FALSE())*X$1)*IF(OR(AN127="K",AN127="P"),2,1)</f>
        <v>0</v>
      </c>
      <c r="CL127" s="73">
        <f>IF(AO127="",0,VLOOKUP(C127,Tables!$B$3:$D$36,3,FALSE())*Y$1)*IF(OR(AO127="K",AO127="P"),2,1)</f>
        <v>0</v>
      </c>
      <c r="CM127" s="73">
        <f>IF(AP127="",0,VLOOKUP(D127,Tables!$B$3:$D$36,3,FALSE())*Z$1)*IF(OR(AP127="K",AP127="P"),2,1)</f>
        <v>0</v>
      </c>
      <c r="CN127" s="87">
        <f>IF(AQ127="",0,VLOOKUP(E127,Tables!$B$3:$D$36,3,FALSE())*AA$1)</f>
        <v>0</v>
      </c>
      <c r="CO127" s="73">
        <f>IF(AR127="",0,VLOOKUP(F127,Tables!$B$3:$D$36,3,FALSE())*AB$1)</f>
        <v>0</v>
      </c>
      <c r="CP127" s="73">
        <f>IF(AS127="",0,VLOOKUP(G127,Tables!$B$3:$D$36,3,FALSE())*AC$1)</f>
        <v>0</v>
      </c>
      <c r="CQ127" s="73">
        <f>IF(AT127="",0,VLOOKUP(H127,Tables!$B$3:$D$36,3,FALSE())*AD$1)</f>
        <v>0</v>
      </c>
      <c r="CR127" s="73">
        <f>IF(AU127="",0,VLOOKUP(I127,Tables!$B$3:$D$36,3,FALSE())*AE$1)</f>
        <v>0</v>
      </c>
      <c r="CS127" s="87">
        <f>IF(AV127="",0,VLOOKUP(J127,Tables!$B$3:$D$36,3,FALSE())*AF$1)</f>
        <v>0</v>
      </c>
      <c r="CT127" s="73">
        <f>IF(AW127="",0,VLOOKUP(K127,Tables!$B$3:$D$36,3,FALSE())*AG$1)</f>
        <v>0</v>
      </c>
      <c r="CU127" s="73">
        <f>IF(AX127="",0,VLOOKUP(L127,Tables!$B$3:$D$36,3,FALSE())*AH$1)</f>
        <v>0</v>
      </c>
      <c r="CV127" s="87">
        <f>IF(AY127="",0,VLOOKUP(M127,Tables!$B$3:$D$36,3,FALSE())*AI$1)</f>
        <v>0.35000000000000003</v>
      </c>
      <c r="CW127" s="73">
        <f>IF(AZ127="",0,VLOOKUP(N127,Tables!$B$3:$D$36,3,FALSE())*AJ$1)</f>
        <v>7.4999999999999997E-2</v>
      </c>
      <c r="CX127" s="73">
        <f>IF(BA127="",0,VLOOKUP(O127,Tables!$B$3:$D$36,3,FALSE())*AK$1)</f>
        <v>0.3</v>
      </c>
      <c r="CY127" s="88">
        <f>IF(BB127="",0,VLOOKUP(P127,Tables!$B$3:$D$36,3,FALSE())*AL$1)</f>
        <v>0.17500000000000002</v>
      </c>
      <c r="CZ127" s="89">
        <f t="shared" si="96"/>
        <v>0</v>
      </c>
      <c r="DA127" s="75">
        <f t="shared" si="97"/>
        <v>0</v>
      </c>
      <c r="DB127" s="75">
        <f t="shared" si="98"/>
        <v>0</v>
      </c>
      <c r="DC127" s="89">
        <f t="shared" si="99"/>
        <v>0</v>
      </c>
      <c r="DD127" s="75">
        <f t="shared" si="100"/>
        <v>0</v>
      </c>
      <c r="DE127" s="75">
        <f t="shared" si="101"/>
        <v>0</v>
      </c>
      <c r="DF127" s="75">
        <f t="shared" si="102"/>
        <v>0</v>
      </c>
      <c r="DG127" s="75">
        <f t="shared" si="103"/>
        <v>0</v>
      </c>
      <c r="DH127" s="89">
        <f t="shared" si="104"/>
        <v>0</v>
      </c>
      <c r="DI127" s="75">
        <f t="shared" si="105"/>
        <v>0</v>
      </c>
      <c r="DJ127" s="75">
        <f t="shared" si="106"/>
        <v>0</v>
      </c>
      <c r="DK127" s="89">
        <f t="shared" si="107"/>
        <v>1</v>
      </c>
      <c r="DL127" s="75">
        <f t="shared" si="108"/>
        <v>1</v>
      </c>
      <c r="DM127" s="75">
        <f t="shared" si="109"/>
        <v>1</v>
      </c>
      <c r="DN127" s="90">
        <f t="shared" si="110"/>
        <v>1</v>
      </c>
      <c r="DO127" s="91">
        <f>IF(AN127="",0,VLOOKUP(B127,Tables!$B$3:$M$36,11,FALSE())*X$1)</f>
        <v>0</v>
      </c>
      <c r="DP127" s="92">
        <f>IF(AO127="",0,VLOOKUP(C127,Tables!$B$3:$M$36,11,FALSE())*Y$1)</f>
        <v>0</v>
      </c>
      <c r="DQ127" s="92">
        <f>IF(AP127="",0,VLOOKUP(D127,Tables!$B$3:$M$36,11,FALSE())*Z$1)</f>
        <v>0</v>
      </c>
      <c r="DR127" s="91">
        <f>IF(AQ127="",0,VLOOKUP(E127,Tables!$B$3:$M$36,11,FALSE())*AA$1)</f>
        <v>0</v>
      </c>
      <c r="DS127" s="92">
        <f>IF(AR127="",0,VLOOKUP(F127,Tables!$B$3:$M$36,11,FALSE())*AB$1)</f>
        <v>0</v>
      </c>
      <c r="DT127" s="92">
        <f>IF(AS127="",0,VLOOKUP(G127,Tables!$B$3:$M$36,11,FALSE())*AC$1)</f>
        <v>0</v>
      </c>
      <c r="DU127" s="92">
        <f>IF(AT127="",0,VLOOKUP(H127,Tables!$B$3:$M$36,11,FALSE())*AD$1)</f>
        <v>0</v>
      </c>
      <c r="DV127" s="92">
        <f>IF(AU127="",0,VLOOKUP(I127,Tables!$B$3:$M$36,11,FALSE())*AE$1)</f>
        <v>0</v>
      </c>
      <c r="DW127" s="91">
        <f>IF(AV127="",0,VLOOKUP(J127,Tables!$B$3:$M$36,11,FALSE())*AF$1)</f>
        <v>0</v>
      </c>
      <c r="DX127" s="92">
        <f>IF(AW127="",0,VLOOKUP(K127,Tables!$B$3:$M$36,11,FALSE())*AG$1)</f>
        <v>0</v>
      </c>
      <c r="DY127" s="92">
        <f>IF(AX127="",0,VLOOKUP(L127,Tables!$B$3:$M$36,11,FALSE())*AH$1)</f>
        <v>0</v>
      </c>
      <c r="DZ127" s="91">
        <f>IF(AY127="",0,VLOOKUP(M127,Tables!$B$3:$M$36,11,FALSE())*AI$1)</f>
        <v>2.8000000000000003</v>
      </c>
      <c r="EA127" s="92">
        <f>IF(AZ127="",0,VLOOKUP(N127,Tables!$B$3:$M$36,11,FALSE())*AJ$1)</f>
        <v>0.6</v>
      </c>
      <c r="EB127" s="92">
        <f>IF(BA127="",0,VLOOKUP(O127,Tables!$B$3:$M$36,11,FALSE())*AK$1)</f>
        <v>2.4</v>
      </c>
      <c r="EC127" s="93">
        <f>IF(BB127="",0,VLOOKUP(P127,Tables!$B$3:$M$36,11,FALSE())*AL$1)</f>
        <v>1.4000000000000001</v>
      </c>
      <c r="ED127" s="91">
        <f>IF(AN127="",0,VLOOKUP(B127,Tables!$B$3:$M$36,12,FALSE())*X$1)</f>
        <v>0</v>
      </c>
      <c r="EE127" s="92">
        <f>IF(AO127="",0,VLOOKUP(C127,Tables!$B$3:$M$36,12,FALSE())*Y$1)</f>
        <v>0</v>
      </c>
      <c r="EF127" s="92">
        <f>IF(AP127="",0,VLOOKUP(D127,Tables!$B$3:$M$36,12,FALSE())*Z$1)</f>
        <v>0</v>
      </c>
      <c r="EG127" s="91">
        <f>IF(AQ127="",0,VLOOKUP(E127,Tables!$B$3:$M$36,12,FALSE())*AA$1)</f>
        <v>0</v>
      </c>
      <c r="EH127" s="92">
        <f>IF(AR127="",0,VLOOKUP(F127,Tables!$B$3:$M$36,12,FALSE())*AB$1)</f>
        <v>0</v>
      </c>
      <c r="EI127" s="92">
        <f>IF(AS127="",0,VLOOKUP(G127,Tables!$B$3:$M$36,12,FALSE())*AC$1)</f>
        <v>0</v>
      </c>
      <c r="EJ127" s="92">
        <f>IF(AT127="",0,VLOOKUP(H127,Tables!$B$3:$M$36,12,FALSE())*AD$1)</f>
        <v>0</v>
      </c>
      <c r="EK127" s="92">
        <f>IF(AU127="",0,VLOOKUP(I127,Tables!$B$3:$M$36,12,FALSE())*AE$1)</f>
        <v>0</v>
      </c>
      <c r="EL127" s="91">
        <f>IF(AV127="",0,VLOOKUP(J127,Tables!$B$3:$M$36,12,FALSE())*AF$1)</f>
        <v>0</v>
      </c>
      <c r="EM127" s="92">
        <f>IF(AW127="",0,VLOOKUP(K127,Tables!$B$3:$M$36,12,FALSE())*AG$1)</f>
        <v>0</v>
      </c>
      <c r="EN127" s="92">
        <f>IF(AX127="",0,VLOOKUP(L127,Tables!$B$3:$M$36,12,FALSE())*AH$1)</f>
        <v>0</v>
      </c>
      <c r="EO127" s="91">
        <f>IF(AY127="",0,VLOOKUP(M127,Tables!$B$3:$M$36,12,FALSE())*AI$1)</f>
        <v>8.4</v>
      </c>
      <c r="EP127" s="92">
        <f>IF(AZ127="",0,VLOOKUP(N127,Tables!$B$3:$M$36,12,FALSE())*AJ$1)</f>
        <v>1.7999999999999998</v>
      </c>
      <c r="EQ127" s="92">
        <f>IF(BA127="",0,VLOOKUP(O127,Tables!$B$3:$M$36,12,FALSE())*AK$1)</f>
        <v>7.1999999999999993</v>
      </c>
      <c r="ER127" s="93">
        <f>IF(BB127="",0,VLOOKUP(P127,Tables!$B$3:$M$36,12,FALSE())*AL$1)</f>
        <v>4.2</v>
      </c>
      <c r="ES127" s="94">
        <f t="shared" si="111"/>
        <v>0</v>
      </c>
      <c r="ET127" s="95">
        <f>IF(AN127="",10,MIN(VLOOKUP(B127,MATERIAL,13,FALSE()),'Item Builder'!$W127))</f>
        <v>10</v>
      </c>
      <c r="EU127" s="95">
        <f>IF(AO127="",10,MIN(VLOOKUP(C127,MATERIAL,13,FALSE()),'Item Builder'!$W127))</f>
        <v>10</v>
      </c>
      <c r="EV127" s="95">
        <f>IF(AP127="",10,MIN(VLOOKUP(D127,MATERIAL,13,FALSE()),'Item Builder'!$W127))</f>
        <v>10</v>
      </c>
      <c r="EW127" s="95">
        <f>IF(AQ127="",10,MIN(VLOOKUP(E127,MATERIAL,13,FALSE()),'Item Builder'!$W127))</f>
        <v>10</v>
      </c>
      <c r="EX127" s="95">
        <f>IF(AR127="",10,MIN(VLOOKUP(F127,MATERIAL,13,FALSE()),'Item Builder'!$W127))</f>
        <v>10</v>
      </c>
      <c r="EY127" s="95">
        <f>IF(AS127="",10,MIN(VLOOKUP(G127,MATERIAL,13,FALSE()),'Item Builder'!$W127))</f>
        <v>10</v>
      </c>
      <c r="EZ127" s="95">
        <f>IF(AT127="",10,MIN(VLOOKUP(H127,MATERIAL,13,FALSE()),'Item Builder'!$W127))</f>
        <v>10</v>
      </c>
      <c r="FA127" s="95">
        <f>IF(AU127="",10,MIN(VLOOKUP(I127,MATERIAL,13,FALSE()),'Item Builder'!$W127))</f>
        <v>10</v>
      </c>
      <c r="FB127" s="95">
        <f>IF(AV127="",10,MIN(VLOOKUP(J127,MATERIAL,13,FALSE()),'Item Builder'!$W127))</f>
        <v>10</v>
      </c>
      <c r="FC127" s="95">
        <f>IF(AW127="",10,MIN(VLOOKUP(K127,MATERIAL,13,FALSE()),'Item Builder'!$W127))</f>
        <v>10</v>
      </c>
      <c r="FD127" s="95">
        <f>IF(AX127="",10,MIN(VLOOKUP(L127,MATERIAL,13,FALSE()),'Item Builder'!$W127))</f>
        <v>10</v>
      </c>
      <c r="FE127" s="95">
        <f>IF(AY127="",10,MIN(VLOOKUP(M127,MATERIAL,13,FALSE()),'Item Builder'!$W127))</f>
        <v>0</v>
      </c>
      <c r="FF127" s="95">
        <f>IF(AZ127="",10,MIN(VLOOKUP(N127,MATERIAL,13,FALSE()),'Item Builder'!$W127))</f>
        <v>0</v>
      </c>
      <c r="FG127" s="95">
        <f>IF(BA127="",10,MIN(VLOOKUP(O127,MATERIAL,13,FALSE()),'Item Builder'!$W127))</f>
        <v>0</v>
      </c>
      <c r="FH127" s="95">
        <f>IF(BB127="",10,MIN(VLOOKUP(P127,MATERIAL,13,FALSE()),'Item Builder'!$W127))</f>
        <v>0</v>
      </c>
    </row>
    <row r="128" spans="1:164" x14ac:dyDescent="0.25">
      <c r="A128" s="67" t="s">
        <v>268</v>
      </c>
      <c r="B128" s="68" t="s">
        <v>165</v>
      </c>
      <c r="C128" s="69"/>
      <c r="D128" s="70"/>
      <c r="E128" s="68"/>
      <c r="F128" s="69"/>
      <c r="G128" s="69"/>
      <c r="H128" s="69"/>
      <c r="I128" s="70"/>
      <c r="J128" s="68"/>
      <c r="K128" s="69"/>
      <c r="L128" s="70"/>
      <c r="M128" s="68"/>
      <c r="N128" s="69"/>
      <c r="O128" s="69"/>
      <c r="P128" s="71"/>
      <c r="Q128" s="72">
        <f>SUM(BV128:CJ128)*VLOOKUP(W128,Tables!$W$3:$Z$8,4)</f>
        <v>16</v>
      </c>
      <c r="R128" s="73">
        <f t="shared" si="56"/>
        <v>0.2</v>
      </c>
      <c r="S128" s="74">
        <f t="shared" si="57"/>
        <v>0</v>
      </c>
      <c r="T128" s="74">
        <f t="shared" si="58"/>
        <v>0</v>
      </c>
      <c r="U128" s="75">
        <f t="shared" si="59"/>
        <v>0.8</v>
      </c>
      <c r="V128" s="76">
        <f t="shared" si="60"/>
        <v>12.8</v>
      </c>
      <c r="W128" s="77">
        <v>0</v>
      </c>
      <c r="X128" s="78">
        <f t="shared" si="61"/>
        <v>1</v>
      </c>
      <c r="Y128" s="79">
        <f t="shared" si="62"/>
        <v>0</v>
      </c>
      <c r="Z128" s="79">
        <f t="shared" si="63"/>
        <v>0</v>
      </c>
      <c r="AA128" s="78">
        <f t="shared" si="64"/>
        <v>0</v>
      </c>
      <c r="AB128" s="79">
        <f t="shared" si="65"/>
        <v>0</v>
      </c>
      <c r="AC128" s="79">
        <f t="shared" si="66"/>
        <v>0</v>
      </c>
      <c r="AD128" s="79">
        <f t="shared" si="67"/>
        <v>0</v>
      </c>
      <c r="AE128" s="79">
        <f t="shared" si="68"/>
        <v>0</v>
      </c>
      <c r="AF128" s="78">
        <f t="shared" si="69"/>
        <v>0</v>
      </c>
      <c r="AG128" s="79">
        <f t="shared" si="70"/>
        <v>0</v>
      </c>
      <c r="AH128" s="79">
        <f t="shared" si="71"/>
        <v>0</v>
      </c>
      <c r="AI128" s="78">
        <f t="shared" si="72"/>
        <v>0</v>
      </c>
      <c r="AJ128" s="79">
        <f t="shared" si="73"/>
        <v>0</v>
      </c>
      <c r="AK128" s="79">
        <f t="shared" si="74"/>
        <v>0</v>
      </c>
      <c r="AL128" s="80">
        <f t="shared" si="75"/>
        <v>0</v>
      </c>
      <c r="AM128" s="81">
        <f t="shared" si="76"/>
        <v>0.04</v>
      </c>
      <c r="AN128" s="82" t="str">
        <f t="shared" si="77"/>
        <v>C</v>
      </c>
      <c r="AO128" s="79" t="str">
        <f t="shared" si="78"/>
        <v/>
      </c>
      <c r="AP128" t="str">
        <f t="shared" si="79"/>
        <v/>
      </c>
      <c r="AQ128" s="82" t="str">
        <f t="shared" si="80"/>
        <v/>
      </c>
      <c r="AR128" t="str">
        <f t="shared" si="81"/>
        <v/>
      </c>
      <c r="AS128" t="str">
        <f t="shared" si="82"/>
        <v/>
      </c>
      <c r="AT128" t="str">
        <f t="shared" si="83"/>
        <v/>
      </c>
      <c r="AU128" t="str">
        <f t="shared" si="84"/>
        <v/>
      </c>
      <c r="AV128" s="82" t="str">
        <f t="shared" si="85"/>
        <v/>
      </c>
      <c r="AW128" t="str">
        <f t="shared" si="86"/>
        <v/>
      </c>
      <c r="AX128" t="str">
        <f t="shared" si="87"/>
        <v/>
      </c>
      <c r="AY128" s="82" t="str">
        <f t="shared" si="88"/>
        <v/>
      </c>
      <c r="AZ128" t="str">
        <f t="shared" si="89"/>
        <v/>
      </c>
      <c r="BA128" t="str">
        <f t="shared" si="90"/>
        <v/>
      </c>
      <c r="BB128" s="83" t="str">
        <f t="shared" si="91"/>
        <v/>
      </c>
      <c r="BC128" s="84">
        <f t="shared" si="92"/>
        <v>0.44444444444444442</v>
      </c>
      <c r="BD128" s="84">
        <f t="shared" si="93"/>
        <v>0</v>
      </c>
      <c r="BE128" s="84">
        <f t="shared" si="94"/>
        <v>0</v>
      </c>
      <c r="BF128" s="84">
        <f t="shared" si="95"/>
        <v>0</v>
      </c>
      <c r="BG128" s="78">
        <f>IF(AN128="",0,VLOOKUP(AN128,Tables!$AB$3:$AC$12,2))</f>
        <v>1</v>
      </c>
      <c r="BH128" s="79">
        <f>IF(AO128="",0,VLOOKUP(AO128,Tables!$AB$3:$AC$12,2))</f>
        <v>0</v>
      </c>
      <c r="BI128" s="79">
        <f>IF(AP128="",0,VLOOKUP(AP128,Tables!$AB$3:$AC$12,2))</f>
        <v>0</v>
      </c>
      <c r="BJ128" s="78">
        <f>IF(AQ128="",0,VLOOKUP(AQ128,Tables!$AB$3:$AC$12,2))</f>
        <v>0</v>
      </c>
      <c r="BK128" s="79">
        <f>IF(AR128="",0,VLOOKUP(AR128,Tables!$AB$3:$AC$12,2))</f>
        <v>0</v>
      </c>
      <c r="BL128" s="79">
        <f>IF(AS128="",0,VLOOKUP(AS128,Tables!$AB$3:$AC$12,2))</f>
        <v>0</v>
      </c>
      <c r="BM128" s="79">
        <f>IF(AT128="",0,VLOOKUP(AT128,Tables!$AB$3:$AC$12,2))</f>
        <v>0</v>
      </c>
      <c r="BN128" s="79">
        <f>IF(AU128="",0,VLOOKUP(AU128,Tables!$AB$3:$AC$12,2))</f>
        <v>0</v>
      </c>
      <c r="BO128" s="78">
        <f>IF(AV128="",0,VLOOKUP(AV128,Tables!$AB$3:$AC$12,2))</f>
        <v>0</v>
      </c>
      <c r="BP128" s="79">
        <f>IF(AW128="",0,VLOOKUP(AW128,Tables!$AB$3:$AC$12,2))</f>
        <v>0</v>
      </c>
      <c r="BQ128" s="79">
        <f>IF(AX128="",0,VLOOKUP(AX128,Tables!$AB$3:$AC$12,2))</f>
        <v>0</v>
      </c>
      <c r="BR128" s="78">
        <f>IF(AY128="",0,VLOOKUP(AY128,Tables!$AB$3:$AC$12,2))</f>
        <v>0</v>
      </c>
      <c r="BS128" s="79">
        <f>IF(AZ128="",0,VLOOKUP(AZ128,Tables!$AB$3:$AC$12,2))</f>
        <v>0</v>
      </c>
      <c r="BT128" s="79">
        <f>IF(BA128="",0,VLOOKUP(BA128,Tables!$AB$3:$AC$12,2))</f>
        <v>0</v>
      </c>
      <c r="BU128" s="80">
        <f>IF(BB128="",0,VLOOKUP(BB128,Tables!$AB$3:$AC$12,2))</f>
        <v>0</v>
      </c>
      <c r="BV128" s="85">
        <f>IF(AN128="",0,VLOOKUP(B128,Tables!$B$3:$D$36,2,FALSE())*X$1)</f>
        <v>16</v>
      </c>
      <c r="BW128" s="72">
        <f>IF(AO128="",0,VLOOKUP(C128,Tables!$B$3:$D$36,2,FALSE())*Y$1)</f>
        <v>0</v>
      </c>
      <c r="BX128" s="72">
        <f>IF(AP128="",0,VLOOKUP(D128,Tables!$B$3:$D$36,2,FALSE())*Z$1)</f>
        <v>0</v>
      </c>
      <c r="BY128" s="85">
        <f>IF(AQ128="",0,VLOOKUP(E128,Tables!$B$3:$D$36,2,FALSE())*AA$1)</f>
        <v>0</v>
      </c>
      <c r="BZ128" s="72">
        <f>IF(AR128="",0,VLOOKUP(F128,Tables!$B$3:$D$36,2,FALSE())*AB$1)</f>
        <v>0</v>
      </c>
      <c r="CA128" s="72">
        <f>IF(AS128="",0,VLOOKUP(G128,Tables!$B$3:$D$36,2,FALSE())*AC$1)</f>
        <v>0</v>
      </c>
      <c r="CB128" s="72">
        <f>IF(AT128="",0,VLOOKUP(H128,Tables!$B$3:$D$36,2,FALSE())*AD$1)</f>
        <v>0</v>
      </c>
      <c r="CC128" s="72">
        <f>IF(AU128="",0,VLOOKUP(I128,Tables!$B$3:$D$36,2,FALSE())*AE$1)</f>
        <v>0</v>
      </c>
      <c r="CD128" s="85">
        <f>IF(AV128="",0,VLOOKUP(J128,Tables!$B$3:$D$36,2,FALSE())*AF$1)</f>
        <v>0</v>
      </c>
      <c r="CE128" s="72">
        <f>IF(AW128="",0,VLOOKUP(K128,Tables!$B$3:$D$36,2,FALSE())*AG$1)</f>
        <v>0</v>
      </c>
      <c r="CF128" s="72">
        <f>IF(AX128="",0,VLOOKUP(L128,Tables!$B$3:$D$36,2,FALSE())*AH$1)</f>
        <v>0</v>
      </c>
      <c r="CG128" s="85">
        <f>IF(AY128="",0,VLOOKUP(M128,Tables!$B$3:$D$36,2,FALSE())*AI$1)</f>
        <v>0</v>
      </c>
      <c r="CH128" s="72">
        <f>IF(AZ128="",0,VLOOKUP(N128,Tables!$B$3:$D$36,2,FALSE())*AJ$1)</f>
        <v>0</v>
      </c>
      <c r="CI128" s="72">
        <f>IF(BA128="",0,VLOOKUP(O128,Tables!$B$3:$D$36,2,FALSE())*AK$1)</f>
        <v>0</v>
      </c>
      <c r="CJ128" s="86">
        <f>IF(BB128="",0,VLOOKUP(P128,Tables!$B$3:$D$36,2,FALSE())*AL$1)</f>
        <v>0</v>
      </c>
      <c r="CK128" s="87">
        <f>IF(AN128="",0,VLOOKUP(B128,Tables!$B$3:$D$36,3,FALSE())*X$1)*IF(OR(AN128="K",AN128="P"),2,1)</f>
        <v>0.2</v>
      </c>
      <c r="CL128" s="73">
        <f>IF(AO128="",0,VLOOKUP(C128,Tables!$B$3:$D$36,3,FALSE())*Y$1)*IF(OR(AO128="K",AO128="P"),2,1)</f>
        <v>0</v>
      </c>
      <c r="CM128" s="73">
        <f>IF(AP128="",0,VLOOKUP(D128,Tables!$B$3:$D$36,3,FALSE())*Z$1)*IF(OR(AP128="K",AP128="P"),2,1)</f>
        <v>0</v>
      </c>
      <c r="CN128" s="87">
        <f>IF(AQ128="",0,VLOOKUP(E128,Tables!$B$3:$D$36,3,FALSE())*AA$1)</f>
        <v>0</v>
      </c>
      <c r="CO128" s="73">
        <f>IF(AR128="",0,VLOOKUP(F128,Tables!$B$3:$D$36,3,FALSE())*AB$1)</f>
        <v>0</v>
      </c>
      <c r="CP128" s="73">
        <f>IF(AS128="",0,VLOOKUP(G128,Tables!$B$3:$D$36,3,FALSE())*AC$1)</f>
        <v>0</v>
      </c>
      <c r="CQ128" s="73">
        <f>IF(AT128="",0,VLOOKUP(H128,Tables!$B$3:$D$36,3,FALSE())*AD$1)</f>
        <v>0</v>
      </c>
      <c r="CR128" s="73">
        <f>IF(AU128="",0,VLOOKUP(I128,Tables!$B$3:$D$36,3,FALSE())*AE$1)</f>
        <v>0</v>
      </c>
      <c r="CS128" s="87">
        <f>IF(AV128="",0,VLOOKUP(J128,Tables!$B$3:$D$36,3,FALSE())*AF$1)</f>
        <v>0</v>
      </c>
      <c r="CT128" s="73">
        <f>IF(AW128="",0,VLOOKUP(K128,Tables!$B$3:$D$36,3,FALSE())*AG$1)</f>
        <v>0</v>
      </c>
      <c r="CU128" s="73">
        <f>IF(AX128="",0,VLOOKUP(L128,Tables!$B$3:$D$36,3,FALSE())*AH$1)</f>
        <v>0</v>
      </c>
      <c r="CV128" s="87">
        <f>IF(AY128="",0,VLOOKUP(M128,Tables!$B$3:$D$36,3,FALSE())*AI$1)</f>
        <v>0</v>
      </c>
      <c r="CW128" s="73">
        <f>IF(AZ128="",0,VLOOKUP(N128,Tables!$B$3:$D$36,3,FALSE())*AJ$1)</f>
        <v>0</v>
      </c>
      <c r="CX128" s="73">
        <f>IF(BA128="",0,VLOOKUP(O128,Tables!$B$3:$D$36,3,FALSE())*AK$1)</f>
        <v>0</v>
      </c>
      <c r="CY128" s="88">
        <f>IF(BB128="",0,VLOOKUP(P128,Tables!$B$3:$D$36,3,FALSE())*AL$1)</f>
        <v>0</v>
      </c>
      <c r="CZ128" s="89">
        <f t="shared" si="96"/>
        <v>1</v>
      </c>
      <c r="DA128" s="75">
        <f t="shared" si="97"/>
        <v>0</v>
      </c>
      <c r="DB128" s="75">
        <f t="shared" si="98"/>
        <v>0</v>
      </c>
      <c r="DC128" s="89">
        <f t="shared" si="99"/>
        <v>0</v>
      </c>
      <c r="DD128" s="75">
        <f t="shared" si="100"/>
        <v>0</v>
      </c>
      <c r="DE128" s="75">
        <f t="shared" si="101"/>
        <v>0</v>
      </c>
      <c r="DF128" s="75">
        <f t="shared" si="102"/>
        <v>0</v>
      </c>
      <c r="DG128" s="75">
        <f t="shared" si="103"/>
        <v>0</v>
      </c>
      <c r="DH128" s="89">
        <f t="shared" si="104"/>
        <v>0</v>
      </c>
      <c r="DI128" s="75">
        <f t="shared" si="105"/>
        <v>0</v>
      </c>
      <c r="DJ128" s="75">
        <f t="shared" si="106"/>
        <v>0</v>
      </c>
      <c r="DK128" s="89">
        <f t="shared" si="107"/>
        <v>0</v>
      </c>
      <c r="DL128" s="75">
        <f t="shared" si="108"/>
        <v>0</v>
      </c>
      <c r="DM128" s="75">
        <f t="shared" si="109"/>
        <v>0</v>
      </c>
      <c r="DN128" s="90">
        <f t="shared" si="110"/>
        <v>0</v>
      </c>
      <c r="DO128" s="91">
        <f>IF(AN128="",0,VLOOKUP(B128,Tables!$B$3:$M$36,11,FALSE())*X$1)</f>
        <v>0.8</v>
      </c>
      <c r="DP128" s="92">
        <f>IF(AO128="",0,VLOOKUP(C128,Tables!$B$3:$M$36,11,FALSE())*Y$1)</f>
        <v>0</v>
      </c>
      <c r="DQ128" s="92">
        <f>IF(AP128="",0,VLOOKUP(D128,Tables!$B$3:$M$36,11,FALSE())*Z$1)</f>
        <v>0</v>
      </c>
      <c r="DR128" s="91">
        <f>IF(AQ128="",0,VLOOKUP(E128,Tables!$B$3:$M$36,11,FALSE())*AA$1)</f>
        <v>0</v>
      </c>
      <c r="DS128" s="92">
        <f>IF(AR128="",0,VLOOKUP(F128,Tables!$B$3:$M$36,11,FALSE())*AB$1)</f>
        <v>0</v>
      </c>
      <c r="DT128" s="92">
        <f>IF(AS128="",0,VLOOKUP(G128,Tables!$B$3:$M$36,11,FALSE())*AC$1)</f>
        <v>0</v>
      </c>
      <c r="DU128" s="92">
        <f>IF(AT128="",0,VLOOKUP(H128,Tables!$B$3:$M$36,11,FALSE())*AD$1)</f>
        <v>0</v>
      </c>
      <c r="DV128" s="92">
        <f>IF(AU128="",0,VLOOKUP(I128,Tables!$B$3:$M$36,11,FALSE())*AE$1)</f>
        <v>0</v>
      </c>
      <c r="DW128" s="91">
        <f>IF(AV128="",0,VLOOKUP(J128,Tables!$B$3:$M$36,11,FALSE())*AF$1)</f>
        <v>0</v>
      </c>
      <c r="DX128" s="92">
        <f>IF(AW128="",0,VLOOKUP(K128,Tables!$B$3:$M$36,11,FALSE())*AG$1)</f>
        <v>0</v>
      </c>
      <c r="DY128" s="92">
        <f>IF(AX128="",0,VLOOKUP(L128,Tables!$B$3:$M$36,11,FALSE())*AH$1)</f>
        <v>0</v>
      </c>
      <c r="DZ128" s="91">
        <f>IF(AY128="",0,VLOOKUP(M128,Tables!$B$3:$M$36,11,FALSE())*AI$1)</f>
        <v>0</v>
      </c>
      <c r="EA128" s="92">
        <f>IF(AZ128="",0,VLOOKUP(N128,Tables!$B$3:$M$36,11,FALSE())*AJ$1)</f>
        <v>0</v>
      </c>
      <c r="EB128" s="92">
        <f>IF(BA128="",0,VLOOKUP(O128,Tables!$B$3:$M$36,11,FALSE())*AK$1)</f>
        <v>0</v>
      </c>
      <c r="EC128" s="93">
        <f>IF(BB128="",0,VLOOKUP(P128,Tables!$B$3:$M$36,11,FALSE())*AL$1)</f>
        <v>0</v>
      </c>
      <c r="ED128" s="91">
        <f>IF(AN128="",0,VLOOKUP(B128,Tables!$B$3:$M$36,12,FALSE())*X$1)</f>
        <v>12.8</v>
      </c>
      <c r="EE128" s="92">
        <f>IF(AO128="",0,VLOOKUP(C128,Tables!$B$3:$M$36,12,FALSE())*Y$1)</f>
        <v>0</v>
      </c>
      <c r="EF128" s="92">
        <f>IF(AP128="",0,VLOOKUP(D128,Tables!$B$3:$M$36,12,FALSE())*Z$1)</f>
        <v>0</v>
      </c>
      <c r="EG128" s="91">
        <f>IF(AQ128="",0,VLOOKUP(E128,Tables!$B$3:$M$36,12,FALSE())*AA$1)</f>
        <v>0</v>
      </c>
      <c r="EH128" s="92">
        <f>IF(AR128="",0,VLOOKUP(F128,Tables!$B$3:$M$36,12,FALSE())*AB$1)</f>
        <v>0</v>
      </c>
      <c r="EI128" s="92">
        <f>IF(AS128="",0,VLOOKUP(G128,Tables!$B$3:$M$36,12,FALSE())*AC$1)</f>
        <v>0</v>
      </c>
      <c r="EJ128" s="92">
        <f>IF(AT128="",0,VLOOKUP(H128,Tables!$B$3:$M$36,12,FALSE())*AD$1)</f>
        <v>0</v>
      </c>
      <c r="EK128" s="92">
        <f>IF(AU128="",0,VLOOKUP(I128,Tables!$B$3:$M$36,12,FALSE())*AE$1)</f>
        <v>0</v>
      </c>
      <c r="EL128" s="91">
        <f>IF(AV128="",0,VLOOKUP(J128,Tables!$B$3:$M$36,12,FALSE())*AF$1)</f>
        <v>0</v>
      </c>
      <c r="EM128" s="92">
        <f>IF(AW128="",0,VLOOKUP(K128,Tables!$B$3:$M$36,12,FALSE())*AG$1)</f>
        <v>0</v>
      </c>
      <c r="EN128" s="92">
        <f>IF(AX128="",0,VLOOKUP(L128,Tables!$B$3:$M$36,12,FALSE())*AH$1)</f>
        <v>0</v>
      </c>
      <c r="EO128" s="91">
        <f>IF(AY128="",0,VLOOKUP(M128,Tables!$B$3:$M$36,12,FALSE())*AI$1)</f>
        <v>0</v>
      </c>
      <c r="EP128" s="92">
        <f>IF(AZ128="",0,VLOOKUP(N128,Tables!$B$3:$M$36,12,FALSE())*AJ$1)</f>
        <v>0</v>
      </c>
      <c r="EQ128" s="92">
        <f>IF(BA128="",0,VLOOKUP(O128,Tables!$B$3:$M$36,12,FALSE())*AK$1)</f>
        <v>0</v>
      </c>
      <c r="ER128" s="93">
        <f>IF(BB128="",0,VLOOKUP(P128,Tables!$B$3:$M$36,12,FALSE())*AL$1)</f>
        <v>0</v>
      </c>
      <c r="ES128" s="94">
        <f t="shared" si="111"/>
        <v>0</v>
      </c>
      <c r="ET128" s="95">
        <f>IF(AN128="",10,MIN(VLOOKUP(B128,MATERIAL,13,FALSE()),'Item Builder'!$W128))</f>
        <v>0</v>
      </c>
      <c r="EU128" s="95">
        <f>IF(AO128="",10,MIN(VLOOKUP(C128,MATERIAL,13,FALSE()),'Item Builder'!$W128))</f>
        <v>10</v>
      </c>
      <c r="EV128" s="95">
        <f>IF(AP128="",10,MIN(VLOOKUP(D128,MATERIAL,13,FALSE()),'Item Builder'!$W128))</f>
        <v>10</v>
      </c>
      <c r="EW128" s="95">
        <f>IF(AQ128="",10,MIN(VLOOKUP(E128,MATERIAL,13,FALSE()),'Item Builder'!$W128))</f>
        <v>10</v>
      </c>
      <c r="EX128" s="95">
        <f>IF(AR128="",10,MIN(VLOOKUP(F128,MATERIAL,13,FALSE()),'Item Builder'!$W128))</f>
        <v>10</v>
      </c>
      <c r="EY128" s="95">
        <f>IF(AS128="",10,MIN(VLOOKUP(G128,MATERIAL,13,FALSE()),'Item Builder'!$W128))</f>
        <v>10</v>
      </c>
      <c r="EZ128" s="95">
        <f>IF(AT128="",10,MIN(VLOOKUP(H128,MATERIAL,13,FALSE()),'Item Builder'!$W128))</f>
        <v>10</v>
      </c>
      <c r="FA128" s="95">
        <f>IF(AU128="",10,MIN(VLOOKUP(I128,MATERIAL,13,FALSE()),'Item Builder'!$W128))</f>
        <v>10</v>
      </c>
      <c r="FB128" s="95">
        <f>IF(AV128="",10,MIN(VLOOKUP(J128,MATERIAL,13,FALSE()),'Item Builder'!$W128))</f>
        <v>10</v>
      </c>
      <c r="FC128" s="95">
        <f>IF(AW128="",10,MIN(VLOOKUP(K128,MATERIAL,13,FALSE()),'Item Builder'!$W128))</f>
        <v>10</v>
      </c>
      <c r="FD128" s="95">
        <f>IF(AX128="",10,MIN(VLOOKUP(L128,MATERIAL,13,FALSE()),'Item Builder'!$W128))</f>
        <v>10</v>
      </c>
      <c r="FE128" s="95">
        <f>IF(AY128="",10,MIN(VLOOKUP(M128,MATERIAL,13,FALSE()),'Item Builder'!$W128))</f>
        <v>10</v>
      </c>
      <c r="FF128" s="95">
        <f>IF(AZ128="",10,MIN(VLOOKUP(N128,MATERIAL,13,FALSE()),'Item Builder'!$W128))</f>
        <v>10</v>
      </c>
      <c r="FG128" s="95">
        <f>IF(BA128="",10,MIN(VLOOKUP(O128,MATERIAL,13,FALSE()),'Item Builder'!$W128))</f>
        <v>10</v>
      </c>
      <c r="FH128" s="95">
        <f>IF(BB128="",10,MIN(VLOOKUP(P128,MATERIAL,13,FALSE()),'Item Builder'!$W128))</f>
        <v>10</v>
      </c>
    </row>
    <row r="129" spans="1:164" x14ac:dyDescent="0.25">
      <c r="A129" s="67" t="s">
        <v>269</v>
      </c>
      <c r="B129" s="68" t="s">
        <v>165</v>
      </c>
      <c r="C129" s="69"/>
      <c r="D129" s="70" t="s">
        <v>165</v>
      </c>
      <c r="E129" s="68"/>
      <c r="F129" s="69"/>
      <c r="G129" s="69"/>
      <c r="H129" s="69"/>
      <c r="I129" s="70"/>
      <c r="J129" s="68"/>
      <c r="K129" s="69"/>
      <c r="L129" s="70"/>
      <c r="M129" s="68"/>
      <c r="N129" s="69"/>
      <c r="O129" s="69"/>
      <c r="P129" s="71"/>
      <c r="Q129" s="72">
        <f>SUM(BV129:CJ129)*VLOOKUP(W129,Tables!$W$3:$Z$8,4)</f>
        <v>24</v>
      </c>
      <c r="R129" s="73">
        <f t="shared" si="56"/>
        <v>0.30000000000000004</v>
      </c>
      <c r="S129" s="74">
        <f t="shared" si="57"/>
        <v>0</v>
      </c>
      <c r="T129" s="74">
        <f t="shared" si="58"/>
        <v>5</v>
      </c>
      <c r="U129" s="75">
        <f t="shared" si="59"/>
        <v>1.2000000000000002</v>
      </c>
      <c r="V129" s="76">
        <f t="shared" si="60"/>
        <v>19.200000000000003</v>
      </c>
      <c r="W129" s="77">
        <v>0</v>
      </c>
      <c r="X129" s="78">
        <f t="shared" si="61"/>
        <v>1</v>
      </c>
      <c r="Y129" s="79">
        <f t="shared" si="62"/>
        <v>0</v>
      </c>
      <c r="Z129" s="79">
        <f t="shared" si="63"/>
        <v>1</v>
      </c>
      <c r="AA129" s="78">
        <f t="shared" si="64"/>
        <v>0</v>
      </c>
      <c r="AB129" s="79">
        <f t="shared" si="65"/>
        <v>0</v>
      </c>
      <c r="AC129" s="79">
        <f t="shared" si="66"/>
        <v>0</v>
      </c>
      <c r="AD129" s="79">
        <f t="shared" si="67"/>
        <v>0</v>
      </c>
      <c r="AE129" s="79">
        <f t="shared" si="68"/>
        <v>0</v>
      </c>
      <c r="AF129" s="78">
        <f t="shared" si="69"/>
        <v>0</v>
      </c>
      <c r="AG129" s="79">
        <f t="shared" si="70"/>
        <v>0</v>
      </c>
      <c r="AH129" s="79">
        <f t="shared" si="71"/>
        <v>0</v>
      </c>
      <c r="AI129" s="78">
        <f t="shared" si="72"/>
        <v>0</v>
      </c>
      <c r="AJ129" s="79">
        <f t="shared" si="73"/>
        <v>0</v>
      </c>
      <c r="AK129" s="79">
        <f t="shared" si="74"/>
        <v>0</v>
      </c>
      <c r="AL129" s="80">
        <f t="shared" si="75"/>
        <v>0</v>
      </c>
      <c r="AM129" s="81">
        <f t="shared" si="76"/>
        <v>0.06</v>
      </c>
      <c r="AN129" s="82" t="str">
        <f t="shared" si="77"/>
        <v>C</v>
      </c>
      <c r="AO129" s="79" t="str">
        <f t="shared" si="78"/>
        <v/>
      </c>
      <c r="AP129" t="str">
        <f t="shared" si="79"/>
        <v>C</v>
      </c>
      <c r="AQ129" s="82" t="str">
        <f t="shared" si="80"/>
        <v/>
      </c>
      <c r="AR129" t="str">
        <f t="shared" si="81"/>
        <v/>
      </c>
      <c r="AS129" t="str">
        <f t="shared" si="82"/>
        <v/>
      </c>
      <c r="AT129" t="str">
        <f t="shared" si="83"/>
        <v/>
      </c>
      <c r="AU129" t="str">
        <f t="shared" si="84"/>
        <v/>
      </c>
      <c r="AV129" s="82" t="str">
        <f t="shared" si="85"/>
        <v/>
      </c>
      <c r="AW129" t="str">
        <f t="shared" si="86"/>
        <v/>
      </c>
      <c r="AX129" t="str">
        <f t="shared" si="87"/>
        <v/>
      </c>
      <c r="AY129" s="82" t="str">
        <f t="shared" si="88"/>
        <v/>
      </c>
      <c r="AZ129" t="str">
        <f t="shared" si="89"/>
        <v/>
      </c>
      <c r="BA129" t="str">
        <f t="shared" si="90"/>
        <v/>
      </c>
      <c r="BB129" s="83" t="str">
        <f t="shared" si="91"/>
        <v/>
      </c>
      <c r="BC129" s="84">
        <f t="shared" si="92"/>
        <v>0.66666666666666652</v>
      </c>
      <c r="BD129" s="84">
        <f t="shared" si="93"/>
        <v>0</v>
      </c>
      <c r="BE129" s="84">
        <f t="shared" si="94"/>
        <v>0</v>
      </c>
      <c r="BF129" s="84">
        <f t="shared" si="95"/>
        <v>0</v>
      </c>
      <c r="BG129" s="78">
        <f>IF(AN129="",0,VLOOKUP(AN129,Tables!$AB$3:$AC$12,2))</f>
        <v>1</v>
      </c>
      <c r="BH129" s="79">
        <f>IF(AO129="",0,VLOOKUP(AO129,Tables!$AB$3:$AC$12,2))</f>
        <v>0</v>
      </c>
      <c r="BI129" s="79">
        <f>IF(AP129="",0,VLOOKUP(AP129,Tables!$AB$3:$AC$12,2))</f>
        <v>1</v>
      </c>
      <c r="BJ129" s="78">
        <f>IF(AQ129="",0,VLOOKUP(AQ129,Tables!$AB$3:$AC$12,2))</f>
        <v>0</v>
      </c>
      <c r="BK129" s="79">
        <f>IF(AR129="",0,VLOOKUP(AR129,Tables!$AB$3:$AC$12,2))</f>
        <v>0</v>
      </c>
      <c r="BL129" s="79">
        <f>IF(AS129="",0,VLOOKUP(AS129,Tables!$AB$3:$AC$12,2))</f>
        <v>0</v>
      </c>
      <c r="BM129" s="79">
        <f>IF(AT129="",0,VLOOKUP(AT129,Tables!$AB$3:$AC$12,2))</f>
        <v>0</v>
      </c>
      <c r="BN129" s="79">
        <f>IF(AU129="",0,VLOOKUP(AU129,Tables!$AB$3:$AC$12,2))</f>
        <v>0</v>
      </c>
      <c r="BO129" s="78">
        <f>IF(AV129="",0,VLOOKUP(AV129,Tables!$AB$3:$AC$12,2))</f>
        <v>0</v>
      </c>
      <c r="BP129" s="79">
        <f>IF(AW129="",0,VLOOKUP(AW129,Tables!$AB$3:$AC$12,2))</f>
        <v>0</v>
      </c>
      <c r="BQ129" s="79">
        <f>IF(AX129="",0,VLOOKUP(AX129,Tables!$AB$3:$AC$12,2))</f>
        <v>0</v>
      </c>
      <c r="BR129" s="78">
        <f>IF(AY129="",0,VLOOKUP(AY129,Tables!$AB$3:$AC$12,2))</f>
        <v>0</v>
      </c>
      <c r="BS129" s="79">
        <f>IF(AZ129="",0,VLOOKUP(AZ129,Tables!$AB$3:$AC$12,2))</f>
        <v>0</v>
      </c>
      <c r="BT129" s="79">
        <f>IF(BA129="",0,VLOOKUP(BA129,Tables!$AB$3:$AC$12,2))</f>
        <v>0</v>
      </c>
      <c r="BU129" s="80">
        <f>IF(BB129="",0,VLOOKUP(BB129,Tables!$AB$3:$AC$12,2))</f>
        <v>0</v>
      </c>
      <c r="BV129" s="85">
        <f>IF(AN129="",0,VLOOKUP(B129,Tables!$B$3:$D$36,2,FALSE())*X$1)</f>
        <v>16</v>
      </c>
      <c r="BW129" s="72">
        <f>IF(AO129="",0,VLOOKUP(C129,Tables!$B$3:$D$36,2,FALSE())*Y$1)</f>
        <v>0</v>
      </c>
      <c r="BX129" s="72">
        <f>IF(AP129="",0,VLOOKUP(D129,Tables!$B$3:$D$36,2,FALSE())*Z$1)</f>
        <v>8</v>
      </c>
      <c r="BY129" s="85">
        <f>IF(AQ129="",0,VLOOKUP(E129,Tables!$B$3:$D$36,2,FALSE())*AA$1)</f>
        <v>0</v>
      </c>
      <c r="BZ129" s="72">
        <f>IF(AR129="",0,VLOOKUP(F129,Tables!$B$3:$D$36,2,FALSE())*AB$1)</f>
        <v>0</v>
      </c>
      <c r="CA129" s="72">
        <f>IF(AS129="",0,VLOOKUP(G129,Tables!$B$3:$D$36,2,FALSE())*AC$1)</f>
        <v>0</v>
      </c>
      <c r="CB129" s="72">
        <f>IF(AT129="",0,VLOOKUP(H129,Tables!$B$3:$D$36,2,FALSE())*AD$1)</f>
        <v>0</v>
      </c>
      <c r="CC129" s="72">
        <f>IF(AU129="",0,VLOOKUP(I129,Tables!$B$3:$D$36,2,FALSE())*AE$1)</f>
        <v>0</v>
      </c>
      <c r="CD129" s="85">
        <f>IF(AV129="",0,VLOOKUP(J129,Tables!$B$3:$D$36,2,FALSE())*AF$1)</f>
        <v>0</v>
      </c>
      <c r="CE129" s="72">
        <f>IF(AW129="",0,VLOOKUP(K129,Tables!$B$3:$D$36,2,FALSE())*AG$1)</f>
        <v>0</v>
      </c>
      <c r="CF129" s="72">
        <f>IF(AX129="",0,VLOOKUP(L129,Tables!$B$3:$D$36,2,FALSE())*AH$1)</f>
        <v>0</v>
      </c>
      <c r="CG129" s="85">
        <f>IF(AY129="",0,VLOOKUP(M129,Tables!$B$3:$D$36,2,FALSE())*AI$1)</f>
        <v>0</v>
      </c>
      <c r="CH129" s="72">
        <f>IF(AZ129="",0,VLOOKUP(N129,Tables!$B$3:$D$36,2,FALSE())*AJ$1)</f>
        <v>0</v>
      </c>
      <c r="CI129" s="72">
        <f>IF(BA129="",0,VLOOKUP(O129,Tables!$B$3:$D$36,2,FALSE())*AK$1)</f>
        <v>0</v>
      </c>
      <c r="CJ129" s="86">
        <f>IF(BB129="",0,VLOOKUP(P129,Tables!$B$3:$D$36,2,FALSE())*AL$1)</f>
        <v>0</v>
      </c>
      <c r="CK129" s="87">
        <f>IF(AN129="",0,VLOOKUP(B129,Tables!$B$3:$D$36,3,FALSE())*X$1)*IF(OR(AN129="K",AN129="P"),2,1)</f>
        <v>0.2</v>
      </c>
      <c r="CL129" s="73">
        <f>IF(AO129="",0,VLOOKUP(C129,Tables!$B$3:$D$36,3,FALSE())*Y$1)*IF(OR(AO129="K",AO129="P"),2,1)</f>
        <v>0</v>
      </c>
      <c r="CM129" s="73">
        <f>IF(AP129="",0,VLOOKUP(D129,Tables!$B$3:$D$36,3,FALSE())*Z$1)*IF(OR(AP129="K",AP129="P"),2,1)</f>
        <v>0.1</v>
      </c>
      <c r="CN129" s="87">
        <f>IF(AQ129="",0,VLOOKUP(E129,Tables!$B$3:$D$36,3,FALSE())*AA$1)</f>
        <v>0</v>
      </c>
      <c r="CO129" s="73">
        <f>IF(AR129="",0,VLOOKUP(F129,Tables!$B$3:$D$36,3,FALSE())*AB$1)</f>
        <v>0</v>
      </c>
      <c r="CP129" s="73">
        <f>IF(AS129="",0,VLOOKUP(G129,Tables!$B$3:$D$36,3,FALSE())*AC$1)</f>
        <v>0</v>
      </c>
      <c r="CQ129" s="73">
        <f>IF(AT129="",0,VLOOKUP(H129,Tables!$B$3:$D$36,3,FALSE())*AD$1)</f>
        <v>0</v>
      </c>
      <c r="CR129" s="73">
        <f>IF(AU129="",0,VLOOKUP(I129,Tables!$B$3:$D$36,3,FALSE())*AE$1)</f>
        <v>0</v>
      </c>
      <c r="CS129" s="87">
        <f>IF(AV129="",0,VLOOKUP(J129,Tables!$B$3:$D$36,3,FALSE())*AF$1)</f>
        <v>0</v>
      </c>
      <c r="CT129" s="73">
        <f>IF(AW129="",0,VLOOKUP(K129,Tables!$B$3:$D$36,3,FALSE())*AG$1)</f>
        <v>0</v>
      </c>
      <c r="CU129" s="73">
        <f>IF(AX129="",0,VLOOKUP(L129,Tables!$B$3:$D$36,3,FALSE())*AH$1)</f>
        <v>0</v>
      </c>
      <c r="CV129" s="87">
        <f>IF(AY129="",0,VLOOKUP(M129,Tables!$B$3:$D$36,3,FALSE())*AI$1)</f>
        <v>0</v>
      </c>
      <c r="CW129" s="73">
        <f>IF(AZ129="",0,VLOOKUP(N129,Tables!$B$3:$D$36,3,FALSE())*AJ$1)</f>
        <v>0</v>
      </c>
      <c r="CX129" s="73">
        <f>IF(BA129="",0,VLOOKUP(O129,Tables!$B$3:$D$36,3,FALSE())*AK$1)</f>
        <v>0</v>
      </c>
      <c r="CY129" s="88">
        <f>IF(BB129="",0,VLOOKUP(P129,Tables!$B$3:$D$36,3,FALSE())*AL$1)</f>
        <v>0</v>
      </c>
      <c r="CZ129" s="89">
        <f t="shared" si="96"/>
        <v>1</v>
      </c>
      <c r="DA129" s="75">
        <f t="shared" si="97"/>
        <v>0</v>
      </c>
      <c r="DB129" s="75">
        <f t="shared" si="98"/>
        <v>1</v>
      </c>
      <c r="DC129" s="89">
        <f t="shared" si="99"/>
        <v>0</v>
      </c>
      <c r="DD129" s="75">
        <f t="shared" si="100"/>
        <v>0</v>
      </c>
      <c r="DE129" s="75">
        <f t="shared" si="101"/>
        <v>0</v>
      </c>
      <c r="DF129" s="75">
        <f t="shared" si="102"/>
        <v>0</v>
      </c>
      <c r="DG129" s="75">
        <f t="shared" si="103"/>
        <v>0</v>
      </c>
      <c r="DH129" s="89">
        <f t="shared" si="104"/>
        <v>0</v>
      </c>
      <c r="DI129" s="75">
        <f t="shared" si="105"/>
        <v>0</v>
      </c>
      <c r="DJ129" s="75">
        <f t="shared" si="106"/>
        <v>0</v>
      </c>
      <c r="DK129" s="89">
        <f t="shared" si="107"/>
        <v>0</v>
      </c>
      <c r="DL129" s="75">
        <f t="shared" si="108"/>
        <v>0</v>
      </c>
      <c r="DM129" s="75">
        <f t="shared" si="109"/>
        <v>0</v>
      </c>
      <c r="DN129" s="90">
        <f t="shared" si="110"/>
        <v>0</v>
      </c>
      <c r="DO129" s="91">
        <f>IF(AN129="",0,VLOOKUP(B129,Tables!$B$3:$M$36,11,FALSE())*X$1)</f>
        <v>0.8</v>
      </c>
      <c r="DP129" s="92">
        <f>IF(AO129="",0,VLOOKUP(C129,Tables!$B$3:$M$36,11,FALSE())*Y$1)</f>
        <v>0</v>
      </c>
      <c r="DQ129" s="92">
        <f>IF(AP129="",0,VLOOKUP(D129,Tables!$B$3:$M$36,11,FALSE())*Z$1)</f>
        <v>0.4</v>
      </c>
      <c r="DR129" s="91">
        <f>IF(AQ129="",0,VLOOKUP(E129,Tables!$B$3:$M$36,11,FALSE())*AA$1)</f>
        <v>0</v>
      </c>
      <c r="DS129" s="92">
        <f>IF(AR129="",0,VLOOKUP(F129,Tables!$B$3:$M$36,11,FALSE())*AB$1)</f>
        <v>0</v>
      </c>
      <c r="DT129" s="92">
        <f>IF(AS129="",0,VLOOKUP(G129,Tables!$B$3:$M$36,11,FALSE())*AC$1)</f>
        <v>0</v>
      </c>
      <c r="DU129" s="92">
        <f>IF(AT129="",0,VLOOKUP(H129,Tables!$B$3:$M$36,11,FALSE())*AD$1)</f>
        <v>0</v>
      </c>
      <c r="DV129" s="92">
        <f>IF(AU129="",0,VLOOKUP(I129,Tables!$B$3:$M$36,11,FALSE())*AE$1)</f>
        <v>0</v>
      </c>
      <c r="DW129" s="91">
        <f>IF(AV129="",0,VLOOKUP(J129,Tables!$B$3:$M$36,11,FALSE())*AF$1)</f>
        <v>0</v>
      </c>
      <c r="DX129" s="92">
        <f>IF(AW129="",0,VLOOKUP(K129,Tables!$B$3:$M$36,11,FALSE())*AG$1)</f>
        <v>0</v>
      </c>
      <c r="DY129" s="92">
        <f>IF(AX129="",0,VLOOKUP(L129,Tables!$B$3:$M$36,11,FALSE())*AH$1)</f>
        <v>0</v>
      </c>
      <c r="DZ129" s="91">
        <f>IF(AY129="",0,VLOOKUP(M129,Tables!$B$3:$M$36,11,FALSE())*AI$1)</f>
        <v>0</v>
      </c>
      <c r="EA129" s="92">
        <f>IF(AZ129="",0,VLOOKUP(N129,Tables!$B$3:$M$36,11,FALSE())*AJ$1)</f>
        <v>0</v>
      </c>
      <c r="EB129" s="92">
        <f>IF(BA129="",0,VLOOKUP(O129,Tables!$B$3:$M$36,11,FALSE())*AK$1)</f>
        <v>0</v>
      </c>
      <c r="EC129" s="93">
        <f>IF(BB129="",0,VLOOKUP(P129,Tables!$B$3:$M$36,11,FALSE())*AL$1)</f>
        <v>0</v>
      </c>
      <c r="ED129" s="91">
        <f>IF(AN129="",0,VLOOKUP(B129,Tables!$B$3:$M$36,12,FALSE())*X$1)</f>
        <v>12.8</v>
      </c>
      <c r="EE129" s="92">
        <f>IF(AO129="",0,VLOOKUP(C129,Tables!$B$3:$M$36,12,FALSE())*Y$1)</f>
        <v>0</v>
      </c>
      <c r="EF129" s="92">
        <f>IF(AP129="",0,VLOOKUP(D129,Tables!$B$3:$M$36,12,FALSE())*Z$1)</f>
        <v>6.4</v>
      </c>
      <c r="EG129" s="91">
        <f>IF(AQ129="",0,VLOOKUP(E129,Tables!$B$3:$M$36,12,FALSE())*AA$1)</f>
        <v>0</v>
      </c>
      <c r="EH129" s="92">
        <f>IF(AR129="",0,VLOOKUP(F129,Tables!$B$3:$M$36,12,FALSE())*AB$1)</f>
        <v>0</v>
      </c>
      <c r="EI129" s="92">
        <f>IF(AS129="",0,VLOOKUP(G129,Tables!$B$3:$M$36,12,FALSE())*AC$1)</f>
        <v>0</v>
      </c>
      <c r="EJ129" s="92">
        <f>IF(AT129="",0,VLOOKUP(H129,Tables!$B$3:$M$36,12,FALSE())*AD$1)</f>
        <v>0</v>
      </c>
      <c r="EK129" s="92">
        <f>IF(AU129="",0,VLOOKUP(I129,Tables!$B$3:$M$36,12,FALSE())*AE$1)</f>
        <v>0</v>
      </c>
      <c r="EL129" s="91">
        <f>IF(AV129="",0,VLOOKUP(J129,Tables!$B$3:$M$36,12,FALSE())*AF$1)</f>
        <v>0</v>
      </c>
      <c r="EM129" s="92">
        <f>IF(AW129="",0,VLOOKUP(K129,Tables!$B$3:$M$36,12,FALSE())*AG$1)</f>
        <v>0</v>
      </c>
      <c r="EN129" s="92">
        <f>IF(AX129="",0,VLOOKUP(L129,Tables!$B$3:$M$36,12,FALSE())*AH$1)</f>
        <v>0</v>
      </c>
      <c r="EO129" s="91">
        <f>IF(AY129="",0,VLOOKUP(M129,Tables!$B$3:$M$36,12,FALSE())*AI$1)</f>
        <v>0</v>
      </c>
      <c r="EP129" s="92">
        <f>IF(AZ129="",0,VLOOKUP(N129,Tables!$B$3:$M$36,12,FALSE())*AJ$1)</f>
        <v>0</v>
      </c>
      <c r="EQ129" s="92">
        <f>IF(BA129="",0,VLOOKUP(O129,Tables!$B$3:$M$36,12,FALSE())*AK$1)</f>
        <v>0</v>
      </c>
      <c r="ER129" s="93">
        <f>IF(BB129="",0,VLOOKUP(P129,Tables!$B$3:$M$36,12,FALSE())*AL$1)</f>
        <v>0</v>
      </c>
      <c r="ES129" s="94">
        <f t="shared" si="111"/>
        <v>0</v>
      </c>
      <c r="ET129" s="95">
        <f>IF(AN129="",10,MIN(VLOOKUP(B129,MATERIAL,13,FALSE()),'Item Builder'!$W129))</f>
        <v>0</v>
      </c>
      <c r="EU129" s="95">
        <f>IF(AO129="",10,MIN(VLOOKUP(C129,MATERIAL,13,FALSE()),'Item Builder'!$W129))</f>
        <v>10</v>
      </c>
      <c r="EV129" s="95">
        <f>IF(AP129="",10,MIN(VLOOKUP(D129,MATERIAL,13,FALSE()),'Item Builder'!$W129))</f>
        <v>0</v>
      </c>
      <c r="EW129" s="95">
        <f>IF(AQ129="",10,MIN(VLOOKUP(E129,MATERIAL,13,FALSE()),'Item Builder'!$W129))</f>
        <v>10</v>
      </c>
      <c r="EX129" s="95">
        <f>IF(AR129="",10,MIN(VLOOKUP(F129,MATERIAL,13,FALSE()),'Item Builder'!$W129))</f>
        <v>10</v>
      </c>
      <c r="EY129" s="95">
        <f>IF(AS129="",10,MIN(VLOOKUP(G129,MATERIAL,13,FALSE()),'Item Builder'!$W129))</f>
        <v>10</v>
      </c>
      <c r="EZ129" s="95">
        <f>IF(AT129="",10,MIN(VLOOKUP(H129,MATERIAL,13,FALSE()),'Item Builder'!$W129))</f>
        <v>10</v>
      </c>
      <c r="FA129" s="95">
        <f>IF(AU129="",10,MIN(VLOOKUP(I129,MATERIAL,13,FALSE()),'Item Builder'!$W129))</f>
        <v>10</v>
      </c>
      <c r="FB129" s="95">
        <f>IF(AV129="",10,MIN(VLOOKUP(J129,MATERIAL,13,FALSE()),'Item Builder'!$W129))</f>
        <v>10</v>
      </c>
      <c r="FC129" s="95">
        <f>IF(AW129="",10,MIN(VLOOKUP(K129,MATERIAL,13,FALSE()),'Item Builder'!$W129))</f>
        <v>10</v>
      </c>
      <c r="FD129" s="95">
        <f>IF(AX129="",10,MIN(VLOOKUP(L129,MATERIAL,13,FALSE()),'Item Builder'!$W129))</f>
        <v>10</v>
      </c>
      <c r="FE129" s="95">
        <f>IF(AY129="",10,MIN(VLOOKUP(M129,MATERIAL,13,FALSE()),'Item Builder'!$W129))</f>
        <v>10</v>
      </c>
      <c r="FF129" s="95">
        <f>IF(AZ129="",10,MIN(VLOOKUP(N129,MATERIAL,13,FALSE()),'Item Builder'!$W129))</f>
        <v>10</v>
      </c>
      <c r="FG129" s="95">
        <f>IF(BA129="",10,MIN(VLOOKUP(O129,MATERIAL,13,FALSE()),'Item Builder'!$W129))</f>
        <v>10</v>
      </c>
      <c r="FH129" s="95">
        <f>IF(BB129="",10,MIN(VLOOKUP(P129,MATERIAL,13,FALSE()),'Item Builder'!$W129))</f>
        <v>10</v>
      </c>
    </row>
    <row r="130" spans="1:164" x14ac:dyDescent="0.25">
      <c r="A130" s="67" t="s">
        <v>270</v>
      </c>
      <c r="B130" s="68"/>
      <c r="C130" s="69"/>
      <c r="D130" s="70"/>
      <c r="E130" s="68" t="s">
        <v>165</v>
      </c>
      <c r="F130" s="69" t="s">
        <v>165</v>
      </c>
      <c r="G130" s="69"/>
      <c r="H130" s="69"/>
      <c r="I130" s="70"/>
      <c r="J130" s="68" t="s">
        <v>165</v>
      </c>
      <c r="K130" s="69"/>
      <c r="L130" s="70"/>
      <c r="M130" s="68"/>
      <c r="N130" s="69"/>
      <c r="O130" s="69"/>
      <c r="P130" s="71"/>
      <c r="Q130" s="72">
        <f>SUM(BV130:CJ130)*VLOOKUP(W130,Tables!$W$3:$Z$8,4)</f>
        <v>84</v>
      </c>
      <c r="R130" s="73">
        <f t="shared" si="56"/>
        <v>1.0499999999999998</v>
      </c>
      <c r="S130" s="74">
        <f t="shared" si="57"/>
        <v>0</v>
      </c>
      <c r="T130" s="74">
        <f t="shared" si="58"/>
        <v>0</v>
      </c>
      <c r="U130" s="75">
        <f t="shared" si="59"/>
        <v>4.1999999999999993</v>
      </c>
      <c r="V130" s="76">
        <f t="shared" si="60"/>
        <v>67.199999999999989</v>
      </c>
      <c r="W130" s="77">
        <v>0</v>
      </c>
      <c r="X130" s="78">
        <f t="shared" si="61"/>
        <v>0</v>
      </c>
      <c r="Y130" s="79">
        <f t="shared" si="62"/>
        <v>0</v>
      </c>
      <c r="Z130" s="79">
        <f t="shared" si="63"/>
        <v>0</v>
      </c>
      <c r="AA130" s="78">
        <f t="shared" si="64"/>
        <v>1</v>
      </c>
      <c r="AB130" s="79">
        <f t="shared" si="65"/>
        <v>1</v>
      </c>
      <c r="AC130" s="79">
        <f t="shared" si="66"/>
        <v>0</v>
      </c>
      <c r="AD130" s="79">
        <f t="shared" si="67"/>
        <v>0</v>
      </c>
      <c r="AE130" s="79">
        <f t="shared" si="68"/>
        <v>0</v>
      </c>
      <c r="AF130" s="78">
        <f t="shared" si="69"/>
        <v>1</v>
      </c>
      <c r="AG130" s="79">
        <f t="shared" si="70"/>
        <v>0</v>
      </c>
      <c r="AH130" s="79">
        <f t="shared" si="71"/>
        <v>0</v>
      </c>
      <c r="AI130" s="78">
        <f t="shared" si="72"/>
        <v>0</v>
      </c>
      <c r="AJ130" s="79">
        <f t="shared" si="73"/>
        <v>0</v>
      </c>
      <c r="AK130" s="79">
        <f t="shared" si="74"/>
        <v>0</v>
      </c>
      <c r="AL130" s="80">
        <f t="shared" si="75"/>
        <v>0</v>
      </c>
      <c r="AM130" s="81">
        <f t="shared" si="76"/>
        <v>0.21</v>
      </c>
      <c r="AN130" s="82" t="str">
        <f t="shared" si="77"/>
        <v/>
      </c>
      <c r="AO130" s="79" t="str">
        <f t="shared" si="78"/>
        <v/>
      </c>
      <c r="AP130" t="str">
        <f t="shared" si="79"/>
        <v/>
      </c>
      <c r="AQ130" s="82" t="str">
        <f t="shared" si="80"/>
        <v>C</v>
      </c>
      <c r="AR130" t="str">
        <f t="shared" si="81"/>
        <v>C</v>
      </c>
      <c r="AS130" t="str">
        <f t="shared" si="82"/>
        <v/>
      </c>
      <c r="AT130" t="str">
        <f t="shared" si="83"/>
        <v/>
      </c>
      <c r="AU130" t="str">
        <f t="shared" si="84"/>
        <v/>
      </c>
      <c r="AV130" s="82" t="str">
        <f t="shared" si="85"/>
        <v>C</v>
      </c>
      <c r="AW130" t="str">
        <f t="shared" si="86"/>
        <v/>
      </c>
      <c r="AX130" t="str">
        <f t="shared" si="87"/>
        <v/>
      </c>
      <c r="AY130" s="82" t="str">
        <f t="shared" si="88"/>
        <v/>
      </c>
      <c r="AZ130" t="str">
        <f t="shared" si="89"/>
        <v/>
      </c>
      <c r="BA130" t="str">
        <f t="shared" si="90"/>
        <v/>
      </c>
      <c r="BB130" s="83" t="str">
        <f t="shared" si="91"/>
        <v/>
      </c>
      <c r="BC130" s="84">
        <f t="shared" si="92"/>
        <v>0</v>
      </c>
      <c r="BD130" s="84">
        <f t="shared" si="93"/>
        <v>0.42857142857142849</v>
      </c>
      <c r="BE130" s="84">
        <f t="shared" si="94"/>
        <v>0.35294117647058826</v>
      </c>
      <c r="BF130" s="84">
        <f t="shared" si="95"/>
        <v>0</v>
      </c>
      <c r="BG130" s="78">
        <f>IF(AN130="",0,VLOOKUP(AN130,Tables!$AB$3:$AC$12,2))</f>
        <v>0</v>
      </c>
      <c r="BH130" s="79">
        <f>IF(AO130="",0,VLOOKUP(AO130,Tables!$AB$3:$AC$12,2))</f>
        <v>0</v>
      </c>
      <c r="BI130" s="79">
        <f>IF(AP130="",0,VLOOKUP(AP130,Tables!$AB$3:$AC$12,2))</f>
        <v>0</v>
      </c>
      <c r="BJ130" s="78">
        <f>IF(AQ130="",0,VLOOKUP(AQ130,Tables!$AB$3:$AC$12,2))</f>
        <v>1</v>
      </c>
      <c r="BK130" s="79">
        <f>IF(AR130="",0,VLOOKUP(AR130,Tables!$AB$3:$AC$12,2))</f>
        <v>1</v>
      </c>
      <c r="BL130" s="79">
        <f>IF(AS130="",0,VLOOKUP(AS130,Tables!$AB$3:$AC$12,2))</f>
        <v>0</v>
      </c>
      <c r="BM130" s="79">
        <f>IF(AT130="",0,VLOOKUP(AT130,Tables!$AB$3:$AC$12,2))</f>
        <v>0</v>
      </c>
      <c r="BN130" s="79">
        <f>IF(AU130="",0,VLOOKUP(AU130,Tables!$AB$3:$AC$12,2))</f>
        <v>0</v>
      </c>
      <c r="BO130" s="78">
        <f>IF(AV130="",0,VLOOKUP(AV130,Tables!$AB$3:$AC$12,2))</f>
        <v>1</v>
      </c>
      <c r="BP130" s="79">
        <f>IF(AW130="",0,VLOOKUP(AW130,Tables!$AB$3:$AC$12,2))</f>
        <v>0</v>
      </c>
      <c r="BQ130" s="79">
        <f>IF(AX130="",0,VLOOKUP(AX130,Tables!$AB$3:$AC$12,2))</f>
        <v>0</v>
      </c>
      <c r="BR130" s="78">
        <f>IF(AY130="",0,VLOOKUP(AY130,Tables!$AB$3:$AC$12,2))</f>
        <v>0</v>
      </c>
      <c r="BS130" s="79">
        <f>IF(AZ130="",0,VLOOKUP(AZ130,Tables!$AB$3:$AC$12,2))</f>
        <v>0</v>
      </c>
      <c r="BT130" s="79">
        <f>IF(BA130="",0,VLOOKUP(BA130,Tables!$AB$3:$AC$12,2))</f>
        <v>0</v>
      </c>
      <c r="BU130" s="80">
        <f>IF(BB130="",0,VLOOKUP(BB130,Tables!$AB$3:$AC$12,2))</f>
        <v>0</v>
      </c>
      <c r="BV130" s="85">
        <f>IF(AN130="",0,VLOOKUP(B130,Tables!$B$3:$D$36,2,FALSE())*X$1)</f>
        <v>0</v>
      </c>
      <c r="BW130" s="72">
        <f>IF(AO130="",0,VLOOKUP(C130,Tables!$B$3:$D$36,2,FALSE())*Y$1)</f>
        <v>0</v>
      </c>
      <c r="BX130" s="72">
        <f>IF(AP130="",0,VLOOKUP(D130,Tables!$B$3:$D$36,2,FALSE())*Z$1)</f>
        <v>0</v>
      </c>
      <c r="BY130" s="85">
        <f>IF(AQ130="",0,VLOOKUP(E130,Tables!$B$3:$D$36,2,FALSE())*AA$1)</f>
        <v>12</v>
      </c>
      <c r="BZ130" s="72">
        <f>IF(AR130="",0,VLOOKUP(F130,Tables!$B$3:$D$36,2,FALSE())*AB$1)</f>
        <v>24</v>
      </c>
      <c r="CA130" s="72">
        <f>IF(AS130="",0,VLOOKUP(G130,Tables!$B$3:$D$36,2,FALSE())*AC$1)</f>
        <v>0</v>
      </c>
      <c r="CB130" s="72">
        <f>IF(AT130="",0,VLOOKUP(H130,Tables!$B$3:$D$36,2,FALSE())*AD$1)</f>
        <v>0</v>
      </c>
      <c r="CC130" s="72">
        <f>IF(AU130="",0,VLOOKUP(I130,Tables!$B$3:$D$36,2,FALSE())*AE$1)</f>
        <v>0</v>
      </c>
      <c r="CD130" s="85">
        <f>IF(AV130="",0,VLOOKUP(J130,Tables!$B$3:$D$36,2,FALSE())*AF$1)</f>
        <v>48</v>
      </c>
      <c r="CE130" s="72">
        <f>IF(AW130="",0,VLOOKUP(K130,Tables!$B$3:$D$36,2,FALSE())*AG$1)</f>
        <v>0</v>
      </c>
      <c r="CF130" s="72">
        <f>IF(AX130="",0,VLOOKUP(L130,Tables!$B$3:$D$36,2,FALSE())*AH$1)</f>
        <v>0</v>
      </c>
      <c r="CG130" s="85">
        <f>IF(AY130="",0,VLOOKUP(M130,Tables!$B$3:$D$36,2,FALSE())*AI$1)</f>
        <v>0</v>
      </c>
      <c r="CH130" s="72">
        <f>IF(AZ130="",0,VLOOKUP(N130,Tables!$B$3:$D$36,2,FALSE())*AJ$1)</f>
        <v>0</v>
      </c>
      <c r="CI130" s="72">
        <f>IF(BA130="",0,VLOOKUP(O130,Tables!$B$3:$D$36,2,FALSE())*AK$1)</f>
        <v>0</v>
      </c>
      <c r="CJ130" s="86">
        <f>IF(BB130="",0,VLOOKUP(P130,Tables!$B$3:$D$36,2,FALSE())*AL$1)</f>
        <v>0</v>
      </c>
      <c r="CK130" s="87">
        <f>IF(AN130="",0,VLOOKUP(B130,Tables!$B$3:$D$36,3,FALSE())*X$1)*IF(OR(AN130="K",AN130="P"),2,1)</f>
        <v>0</v>
      </c>
      <c r="CL130" s="73">
        <f>IF(AO130="",0,VLOOKUP(C130,Tables!$B$3:$D$36,3,FALSE())*Y$1)*IF(OR(AO130="K",AO130="P"),2,1)</f>
        <v>0</v>
      </c>
      <c r="CM130" s="73">
        <f>IF(AP130="",0,VLOOKUP(D130,Tables!$B$3:$D$36,3,FALSE())*Z$1)*IF(OR(AP130="K",AP130="P"),2,1)</f>
        <v>0</v>
      </c>
      <c r="CN130" s="87">
        <f>IF(AQ130="",0,VLOOKUP(E130,Tables!$B$3:$D$36,3,FALSE())*AA$1)</f>
        <v>0.15</v>
      </c>
      <c r="CO130" s="73">
        <f>IF(AR130="",0,VLOOKUP(F130,Tables!$B$3:$D$36,3,FALSE())*AB$1)</f>
        <v>0.3</v>
      </c>
      <c r="CP130" s="73">
        <f>IF(AS130="",0,VLOOKUP(G130,Tables!$B$3:$D$36,3,FALSE())*AC$1)</f>
        <v>0</v>
      </c>
      <c r="CQ130" s="73">
        <f>IF(AT130="",0,VLOOKUP(H130,Tables!$B$3:$D$36,3,FALSE())*AD$1)</f>
        <v>0</v>
      </c>
      <c r="CR130" s="73">
        <f>IF(AU130="",0,VLOOKUP(I130,Tables!$B$3:$D$36,3,FALSE())*AE$1)</f>
        <v>0</v>
      </c>
      <c r="CS130" s="87">
        <f>IF(AV130="",0,VLOOKUP(J130,Tables!$B$3:$D$36,3,FALSE())*AF$1)</f>
        <v>0.6</v>
      </c>
      <c r="CT130" s="73">
        <f>IF(AW130="",0,VLOOKUP(K130,Tables!$B$3:$D$36,3,FALSE())*AG$1)</f>
        <v>0</v>
      </c>
      <c r="CU130" s="73">
        <f>IF(AX130="",0,VLOOKUP(L130,Tables!$B$3:$D$36,3,FALSE())*AH$1)</f>
        <v>0</v>
      </c>
      <c r="CV130" s="87">
        <f>IF(AY130="",0,VLOOKUP(M130,Tables!$B$3:$D$36,3,FALSE())*AI$1)</f>
        <v>0</v>
      </c>
      <c r="CW130" s="73">
        <f>IF(AZ130="",0,VLOOKUP(N130,Tables!$B$3:$D$36,3,FALSE())*AJ$1)</f>
        <v>0</v>
      </c>
      <c r="CX130" s="73">
        <f>IF(BA130="",0,VLOOKUP(O130,Tables!$B$3:$D$36,3,FALSE())*AK$1)</f>
        <v>0</v>
      </c>
      <c r="CY130" s="88">
        <f>IF(BB130="",0,VLOOKUP(P130,Tables!$B$3:$D$36,3,FALSE())*AL$1)</f>
        <v>0</v>
      </c>
      <c r="CZ130" s="89">
        <f t="shared" si="96"/>
        <v>0</v>
      </c>
      <c r="DA130" s="75">
        <f t="shared" si="97"/>
        <v>0</v>
      </c>
      <c r="DB130" s="75">
        <f t="shared" si="98"/>
        <v>0</v>
      </c>
      <c r="DC130" s="89">
        <f t="shared" si="99"/>
        <v>1</v>
      </c>
      <c r="DD130" s="75">
        <f t="shared" si="100"/>
        <v>1</v>
      </c>
      <c r="DE130" s="75">
        <f t="shared" si="101"/>
        <v>0</v>
      </c>
      <c r="DF130" s="75">
        <f t="shared" si="102"/>
        <v>0</v>
      </c>
      <c r="DG130" s="75">
        <f t="shared" si="103"/>
        <v>0</v>
      </c>
      <c r="DH130" s="89">
        <f t="shared" si="104"/>
        <v>1</v>
      </c>
      <c r="DI130" s="75">
        <f t="shared" si="105"/>
        <v>0</v>
      </c>
      <c r="DJ130" s="75">
        <f t="shared" si="106"/>
        <v>0</v>
      </c>
      <c r="DK130" s="89">
        <f t="shared" si="107"/>
        <v>0</v>
      </c>
      <c r="DL130" s="75">
        <f t="shared" si="108"/>
        <v>0</v>
      </c>
      <c r="DM130" s="75">
        <f t="shared" si="109"/>
        <v>0</v>
      </c>
      <c r="DN130" s="90">
        <f t="shared" si="110"/>
        <v>0</v>
      </c>
      <c r="DO130" s="91">
        <f>IF(AN130="",0,VLOOKUP(B130,Tables!$B$3:$M$36,11,FALSE())*X$1)</f>
        <v>0</v>
      </c>
      <c r="DP130" s="92">
        <f>IF(AO130="",0,VLOOKUP(C130,Tables!$B$3:$M$36,11,FALSE())*Y$1)</f>
        <v>0</v>
      </c>
      <c r="DQ130" s="92">
        <f>IF(AP130="",0,VLOOKUP(D130,Tables!$B$3:$M$36,11,FALSE())*Z$1)</f>
        <v>0</v>
      </c>
      <c r="DR130" s="91">
        <f>IF(AQ130="",0,VLOOKUP(E130,Tables!$B$3:$M$36,11,FALSE())*AA$1)</f>
        <v>0.6</v>
      </c>
      <c r="DS130" s="92">
        <f>IF(AR130="",0,VLOOKUP(F130,Tables!$B$3:$M$36,11,FALSE())*AB$1)</f>
        <v>1.2</v>
      </c>
      <c r="DT130" s="92">
        <f>IF(AS130="",0,VLOOKUP(G130,Tables!$B$3:$M$36,11,FALSE())*AC$1)</f>
        <v>0</v>
      </c>
      <c r="DU130" s="92">
        <f>IF(AT130="",0,VLOOKUP(H130,Tables!$B$3:$M$36,11,FALSE())*AD$1)</f>
        <v>0</v>
      </c>
      <c r="DV130" s="92">
        <f>IF(AU130="",0,VLOOKUP(I130,Tables!$B$3:$M$36,11,FALSE())*AE$1)</f>
        <v>0</v>
      </c>
      <c r="DW130" s="91">
        <f>IF(AV130="",0,VLOOKUP(J130,Tables!$B$3:$M$36,11,FALSE())*AF$1)</f>
        <v>2.4</v>
      </c>
      <c r="DX130" s="92">
        <f>IF(AW130="",0,VLOOKUP(K130,Tables!$B$3:$M$36,11,FALSE())*AG$1)</f>
        <v>0</v>
      </c>
      <c r="DY130" s="92">
        <f>IF(AX130="",0,VLOOKUP(L130,Tables!$B$3:$M$36,11,FALSE())*AH$1)</f>
        <v>0</v>
      </c>
      <c r="DZ130" s="91">
        <f>IF(AY130="",0,VLOOKUP(M130,Tables!$B$3:$M$36,11,FALSE())*AI$1)</f>
        <v>0</v>
      </c>
      <c r="EA130" s="92">
        <f>IF(AZ130="",0,VLOOKUP(N130,Tables!$B$3:$M$36,11,FALSE())*AJ$1)</f>
        <v>0</v>
      </c>
      <c r="EB130" s="92">
        <f>IF(BA130="",0,VLOOKUP(O130,Tables!$B$3:$M$36,11,FALSE())*AK$1)</f>
        <v>0</v>
      </c>
      <c r="EC130" s="93">
        <f>IF(BB130="",0,VLOOKUP(P130,Tables!$B$3:$M$36,11,FALSE())*AL$1)</f>
        <v>0</v>
      </c>
      <c r="ED130" s="91">
        <f>IF(AN130="",0,VLOOKUP(B130,Tables!$B$3:$M$36,12,FALSE())*X$1)</f>
        <v>0</v>
      </c>
      <c r="EE130" s="92">
        <f>IF(AO130="",0,VLOOKUP(C130,Tables!$B$3:$M$36,12,FALSE())*Y$1)</f>
        <v>0</v>
      </c>
      <c r="EF130" s="92">
        <f>IF(AP130="",0,VLOOKUP(D130,Tables!$B$3:$M$36,12,FALSE())*Z$1)</f>
        <v>0</v>
      </c>
      <c r="EG130" s="91">
        <f>IF(AQ130="",0,VLOOKUP(E130,Tables!$B$3:$M$36,12,FALSE())*AA$1)</f>
        <v>9.6</v>
      </c>
      <c r="EH130" s="92">
        <f>IF(AR130="",0,VLOOKUP(F130,Tables!$B$3:$M$36,12,FALSE())*AB$1)</f>
        <v>19.2</v>
      </c>
      <c r="EI130" s="92">
        <f>IF(AS130="",0,VLOOKUP(G130,Tables!$B$3:$M$36,12,FALSE())*AC$1)</f>
        <v>0</v>
      </c>
      <c r="EJ130" s="92">
        <f>IF(AT130="",0,VLOOKUP(H130,Tables!$B$3:$M$36,12,FALSE())*AD$1)</f>
        <v>0</v>
      </c>
      <c r="EK130" s="92">
        <f>IF(AU130="",0,VLOOKUP(I130,Tables!$B$3:$M$36,12,FALSE())*AE$1)</f>
        <v>0</v>
      </c>
      <c r="EL130" s="91">
        <f>IF(AV130="",0,VLOOKUP(J130,Tables!$B$3:$M$36,12,FALSE())*AF$1)</f>
        <v>38.4</v>
      </c>
      <c r="EM130" s="92">
        <f>IF(AW130="",0,VLOOKUP(K130,Tables!$B$3:$M$36,12,FALSE())*AG$1)</f>
        <v>0</v>
      </c>
      <c r="EN130" s="92">
        <f>IF(AX130="",0,VLOOKUP(L130,Tables!$B$3:$M$36,12,FALSE())*AH$1)</f>
        <v>0</v>
      </c>
      <c r="EO130" s="91">
        <f>IF(AY130="",0,VLOOKUP(M130,Tables!$B$3:$M$36,12,FALSE())*AI$1)</f>
        <v>0</v>
      </c>
      <c r="EP130" s="92">
        <f>IF(AZ130="",0,VLOOKUP(N130,Tables!$B$3:$M$36,12,FALSE())*AJ$1)</f>
        <v>0</v>
      </c>
      <c r="EQ130" s="92">
        <f>IF(BA130="",0,VLOOKUP(O130,Tables!$B$3:$M$36,12,FALSE())*AK$1)</f>
        <v>0</v>
      </c>
      <c r="ER130" s="93">
        <f>IF(BB130="",0,VLOOKUP(P130,Tables!$B$3:$M$36,12,FALSE())*AL$1)</f>
        <v>0</v>
      </c>
      <c r="ES130" s="94">
        <f t="shared" si="111"/>
        <v>0</v>
      </c>
      <c r="ET130" s="95">
        <f>IF(AN130="",10,MIN(VLOOKUP(B130,MATERIAL,13,FALSE()),'Item Builder'!$W130))</f>
        <v>10</v>
      </c>
      <c r="EU130" s="95">
        <f>IF(AO130="",10,MIN(VLOOKUP(C130,MATERIAL,13,FALSE()),'Item Builder'!$W130))</f>
        <v>10</v>
      </c>
      <c r="EV130" s="95">
        <f>IF(AP130="",10,MIN(VLOOKUP(D130,MATERIAL,13,FALSE()),'Item Builder'!$W130))</f>
        <v>10</v>
      </c>
      <c r="EW130" s="95">
        <f>IF(AQ130="",10,MIN(VLOOKUP(E130,MATERIAL,13,FALSE()),'Item Builder'!$W130))</f>
        <v>0</v>
      </c>
      <c r="EX130" s="95">
        <f>IF(AR130="",10,MIN(VLOOKUP(F130,MATERIAL,13,FALSE()),'Item Builder'!$W130))</f>
        <v>0</v>
      </c>
      <c r="EY130" s="95">
        <f>IF(AS130="",10,MIN(VLOOKUP(G130,MATERIAL,13,FALSE()),'Item Builder'!$W130))</f>
        <v>10</v>
      </c>
      <c r="EZ130" s="95">
        <f>IF(AT130="",10,MIN(VLOOKUP(H130,MATERIAL,13,FALSE()),'Item Builder'!$W130))</f>
        <v>10</v>
      </c>
      <c r="FA130" s="95">
        <f>IF(AU130="",10,MIN(VLOOKUP(I130,MATERIAL,13,FALSE()),'Item Builder'!$W130))</f>
        <v>10</v>
      </c>
      <c r="FB130" s="95">
        <f>IF(AV130="",10,MIN(VLOOKUP(J130,MATERIAL,13,FALSE()),'Item Builder'!$W130))</f>
        <v>0</v>
      </c>
      <c r="FC130" s="95">
        <f>IF(AW130="",10,MIN(VLOOKUP(K130,MATERIAL,13,FALSE()),'Item Builder'!$W130))</f>
        <v>10</v>
      </c>
      <c r="FD130" s="95">
        <f>IF(AX130="",10,MIN(VLOOKUP(L130,MATERIAL,13,FALSE()),'Item Builder'!$W130))</f>
        <v>10</v>
      </c>
      <c r="FE130" s="95">
        <f>IF(AY130="",10,MIN(VLOOKUP(M130,MATERIAL,13,FALSE()),'Item Builder'!$W130))</f>
        <v>10</v>
      </c>
      <c r="FF130" s="95">
        <f>IF(AZ130="",10,MIN(VLOOKUP(N130,MATERIAL,13,FALSE()),'Item Builder'!$W130))</f>
        <v>10</v>
      </c>
      <c r="FG130" s="95">
        <f>IF(BA130="",10,MIN(VLOOKUP(O130,MATERIAL,13,FALSE()),'Item Builder'!$W130))</f>
        <v>10</v>
      </c>
      <c r="FH130" s="95">
        <f>IF(BB130="",10,MIN(VLOOKUP(P130,MATERIAL,13,FALSE()),'Item Builder'!$W130))</f>
        <v>10</v>
      </c>
    </row>
    <row r="131" spans="1:164" x14ac:dyDescent="0.25">
      <c r="A131" s="67" t="s">
        <v>271</v>
      </c>
      <c r="B131" s="68"/>
      <c r="C131" s="69"/>
      <c r="D131" s="70"/>
      <c r="E131" s="68"/>
      <c r="F131" s="69"/>
      <c r="G131" s="69"/>
      <c r="H131" s="69"/>
      <c r="I131" s="70" t="s">
        <v>165</v>
      </c>
      <c r="J131" s="68"/>
      <c r="K131" s="69"/>
      <c r="L131" s="70"/>
      <c r="M131" s="68"/>
      <c r="N131" s="69"/>
      <c r="O131" s="69"/>
      <c r="P131" s="71"/>
      <c r="Q131" s="72">
        <f>SUM(BV131:CJ131)*VLOOKUP(W131,Tables!$W$3:$Z$8,4)</f>
        <v>20</v>
      </c>
      <c r="R131" s="73">
        <f t="shared" si="56"/>
        <v>0.25</v>
      </c>
      <c r="S131" s="74">
        <f t="shared" si="57"/>
        <v>0</v>
      </c>
      <c r="T131" s="74">
        <f t="shared" si="58"/>
        <v>0</v>
      </c>
      <c r="U131" s="75">
        <f t="shared" si="59"/>
        <v>1</v>
      </c>
      <c r="V131" s="76">
        <f t="shared" si="60"/>
        <v>16</v>
      </c>
      <c r="W131" s="77">
        <v>0</v>
      </c>
      <c r="X131" s="78">
        <f t="shared" si="61"/>
        <v>0</v>
      </c>
      <c r="Y131" s="79">
        <f t="shared" si="62"/>
        <v>0</v>
      </c>
      <c r="Z131" s="79">
        <f t="shared" si="63"/>
        <v>0</v>
      </c>
      <c r="AA131" s="78">
        <f t="shared" si="64"/>
        <v>0</v>
      </c>
      <c r="AB131" s="79">
        <f t="shared" si="65"/>
        <v>0</v>
      </c>
      <c r="AC131" s="79">
        <f t="shared" si="66"/>
        <v>0</v>
      </c>
      <c r="AD131" s="79">
        <f t="shared" si="67"/>
        <v>0</v>
      </c>
      <c r="AE131" s="79">
        <f t="shared" si="68"/>
        <v>1</v>
      </c>
      <c r="AF131" s="78">
        <f t="shared" si="69"/>
        <v>0</v>
      </c>
      <c r="AG131" s="79">
        <f t="shared" si="70"/>
        <v>0</v>
      </c>
      <c r="AH131" s="79">
        <f t="shared" si="71"/>
        <v>0</v>
      </c>
      <c r="AI131" s="78">
        <f t="shared" si="72"/>
        <v>0</v>
      </c>
      <c r="AJ131" s="79">
        <f t="shared" si="73"/>
        <v>0</v>
      </c>
      <c r="AK131" s="79">
        <f t="shared" si="74"/>
        <v>0</v>
      </c>
      <c r="AL131" s="80">
        <f t="shared" si="75"/>
        <v>0</v>
      </c>
      <c r="AM131" s="81">
        <f t="shared" si="76"/>
        <v>0.05</v>
      </c>
      <c r="AN131" s="82" t="str">
        <f t="shared" si="77"/>
        <v/>
      </c>
      <c r="AO131" s="79" t="str">
        <f t="shared" si="78"/>
        <v/>
      </c>
      <c r="AP131" t="str">
        <f t="shared" si="79"/>
        <v/>
      </c>
      <c r="AQ131" s="82" t="str">
        <f t="shared" si="80"/>
        <v/>
      </c>
      <c r="AR131" t="str">
        <f t="shared" si="81"/>
        <v/>
      </c>
      <c r="AS131" t="str">
        <f t="shared" si="82"/>
        <v/>
      </c>
      <c r="AT131" t="str">
        <f t="shared" si="83"/>
        <v/>
      </c>
      <c r="AU131" t="str">
        <f t="shared" si="84"/>
        <v>C</v>
      </c>
      <c r="AV131" s="82" t="str">
        <f t="shared" si="85"/>
        <v/>
      </c>
      <c r="AW131" t="str">
        <f t="shared" si="86"/>
        <v/>
      </c>
      <c r="AX131" t="str">
        <f t="shared" si="87"/>
        <v/>
      </c>
      <c r="AY131" s="82" t="str">
        <f t="shared" si="88"/>
        <v/>
      </c>
      <c r="AZ131" t="str">
        <f t="shared" si="89"/>
        <v/>
      </c>
      <c r="BA131" t="str">
        <f t="shared" si="90"/>
        <v/>
      </c>
      <c r="BB131" s="83" t="str">
        <f t="shared" si="91"/>
        <v/>
      </c>
      <c r="BC131" s="84">
        <f t="shared" si="92"/>
        <v>0</v>
      </c>
      <c r="BD131" s="84">
        <f t="shared" si="93"/>
        <v>0.23809523809523808</v>
      </c>
      <c r="BE131" s="84">
        <f t="shared" si="94"/>
        <v>0</v>
      </c>
      <c r="BF131" s="84">
        <f t="shared" si="95"/>
        <v>0</v>
      </c>
      <c r="BG131" s="78">
        <f>IF(AN131="",0,VLOOKUP(AN131,Tables!$AB$3:$AC$12,2))</f>
        <v>0</v>
      </c>
      <c r="BH131" s="79">
        <f>IF(AO131="",0,VLOOKUP(AO131,Tables!$AB$3:$AC$12,2))</f>
        <v>0</v>
      </c>
      <c r="BI131" s="79">
        <f>IF(AP131="",0,VLOOKUP(AP131,Tables!$AB$3:$AC$12,2))</f>
        <v>0</v>
      </c>
      <c r="BJ131" s="78">
        <f>IF(AQ131="",0,VLOOKUP(AQ131,Tables!$AB$3:$AC$12,2))</f>
        <v>0</v>
      </c>
      <c r="BK131" s="79">
        <f>IF(AR131="",0,VLOOKUP(AR131,Tables!$AB$3:$AC$12,2))</f>
        <v>0</v>
      </c>
      <c r="BL131" s="79">
        <f>IF(AS131="",0,VLOOKUP(AS131,Tables!$AB$3:$AC$12,2))</f>
        <v>0</v>
      </c>
      <c r="BM131" s="79">
        <f>IF(AT131="",0,VLOOKUP(AT131,Tables!$AB$3:$AC$12,2))</f>
        <v>0</v>
      </c>
      <c r="BN131" s="79">
        <f>IF(AU131="",0,VLOOKUP(AU131,Tables!$AB$3:$AC$12,2))</f>
        <v>1</v>
      </c>
      <c r="BO131" s="78">
        <f>IF(AV131="",0,VLOOKUP(AV131,Tables!$AB$3:$AC$12,2))</f>
        <v>0</v>
      </c>
      <c r="BP131" s="79">
        <f>IF(AW131="",0,VLOOKUP(AW131,Tables!$AB$3:$AC$12,2))</f>
        <v>0</v>
      </c>
      <c r="BQ131" s="79">
        <f>IF(AX131="",0,VLOOKUP(AX131,Tables!$AB$3:$AC$12,2))</f>
        <v>0</v>
      </c>
      <c r="BR131" s="78">
        <f>IF(AY131="",0,VLOOKUP(AY131,Tables!$AB$3:$AC$12,2))</f>
        <v>0</v>
      </c>
      <c r="BS131" s="79">
        <f>IF(AZ131="",0,VLOOKUP(AZ131,Tables!$AB$3:$AC$12,2))</f>
        <v>0</v>
      </c>
      <c r="BT131" s="79">
        <f>IF(BA131="",0,VLOOKUP(BA131,Tables!$AB$3:$AC$12,2))</f>
        <v>0</v>
      </c>
      <c r="BU131" s="80">
        <f>IF(BB131="",0,VLOOKUP(BB131,Tables!$AB$3:$AC$12,2))</f>
        <v>0</v>
      </c>
      <c r="BV131" s="85">
        <f>IF(AN131="",0,VLOOKUP(B131,Tables!$B$3:$D$36,2,FALSE())*X$1)</f>
        <v>0</v>
      </c>
      <c r="BW131" s="72">
        <f>IF(AO131="",0,VLOOKUP(C131,Tables!$B$3:$D$36,2,FALSE())*Y$1)</f>
        <v>0</v>
      </c>
      <c r="BX131" s="72">
        <f>IF(AP131="",0,VLOOKUP(D131,Tables!$B$3:$D$36,2,FALSE())*Z$1)</f>
        <v>0</v>
      </c>
      <c r="BY131" s="85">
        <f>IF(AQ131="",0,VLOOKUP(E131,Tables!$B$3:$D$36,2,FALSE())*AA$1)</f>
        <v>0</v>
      </c>
      <c r="BZ131" s="72">
        <f>IF(AR131="",0,VLOOKUP(F131,Tables!$B$3:$D$36,2,FALSE())*AB$1)</f>
        <v>0</v>
      </c>
      <c r="CA131" s="72">
        <f>IF(AS131="",0,VLOOKUP(G131,Tables!$B$3:$D$36,2,FALSE())*AC$1)</f>
        <v>0</v>
      </c>
      <c r="CB131" s="72">
        <f>IF(AT131="",0,VLOOKUP(H131,Tables!$B$3:$D$36,2,FALSE())*AD$1)</f>
        <v>0</v>
      </c>
      <c r="CC131" s="72">
        <f>IF(AU131="",0,VLOOKUP(I131,Tables!$B$3:$D$36,2,FALSE())*AE$1)</f>
        <v>20</v>
      </c>
      <c r="CD131" s="85">
        <f>IF(AV131="",0,VLOOKUP(J131,Tables!$B$3:$D$36,2,FALSE())*AF$1)</f>
        <v>0</v>
      </c>
      <c r="CE131" s="72">
        <f>IF(AW131="",0,VLOOKUP(K131,Tables!$B$3:$D$36,2,FALSE())*AG$1)</f>
        <v>0</v>
      </c>
      <c r="CF131" s="72">
        <f>IF(AX131="",0,VLOOKUP(L131,Tables!$B$3:$D$36,2,FALSE())*AH$1)</f>
        <v>0</v>
      </c>
      <c r="CG131" s="85">
        <f>IF(AY131="",0,VLOOKUP(M131,Tables!$B$3:$D$36,2,FALSE())*AI$1)</f>
        <v>0</v>
      </c>
      <c r="CH131" s="72">
        <f>IF(AZ131="",0,VLOOKUP(N131,Tables!$B$3:$D$36,2,FALSE())*AJ$1)</f>
        <v>0</v>
      </c>
      <c r="CI131" s="72">
        <f>IF(BA131="",0,VLOOKUP(O131,Tables!$B$3:$D$36,2,FALSE())*AK$1)</f>
        <v>0</v>
      </c>
      <c r="CJ131" s="86">
        <f>IF(BB131="",0,VLOOKUP(P131,Tables!$B$3:$D$36,2,FALSE())*AL$1)</f>
        <v>0</v>
      </c>
      <c r="CK131" s="87">
        <f>IF(AN131="",0,VLOOKUP(B131,Tables!$B$3:$D$36,3,FALSE())*X$1)*IF(OR(AN131="K",AN131="P"),2,1)</f>
        <v>0</v>
      </c>
      <c r="CL131" s="73">
        <f>IF(AO131="",0,VLOOKUP(C131,Tables!$B$3:$D$36,3,FALSE())*Y$1)*IF(OR(AO131="K",AO131="P"),2,1)</f>
        <v>0</v>
      </c>
      <c r="CM131" s="73">
        <f>IF(AP131="",0,VLOOKUP(D131,Tables!$B$3:$D$36,3,FALSE())*Z$1)*IF(OR(AP131="K",AP131="P"),2,1)</f>
        <v>0</v>
      </c>
      <c r="CN131" s="87">
        <f>IF(AQ131="",0,VLOOKUP(E131,Tables!$B$3:$D$36,3,FALSE())*AA$1)</f>
        <v>0</v>
      </c>
      <c r="CO131" s="73">
        <f>IF(AR131="",0,VLOOKUP(F131,Tables!$B$3:$D$36,3,FALSE())*AB$1)</f>
        <v>0</v>
      </c>
      <c r="CP131" s="73">
        <f>IF(AS131="",0,VLOOKUP(G131,Tables!$B$3:$D$36,3,FALSE())*AC$1)</f>
        <v>0</v>
      </c>
      <c r="CQ131" s="73">
        <f>IF(AT131="",0,VLOOKUP(H131,Tables!$B$3:$D$36,3,FALSE())*AD$1)</f>
        <v>0</v>
      </c>
      <c r="CR131" s="73">
        <f>IF(AU131="",0,VLOOKUP(I131,Tables!$B$3:$D$36,3,FALSE())*AE$1)</f>
        <v>0.25</v>
      </c>
      <c r="CS131" s="87">
        <f>IF(AV131="",0,VLOOKUP(J131,Tables!$B$3:$D$36,3,FALSE())*AF$1)</f>
        <v>0</v>
      </c>
      <c r="CT131" s="73">
        <f>IF(AW131="",0,VLOOKUP(K131,Tables!$B$3:$D$36,3,FALSE())*AG$1)</f>
        <v>0</v>
      </c>
      <c r="CU131" s="73">
        <f>IF(AX131="",0,VLOOKUP(L131,Tables!$B$3:$D$36,3,FALSE())*AH$1)</f>
        <v>0</v>
      </c>
      <c r="CV131" s="87">
        <f>IF(AY131="",0,VLOOKUP(M131,Tables!$B$3:$D$36,3,FALSE())*AI$1)</f>
        <v>0</v>
      </c>
      <c r="CW131" s="73">
        <f>IF(AZ131="",0,VLOOKUP(N131,Tables!$B$3:$D$36,3,FALSE())*AJ$1)</f>
        <v>0</v>
      </c>
      <c r="CX131" s="73">
        <f>IF(BA131="",0,VLOOKUP(O131,Tables!$B$3:$D$36,3,FALSE())*AK$1)</f>
        <v>0</v>
      </c>
      <c r="CY131" s="88">
        <f>IF(BB131="",0,VLOOKUP(P131,Tables!$B$3:$D$36,3,FALSE())*AL$1)</f>
        <v>0</v>
      </c>
      <c r="CZ131" s="89">
        <f t="shared" si="96"/>
        <v>0</v>
      </c>
      <c r="DA131" s="75">
        <f t="shared" si="97"/>
        <v>0</v>
      </c>
      <c r="DB131" s="75">
        <f t="shared" si="98"/>
        <v>0</v>
      </c>
      <c r="DC131" s="89">
        <f t="shared" si="99"/>
        <v>0</v>
      </c>
      <c r="DD131" s="75">
        <f t="shared" si="100"/>
        <v>0</v>
      </c>
      <c r="DE131" s="75">
        <f t="shared" si="101"/>
        <v>0</v>
      </c>
      <c r="DF131" s="75">
        <f t="shared" si="102"/>
        <v>0</v>
      </c>
      <c r="DG131" s="75">
        <f t="shared" si="103"/>
        <v>1</v>
      </c>
      <c r="DH131" s="89">
        <f t="shared" si="104"/>
        <v>0</v>
      </c>
      <c r="DI131" s="75">
        <f t="shared" si="105"/>
        <v>0</v>
      </c>
      <c r="DJ131" s="75">
        <f t="shared" si="106"/>
        <v>0</v>
      </c>
      <c r="DK131" s="89">
        <f t="shared" si="107"/>
        <v>0</v>
      </c>
      <c r="DL131" s="75">
        <f t="shared" si="108"/>
        <v>0</v>
      </c>
      <c r="DM131" s="75">
        <f t="shared" si="109"/>
        <v>0</v>
      </c>
      <c r="DN131" s="90">
        <f t="shared" si="110"/>
        <v>0</v>
      </c>
      <c r="DO131" s="91">
        <f>IF(AN131="",0,VLOOKUP(B131,Tables!$B$3:$M$36,11,FALSE())*X$1)</f>
        <v>0</v>
      </c>
      <c r="DP131" s="92">
        <f>IF(AO131="",0,VLOOKUP(C131,Tables!$B$3:$M$36,11,FALSE())*Y$1)</f>
        <v>0</v>
      </c>
      <c r="DQ131" s="92">
        <f>IF(AP131="",0,VLOOKUP(D131,Tables!$B$3:$M$36,11,FALSE())*Z$1)</f>
        <v>0</v>
      </c>
      <c r="DR131" s="91">
        <f>IF(AQ131="",0,VLOOKUP(E131,Tables!$B$3:$M$36,11,FALSE())*AA$1)</f>
        <v>0</v>
      </c>
      <c r="DS131" s="92">
        <f>IF(AR131="",0,VLOOKUP(F131,Tables!$B$3:$M$36,11,FALSE())*AB$1)</f>
        <v>0</v>
      </c>
      <c r="DT131" s="92">
        <f>IF(AS131="",0,VLOOKUP(G131,Tables!$B$3:$M$36,11,FALSE())*AC$1)</f>
        <v>0</v>
      </c>
      <c r="DU131" s="92">
        <f>IF(AT131="",0,VLOOKUP(H131,Tables!$B$3:$M$36,11,FALSE())*AD$1)</f>
        <v>0</v>
      </c>
      <c r="DV131" s="92">
        <f>IF(AU131="",0,VLOOKUP(I131,Tables!$B$3:$M$36,11,FALSE())*AE$1)</f>
        <v>1</v>
      </c>
      <c r="DW131" s="91">
        <f>IF(AV131="",0,VLOOKUP(J131,Tables!$B$3:$M$36,11,FALSE())*AF$1)</f>
        <v>0</v>
      </c>
      <c r="DX131" s="92">
        <f>IF(AW131="",0,VLOOKUP(K131,Tables!$B$3:$M$36,11,FALSE())*AG$1)</f>
        <v>0</v>
      </c>
      <c r="DY131" s="92">
        <f>IF(AX131="",0,VLOOKUP(L131,Tables!$B$3:$M$36,11,FALSE())*AH$1)</f>
        <v>0</v>
      </c>
      <c r="DZ131" s="91">
        <f>IF(AY131="",0,VLOOKUP(M131,Tables!$B$3:$M$36,11,FALSE())*AI$1)</f>
        <v>0</v>
      </c>
      <c r="EA131" s="92">
        <f>IF(AZ131="",0,VLOOKUP(N131,Tables!$B$3:$M$36,11,FALSE())*AJ$1)</f>
        <v>0</v>
      </c>
      <c r="EB131" s="92">
        <f>IF(BA131="",0,VLOOKUP(O131,Tables!$B$3:$M$36,11,FALSE())*AK$1)</f>
        <v>0</v>
      </c>
      <c r="EC131" s="93">
        <f>IF(BB131="",0,VLOOKUP(P131,Tables!$B$3:$M$36,11,FALSE())*AL$1)</f>
        <v>0</v>
      </c>
      <c r="ED131" s="91">
        <f>IF(AN131="",0,VLOOKUP(B131,Tables!$B$3:$M$36,12,FALSE())*X$1)</f>
        <v>0</v>
      </c>
      <c r="EE131" s="92">
        <f>IF(AO131="",0,VLOOKUP(C131,Tables!$B$3:$M$36,12,FALSE())*Y$1)</f>
        <v>0</v>
      </c>
      <c r="EF131" s="92">
        <f>IF(AP131="",0,VLOOKUP(D131,Tables!$B$3:$M$36,12,FALSE())*Z$1)</f>
        <v>0</v>
      </c>
      <c r="EG131" s="91">
        <f>IF(AQ131="",0,VLOOKUP(E131,Tables!$B$3:$M$36,12,FALSE())*AA$1)</f>
        <v>0</v>
      </c>
      <c r="EH131" s="92">
        <f>IF(AR131="",0,VLOOKUP(F131,Tables!$B$3:$M$36,12,FALSE())*AB$1)</f>
        <v>0</v>
      </c>
      <c r="EI131" s="92">
        <f>IF(AS131="",0,VLOOKUP(G131,Tables!$B$3:$M$36,12,FALSE())*AC$1)</f>
        <v>0</v>
      </c>
      <c r="EJ131" s="92">
        <f>IF(AT131="",0,VLOOKUP(H131,Tables!$B$3:$M$36,12,FALSE())*AD$1)</f>
        <v>0</v>
      </c>
      <c r="EK131" s="92">
        <f>IF(AU131="",0,VLOOKUP(I131,Tables!$B$3:$M$36,12,FALSE())*AE$1)</f>
        <v>16</v>
      </c>
      <c r="EL131" s="91">
        <f>IF(AV131="",0,VLOOKUP(J131,Tables!$B$3:$M$36,12,FALSE())*AF$1)</f>
        <v>0</v>
      </c>
      <c r="EM131" s="92">
        <f>IF(AW131="",0,VLOOKUP(K131,Tables!$B$3:$M$36,12,FALSE())*AG$1)</f>
        <v>0</v>
      </c>
      <c r="EN131" s="92">
        <f>IF(AX131="",0,VLOOKUP(L131,Tables!$B$3:$M$36,12,FALSE())*AH$1)</f>
        <v>0</v>
      </c>
      <c r="EO131" s="91">
        <f>IF(AY131="",0,VLOOKUP(M131,Tables!$B$3:$M$36,12,FALSE())*AI$1)</f>
        <v>0</v>
      </c>
      <c r="EP131" s="92">
        <f>IF(AZ131="",0,VLOOKUP(N131,Tables!$B$3:$M$36,12,FALSE())*AJ$1)</f>
        <v>0</v>
      </c>
      <c r="EQ131" s="92">
        <f>IF(BA131="",0,VLOOKUP(O131,Tables!$B$3:$M$36,12,FALSE())*AK$1)</f>
        <v>0</v>
      </c>
      <c r="ER131" s="93">
        <f>IF(BB131="",0,VLOOKUP(P131,Tables!$B$3:$M$36,12,FALSE())*AL$1)</f>
        <v>0</v>
      </c>
      <c r="ES131" s="94">
        <f t="shared" si="111"/>
        <v>0</v>
      </c>
      <c r="ET131" s="95">
        <f>IF(AN131="",10,MIN(VLOOKUP(B131,MATERIAL,13,FALSE()),'Item Builder'!$W131))</f>
        <v>10</v>
      </c>
      <c r="EU131" s="95">
        <f>IF(AO131="",10,MIN(VLOOKUP(C131,MATERIAL,13,FALSE()),'Item Builder'!$W131))</f>
        <v>10</v>
      </c>
      <c r="EV131" s="95">
        <f>IF(AP131="",10,MIN(VLOOKUP(D131,MATERIAL,13,FALSE()),'Item Builder'!$W131))</f>
        <v>10</v>
      </c>
      <c r="EW131" s="95">
        <f>IF(AQ131="",10,MIN(VLOOKUP(E131,MATERIAL,13,FALSE()),'Item Builder'!$W131))</f>
        <v>10</v>
      </c>
      <c r="EX131" s="95">
        <f>IF(AR131="",10,MIN(VLOOKUP(F131,MATERIAL,13,FALSE()),'Item Builder'!$W131))</f>
        <v>10</v>
      </c>
      <c r="EY131" s="95">
        <f>IF(AS131="",10,MIN(VLOOKUP(G131,MATERIAL,13,FALSE()),'Item Builder'!$W131))</f>
        <v>10</v>
      </c>
      <c r="EZ131" s="95">
        <f>IF(AT131="",10,MIN(VLOOKUP(H131,MATERIAL,13,FALSE()),'Item Builder'!$W131))</f>
        <v>10</v>
      </c>
      <c r="FA131" s="95">
        <f>IF(AU131="",10,MIN(VLOOKUP(I131,MATERIAL,13,FALSE()),'Item Builder'!$W131))</f>
        <v>0</v>
      </c>
      <c r="FB131" s="95">
        <f>IF(AV131="",10,MIN(VLOOKUP(J131,MATERIAL,13,FALSE()),'Item Builder'!$W131))</f>
        <v>10</v>
      </c>
      <c r="FC131" s="95">
        <f>IF(AW131="",10,MIN(VLOOKUP(K131,MATERIAL,13,FALSE()),'Item Builder'!$W131))</f>
        <v>10</v>
      </c>
      <c r="FD131" s="95">
        <f>IF(AX131="",10,MIN(VLOOKUP(L131,MATERIAL,13,FALSE()),'Item Builder'!$W131))</f>
        <v>10</v>
      </c>
      <c r="FE131" s="95">
        <f>IF(AY131="",10,MIN(VLOOKUP(M131,MATERIAL,13,FALSE()),'Item Builder'!$W131))</f>
        <v>10</v>
      </c>
      <c r="FF131" s="95">
        <f>IF(AZ131="",10,MIN(VLOOKUP(N131,MATERIAL,13,FALSE()),'Item Builder'!$W131))</f>
        <v>10</v>
      </c>
      <c r="FG131" s="95">
        <f>IF(BA131="",10,MIN(VLOOKUP(O131,MATERIAL,13,FALSE()),'Item Builder'!$W131))</f>
        <v>10</v>
      </c>
      <c r="FH131" s="95">
        <f>IF(BB131="",10,MIN(VLOOKUP(P131,MATERIAL,13,FALSE()),'Item Builder'!$W131))</f>
        <v>10</v>
      </c>
    </row>
    <row r="132" spans="1:164" x14ac:dyDescent="0.25">
      <c r="A132" s="67" t="s">
        <v>272</v>
      </c>
      <c r="B132" s="68"/>
      <c r="C132" s="69"/>
      <c r="D132" s="70"/>
      <c r="E132" s="68"/>
      <c r="F132" s="69"/>
      <c r="G132" s="69"/>
      <c r="H132" s="69"/>
      <c r="I132" s="70"/>
      <c r="J132" s="68" t="s">
        <v>165</v>
      </c>
      <c r="K132" s="69" t="s">
        <v>165</v>
      </c>
      <c r="L132" s="70"/>
      <c r="M132" s="68"/>
      <c r="N132" s="69"/>
      <c r="O132" s="69"/>
      <c r="P132" s="71"/>
      <c r="Q132" s="72">
        <f>SUM(BV132:CJ132)*VLOOKUP(W132,Tables!$W$3:$Z$8,4)</f>
        <v>96</v>
      </c>
      <c r="R132" s="73">
        <f t="shared" ref="R132:R195" si="112">SUM(CK132:CY132)</f>
        <v>1.2</v>
      </c>
      <c r="S132" s="74">
        <f t="shared" ref="S132:S195" si="113">ROUND(SUMPRODUCT(CK132:CY132,CZ132:DN132,$CK$1:$CY$1)/$S$2,0)*5</f>
        <v>0</v>
      </c>
      <c r="T132" s="74">
        <f t="shared" ref="T132:T195" si="114">IF(OR(B132="",D132=""),0,5)+IF(C132="",0,5)</f>
        <v>0</v>
      </c>
      <c r="U132" s="75">
        <f t="shared" ref="U132:U195" si="115">SUM(DO132:EC132)</f>
        <v>4.8</v>
      </c>
      <c r="V132" s="76">
        <f t="shared" ref="V132:V195" si="116">SUM(ED132:ER132)</f>
        <v>76.8</v>
      </c>
      <c r="W132" s="77">
        <v>0</v>
      </c>
      <c r="X132" s="78">
        <f t="shared" ref="X132:X195" si="117">COUNTA(B132)</f>
        <v>0</v>
      </c>
      <c r="Y132" s="79">
        <f t="shared" ref="Y132:Y195" si="118">COUNTA(C132)</f>
        <v>0</v>
      </c>
      <c r="Z132" s="79">
        <f t="shared" ref="Z132:Z195" si="119">COUNTA(D132)</f>
        <v>0</v>
      </c>
      <c r="AA132" s="78">
        <f t="shared" ref="AA132:AA195" si="120">COUNTA(E132)</f>
        <v>0</v>
      </c>
      <c r="AB132" s="79">
        <f t="shared" ref="AB132:AB195" si="121">COUNTA(F132)</f>
        <v>0</v>
      </c>
      <c r="AC132" s="79">
        <f t="shared" ref="AC132:AC195" si="122">COUNTA(G132)</f>
        <v>0</v>
      </c>
      <c r="AD132" s="79">
        <f t="shared" ref="AD132:AD195" si="123">COUNTA(H132)</f>
        <v>0</v>
      </c>
      <c r="AE132" s="79">
        <f t="shared" ref="AE132:AE195" si="124">COUNTA(I132)</f>
        <v>0</v>
      </c>
      <c r="AF132" s="78">
        <f t="shared" ref="AF132:AF195" si="125">COUNTA(J132)</f>
        <v>1</v>
      </c>
      <c r="AG132" s="79">
        <f t="shared" ref="AG132:AG195" si="126">COUNTA(K132)</f>
        <v>1</v>
      </c>
      <c r="AH132" s="79">
        <f t="shared" ref="AH132:AH195" si="127">COUNTA(L132)</f>
        <v>0</v>
      </c>
      <c r="AI132" s="78">
        <f t="shared" ref="AI132:AI195" si="128">COUNTA(M132)</f>
        <v>0</v>
      </c>
      <c r="AJ132" s="79">
        <f t="shared" ref="AJ132:AJ195" si="129">COUNTA(N132)</f>
        <v>0</v>
      </c>
      <c r="AK132" s="79">
        <f t="shared" ref="AK132:AK195" si="130">COUNTA(O132)</f>
        <v>0</v>
      </c>
      <c r="AL132" s="80">
        <f t="shared" ref="AL132:AL195" si="131">COUNTA(P132)</f>
        <v>0</v>
      </c>
      <c r="AM132" s="81">
        <f t="shared" ref="AM132:AM195" si="132">SUMPRODUCT(X132:AL132,$X$1:$AL$1)</f>
        <v>0.24</v>
      </c>
      <c r="AN132" s="82" t="str">
        <f t="shared" ref="AN132:AN195" si="133">LEFT(B132,1)</f>
        <v/>
      </c>
      <c r="AO132" s="79" t="str">
        <f t="shared" ref="AO132:AO195" si="134">LEFT(C132,1)</f>
        <v/>
      </c>
      <c r="AP132" t="str">
        <f t="shared" ref="AP132:AP195" si="135">LEFT(D132,1)</f>
        <v/>
      </c>
      <c r="AQ132" s="82" t="str">
        <f t="shared" ref="AQ132:AQ195" si="136">LEFT(E132,1)</f>
        <v/>
      </c>
      <c r="AR132" t="str">
        <f t="shared" ref="AR132:AR195" si="137">LEFT(F132,1)</f>
        <v/>
      </c>
      <c r="AS132" t="str">
        <f t="shared" ref="AS132:AS195" si="138">LEFT(G132,1)</f>
        <v/>
      </c>
      <c r="AT132" t="str">
        <f t="shared" ref="AT132:AT195" si="139">LEFT(H132,1)</f>
        <v/>
      </c>
      <c r="AU132" t="str">
        <f t="shared" ref="AU132:AU195" si="140">LEFT(I132,1)</f>
        <v/>
      </c>
      <c r="AV132" s="82" t="str">
        <f t="shared" ref="AV132:AV195" si="141">LEFT(J132,1)</f>
        <v>C</v>
      </c>
      <c r="AW132" t="str">
        <f t="shared" ref="AW132:AW195" si="142">LEFT(K132,1)</f>
        <v>C</v>
      </c>
      <c r="AX132" t="str">
        <f t="shared" ref="AX132:AX195" si="143">LEFT(L132,1)</f>
        <v/>
      </c>
      <c r="AY132" s="82" t="str">
        <f t="shared" ref="AY132:AY195" si="144">LEFT(M132,1)</f>
        <v/>
      </c>
      <c r="AZ132" t="str">
        <f t="shared" ref="AZ132:AZ195" si="145">LEFT(N132,1)</f>
        <v/>
      </c>
      <c r="BA132" t="str">
        <f t="shared" ref="BA132:BA195" si="146">LEFT(O132,1)</f>
        <v/>
      </c>
      <c r="BB132" s="83" t="str">
        <f t="shared" ref="BB132:BB195" si="147">LEFT(P132,1)</f>
        <v/>
      </c>
      <c r="BC132" s="84">
        <f t="shared" ref="BC132:BC195" si="148">SUMPRODUCT(X132:Z132,$X$1:$Z$1)/SUM($X$1:$Z$1)</f>
        <v>0</v>
      </c>
      <c r="BD132" s="84">
        <f t="shared" ref="BD132:BD195" si="149">SUMPRODUCT(AA132:AE132,$AA$1:$AE$1)/SUM($AA$1:$AE$1)</f>
        <v>0</v>
      </c>
      <c r="BE132" s="84">
        <f t="shared" ref="BE132:BE195" si="150">SUMPRODUCT(AF132:AH132,$AF$1:$AH$1)/SUM($AF$1:$AH$1)</f>
        <v>0.70588235294117652</v>
      </c>
      <c r="BF132" s="84">
        <f t="shared" ref="BF132:BF195" si="151">SUMPRODUCT(AI132:AL132,$AI$1:$AL$1)/SUM($AI$1:$AL$1)</f>
        <v>0</v>
      </c>
      <c r="BG132" s="78">
        <f>IF(AN132="",0,VLOOKUP(AN132,Tables!$AB$3:$AC$12,2))</f>
        <v>0</v>
      </c>
      <c r="BH132" s="79">
        <f>IF(AO132="",0,VLOOKUP(AO132,Tables!$AB$3:$AC$12,2))</f>
        <v>0</v>
      </c>
      <c r="BI132" s="79">
        <f>IF(AP132="",0,VLOOKUP(AP132,Tables!$AB$3:$AC$12,2))</f>
        <v>0</v>
      </c>
      <c r="BJ132" s="78">
        <f>IF(AQ132="",0,VLOOKUP(AQ132,Tables!$AB$3:$AC$12,2))</f>
        <v>0</v>
      </c>
      <c r="BK132" s="79">
        <f>IF(AR132="",0,VLOOKUP(AR132,Tables!$AB$3:$AC$12,2))</f>
        <v>0</v>
      </c>
      <c r="BL132" s="79">
        <f>IF(AS132="",0,VLOOKUP(AS132,Tables!$AB$3:$AC$12,2))</f>
        <v>0</v>
      </c>
      <c r="BM132" s="79">
        <f>IF(AT132="",0,VLOOKUP(AT132,Tables!$AB$3:$AC$12,2))</f>
        <v>0</v>
      </c>
      <c r="BN132" s="79">
        <f>IF(AU132="",0,VLOOKUP(AU132,Tables!$AB$3:$AC$12,2))</f>
        <v>0</v>
      </c>
      <c r="BO132" s="78">
        <f>IF(AV132="",0,VLOOKUP(AV132,Tables!$AB$3:$AC$12,2))</f>
        <v>1</v>
      </c>
      <c r="BP132" s="79">
        <f>IF(AW132="",0,VLOOKUP(AW132,Tables!$AB$3:$AC$12,2))</f>
        <v>1</v>
      </c>
      <c r="BQ132" s="79">
        <f>IF(AX132="",0,VLOOKUP(AX132,Tables!$AB$3:$AC$12,2))</f>
        <v>0</v>
      </c>
      <c r="BR132" s="78">
        <f>IF(AY132="",0,VLOOKUP(AY132,Tables!$AB$3:$AC$12,2))</f>
        <v>0</v>
      </c>
      <c r="BS132" s="79">
        <f>IF(AZ132="",0,VLOOKUP(AZ132,Tables!$AB$3:$AC$12,2))</f>
        <v>0</v>
      </c>
      <c r="BT132" s="79">
        <f>IF(BA132="",0,VLOOKUP(BA132,Tables!$AB$3:$AC$12,2))</f>
        <v>0</v>
      </c>
      <c r="BU132" s="80">
        <f>IF(BB132="",0,VLOOKUP(BB132,Tables!$AB$3:$AC$12,2))</f>
        <v>0</v>
      </c>
      <c r="BV132" s="85">
        <f>IF(AN132="",0,VLOOKUP(B132,Tables!$B$3:$D$36,2,FALSE())*X$1)</f>
        <v>0</v>
      </c>
      <c r="BW132" s="72">
        <f>IF(AO132="",0,VLOOKUP(C132,Tables!$B$3:$D$36,2,FALSE())*Y$1)</f>
        <v>0</v>
      </c>
      <c r="BX132" s="72">
        <f>IF(AP132="",0,VLOOKUP(D132,Tables!$B$3:$D$36,2,FALSE())*Z$1)</f>
        <v>0</v>
      </c>
      <c r="BY132" s="85">
        <f>IF(AQ132="",0,VLOOKUP(E132,Tables!$B$3:$D$36,2,FALSE())*AA$1)</f>
        <v>0</v>
      </c>
      <c r="BZ132" s="72">
        <f>IF(AR132="",0,VLOOKUP(F132,Tables!$B$3:$D$36,2,FALSE())*AB$1)</f>
        <v>0</v>
      </c>
      <c r="CA132" s="72">
        <f>IF(AS132="",0,VLOOKUP(G132,Tables!$B$3:$D$36,2,FALSE())*AC$1)</f>
        <v>0</v>
      </c>
      <c r="CB132" s="72">
        <f>IF(AT132="",0,VLOOKUP(H132,Tables!$B$3:$D$36,2,FALSE())*AD$1)</f>
        <v>0</v>
      </c>
      <c r="CC132" s="72">
        <f>IF(AU132="",0,VLOOKUP(I132,Tables!$B$3:$D$36,2,FALSE())*AE$1)</f>
        <v>0</v>
      </c>
      <c r="CD132" s="85">
        <f>IF(AV132="",0,VLOOKUP(J132,Tables!$B$3:$D$36,2,FALSE())*AF$1)</f>
        <v>48</v>
      </c>
      <c r="CE132" s="72">
        <f>IF(AW132="",0,VLOOKUP(K132,Tables!$B$3:$D$36,2,FALSE())*AG$1)</f>
        <v>48</v>
      </c>
      <c r="CF132" s="72">
        <f>IF(AX132="",0,VLOOKUP(L132,Tables!$B$3:$D$36,2,FALSE())*AH$1)</f>
        <v>0</v>
      </c>
      <c r="CG132" s="85">
        <f>IF(AY132="",0,VLOOKUP(M132,Tables!$B$3:$D$36,2,FALSE())*AI$1)</f>
        <v>0</v>
      </c>
      <c r="CH132" s="72">
        <f>IF(AZ132="",0,VLOOKUP(N132,Tables!$B$3:$D$36,2,FALSE())*AJ$1)</f>
        <v>0</v>
      </c>
      <c r="CI132" s="72">
        <f>IF(BA132="",0,VLOOKUP(O132,Tables!$B$3:$D$36,2,FALSE())*AK$1)</f>
        <v>0</v>
      </c>
      <c r="CJ132" s="86">
        <f>IF(BB132="",0,VLOOKUP(P132,Tables!$B$3:$D$36,2,FALSE())*AL$1)</f>
        <v>0</v>
      </c>
      <c r="CK132" s="87">
        <f>IF(AN132="",0,VLOOKUP(B132,Tables!$B$3:$D$36,3,FALSE())*X$1)*IF(OR(AN132="K",AN132="P"),2,1)</f>
        <v>0</v>
      </c>
      <c r="CL132" s="73">
        <f>IF(AO132="",0,VLOOKUP(C132,Tables!$B$3:$D$36,3,FALSE())*Y$1)*IF(OR(AO132="K",AO132="P"),2,1)</f>
        <v>0</v>
      </c>
      <c r="CM132" s="73">
        <f>IF(AP132="",0,VLOOKUP(D132,Tables!$B$3:$D$36,3,FALSE())*Z$1)*IF(OR(AP132="K",AP132="P"),2,1)</f>
        <v>0</v>
      </c>
      <c r="CN132" s="87">
        <f>IF(AQ132="",0,VLOOKUP(E132,Tables!$B$3:$D$36,3,FALSE())*AA$1)</f>
        <v>0</v>
      </c>
      <c r="CO132" s="73">
        <f>IF(AR132="",0,VLOOKUP(F132,Tables!$B$3:$D$36,3,FALSE())*AB$1)</f>
        <v>0</v>
      </c>
      <c r="CP132" s="73">
        <f>IF(AS132="",0,VLOOKUP(G132,Tables!$B$3:$D$36,3,FALSE())*AC$1)</f>
        <v>0</v>
      </c>
      <c r="CQ132" s="73">
        <f>IF(AT132="",0,VLOOKUP(H132,Tables!$B$3:$D$36,3,FALSE())*AD$1)</f>
        <v>0</v>
      </c>
      <c r="CR132" s="73">
        <f>IF(AU132="",0,VLOOKUP(I132,Tables!$B$3:$D$36,3,FALSE())*AE$1)</f>
        <v>0</v>
      </c>
      <c r="CS132" s="87">
        <f>IF(AV132="",0,VLOOKUP(J132,Tables!$B$3:$D$36,3,FALSE())*AF$1)</f>
        <v>0.6</v>
      </c>
      <c r="CT132" s="73">
        <f>IF(AW132="",0,VLOOKUP(K132,Tables!$B$3:$D$36,3,FALSE())*AG$1)</f>
        <v>0.6</v>
      </c>
      <c r="CU132" s="73">
        <f>IF(AX132="",0,VLOOKUP(L132,Tables!$B$3:$D$36,3,FALSE())*AH$1)</f>
        <v>0</v>
      </c>
      <c r="CV132" s="87">
        <f>IF(AY132="",0,VLOOKUP(M132,Tables!$B$3:$D$36,3,FALSE())*AI$1)</f>
        <v>0</v>
      </c>
      <c r="CW132" s="73">
        <f>IF(AZ132="",0,VLOOKUP(N132,Tables!$B$3:$D$36,3,FALSE())*AJ$1)</f>
        <v>0</v>
      </c>
      <c r="CX132" s="73">
        <f>IF(BA132="",0,VLOOKUP(O132,Tables!$B$3:$D$36,3,FALSE())*AK$1)</f>
        <v>0</v>
      </c>
      <c r="CY132" s="88">
        <f>IF(BB132="",0,VLOOKUP(P132,Tables!$B$3:$D$36,3,FALSE())*AL$1)</f>
        <v>0</v>
      </c>
      <c r="CZ132" s="89">
        <f t="shared" ref="CZ132:CZ195" si="152">IF(B132="",0,VLOOKUP(B132,MATERIAL,10,FALSE()))</f>
        <v>0</v>
      </c>
      <c r="DA132" s="75">
        <f t="shared" ref="DA132:DA195" si="153">IF(C132="",0,VLOOKUP(C132,MATERIAL,10,FALSE()))</f>
        <v>0</v>
      </c>
      <c r="DB132" s="75">
        <f t="shared" ref="DB132:DB195" si="154">IF(D132="",0,VLOOKUP(D132,MATERIAL,10,FALSE()))</f>
        <v>0</v>
      </c>
      <c r="DC132" s="89">
        <f t="shared" ref="DC132:DC195" si="155">IF(E132="",0,VLOOKUP(E132,MATERIAL,10,FALSE()))</f>
        <v>0</v>
      </c>
      <c r="DD132" s="75">
        <f t="shared" ref="DD132:DD195" si="156">IF(F132="",0,VLOOKUP(F132,MATERIAL,10,FALSE()))</f>
        <v>0</v>
      </c>
      <c r="DE132" s="75">
        <f t="shared" ref="DE132:DE195" si="157">IF(G132="",0,VLOOKUP(G132,MATERIAL,10,FALSE()))</f>
        <v>0</v>
      </c>
      <c r="DF132" s="75">
        <f t="shared" ref="DF132:DF195" si="158">IF(H132="",0,VLOOKUP(H132,MATERIAL,10,FALSE()))</f>
        <v>0</v>
      </c>
      <c r="DG132" s="75">
        <f t="shared" ref="DG132:DG195" si="159">IF(I132="",0,VLOOKUP(I132,MATERIAL,10,FALSE()))</f>
        <v>0</v>
      </c>
      <c r="DH132" s="89">
        <f t="shared" ref="DH132:DH195" si="160">IF(J132="",0,VLOOKUP(J132,MATERIAL,10,FALSE()))</f>
        <v>1</v>
      </c>
      <c r="DI132" s="75">
        <f t="shared" ref="DI132:DI195" si="161">IF(K132="",0,VLOOKUP(K132,MATERIAL,10,FALSE()))</f>
        <v>1</v>
      </c>
      <c r="DJ132" s="75">
        <f t="shared" ref="DJ132:DJ195" si="162">IF(L132="",0,VLOOKUP(L132,MATERIAL,10,FALSE()))</f>
        <v>0</v>
      </c>
      <c r="DK132" s="89">
        <f t="shared" ref="DK132:DK195" si="163">IF(M132="",0,VLOOKUP(M132,MATERIAL,10,FALSE()))</f>
        <v>0</v>
      </c>
      <c r="DL132" s="75">
        <f t="shared" ref="DL132:DL195" si="164">IF(N132="",0,VLOOKUP(N132,MATERIAL,10,FALSE()))</f>
        <v>0</v>
      </c>
      <c r="DM132" s="75">
        <f t="shared" ref="DM132:DM195" si="165">IF(O132="",0,VLOOKUP(O132,MATERIAL,10,FALSE()))</f>
        <v>0</v>
      </c>
      <c r="DN132" s="90">
        <f t="shared" ref="DN132:DN195" si="166">IF(P132="",0,VLOOKUP(P132,MATERIAL,10,FALSE()))</f>
        <v>0</v>
      </c>
      <c r="DO132" s="91">
        <f>IF(AN132="",0,VLOOKUP(B132,Tables!$B$3:$M$36,11,FALSE())*X$1)</f>
        <v>0</v>
      </c>
      <c r="DP132" s="92">
        <f>IF(AO132="",0,VLOOKUP(C132,Tables!$B$3:$M$36,11,FALSE())*Y$1)</f>
        <v>0</v>
      </c>
      <c r="DQ132" s="92">
        <f>IF(AP132="",0,VLOOKUP(D132,Tables!$B$3:$M$36,11,FALSE())*Z$1)</f>
        <v>0</v>
      </c>
      <c r="DR132" s="91">
        <f>IF(AQ132="",0,VLOOKUP(E132,Tables!$B$3:$M$36,11,FALSE())*AA$1)</f>
        <v>0</v>
      </c>
      <c r="DS132" s="92">
        <f>IF(AR132="",0,VLOOKUP(F132,Tables!$B$3:$M$36,11,FALSE())*AB$1)</f>
        <v>0</v>
      </c>
      <c r="DT132" s="92">
        <f>IF(AS132="",0,VLOOKUP(G132,Tables!$B$3:$M$36,11,FALSE())*AC$1)</f>
        <v>0</v>
      </c>
      <c r="DU132" s="92">
        <f>IF(AT132="",0,VLOOKUP(H132,Tables!$B$3:$M$36,11,FALSE())*AD$1)</f>
        <v>0</v>
      </c>
      <c r="DV132" s="92">
        <f>IF(AU132="",0,VLOOKUP(I132,Tables!$B$3:$M$36,11,FALSE())*AE$1)</f>
        <v>0</v>
      </c>
      <c r="DW132" s="91">
        <f>IF(AV132="",0,VLOOKUP(J132,Tables!$B$3:$M$36,11,FALSE())*AF$1)</f>
        <v>2.4</v>
      </c>
      <c r="DX132" s="92">
        <f>IF(AW132="",0,VLOOKUP(K132,Tables!$B$3:$M$36,11,FALSE())*AG$1)</f>
        <v>2.4</v>
      </c>
      <c r="DY132" s="92">
        <f>IF(AX132="",0,VLOOKUP(L132,Tables!$B$3:$M$36,11,FALSE())*AH$1)</f>
        <v>0</v>
      </c>
      <c r="DZ132" s="91">
        <f>IF(AY132="",0,VLOOKUP(M132,Tables!$B$3:$M$36,11,FALSE())*AI$1)</f>
        <v>0</v>
      </c>
      <c r="EA132" s="92">
        <f>IF(AZ132="",0,VLOOKUP(N132,Tables!$B$3:$M$36,11,FALSE())*AJ$1)</f>
        <v>0</v>
      </c>
      <c r="EB132" s="92">
        <f>IF(BA132="",0,VLOOKUP(O132,Tables!$B$3:$M$36,11,FALSE())*AK$1)</f>
        <v>0</v>
      </c>
      <c r="EC132" s="93">
        <f>IF(BB132="",0,VLOOKUP(P132,Tables!$B$3:$M$36,11,FALSE())*AL$1)</f>
        <v>0</v>
      </c>
      <c r="ED132" s="91">
        <f>IF(AN132="",0,VLOOKUP(B132,Tables!$B$3:$M$36,12,FALSE())*X$1)</f>
        <v>0</v>
      </c>
      <c r="EE132" s="92">
        <f>IF(AO132="",0,VLOOKUP(C132,Tables!$B$3:$M$36,12,FALSE())*Y$1)</f>
        <v>0</v>
      </c>
      <c r="EF132" s="92">
        <f>IF(AP132="",0,VLOOKUP(D132,Tables!$B$3:$M$36,12,FALSE())*Z$1)</f>
        <v>0</v>
      </c>
      <c r="EG132" s="91">
        <f>IF(AQ132="",0,VLOOKUP(E132,Tables!$B$3:$M$36,12,FALSE())*AA$1)</f>
        <v>0</v>
      </c>
      <c r="EH132" s="92">
        <f>IF(AR132="",0,VLOOKUP(F132,Tables!$B$3:$M$36,12,FALSE())*AB$1)</f>
        <v>0</v>
      </c>
      <c r="EI132" s="92">
        <f>IF(AS132="",0,VLOOKUP(G132,Tables!$B$3:$M$36,12,FALSE())*AC$1)</f>
        <v>0</v>
      </c>
      <c r="EJ132" s="92">
        <f>IF(AT132="",0,VLOOKUP(H132,Tables!$B$3:$M$36,12,FALSE())*AD$1)</f>
        <v>0</v>
      </c>
      <c r="EK132" s="92">
        <f>IF(AU132="",0,VLOOKUP(I132,Tables!$B$3:$M$36,12,FALSE())*AE$1)</f>
        <v>0</v>
      </c>
      <c r="EL132" s="91">
        <f>IF(AV132="",0,VLOOKUP(J132,Tables!$B$3:$M$36,12,FALSE())*AF$1)</f>
        <v>38.4</v>
      </c>
      <c r="EM132" s="92">
        <f>IF(AW132="",0,VLOOKUP(K132,Tables!$B$3:$M$36,12,FALSE())*AG$1)</f>
        <v>38.4</v>
      </c>
      <c r="EN132" s="92">
        <f>IF(AX132="",0,VLOOKUP(L132,Tables!$B$3:$M$36,12,FALSE())*AH$1)</f>
        <v>0</v>
      </c>
      <c r="EO132" s="91">
        <f>IF(AY132="",0,VLOOKUP(M132,Tables!$B$3:$M$36,12,FALSE())*AI$1)</f>
        <v>0</v>
      </c>
      <c r="EP132" s="92">
        <f>IF(AZ132="",0,VLOOKUP(N132,Tables!$B$3:$M$36,12,FALSE())*AJ$1)</f>
        <v>0</v>
      </c>
      <c r="EQ132" s="92">
        <f>IF(BA132="",0,VLOOKUP(O132,Tables!$B$3:$M$36,12,FALSE())*AK$1)</f>
        <v>0</v>
      </c>
      <c r="ER132" s="93">
        <f>IF(BB132="",0,VLOOKUP(P132,Tables!$B$3:$M$36,12,FALSE())*AL$1)</f>
        <v>0</v>
      </c>
      <c r="ES132" s="94">
        <f t="shared" ref="ES132:ES195" si="167">IF(MIN(ET132:FH132)=10,0,MIN(ET132:FH132))</f>
        <v>0</v>
      </c>
      <c r="ET132" s="95">
        <f>IF(AN132="",10,MIN(VLOOKUP(B132,MATERIAL,13,FALSE()),'Item Builder'!$W132))</f>
        <v>10</v>
      </c>
      <c r="EU132" s="95">
        <f>IF(AO132="",10,MIN(VLOOKUP(C132,MATERIAL,13,FALSE()),'Item Builder'!$W132))</f>
        <v>10</v>
      </c>
      <c r="EV132" s="95">
        <f>IF(AP132="",10,MIN(VLOOKUP(D132,MATERIAL,13,FALSE()),'Item Builder'!$W132))</f>
        <v>10</v>
      </c>
      <c r="EW132" s="95">
        <f>IF(AQ132="",10,MIN(VLOOKUP(E132,MATERIAL,13,FALSE()),'Item Builder'!$W132))</f>
        <v>10</v>
      </c>
      <c r="EX132" s="95">
        <f>IF(AR132="",10,MIN(VLOOKUP(F132,MATERIAL,13,FALSE()),'Item Builder'!$W132))</f>
        <v>10</v>
      </c>
      <c r="EY132" s="95">
        <f>IF(AS132="",10,MIN(VLOOKUP(G132,MATERIAL,13,FALSE()),'Item Builder'!$W132))</f>
        <v>10</v>
      </c>
      <c r="EZ132" s="95">
        <f>IF(AT132="",10,MIN(VLOOKUP(H132,MATERIAL,13,FALSE()),'Item Builder'!$W132))</f>
        <v>10</v>
      </c>
      <c r="FA132" s="95">
        <f>IF(AU132="",10,MIN(VLOOKUP(I132,MATERIAL,13,FALSE()),'Item Builder'!$W132))</f>
        <v>10</v>
      </c>
      <c r="FB132" s="95">
        <f>IF(AV132="",10,MIN(VLOOKUP(J132,MATERIAL,13,FALSE()),'Item Builder'!$W132))</f>
        <v>0</v>
      </c>
      <c r="FC132" s="95">
        <f>IF(AW132="",10,MIN(VLOOKUP(K132,MATERIAL,13,FALSE()),'Item Builder'!$W132))</f>
        <v>0</v>
      </c>
      <c r="FD132" s="95">
        <f>IF(AX132="",10,MIN(VLOOKUP(L132,MATERIAL,13,FALSE()),'Item Builder'!$W132))</f>
        <v>10</v>
      </c>
      <c r="FE132" s="95">
        <f>IF(AY132="",10,MIN(VLOOKUP(M132,MATERIAL,13,FALSE()),'Item Builder'!$W132))</f>
        <v>10</v>
      </c>
      <c r="FF132" s="95">
        <f>IF(AZ132="",10,MIN(VLOOKUP(N132,MATERIAL,13,FALSE()),'Item Builder'!$W132))</f>
        <v>10</v>
      </c>
      <c r="FG132" s="95">
        <f>IF(BA132="",10,MIN(VLOOKUP(O132,MATERIAL,13,FALSE()),'Item Builder'!$W132))</f>
        <v>10</v>
      </c>
      <c r="FH132" s="95">
        <f>IF(BB132="",10,MIN(VLOOKUP(P132,MATERIAL,13,FALSE()),'Item Builder'!$W132))</f>
        <v>10</v>
      </c>
    </row>
    <row r="133" spans="1:164" x14ac:dyDescent="0.25">
      <c r="A133" s="67" t="s">
        <v>273</v>
      </c>
      <c r="B133" s="68"/>
      <c r="C133" s="69"/>
      <c r="D133" s="70"/>
      <c r="E133" s="68" t="s">
        <v>165</v>
      </c>
      <c r="F133" s="69" t="s">
        <v>165</v>
      </c>
      <c r="G133" s="69"/>
      <c r="H133" s="69"/>
      <c r="I133" s="70"/>
      <c r="J133" s="68" t="s">
        <v>165</v>
      </c>
      <c r="K133" s="69" t="s">
        <v>165</v>
      </c>
      <c r="L133" s="70"/>
      <c r="M133" s="68"/>
      <c r="N133" s="69"/>
      <c r="O133" s="69"/>
      <c r="P133" s="71"/>
      <c r="Q133" s="72">
        <f>SUM(BV133:CJ133)*VLOOKUP(W133,Tables!$W$3:$Z$8,4)</f>
        <v>132</v>
      </c>
      <c r="R133" s="73">
        <f t="shared" si="112"/>
        <v>1.65</v>
      </c>
      <c r="S133" s="74">
        <f t="shared" si="113"/>
        <v>0</v>
      </c>
      <c r="T133" s="74">
        <f t="shared" si="114"/>
        <v>0</v>
      </c>
      <c r="U133" s="75">
        <f t="shared" si="115"/>
        <v>6.6</v>
      </c>
      <c r="V133" s="76">
        <f t="shared" si="116"/>
        <v>105.6</v>
      </c>
      <c r="W133" s="77">
        <v>0</v>
      </c>
      <c r="X133" s="78">
        <f t="shared" si="117"/>
        <v>0</v>
      </c>
      <c r="Y133" s="79">
        <f t="shared" si="118"/>
        <v>0</v>
      </c>
      <c r="Z133" s="79">
        <f t="shared" si="119"/>
        <v>0</v>
      </c>
      <c r="AA133" s="78">
        <f t="shared" si="120"/>
        <v>1</v>
      </c>
      <c r="AB133" s="79">
        <f t="shared" si="121"/>
        <v>1</v>
      </c>
      <c r="AC133" s="79">
        <f t="shared" si="122"/>
        <v>0</v>
      </c>
      <c r="AD133" s="79">
        <f t="shared" si="123"/>
        <v>0</v>
      </c>
      <c r="AE133" s="79">
        <f t="shared" si="124"/>
        <v>0</v>
      </c>
      <c r="AF133" s="78">
        <f t="shared" si="125"/>
        <v>1</v>
      </c>
      <c r="AG133" s="79">
        <f t="shared" si="126"/>
        <v>1</v>
      </c>
      <c r="AH133" s="79">
        <f t="shared" si="127"/>
        <v>0</v>
      </c>
      <c r="AI133" s="78">
        <f t="shared" si="128"/>
        <v>0</v>
      </c>
      <c r="AJ133" s="79">
        <f t="shared" si="129"/>
        <v>0</v>
      </c>
      <c r="AK133" s="79">
        <f t="shared" si="130"/>
        <v>0</v>
      </c>
      <c r="AL133" s="80">
        <f t="shared" si="131"/>
        <v>0</v>
      </c>
      <c r="AM133" s="81">
        <f t="shared" si="132"/>
        <v>0.32999999999999996</v>
      </c>
      <c r="AN133" s="82" t="str">
        <f t="shared" si="133"/>
        <v/>
      </c>
      <c r="AO133" s="79" t="str">
        <f t="shared" si="134"/>
        <v/>
      </c>
      <c r="AP133" t="str">
        <f t="shared" si="135"/>
        <v/>
      </c>
      <c r="AQ133" s="82" t="str">
        <f t="shared" si="136"/>
        <v>C</v>
      </c>
      <c r="AR133" t="str">
        <f t="shared" si="137"/>
        <v>C</v>
      </c>
      <c r="AS133" t="str">
        <f t="shared" si="138"/>
        <v/>
      </c>
      <c r="AT133" t="str">
        <f t="shared" si="139"/>
        <v/>
      </c>
      <c r="AU133" t="str">
        <f t="shared" si="140"/>
        <v/>
      </c>
      <c r="AV133" s="82" t="str">
        <f t="shared" si="141"/>
        <v>C</v>
      </c>
      <c r="AW133" t="str">
        <f t="shared" si="142"/>
        <v>C</v>
      </c>
      <c r="AX133" t="str">
        <f t="shared" si="143"/>
        <v/>
      </c>
      <c r="AY133" s="82" t="str">
        <f t="shared" si="144"/>
        <v/>
      </c>
      <c r="AZ133" t="str">
        <f t="shared" si="145"/>
        <v/>
      </c>
      <c r="BA133" t="str">
        <f t="shared" si="146"/>
        <v/>
      </c>
      <c r="BB133" s="83" t="str">
        <f t="shared" si="147"/>
        <v/>
      </c>
      <c r="BC133" s="84">
        <f t="shared" si="148"/>
        <v>0</v>
      </c>
      <c r="BD133" s="84">
        <f t="shared" si="149"/>
        <v>0.42857142857142849</v>
      </c>
      <c r="BE133" s="84">
        <f t="shared" si="150"/>
        <v>0.70588235294117652</v>
      </c>
      <c r="BF133" s="84">
        <f t="shared" si="151"/>
        <v>0</v>
      </c>
      <c r="BG133" s="78">
        <f>IF(AN133="",0,VLOOKUP(AN133,Tables!$AB$3:$AC$12,2))</f>
        <v>0</v>
      </c>
      <c r="BH133" s="79">
        <f>IF(AO133="",0,VLOOKUP(AO133,Tables!$AB$3:$AC$12,2))</f>
        <v>0</v>
      </c>
      <c r="BI133" s="79">
        <f>IF(AP133="",0,VLOOKUP(AP133,Tables!$AB$3:$AC$12,2))</f>
        <v>0</v>
      </c>
      <c r="BJ133" s="78">
        <f>IF(AQ133="",0,VLOOKUP(AQ133,Tables!$AB$3:$AC$12,2))</f>
        <v>1</v>
      </c>
      <c r="BK133" s="79">
        <f>IF(AR133="",0,VLOOKUP(AR133,Tables!$AB$3:$AC$12,2))</f>
        <v>1</v>
      </c>
      <c r="BL133" s="79">
        <f>IF(AS133="",0,VLOOKUP(AS133,Tables!$AB$3:$AC$12,2))</f>
        <v>0</v>
      </c>
      <c r="BM133" s="79">
        <f>IF(AT133="",0,VLOOKUP(AT133,Tables!$AB$3:$AC$12,2))</f>
        <v>0</v>
      </c>
      <c r="BN133" s="79">
        <f>IF(AU133="",0,VLOOKUP(AU133,Tables!$AB$3:$AC$12,2))</f>
        <v>0</v>
      </c>
      <c r="BO133" s="78">
        <f>IF(AV133="",0,VLOOKUP(AV133,Tables!$AB$3:$AC$12,2))</f>
        <v>1</v>
      </c>
      <c r="BP133" s="79">
        <f>IF(AW133="",0,VLOOKUP(AW133,Tables!$AB$3:$AC$12,2))</f>
        <v>1</v>
      </c>
      <c r="BQ133" s="79">
        <f>IF(AX133="",0,VLOOKUP(AX133,Tables!$AB$3:$AC$12,2))</f>
        <v>0</v>
      </c>
      <c r="BR133" s="78">
        <f>IF(AY133="",0,VLOOKUP(AY133,Tables!$AB$3:$AC$12,2))</f>
        <v>0</v>
      </c>
      <c r="BS133" s="79">
        <f>IF(AZ133="",0,VLOOKUP(AZ133,Tables!$AB$3:$AC$12,2))</f>
        <v>0</v>
      </c>
      <c r="BT133" s="79">
        <f>IF(BA133="",0,VLOOKUP(BA133,Tables!$AB$3:$AC$12,2))</f>
        <v>0</v>
      </c>
      <c r="BU133" s="80">
        <f>IF(BB133="",0,VLOOKUP(BB133,Tables!$AB$3:$AC$12,2))</f>
        <v>0</v>
      </c>
      <c r="BV133" s="85">
        <f>IF(AN133="",0,VLOOKUP(B133,Tables!$B$3:$D$36,2,FALSE())*X$1)</f>
        <v>0</v>
      </c>
      <c r="BW133" s="72">
        <f>IF(AO133="",0,VLOOKUP(C133,Tables!$B$3:$D$36,2,FALSE())*Y$1)</f>
        <v>0</v>
      </c>
      <c r="BX133" s="72">
        <f>IF(AP133="",0,VLOOKUP(D133,Tables!$B$3:$D$36,2,FALSE())*Z$1)</f>
        <v>0</v>
      </c>
      <c r="BY133" s="85">
        <f>IF(AQ133="",0,VLOOKUP(E133,Tables!$B$3:$D$36,2,FALSE())*AA$1)</f>
        <v>12</v>
      </c>
      <c r="BZ133" s="72">
        <f>IF(AR133="",0,VLOOKUP(F133,Tables!$B$3:$D$36,2,FALSE())*AB$1)</f>
        <v>24</v>
      </c>
      <c r="CA133" s="72">
        <f>IF(AS133="",0,VLOOKUP(G133,Tables!$B$3:$D$36,2,FALSE())*AC$1)</f>
        <v>0</v>
      </c>
      <c r="CB133" s="72">
        <f>IF(AT133="",0,VLOOKUP(H133,Tables!$B$3:$D$36,2,FALSE())*AD$1)</f>
        <v>0</v>
      </c>
      <c r="CC133" s="72">
        <f>IF(AU133="",0,VLOOKUP(I133,Tables!$B$3:$D$36,2,FALSE())*AE$1)</f>
        <v>0</v>
      </c>
      <c r="CD133" s="85">
        <f>IF(AV133="",0,VLOOKUP(J133,Tables!$B$3:$D$36,2,FALSE())*AF$1)</f>
        <v>48</v>
      </c>
      <c r="CE133" s="72">
        <f>IF(AW133="",0,VLOOKUP(K133,Tables!$B$3:$D$36,2,FALSE())*AG$1)</f>
        <v>48</v>
      </c>
      <c r="CF133" s="72">
        <f>IF(AX133="",0,VLOOKUP(L133,Tables!$B$3:$D$36,2,FALSE())*AH$1)</f>
        <v>0</v>
      </c>
      <c r="CG133" s="85">
        <f>IF(AY133="",0,VLOOKUP(M133,Tables!$B$3:$D$36,2,FALSE())*AI$1)</f>
        <v>0</v>
      </c>
      <c r="CH133" s="72">
        <f>IF(AZ133="",0,VLOOKUP(N133,Tables!$B$3:$D$36,2,FALSE())*AJ$1)</f>
        <v>0</v>
      </c>
      <c r="CI133" s="72">
        <f>IF(BA133="",0,VLOOKUP(O133,Tables!$B$3:$D$36,2,FALSE())*AK$1)</f>
        <v>0</v>
      </c>
      <c r="CJ133" s="86">
        <f>IF(BB133="",0,VLOOKUP(P133,Tables!$B$3:$D$36,2,FALSE())*AL$1)</f>
        <v>0</v>
      </c>
      <c r="CK133" s="87">
        <f>IF(AN133="",0,VLOOKUP(B133,Tables!$B$3:$D$36,3,FALSE())*X$1)*IF(OR(AN133="K",AN133="P"),2,1)</f>
        <v>0</v>
      </c>
      <c r="CL133" s="73">
        <f>IF(AO133="",0,VLOOKUP(C133,Tables!$B$3:$D$36,3,FALSE())*Y$1)*IF(OR(AO133="K",AO133="P"),2,1)</f>
        <v>0</v>
      </c>
      <c r="CM133" s="73">
        <f>IF(AP133="",0,VLOOKUP(D133,Tables!$B$3:$D$36,3,FALSE())*Z$1)*IF(OR(AP133="K",AP133="P"),2,1)</f>
        <v>0</v>
      </c>
      <c r="CN133" s="87">
        <f>IF(AQ133="",0,VLOOKUP(E133,Tables!$B$3:$D$36,3,FALSE())*AA$1)</f>
        <v>0.15</v>
      </c>
      <c r="CO133" s="73">
        <f>IF(AR133="",0,VLOOKUP(F133,Tables!$B$3:$D$36,3,FALSE())*AB$1)</f>
        <v>0.3</v>
      </c>
      <c r="CP133" s="73">
        <f>IF(AS133="",0,VLOOKUP(G133,Tables!$B$3:$D$36,3,FALSE())*AC$1)</f>
        <v>0</v>
      </c>
      <c r="CQ133" s="73">
        <f>IF(AT133="",0,VLOOKUP(H133,Tables!$B$3:$D$36,3,FALSE())*AD$1)</f>
        <v>0</v>
      </c>
      <c r="CR133" s="73">
        <f>IF(AU133="",0,VLOOKUP(I133,Tables!$B$3:$D$36,3,FALSE())*AE$1)</f>
        <v>0</v>
      </c>
      <c r="CS133" s="87">
        <f>IF(AV133="",0,VLOOKUP(J133,Tables!$B$3:$D$36,3,FALSE())*AF$1)</f>
        <v>0.6</v>
      </c>
      <c r="CT133" s="73">
        <f>IF(AW133="",0,VLOOKUP(K133,Tables!$B$3:$D$36,3,FALSE())*AG$1)</f>
        <v>0.6</v>
      </c>
      <c r="CU133" s="73">
        <f>IF(AX133="",0,VLOOKUP(L133,Tables!$B$3:$D$36,3,FALSE())*AH$1)</f>
        <v>0</v>
      </c>
      <c r="CV133" s="87">
        <f>IF(AY133="",0,VLOOKUP(M133,Tables!$B$3:$D$36,3,FALSE())*AI$1)</f>
        <v>0</v>
      </c>
      <c r="CW133" s="73">
        <f>IF(AZ133="",0,VLOOKUP(N133,Tables!$B$3:$D$36,3,FALSE())*AJ$1)</f>
        <v>0</v>
      </c>
      <c r="CX133" s="73">
        <f>IF(BA133="",0,VLOOKUP(O133,Tables!$B$3:$D$36,3,FALSE())*AK$1)</f>
        <v>0</v>
      </c>
      <c r="CY133" s="88">
        <f>IF(BB133="",0,VLOOKUP(P133,Tables!$B$3:$D$36,3,FALSE())*AL$1)</f>
        <v>0</v>
      </c>
      <c r="CZ133" s="89">
        <f t="shared" si="152"/>
        <v>0</v>
      </c>
      <c r="DA133" s="75">
        <f t="shared" si="153"/>
        <v>0</v>
      </c>
      <c r="DB133" s="75">
        <f t="shared" si="154"/>
        <v>0</v>
      </c>
      <c r="DC133" s="89">
        <f t="shared" si="155"/>
        <v>1</v>
      </c>
      <c r="DD133" s="75">
        <f t="shared" si="156"/>
        <v>1</v>
      </c>
      <c r="DE133" s="75">
        <f t="shared" si="157"/>
        <v>0</v>
      </c>
      <c r="DF133" s="75">
        <f t="shared" si="158"/>
        <v>0</v>
      </c>
      <c r="DG133" s="75">
        <f t="shared" si="159"/>
        <v>0</v>
      </c>
      <c r="DH133" s="89">
        <f t="shared" si="160"/>
        <v>1</v>
      </c>
      <c r="DI133" s="75">
        <f t="shared" si="161"/>
        <v>1</v>
      </c>
      <c r="DJ133" s="75">
        <f t="shared" si="162"/>
        <v>0</v>
      </c>
      <c r="DK133" s="89">
        <f t="shared" si="163"/>
        <v>0</v>
      </c>
      <c r="DL133" s="75">
        <f t="shared" si="164"/>
        <v>0</v>
      </c>
      <c r="DM133" s="75">
        <f t="shared" si="165"/>
        <v>0</v>
      </c>
      <c r="DN133" s="90">
        <f t="shared" si="166"/>
        <v>0</v>
      </c>
      <c r="DO133" s="91">
        <f>IF(AN133="",0,VLOOKUP(B133,Tables!$B$3:$M$36,11,FALSE())*X$1)</f>
        <v>0</v>
      </c>
      <c r="DP133" s="92">
        <f>IF(AO133="",0,VLOOKUP(C133,Tables!$B$3:$M$36,11,FALSE())*Y$1)</f>
        <v>0</v>
      </c>
      <c r="DQ133" s="92">
        <f>IF(AP133="",0,VLOOKUP(D133,Tables!$B$3:$M$36,11,FALSE())*Z$1)</f>
        <v>0</v>
      </c>
      <c r="DR133" s="91">
        <f>IF(AQ133="",0,VLOOKUP(E133,Tables!$B$3:$M$36,11,FALSE())*AA$1)</f>
        <v>0.6</v>
      </c>
      <c r="DS133" s="92">
        <f>IF(AR133="",0,VLOOKUP(F133,Tables!$B$3:$M$36,11,FALSE())*AB$1)</f>
        <v>1.2</v>
      </c>
      <c r="DT133" s="92">
        <f>IF(AS133="",0,VLOOKUP(G133,Tables!$B$3:$M$36,11,FALSE())*AC$1)</f>
        <v>0</v>
      </c>
      <c r="DU133" s="92">
        <f>IF(AT133="",0,VLOOKUP(H133,Tables!$B$3:$M$36,11,FALSE())*AD$1)</f>
        <v>0</v>
      </c>
      <c r="DV133" s="92">
        <f>IF(AU133="",0,VLOOKUP(I133,Tables!$B$3:$M$36,11,FALSE())*AE$1)</f>
        <v>0</v>
      </c>
      <c r="DW133" s="91">
        <f>IF(AV133="",0,VLOOKUP(J133,Tables!$B$3:$M$36,11,FALSE())*AF$1)</f>
        <v>2.4</v>
      </c>
      <c r="DX133" s="92">
        <f>IF(AW133="",0,VLOOKUP(K133,Tables!$B$3:$M$36,11,FALSE())*AG$1)</f>
        <v>2.4</v>
      </c>
      <c r="DY133" s="92">
        <f>IF(AX133="",0,VLOOKUP(L133,Tables!$B$3:$M$36,11,FALSE())*AH$1)</f>
        <v>0</v>
      </c>
      <c r="DZ133" s="91">
        <f>IF(AY133="",0,VLOOKUP(M133,Tables!$B$3:$M$36,11,FALSE())*AI$1)</f>
        <v>0</v>
      </c>
      <c r="EA133" s="92">
        <f>IF(AZ133="",0,VLOOKUP(N133,Tables!$B$3:$M$36,11,FALSE())*AJ$1)</f>
        <v>0</v>
      </c>
      <c r="EB133" s="92">
        <f>IF(BA133="",0,VLOOKUP(O133,Tables!$B$3:$M$36,11,FALSE())*AK$1)</f>
        <v>0</v>
      </c>
      <c r="EC133" s="93">
        <f>IF(BB133="",0,VLOOKUP(P133,Tables!$B$3:$M$36,11,FALSE())*AL$1)</f>
        <v>0</v>
      </c>
      <c r="ED133" s="91">
        <f>IF(AN133="",0,VLOOKUP(B133,Tables!$B$3:$M$36,12,FALSE())*X$1)</f>
        <v>0</v>
      </c>
      <c r="EE133" s="92">
        <f>IF(AO133="",0,VLOOKUP(C133,Tables!$B$3:$M$36,12,FALSE())*Y$1)</f>
        <v>0</v>
      </c>
      <c r="EF133" s="92">
        <f>IF(AP133="",0,VLOOKUP(D133,Tables!$B$3:$M$36,12,FALSE())*Z$1)</f>
        <v>0</v>
      </c>
      <c r="EG133" s="91">
        <f>IF(AQ133="",0,VLOOKUP(E133,Tables!$B$3:$M$36,12,FALSE())*AA$1)</f>
        <v>9.6</v>
      </c>
      <c r="EH133" s="92">
        <f>IF(AR133="",0,VLOOKUP(F133,Tables!$B$3:$M$36,12,FALSE())*AB$1)</f>
        <v>19.2</v>
      </c>
      <c r="EI133" s="92">
        <f>IF(AS133="",0,VLOOKUP(G133,Tables!$B$3:$M$36,12,FALSE())*AC$1)</f>
        <v>0</v>
      </c>
      <c r="EJ133" s="92">
        <f>IF(AT133="",0,VLOOKUP(H133,Tables!$B$3:$M$36,12,FALSE())*AD$1)</f>
        <v>0</v>
      </c>
      <c r="EK133" s="92">
        <f>IF(AU133="",0,VLOOKUP(I133,Tables!$B$3:$M$36,12,FALSE())*AE$1)</f>
        <v>0</v>
      </c>
      <c r="EL133" s="91">
        <f>IF(AV133="",0,VLOOKUP(J133,Tables!$B$3:$M$36,12,FALSE())*AF$1)</f>
        <v>38.4</v>
      </c>
      <c r="EM133" s="92">
        <f>IF(AW133="",0,VLOOKUP(K133,Tables!$B$3:$M$36,12,FALSE())*AG$1)</f>
        <v>38.4</v>
      </c>
      <c r="EN133" s="92">
        <f>IF(AX133="",0,VLOOKUP(L133,Tables!$B$3:$M$36,12,FALSE())*AH$1)</f>
        <v>0</v>
      </c>
      <c r="EO133" s="91">
        <f>IF(AY133="",0,VLOOKUP(M133,Tables!$B$3:$M$36,12,FALSE())*AI$1)</f>
        <v>0</v>
      </c>
      <c r="EP133" s="92">
        <f>IF(AZ133="",0,VLOOKUP(N133,Tables!$B$3:$M$36,12,FALSE())*AJ$1)</f>
        <v>0</v>
      </c>
      <c r="EQ133" s="92">
        <f>IF(BA133="",0,VLOOKUP(O133,Tables!$B$3:$M$36,12,FALSE())*AK$1)</f>
        <v>0</v>
      </c>
      <c r="ER133" s="93">
        <f>IF(BB133="",0,VLOOKUP(P133,Tables!$B$3:$M$36,12,FALSE())*AL$1)</f>
        <v>0</v>
      </c>
      <c r="ES133" s="94">
        <f t="shared" si="167"/>
        <v>0</v>
      </c>
      <c r="ET133" s="95">
        <f>IF(AN133="",10,MIN(VLOOKUP(B133,MATERIAL,13,FALSE()),'Item Builder'!$W133))</f>
        <v>10</v>
      </c>
      <c r="EU133" s="95">
        <f>IF(AO133="",10,MIN(VLOOKUP(C133,MATERIAL,13,FALSE()),'Item Builder'!$W133))</f>
        <v>10</v>
      </c>
      <c r="EV133" s="95">
        <f>IF(AP133="",10,MIN(VLOOKUP(D133,MATERIAL,13,FALSE()),'Item Builder'!$W133))</f>
        <v>10</v>
      </c>
      <c r="EW133" s="95">
        <f>IF(AQ133="",10,MIN(VLOOKUP(E133,MATERIAL,13,FALSE()),'Item Builder'!$W133))</f>
        <v>0</v>
      </c>
      <c r="EX133" s="95">
        <f>IF(AR133="",10,MIN(VLOOKUP(F133,MATERIAL,13,FALSE()),'Item Builder'!$W133))</f>
        <v>0</v>
      </c>
      <c r="EY133" s="95">
        <f>IF(AS133="",10,MIN(VLOOKUP(G133,MATERIAL,13,FALSE()),'Item Builder'!$W133))</f>
        <v>10</v>
      </c>
      <c r="EZ133" s="95">
        <f>IF(AT133="",10,MIN(VLOOKUP(H133,MATERIAL,13,FALSE()),'Item Builder'!$W133))</f>
        <v>10</v>
      </c>
      <c r="FA133" s="95">
        <f>IF(AU133="",10,MIN(VLOOKUP(I133,MATERIAL,13,FALSE()),'Item Builder'!$W133))</f>
        <v>10</v>
      </c>
      <c r="FB133" s="95">
        <f>IF(AV133="",10,MIN(VLOOKUP(J133,MATERIAL,13,FALSE()),'Item Builder'!$W133))</f>
        <v>0</v>
      </c>
      <c r="FC133" s="95">
        <f>IF(AW133="",10,MIN(VLOOKUP(K133,MATERIAL,13,FALSE()),'Item Builder'!$W133))</f>
        <v>0</v>
      </c>
      <c r="FD133" s="95">
        <f>IF(AX133="",10,MIN(VLOOKUP(L133,MATERIAL,13,FALSE()),'Item Builder'!$W133))</f>
        <v>10</v>
      </c>
      <c r="FE133" s="95">
        <f>IF(AY133="",10,MIN(VLOOKUP(M133,MATERIAL,13,FALSE()),'Item Builder'!$W133))</f>
        <v>10</v>
      </c>
      <c r="FF133" s="95">
        <f>IF(AZ133="",10,MIN(VLOOKUP(N133,MATERIAL,13,FALSE()),'Item Builder'!$W133))</f>
        <v>10</v>
      </c>
      <c r="FG133" s="95">
        <f>IF(BA133="",10,MIN(VLOOKUP(O133,MATERIAL,13,FALSE()),'Item Builder'!$W133))</f>
        <v>10</v>
      </c>
      <c r="FH133" s="95">
        <f>IF(BB133="",10,MIN(VLOOKUP(P133,MATERIAL,13,FALSE()),'Item Builder'!$W133))</f>
        <v>10</v>
      </c>
    </row>
    <row r="134" spans="1:164" x14ac:dyDescent="0.25">
      <c r="A134" s="67" t="s">
        <v>274</v>
      </c>
      <c r="B134" s="68"/>
      <c r="C134" s="69"/>
      <c r="D134" s="70"/>
      <c r="E134" s="68" t="s">
        <v>165</v>
      </c>
      <c r="F134" s="69" t="s">
        <v>165</v>
      </c>
      <c r="G134" s="69" t="s">
        <v>165</v>
      </c>
      <c r="H134" s="69"/>
      <c r="I134" s="70"/>
      <c r="J134" s="68" t="s">
        <v>165</v>
      </c>
      <c r="K134" s="69" t="s">
        <v>165</v>
      </c>
      <c r="L134" s="70" t="s">
        <v>165</v>
      </c>
      <c r="M134" s="68"/>
      <c r="N134" s="69"/>
      <c r="O134" s="69"/>
      <c r="P134" s="71"/>
      <c r="Q134" s="72">
        <f>SUM(BV134:CJ134)*VLOOKUP(W134,Tables!$W$3:$Z$8,4)</f>
        <v>180</v>
      </c>
      <c r="R134" s="73">
        <f t="shared" si="112"/>
        <v>2.25</v>
      </c>
      <c r="S134" s="74">
        <f t="shared" si="113"/>
        <v>0</v>
      </c>
      <c r="T134" s="74">
        <f t="shared" si="114"/>
        <v>0</v>
      </c>
      <c r="U134" s="75">
        <f t="shared" si="115"/>
        <v>9</v>
      </c>
      <c r="V134" s="76">
        <f t="shared" si="116"/>
        <v>144</v>
      </c>
      <c r="W134" s="77">
        <v>0</v>
      </c>
      <c r="X134" s="78">
        <f t="shared" si="117"/>
        <v>0</v>
      </c>
      <c r="Y134" s="79">
        <f t="shared" si="118"/>
        <v>0</v>
      </c>
      <c r="Z134" s="79">
        <f t="shared" si="119"/>
        <v>0</v>
      </c>
      <c r="AA134" s="78">
        <f t="shared" si="120"/>
        <v>1</v>
      </c>
      <c r="AB134" s="79">
        <f t="shared" si="121"/>
        <v>1</v>
      </c>
      <c r="AC134" s="79">
        <f t="shared" si="122"/>
        <v>1</v>
      </c>
      <c r="AD134" s="79">
        <f t="shared" si="123"/>
        <v>0</v>
      </c>
      <c r="AE134" s="79">
        <f t="shared" si="124"/>
        <v>0</v>
      </c>
      <c r="AF134" s="78">
        <f t="shared" si="125"/>
        <v>1</v>
      </c>
      <c r="AG134" s="79">
        <f t="shared" si="126"/>
        <v>1</v>
      </c>
      <c r="AH134" s="79">
        <f t="shared" si="127"/>
        <v>1</v>
      </c>
      <c r="AI134" s="78">
        <f t="shared" si="128"/>
        <v>0</v>
      </c>
      <c r="AJ134" s="79">
        <f t="shared" si="129"/>
        <v>0</v>
      </c>
      <c r="AK134" s="79">
        <f t="shared" si="130"/>
        <v>0</v>
      </c>
      <c r="AL134" s="80">
        <f t="shared" si="131"/>
        <v>0</v>
      </c>
      <c r="AM134" s="81">
        <f t="shared" si="132"/>
        <v>0.44999999999999996</v>
      </c>
      <c r="AN134" s="82" t="str">
        <f t="shared" si="133"/>
        <v/>
      </c>
      <c r="AO134" s="79" t="str">
        <f t="shared" si="134"/>
        <v/>
      </c>
      <c r="AP134" t="str">
        <f t="shared" si="135"/>
        <v/>
      </c>
      <c r="AQ134" s="82" t="str">
        <f t="shared" si="136"/>
        <v>C</v>
      </c>
      <c r="AR134" t="str">
        <f t="shared" si="137"/>
        <v>C</v>
      </c>
      <c r="AS134" t="str">
        <f t="shared" si="138"/>
        <v>C</v>
      </c>
      <c r="AT134" t="str">
        <f t="shared" si="139"/>
        <v/>
      </c>
      <c r="AU134" t="str">
        <f t="shared" si="140"/>
        <v/>
      </c>
      <c r="AV134" s="82" t="str">
        <f t="shared" si="141"/>
        <v>C</v>
      </c>
      <c r="AW134" t="str">
        <f t="shared" si="142"/>
        <v>C</v>
      </c>
      <c r="AX134" t="str">
        <f t="shared" si="143"/>
        <v>C</v>
      </c>
      <c r="AY134" s="82" t="str">
        <f t="shared" si="144"/>
        <v/>
      </c>
      <c r="AZ134" t="str">
        <f t="shared" si="145"/>
        <v/>
      </c>
      <c r="BA134" t="str">
        <f t="shared" si="146"/>
        <v/>
      </c>
      <c r="BB134" s="83" t="str">
        <f t="shared" si="147"/>
        <v/>
      </c>
      <c r="BC134" s="84">
        <f t="shared" si="148"/>
        <v>0</v>
      </c>
      <c r="BD134" s="84">
        <f t="shared" si="149"/>
        <v>0.52380952380952372</v>
      </c>
      <c r="BE134" s="84">
        <f t="shared" si="150"/>
        <v>1</v>
      </c>
      <c r="BF134" s="84">
        <f t="shared" si="151"/>
        <v>0</v>
      </c>
      <c r="BG134" s="78">
        <f>IF(AN134="",0,VLOOKUP(AN134,Tables!$AB$3:$AC$12,2))</f>
        <v>0</v>
      </c>
      <c r="BH134" s="79">
        <f>IF(AO134="",0,VLOOKUP(AO134,Tables!$AB$3:$AC$12,2))</f>
        <v>0</v>
      </c>
      <c r="BI134" s="79">
        <f>IF(AP134="",0,VLOOKUP(AP134,Tables!$AB$3:$AC$12,2))</f>
        <v>0</v>
      </c>
      <c r="BJ134" s="78">
        <f>IF(AQ134="",0,VLOOKUP(AQ134,Tables!$AB$3:$AC$12,2))</f>
        <v>1</v>
      </c>
      <c r="BK134" s="79">
        <f>IF(AR134="",0,VLOOKUP(AR134,Tables!$AB$3:$AC$12,2))</f>
        <v>1</v>
      </c>
      <c r="BL134" s="79">
        <f>IF(AS134="",0,VLOOKUP(AS134,Tables!$AB$3:$AC$12,2))</f>
        <v>1</v>
      </c>
      <c r="BM134" s="79">
        <f>IF(AT134="",0,VLOOKUP(AT134,Tables!$AB$3:$AC$12,2))</f>
        <v>0</v>
      </c>
      <c r="BN134" s="79">
        <f>IF(AU134="",0,VLOOKUP(AU134,Tables!$AB$3:$AC$12,2))</f>
        <v>0</v>
      </c>
      <c r="BO134" s="78">
        <f>IF(AV134="",0,VLOOKUP(AV134,Tables!$AB$3:$AC$12,2))</f>
        <v>1</v>
      </c>
      <c r="BP134" s="79">
        <f>IF(AW134="",0,VLOOKUP(AW134,Tables!$AB$3:$AC$12,2))</f>
        <v>1</v>
      </c>
      <c r="BQ134" s="79">
        <f>IF(AX134="",0,VLOOKUP(AX134,Tables!$AB$3:$AC$12,2))</f>
        <v>1</v>
      </c>
      <c r="BR134" s="78">
        <f>IF(AY134="",0,VLOOKUP(AY134,Tables!$AB$3:$AC$12,2))</f>
        <v>0</v>
      </c>
      <c r="BS134" s="79">
        <f>IF(AZ134="",0,VLOOKUP(AZ134,Tables!$AB$3:$AC$12,2))</f>
        <v>0</v>
      </c>
      <c r="BT134" s="79">
        <f>IF(BA134="",0,VLOOKUP(BA134,Tables!$AB$3:$AC$12,2))</f>
        <v>0</v>
      </c>
      <c r="BU134" s="80">
        <f>IF(BB134="",0,VLOOKUP(BB134,Tables!$AB$3:$AC$12,2))</f>
        <v>0</v>
      </c>
      <c r="BV134" s="85">
        <f>IF(AN134="",0,VLOOKUP(B134,Tables!$B$3:$D$36,2,FALSE())*X$1)</f>
        <v>0</v>
      </c>
      <c r="BW134" s="72">
        <f>IF(AO134="",0,VLOOKUP(C134,Tables!$B$3:$D$36,2,FALSE())*Y$1)</f>
        <v>0</v>
      </c>
      <c r="BX134" s="72">
        <f>IF(AP134="",0,VLOOKUP(D134,Tables!$B$3:$D$36,2,FALSE())*Z$1)</f>
        <v>0</v>
      </c>
      <c r="BY134" s="85">
        <f>IF(AQ134="",0,VLOOKUP(E134,Tables!$B$3:$D$36,2,FALSE())*AA$1)</f>
        <v>12</v>
      </c>
      <c r="BZ134" s="72">
        <f>IF(AR134="",0,VLOOKUP(F134,Tables!$B$3:$D$36,2,FALSE())*AB$1)</f>
        <v>24</v>
      </c>
      <c r="CA134" s="72">
        <f>IF(AS134="",0,VLOOKUP(G134,Tables!$B$3:$D$36,2,FALSE())*AC$1)</f>
        <v>8</v>
      </c>
      <c r="CB134" s="72">
        <f>IF(AT134="",0,VLOOKUP(H134,Tables!$B$3:$D$36,2,FALSE())*AD$1)</f>
        <v>0</v>
      </c>
      <c r="CC134" s="72">
        <f>IF(AU134="",0,VLOOKUP(I134,Tables!$B$3:$D$36,2,FALSE())*AE$1)</f>
        <v>0</v>
      </c>
      <c r="CD134" s="85">
        <f>IF(AV134="",0,VLOOKUP(J134,Tables!$B$3:$D$36,2,FALSE())*AF$1)</f>
        <v>48</v>
      </c>
      <c r="CE134" s="72">
        <f>IF(AW134="",0,VLOOKUP(K134,Tables!$B$3:$D$36,2,FALSE())*AG$1)</f>
        <v>48</v>
      </c>
      <c r="CF134" s="72">
        <f>IF(AX134="",0,VLOOKUP(L134,Tables!$B$3:$D$36,2,FALSE())*AH$1)</f>
        <v>40</v>
      </c>
      <c r="CG134" s="85">
        <f>IF(AY134="",0,VLOOKUP(M134,Tables!$B$3:$D$36,2,FALSE())*AI$1)</f>
        <v>0</v>
      </c>
      <c r="CH134" s="72">
        <f>IF(AZ134="",0,VLOOKUP(N134,Tables!$B$3:$D$36,2,FALSE())*AJ$1)</f>
        <v>0</v>
      </c>
      <c r="CI134" s="72">
        <f>IF(BA134="",0,VLOOKUP(O134,Tables!$B$3:$D$36,2,FALSE())*AK$1)</f>
        <v>0</v>
      </c>
      <c r="CJ134" s="86">
        <f>IF(BB134="",0,VLOOKUP(P134,Tables!$B$3:$D$36,2,FALSE())*AL$1)</f>
        <v>0</v>
      </c>
      <c r="CK134" s="87">
        <f>IF(AN134="",0,VLOOKUP(B134,Tables!$B$3:$D$36,3,FALSE())*X$1)*IF(OR(AN134="K",AN134="P"),2,1)</f>
        <v>0</v>
      </c>
      <c r="CL134" s="73">
        <f>IF(AO134="",0,VLOOKUP(C134,Tables!$B$3:$D$36,3,FALSE())*Y$1)*IF(OR(AO134="K",AO134="P"),2,1)</f>
        <v>0</v>
      </c>
      <c r="CM134" s="73">
        <f>IF(AP134="",0,VLOOKUP(D134,Tables!$B$3:$D$36,3,FALSE())*Z$1)*IF(OR(AP134="K",AP134="P"),2,1)</f>
        <v>0</v>
      </c>
      <c r="CN134" s="87">
        <f>IF(AQ134="",0,VLOOKUP(E134,Tables!$B$3:$D$36,3,FALSE())*AA$1)</f>
        <v>0.15</v>
      </c>
      <c r="CO134" s="73">
        <f>IF(AR134="",0,VLOOKUP(F134,Tables!$B$3:$D$36,3,FALSE())*AB$1)</f>
        <v>0.3</v>
      </c>
      <c r="CP134" s="73">
        <f>IF(AS134="",0,VLOOKUP(G134,Tables!$B$3:$D$36,3,FALSE())*AC$1)</f>
        <v>0.1</v>
      </c>
      <c r="CQ134" s="73">
        <f>IF(AT134="",0,VLOOKUP(H134,Tables!$B$3:$D$36,3,FALSE())*AD$1)</f>
        <v>0</v>
      </c>
      <c r="CR134" s="73">
        <f>IF(AU134="",0,VLOOKUP(I134,Tables!$B$3:$D$36,3,FALSE())*AE$1)</f>
        <v>0</v>
      </c>
      <c r="CS134" s="87">
        <f>IF(AV134="",0,VLOOKUP(J134,Tables!$B$3:$D$36,3,FALSE())*AF$1)</f>
        <v>0.6</v>
      </c>
      <c r="CT134" s="73">
        <f>IF(AW134="",0,VLOOKUP(K134,Tables!$B$3:$D$36,3,FALSE())*AG$1)</f>
        <v>0.6</v>
      </c>
      <c r="CU134" s="73">
        <f>IF(AX134="",0,VLOOKUP(L134,Tables!$B$3:$D$36,3,FALSE())*AH$1)</f>
        <v>0.5</v>
      </c>
      <c r="CV134" s="87">
        <f>IF(AY134="",0,VLOOKUP(M134,Tables!$B$3:$D$36,3,FALSE())*AI$1)</f>
        <v>0</v>
      </c>
      <c r="CW134" s="73">
        <f>IF(AZ134="",0,VLOOKUP(N134,Tables!$B$3:$D$36,3,FALSE())*AJ$1)</f>
        <v>0</v>
      </c>
      <c r="CX134" s="73">
        <f>IF(BA134="",0,VLOOKUP(O134,Tables!$B$3:$D$36,3,FALSE())*AK$1)</f>
        <v>0</v>
      </c>
      <c r="CY134" s="88">
        <f>IF(BB134="",0,VLOOKUP(P134,Tables!$B$3:$D$36,3,FALSE())*AL$1)</f>
        <v>0</v>
      </c>
      <c r="CZ134" s="89">
        <f t="shared" si="152"/>
        <v>0</v>
      </c>
      <c r="DA134" s="75">
        <f t="shared" si="153"/>
        <v>0</v>
      </c>
      <c r="DB134" s="75">
        <f t="shared" si="154"/>
        <v>0</v>
      </c>
      <c r="DC134" s="89">
        <f t="shared" si="155"/>
        <v>1</v>
      </c>
      <c r="DD134" s="75">
        <f t="shared" si="156"/>
        <v>1</v>
      </c>
      <c r="DE134" s="75">
        <f t="shared" si="157"/>
        <v>1</v>
      </c>
      <c r="DF134" s="75">
        <f t="shared" si="158"/>
        <v>0</v>
      </c>
      <c r="DG134" s="75">
        <f t="shared" si="159"/>
        <v>0</v>
      </c>
      <c r="DH134" s="89">
        <f t="shared" si="160"/>
        <v>1</v>
      </c>
      <c r="DI134" s="75">
        <f t="shared" si="161"/>
        <v>1</v>
      </c>
      <c r="DJ134" s="75">
        <f t="shared" si="162"/>
        <v>1</v>
      </c>
      <c r="DK134" s="89">
        <f t="shared" si="163"/>
        <v>0</v>
      </c>
      <c r="DL134" s="75">
        <f t="shared" si="164"/>
        <v>0</v>
      </c>
      <c r="DM134" s="75">
        <f t="shared" si="165"/>
        <v>0</v>
      </c>
      <c r="DN134" s="90">
        <f t="shared" si="166"/>
        <v>0</v>
      </c>
      <c r="DO134" s="91">
        <f>IF(AN134="",0,VLOOKUP(B134,Tables!$B$3:$M$36,11,FALSE())*X$1)</f>
        <v>0</v>
      </c>
      <c r="DP134" s="92">
        <f>IF(AO134="",0,VLOOKUP(C134,Tables!$B$3:$M$36,11,FALSE())*Y$1)</f>
        <v>0</v>
      </c>
      <c r="DQ134" s="92">
        <f>IF(AP134="",0,VLOOKUP(D134,Tables!$B$3:$M$36,11,FALSE())*Z$1)</f>
        <v>0</v>
      </c>
      <c r="DR134" s="91">
        <f>IF(AQ134="",0,VLOOKUP(E134,Tables!$B$3:$M$36,11,FALSE())*AA$1)</f>
        <v>0.6</v>
      </c>
      <c r="DS134" s="92">
        <f>IF(AR134="",0,VLOOKUP(F134,Tables!$B$3:$M$36,11,FALSE())*AB$1)</f>
        <v>1.2</v>
      </c>
      <c r="DT134" s="92">
        <f>IF(AS134="",0,VLOOKUP(G134,Tables!$B$3:$M$36,11,FALSE())*AC$1)</f>
        <v>0.4</v>
      </c>
      <c r="DU134" s="92">
        <f>IF(AT134="",0,VLOOKUP(H134,Tables!$B$3:$M$36,11,FALSE())*AD$1)</f>
        <v>0</v>
      </c>
      <c r="DV134" s="92">
        <f>IF(AU134="",0,VLOOKUP(I134,Tables!$B$3:$M$36,11,FALSE())*AE$1)</f>
        <v>0</v>
      </c>
      <c r="DW134" s="91">
        <f>IF(AV134="",0,VLOOKUP(J134,Tables!$B$3:$M$36,11,FALSE())*AF$1)</f>
        <v>2.4</v>
      </c>
      <c r="DX134" s="92">
        <f>IF(AW134="",0,VLOOKUP(K134,Tables!$B$3:$M$36,11,FALSE())*AG$1)</f>
        <v>2.4</v>
      </c>
      <c r="DY134" s="92">
        <f>IF(AX134="",0,VLOOKUP(L134,Tables!$B$3:$M$36,11,FALSE())*AH$1)</f>
        <v>2</v>
      </c>
      <c r="DZ134" s="91">
        <f>IF(AY134="",0,VLOOKUP(M134,Tables!$B$3:$M$36,11,FALSE())*AI$1)</f>
        <v>0</v>
      </c>
      <c r="EA134" s="92">
        <f>IF(AZ134="",0,VLOOKUP(N134,Tables!$B$3:$M$36,11,FALSE())*AJ$1)</f>
        <v>0</v>
      </c>
      <c r="EB134" s="92">
        <f>IF(BA134="",0,VLOOKUP(O134,Tables!$B$3:$M$36,11,FALSE())*AK$1)</f>
        <v>0</v>
      </c>
      <c r="EC134" s="93">
        <f>IF(BB134="",0,VLOOKUP(P134,Tables!$B$3:$M$36,11,FALSE())*AL$1)</f>
        <v>0</v>
      </c>
      <c r="ED134" s="91">
        <f>IF(AN134="",0,VLOOKUP(B134,Tables!$B$3:$M$36,12,FALSE())*X$1)</f>
        <v>0</v>
      </c>
      <c r="EE134" s="92">
        <f>IF(AO134="",0,VLOOKUP(C134,Tables!$B$3:$M$36,12,FALSE())*Y$1)</f>
        <v>0</v>
      </c>
      <c r="EF134" s="92">
        <f>IF(AP134="",0,VLOOKUP(D134,Tables!$B$3:$M$36,12,FALSE())*Z$1)</f>
        <v>0</v>
      </c>
      <c r="EG134" s="91">
        <f>IF(AQ134="",0,VLOOKUP(E134,Tables!$B$3:$M$36,12,FALSE())*AA$1)</f>
        <v>9.6</v>
      </c>
      <c r="EH134" s="92">
        <f>IF(AR134="",0,VLOOKUP(F134,Tables!$B$3:$M$36,12,FALSE())*AB$1)</f>
        <v>19.2</v>
      </c>
      <c r="EI134" s="92">
        <f>IF(AS134="",0,VLOOKUP(G134,Tables!$B$3:$M$36,12,FALSE())*AC$1)</f>
        <v>6.4</v>
      </c>
      <c r="EJ134" s="92">
        <f>IF(AT134="",0,VLOOKUP(H134,Tables!$B$3:$M$36,12,FALSE())*AD$1)</f>
        <v>0</v>
      </c>
      <c r="EK134" s="92">
        <f>IF(AU134="",0,VLOOKUP(I134,Tables!$B$3:$M$36,12,FALSE())*AE$1)</f>
        <v>0</v>
      </c>
      <c r="EL134" s="91">
        <f>IF(AV134="",0,VLOOKUP(J134,Tables!$B$3:$M$36,12,FALSE())*AF$1)</f>
        <v>38.4</v>
      </c>
      <c r="EM134" s="92">
        <f>IF(AW134="",0,VLOOKUP(K134,Tables!$B$3:$M$36,12,FALSE())*AG$1)</f>
        <v>38.4</v>
      </c>
      <c r="EN134" s="92">
        <f>IF(AX134="",0,VLOOKUP(L134,Tables!$B$3:$M$36,12,FALSE())*AH$1)</f>
        <v>32</v>
      </c>
      <c r="EO134" s="91">
        <f>IF(AY134="",0,VLOOKUP(M134,Tables!$B$3:$M$36,12,FALSE())*AI$1)</f>
        <v>0</v>
      </c>
      <c r="EP134" s="92">
        <f>IF(AZ134="",0,VLOOKUP(N134,Tables!$B$3:$M$36,12,FALSE())*AJ$1)</f>
        <v>0</v>
      </c>
      <c r="EQ134" s="92">
        <f>IF(BA134="",0,VLOOKUP(O134,Tables!$B$3:$M$36,12,FALSE())*AK$1)</f>
        <v>0</v>
      </c>
      <c r="ER134" s="93">
        <f>IF(BB134="",0,VLOOKUP(P134,Tables!$B$3:$M$36,12,FALSE())*AL$1)</f>
        <v>0</v>
      </c>
      <c r="ES134" s="94">
        <f t="shared" si="167"/>
        <v>0</v>
      </c>
      <c r="ET134" s="95">
        <f>IF(AN134="",10,MIN(VLOOKUP(B134,MATERIAL,13,FALSE()),'Item Builder'!$W134))</f>
        <v>10</v>
      </c>
      <c r="EU134" s="95">
        <f>IF(AO134="",10,MIN(VLOOKUP(C134,MATERIAL,13,FALSE()),'Item Builder'!$W134))</f>
        <v>10</v>
      </c>
      <c r="EV134" s="95">
        <f>IF(AP134="",10,MIN(VLOOKUP(D134,MATERIAL,13,FALSE()),'Item Builder'!$W134))</f>
        <v>10</v>
      </c>
      <c r="EW134" s="95">
        <f>IF(AQ134="",10,MIN(VLOOKUP(E134,MATERIAL,13,FALSE()),'Item Builder'!$W134))</f>
        <v>0</v>
      </c>
      <c r="EX134" s="95">
        <f>IF(AR134="",10,MIN(VLOOKUP(F134,MATERIAL,13,FALSE()),'Item Builder'!$W134))</f>
        <v>0</v>
      </c>
      <c r="EY134" s="95">
        <f>IF(AS134="",10,MIN(VLOOKUP(G134,MATERIAL,13,FALSE()),'Item Builder'!$W134))</f>
        <v>0</v>
      </c>
      <c r="EZ134" s="95">
        <f>IF(AT134="",10,MIN(VLOOKUP(H134,MATERIAL,13,FALSE()),'Item Builder'!$W134))</f>
        <v>10</v>
      </c>
      <c r="FA134" s="95">
        <f>IF(AU134="",10,MIN(VLOOKUP(I134,MATERIAL,13,FALSE()),'Item Builder'!$W134))</f>
        <v>10</v>
      </c>
      <c r="FB134" s="95">
        <f>IF(AV134="",10,MIN(VLOOKUP(J134,MATERIAL,13,FALSE()),'Item Builder'!$W134))</f>
        <v>0</v>
      </c>
      <c r="FC134" s="95">
        <f>IF(AW134="",10,MIN(VLOOKUP(K134,MATERIAL,13,FALSE()),'Item Builder'!$W134))</f>
        <v>0</v>
      </c>
      <c r="FD134" s="95">
        <f>IF(AX134="",10,MIN(VLOOKUP(L134,MATERIAL,13,FALSE()),'Item Builder'!$W134))</f>
        <v>0</v>
      </c>
      <c r="FE134" s="95">
        <f>IF(AY134="",10,MIN(VLOOKUP(M134,MATERIAL,13,FALSE()),'Item Builder'!$W134))</f>
        <v>10</v>
      </c>
      <c r="FF134" s="95">
        <f>IF(AZ134="",10,MIN(VLOOKUP(N134,MATERIAL,13,FALSE()),'Item Builder'!$W134))</f>
        <v>10</v>
      </c>
      <c r="FG134" s="95">
        <f>IF(BA134="",10,MIN(VLOOKUP(O134,MATERIAL,13,FALSE()),'Item Builder'!$W134))</f>
        <v>10</v>
      </c>
      <c r="FH134" s="95">
        <f>IF(BB134="",10,MIN(VLOOKUP(P134,MATERIAL,13,FALSE()),'Item Builder'!$W134))</f>
        <v>10</v>
      </c>
    </row>
    <row r="135" spans="1:164" x14ac:dyDescent="0.25">
      <c r="A135" s="67" t="s">
        <v>275</v>
      </c>
      <c r="B135" s="68"/>
      <c r="C135" s="69"/>
      <c r="D135" s="70"/>
      <c r="E135" s="68" t="s">
        <v>165</v>
      </c>
      <c r="F135" s="69" t="s">
        <v>165</v>
      </c>
      <c r="G135" s="69" t="s">
        <v>165</v>
      </c>
      <c r="H135" s="69" t="s">
        <v>165</v>
      </c>
      <c r="I135" s="70"/>
      <c r="J135" s="68" t="s">
        <v>165</v>
      </c>
      <c r="K135" s="69" t="s">
        <v>165</v>
      </c>
      <c r="L135" s="70" t="s">
        <v>165</v>
      </c>
      <c r="M135" s="68"/>
      <c r="N135" s="69"/>
      <c r="O135" s="69"/>
      <c r="P135" s="71"/>
      <c r="Q135" s="72">
        <f>SUM(BV135:CJ135)*VLOOKUP(W135,Tables!$W$3:$Z$8,4)</f>
        <v>200</v>
      </c>
      <c r="R135" s="73">
        <f t="shared" si="112"/>
        <v>2.5</v>
      </c>
      <c r="S135" s="74">
        <f t="shared" si="113"/>
        <v>0</v>
      </c>
      <c r="T135" s="74">
        <f t="shared" si="114"/>
        <v>0</v>
      </c>
      <c r="U135" s="75">
        <f t="shared" si="115"/>
        <v>10</v>
      </c>
      <c r="V135" s="76">
        <f t="shared" si="116"/>
        <v>160</v>
      </c>
      <c r="W135" s="77">
        <v>0</v>
      </c>
      <c r="X135" s="78">
        <f t="shared" si="117"/>
        <v>0</v>
      </c>
      <c r="Y135" s="79">
        <f t="shared" si="118"/>
        <v>0</v>
      </c>
      <c r="Z135" s="79">
        <f t="shared" si="119"/>
        <v>0</v>
      </c>
      <c r="AA135" s="78">
        <f t="shared" si="120"/>
        <v>1</v>
      </c>
      <c r="AB135" s="79">
        <f t="shared" si="121"/>
        <v>1</v>
      </c>
      <c r="AC135" s="79">
        <f t="shared" si="122"/>
        <v>1</v>
      </c>
      <c r="AD135" s="79">
        <f t="shared" si="123"/>
        <v>1</v>
      </c>
      <c r="AE135" s="79">
        <f t="shared" si="124"/>
        <v>0</v>
      </c>
      <c r="AF135" s="78">
        <f t="shared" si="125"/>
        <v>1</v>
      </c>
      <c r="AG135" s="79">
        <f t="shared" si="126"/>
        <v>1</v>
      </c>
      <c r="AH135" s="79">
        <f t="shared" si="127"/>
        <v>1</v>
      </c>
      <c r="AI135" s="78">
        <f t="shared" si="128"/>
        <v>0</v>
      </c>
      <c r="AJ135" s="79">
        <f t="shared" si="129"/>
        <v>0</v>
      </c>
      <c r="AK135" s="79">
        <f t="shared" si="130"/>
        <v>0</v>
      </c>
      <c r="AL135" s="80">
        <f t="shared" si="131"/>
        <v>0</v>
      </c>
      <c r="AM135" s="81">
        <f t="shared" si="132"/>
        <v>0.5</v>
      </c>
      <c r="AN135" s="82" t="str">
        <f t="shared" si="133"/>
        <v/>
      </c>
      <c r="AO135" s="79" t="str">
        <f t="shared" si="134"/>
        <v/>
      </c>
      <c r="AP135" t="str">
        <f t="shared" si="135"/>
        <v/>
      </c>
      <c r="AQ135" s="82" t="str">
        <f t="shared" si="136"/>
        <v>C</v>
      </c>
      <c r="AR135" t="str">
        <f t="shared" si="137"/>
        <v>C</v>
      </c>
      <c r="AS135" t="str">
        <f t="shared" si="138"/>
        <v>C</v>
      </c>
      <c r="AT135" t="str">
        <f t="shared" si="139"/>
        <v>C</v>
      </c>
      <c r="AU135" t="str">
        <f t="shared" si="140"/>
        <v/>
      </c>
      <c r="AV135" s="82" t="str">
        <f t="shared" si="141"/>
        <v>C</v>
      </c>
      <c r="AW135" t="str">
        <f t="shared" si="142"/>
        <v>C</v>
      </c>
      <c r="AX135" t="str">
        <f t="shared" si="143"/>
        <v>C</v>
      </c>
      <c r="AY135" s="82" t="str">
        <f t="shared" si="144"/>
        <v/>
      </c>
      <c r="AZ135" t="str">
        <f t="shared" si="145"/>
        <v/>
      </c>
      <c r="BA135" t="str">
        <f t="shared" si="146"/>
        <v/>
      </c>
      <c r="BB135" s="83" t="str">
        <f t="shared" si="147"/>
        <v/>
      </c>
      <c r="BC135" s="84">
        <f t="shared" si="148"/>
        <v>0</v>
      </c>
      <c r="BD135" s="84">
        <f t="shared" si="149"/>
        <v>0.76190476190476186</v>
      </c>
      <c r="BE135" s="84">
        <f t="shared" si="150"/>
        <v>1</v>
      </c>
      <c r="BF135" s="84">
        <f t="shared" si="151"/>
        <v>0</v>
      </c>
      <c r="BG135" s="78">
        <f>IF(AN135="",0,VLOOKUP(AN135,Tables!$AB$3:$AC$12,2))</f>
        <v>0</v>
      </c>
      <c r="BH135" s="79">
        <f>IF(AO135="",0,VLOOKUP(AO135,Tables!$AB$3:$AC$12,2))</f>
        <v>0</v>
      </c>
      <c r="BI135" s="79">
        <f>IF(AP135="",0,VLOOKUP(AP135,Tables!$AB$3:$AC$12,2))</f>
        <v>0</v>
      </c>
      <c r="BJ135" s="78">
        <f>IF(AQ135="",0,VLOOKUP(AQ135,Tables!$AB$3:$AC$12,2))</f>
        <v>1</v>
      </c>
      <c r="BK135" s="79">
        <f>IF(AR135="",0,VLOOKUP(AR135,Tables!$AB$3:$AC$12,2))</f>
        <v>1</v>
      </c>
      <c r="BL135" s="79">
        <f>IF(AS135="",0,VLOOKUP(AS135,Tables!$AB$3:$AC$12,2))</f>
        <v>1</v>
      </c>
      <c r="BM135" s="79">
        <f>IF(AT135="",0,VLOOKUP(AT135,Tables!$AB$3:$AC$12,2))</f>
        <v>1</v>
      </c>
      <c r="BN135" s="79">
        <f>IF(AU135="",0,VLOOKUP(AU135,Tables!$AB$3:$AC$12,2))</f>
        <v>0</v>
      </c>
      <c r="BO135" s="78">
        <f>IF(AV135="",0,VLOOKUP(AV135,Tables!$AB$3:$AC$12,2))</f>
        <v>1</v>
      </c>
      <c r="BP135" s="79">
        <f>IF(AW135="",0,VLOOKUP(AW135,Tables!$AB$3:$AC$12,2))</f>
        <v>1</v>
      </c>
      <c r="BQ135" s="79">
        <f>IF(AX135="",0,VLOOKUP(AX135,Tables!$AB$3:$AC$12,2))</f>
        <v>1</v>
      </c>
      <c r="BR135" s="78">
        <f>IF(AY135="",0,VLOOKUP(AY135,Tables!$AB$3:$AC$12,2))</f>
        <v>0</v>
      </c>
      <c r="BS135" s="79">
        <f>IF(AZ135="",0,VLOOKUP(AZ135,Tables!$AB$3:$AC$12,2))</f>
        <v>0</v>
      </c>
      <c r="BT135" s="79">
        <f>IF(BA135="",0,VLOOKUP(BA135,Tables!$AB$3:$AC$12,2))</f>
        <v>0</v>
      </c>
      <c r="BU135" s="80">
        <f>IF(BB135="",0,VLOOKUP(BB135,Tables!$AB$3:$AC$12,2))</f>
        <v>0</v>
      </c>
      <c r="BV135" s="85">
        <f>IF(AN135="",0,VLOOKUP(B135,Tables!$B$3:$D$36,2,FALSE())*X$1)</f>
        <v>0</v>
      </c>
      <c r="BW135" s="72">
        <f>IF(AO135="",0,VLOOKUP(C135,Tables!$B$3:$D$36,2,FALSE())*Y$1)</f>
        <v>0</v>
      </c>
      <c r="BX135" s="72">
        <f>IF(AP135="",0,VLOOKUP(D135,Tables!$B$3:$D$36,2,FALSE())*Z$1)</f>
        <v>0</v>
      </c>
      <c r="BY135" s="85">
        <f>IF(AQ135="",0,VLOOKUP(E135,Tables!$B$3:$D$36,2,FALSE())*AA$1)</f>
        <v>12</v>
      </c>
      <c r="BZ135" s="72">
        <f>IF(AR135="",0,VLOOKUP(F135,Tables!$B$3:$D$36,2,FALSE())*AB$1)</f>
        <v>24</v>
      </c>
      <c r="CA135" s="72">
        <f>IF(AS135="",0,VLOOKUP(G135,Tables!$B$3:$D$36,2,FALSE())*AC$1)</f>
        <v>8</v>
      </c>
      <c r="CB135" s="72">
        <f>IF(AT135="",0,VLOOKUP(H135,Tables!$B$3:$D$36,2,FALSE())*AD$1)</f>
        <v>20</v>
      </c>
      <c r="CC135" s="72">
        <f>IF(AU135="",0,VLOOKUP(I135,Tables!$B$3:$D$36,2,FALSE())*AE$1)</f>
        <v>0</v>
      </c>
      <c r="CD135" s="85">
        <f>IF(AV135="",0,VLOOKUP(J135,Tables!$B$3:$D$36,2,FALSE())*AF$1)</f>
        <v>48</v>
      </c>
      <c r="CE135" s="72">
        <f>IF(AW135="",0,VLOOKUP(K135,Tables!$B$3:$D$36,2,FALSE())*AG$1)</f>
        <v>48</v>
      </c>
      <c r="CF135" s="72">
        <f>IF(AX135="",0,VLOOKUP(L135,Tables!$B$3:$D$36,2,FALSE())*AH$1)</f>
        <v>40</v>
      </c>
      <c r="CG135" s="85">
        <f>IF(AY135="",0,VLOOKUP(M135,Tables!$B$3:$D$36,2,FALSE())*AI$1)</f>
        <v>0</v>
      </c>
      <c r="CH135" s="72">
        <f>IF(AZ135="",0,VLOOKUP(N135,Tables!$B$3:$D$36,2,FALSE())*AJ$1)</f>
        <v>0</v>
      </c>
      <c r="CI135" s="72">
        <f>IF(BA135="",0,VLOOKUP(O135,Tables!$B$3:$D$36,2,FALSE())*AK$1)</f>
        <v>0</v>
      </c>
      <c r="CJ135" s="86">
        <f>IF(BB135="",0,VLOOKUP(P135,Tables!$B$3:$D$36,2,FALSE())*AL$1)</f>
        <v>0</v>
      </c>
      <c r="CK135" s="87">
        <f>IF(AN135="",0,VLOOKUP(B135,Tables!$B$3:$D$36,3,FALSE())*X$1)*IF(OR(AN135="K",AN135="P"),2,1)</f>
        <v>0</v>
      </c>
      <c r="CL135" s="73">
        <f>IF(AO135="",0,VLOOKUP(C135,Tables!$B$3:$D$36,3,FALSE())*Y$1)*IF(OR(AO135="K",AO135="P"),2,1)</f>
        <v>0</v>
      </c>
      <c r="CM135" s="73">
        <f>IF(AP135="",0,VLOOKUP(D135,Tables!$B$3:$D$36,3,FALSE())*Z$1)*IF(OR(AP135="K",AP135="P"),2,1)</f>
        <v>0</v>
      </c>
      <c r="CN135" s="87">
        <f>IF(AQ135="",0,VLOOKUP(E135,Tables!$B$3:$D$36,3,FALSE())*AA$1)</f>
        <v>0.15</v>
      </c>
      <c r="CO135" s="73">
        <f>IF(AR135="",0,VLOOKUP(F135,Tables!$B$3:$D$36,3,FALSE())*AB$1)</f>
        <v>0.3</v>
      </c>
      <c r="CP135" s="73">
        <f>IF(AS135="",0,VLOOKUP(G135,Tables!$B$3:$D$36,3,FALSE())*AC$1)</f>
        <v>0.1</v>
      </c>
      <c r="CQ135" s="73">
        <f>IF(AT135="",0,VLOOKUP(H135,Tables!$B$3:$D$36,3,FALSE())*AD$1)</f>
        <v>0.25</v>
      </c>
      <c r="CR135" s="73">
        <f>IF(AU135="",0,VLOOKUP(I135,Tables!$B$3:$D$36,3,FALSE())*AE$1)</f>
        <v>0</v>
      </c>
      <c r="CS135" s="87">
        <f>IF(AV135="",0,VLOOKUP(J135,Tables!$B$3:$D$36,3,FALSE())*AF$1)</f>
        <v>0.6</v>
      </c>
      <c r="CT135" s="73">
        <f>IF(AW135="",0,VLOOKUP(K135,Tables!$B$3:$D$36,3,FALSE())*AG$1)</f>
        <v>0.6</v>
      </c>
      <c r="CU135" s="73">
        <f>IF(AX135="",0,VLOOKUP(L135,Tables!$B$3:$D$36,3,FALSE())*AH$1)</f>
        <v>0.5</v>
      </c>
      <c r="CV135" s="87">
        <f>IF(AY135="",0,VLOOKUP(M135,Tables!$B$3:$D$36,3,FALSE())*AI$1)</f>
        <v>0</v>
      </c>
      <c r="CW135" s="73">
        <f>IF(AZ135="",0,VLOOKUP(N135,Tables!$B$3:$D$36,3,FALSE())*AJ$1)</f>
        <v>0</v>
      </c>
      <c r="CX135" s="73">
        <f>IF(BA135="",0,VLOOKUP(O135,Tables!$B$3:$D$36,3,FALSE())*AK$1)</f>
        <v>0</v>
      </c>
      <c r="CY135" s="88">
        <f>IF(BB135="",0,VLOOKUP(P135,Tables!$B$3:$D$36,3,FALSE())*AL$1)</f>
        <v>0</v>
      </c>
      <c r="CZ135" s="89">
        <f t="shared" si="152"/>
        <v>0</v>
      </c>
      <c r="DA135" s="75">
        <f t="shared" si="153"/>
        <v>0</v>
      </c>
      <c r="DB135" s="75">
        <f t="shared" si="154"/>
        <v>0</v>
      </c>
      <c r="DC135" s="89">
        <f t="shared" si="155"/>
        <v>1</v>
      </c>
      <c r="DD135" s="75">
        <f t="shared" si="156"/>
        <v>1</v>
      </c>
      <c r="DE135" s="75">
        <f t="shared" si="157"/>
        <v>1</v>
      </c>
      <c r="DF135" s="75">
        <f t="shared" si="158"/>
        <v>1</v>
      </c>
      <c r="DG135" s="75">
        <f t="shared" si="159"/>
        <v>0</v>
      </c>
      <c r="DH135" s="89">
        <f t="shared" si="160"/>
        <v>1</v>
      </c>
      <c r="DI135" s="75">
        <f t="shared" si="161"/>
        <v>1</v>
      </c>
      <c r="DJ135" s="75">
        <f t="shared" si="162"/>
        <v>1</v>
      </c>
      <c r="DK135" s="89">
        <f t="shared" si="163"/>
        <v>0</v>
      </c>
      <c r="DL135" s="75">
        <f t="shared" si="164"/>
        <v>0</v>
      </c>
      <c r="DM135" s="75">
        <f t="shared" si="165"/>
        <v>0</v>
      </c>
      <c r="DN135" s="90">
        <f t="shared" si="166"/>
        <v>0</v>
      </c>
      <c r="DO135" s="91">
        <f>IF(AN135="",0,VLOOKUP(B135,Tables!$B$3:$M$36,11,FALSE())*X$1)</f>
        <v>0</v>
      </c>
      <c r="DP135" s="92">
        <f>IF(AO135="",0,VLOOKUP(C135,Tables!$B$3:$M$36,11,FALSE())*Y$1)</f>
        <v>0</v>
      </c>
      <c r="DQ135" s="92">
        <f>IF(AP135="",0,VLOOKUP(D135,Tables!$B$3:$M$36,11,FALSE())*Z$1)</f>
        <v>0</v>
      </c>
      <c r="DR135" s="91">
        <f>IF(AQ135="",0,VLOOKUP(E135,Tables!$B$3:$M$36,11,FALSE())*AA$1)</f>
        <v>0.6</v>
      </c>
      <c r="DS135" s="92">
        <f>IF(AR135="",0,VLOOKUP(F135,Tables!$B$3:$M$36,11,FALSE())*AB$1)</f>
        <v>1.2</v>
      </c>
      <c r="DT135" s="92">
        <f>IF(AS135="",0,VLOOKUP(G135,Tables!$B$3:$M$36,11,FALSE())*AC$1)</f>
        <v>0.4</v>
      </c>
      <c r="DU135" s="92">
        <f>IF(AT135="",0,VLOOKUP(H135,Tables!$B$3:$M$36,11,FALSE())*AD$1)</f>
        <v>1</v>
      </c>
      <c r="DV135" s="92">
        <f>IF(AU135="",0,VLOOKUP(I135,Tables!$B$3:$M$36,11,FALSE())*AE$1)</f>
        <v>0</v>
      </c>
      <c r="DW135" s="91">
        <f>IF(AV135="",0,VLOOKUP(J135,Tables!$B$3:$M$36,11,FALSE())*AF$1)</f>
        <v>2.4</v>
      </c>
      <c r="DX135" s="92">
        <f>IF(AW135="",0,VLOOKUP(K135,Tables!$B$3:$M$36,11,FALSE())*AG$1)</f>
        <v>2.4</v>
      </c>
      <c r="DY135" s="92">
        <f>IF(AX135="",0,VLOOKUP(L135,Tables!$B$3:$M$36,11,FALSE())*AH$1)</f>
        <v>2</v>
      </c>
      <c r="DZ135" s="91">
        <f>IF(AY135="",0,VLOOKUP(M135,Tables!$B$3:$M$36,11,FALSE())*AI$1)</f>
        <v>0</v>
      </c>
      <c r="EA135" s="92">
        <f>IF(AZ135="",0,VLOOKUP(N135,Tables!$B$3:$M$36,11,FALSE())*AJ$1)</f>
        <v>0</v>
      </c>
      <c r="EB135" s="92">
        <f>IF(BA135="",0,VLOOKUP(O135,Tables!$B$3:$M$36,11,FALSE())*AK$1)</f>
        <v>0</v>
      </c>
      <c r="EC135" s="93">
        <f>IF(BB135="",0,VLOOKUP(P135,Tables!$B$3:$M$36,11,FALSE())*AL$1)</f>
        <v>0</v>
      </c>
      <c r="ED135" s="91">
        <f>IF(AN135="",0,VLOOKUP(B135,Tables!$B$3:$M$36,12,FALSE())*X$1)</f>
        <v>0</v>
      </c>
      <c r="EE135" s="92">
        <f>IF(AO135="",0,VLOOKUP(C135,Tables!$B$3:$M$36,12,FALSE())*Y$1)</f>
        <v>0</v>
      </c>
      <c r="EF135" s="92">
        <f>IF(AP135="",0,VLOOKUP(D135,Tables!$B$3:$M$36,12,FALSE())*Z$1)</f>
        <v>0</v>
      </c>
      <c r="EG135" s="91">
        <f>IF(AQ135="",0,VLOOKUP(E135,Tables!$B$3:$M$36,12,FALSE())*AA$1)</f>
        <v>9.6</v>
      </c>
      <c r="EH135" s="92">
        <f>IF(AR135="",0,VLOOKUP(F135,Tables!$B$3:$M$36,12,FALSE())*AB$1)</f>
        <v>19.2</v>
      </c>
      <c r="EI135" s="92">
        <f>IF(AS135="",0,VLOOKUP(G135,Tables!$B$3:$M$36,12,FALSE())*AC$1)</f>
        <v>6.4</v>
      </c>
      <c r="EJ135" s="92">
        <f>IF(AT135="",0,VLOOKUP(H135,Tables!$B$3:$M$36,12,FALSE())*AD$1)</f>
        <v>16</v>
      </c>
      <c r="EK135" s="92">
        <f>IF(AU135="",0,VLOOKUP(I135,Tables!$B$3:$M$36,12,FALSE())*AE$1)</f>
        <v>0</v>
      </c>
      <c r="EL135" s="91">
        <f>IF(AV135="",0,VLOOKUP(J135,Tables!$B$3:$M$36,12,FALSE())*AF$1)</f>
        <v>38.4</v>
      </c>
      <c r="EM135" s="92">
        <f>IF(AW135="",0,VLOOKUP(K135,Tables!$B$3:$M$36,12,FALSE())*AG$1)</f>
        <v>38.4</v>
      </c>
      <c r="EN135" s="92">
        <f>IF(AX135="",0,VLOOKUP(L135,Tables!$B$3:$M$36,12,FALSE())*AH$1)</f>
        <v>32</v>
      </c>
      <c r="EO135" s="91">
        <f>IF(AY135="",0,VLOOKUP(M135,Tables!$B$3:$M$36,12,FALSE())*AI$1)</f>
        <v>0</v>
      </c>
      <c r="EP135" s="92">
        <f>IF(AZ135="",0,VLOOKUP(N135,Tables!$B$3:$M$36,12,FALSE())*AJ$1)</f>
        <v>0</v>
      </c>
      <c r="EQ135" s="92">
        <f>IF(BA135="",0,VLOOKUP(O135,Tables!$B$3:$M$36,12,FALSE())*AK$1)</f>
        <v>0</v>
      </c>
      <c r="ER135" s="93">
        <f>IF(BB135="",0,VLOOKUP(P135,Tables!$B$3:$M$36,12,FALSE())*AL$1)</f>
        <v>0</v>
      </c>
      <c r="ES135" s="94">
        <f t="shared" si="167"/>
        <v>0</v>
      </c>
      <c r="ET135" s="95">
        <f>IF(AN135="",10,MIN(VLOOKUP(B135,MATERIAL,13,FALSE()),'Item Builder'!$W135))</f>
        <v>10</v>
      </c>
      <c r="EU135" s="95">
        <f>IF(AO135="",10,MIN(VLOOKUP(C135,MATERIAL,13,FALSE()),'Item Builder'!$W135))</f>
        <v>10</v>
      </c>
      <c r="EV135" s="95">
        <f>IF(AP135="",10,MIN(VLOOKUP(D135,MATERIAL,13,FALSE()),'Item Builder'!$W135))</f>
        <v>10</v>
      </c>
      <c r="EW135" s="95">
        <f>IF(AQ135="",10,MIN(VLOOKUP(E135,MATERIAL,13,FALSE()),'Item Builder'!$W135))</f>
        <v>0</v>
      </c>
      <c r="EX135" s="95">
        <f>IF(AR135="",10,MIN(VLOOKUP(F135,MATERIAL,13,FALSE()),'Item Builder'!$W135))</f>
        <v>0</v>
      </c>
      <c r="EY135" s="95">
        <f>IF(AS135="",10,MIN(VLOOKUP(G135,MATERIAL,13,FALSE()),'Item Builder'!$W135))</f>
        <v>0</v>
      </c>
      <c r="EZ135" s="95">
        <f>IF(AT135="",10,MIN(VLOOKUP(H135,MATERIAL,13,FALSE()),'Item Builder'!$W135))</f>
        <v>0</v>
      </c>
      <c r="FA135" s="95">
        <f>IF(AU135="",10,MIN(VLOOKUP(I135,MATERIAL,13,FALSE()),'Item Builder'!$W135))</f>
        <v>10</v>
      </c>
      <c r="FB135" s="95">
        <f>IF(AV135="",10,MIN(VLOOKUP(J135,MATERIAL,13,FALSE()),'Item Builder'!$W135))</f>
        <v>0</v>
      </c>
      <c r="FC135" s="95">
        <f>IF(AW135="",10,MIN(VLOOKUP(K135,MATERIAL,13,FALSE()),'Item Builder'!$W135))</f>
        <v>0</v>
      </c>
      <c r="FD135" s="95">
        <f>IF(AX135="",10,MIN(VLOOKUP(L135,MATERIAL,13,FALSE()),'Item Builder'!$W135))</f>
        <v>0</v>
      </c>
      <c r="FE135" s="95">
        <f>IF(AY135="",10,MIN(VLOOKUP(M135,MATERIAL,13,FALSE()),'Item Builder'!$W135))</f>
        <v>10</v>
      </c>
      <c r="FF135" s="95">
        <f>IF(AZ135="",10,MIN(VLOOKUP(N135,MATERIAL,13,FALSE()),'Item Builder'!$W135))</f>
        <v>10</v>
      </c>
      <c r="FG135" s="95">
        <f>IF(BA135="",10,MIN(VLOOKUP(O135,MATERIAL,13,FALSE()),'Item Builder'!$W135))</f>
        <v>10</v>
      </c>
      <c r="FH135" s="95">
        <f>IF(BB135="",10,MIN(VLOOKUP(P135,MATERIAL,13,FALSE()),'Item Builder'!$W135))</f>
        <v>10</v>
      </c>
    </row>
    <row r="136" spans="1:164" x14ac:dyDescent="0.25">
      <c r="A136" s="67" t="s">
        <v>276</v>
      </c>
      <c r="B136" s="68"/>
      <c r="C136" s="69"/>
      <c r="D136" s="70"/>
      <c r="E136" s="68" t="s">
        <v>165</v>
      </c>
      <c r="F136" s="69" t="s">
        <v>165</v>
      </c>
      <c r="G136" s="69" t="s">
        <v>165</v>
      </c>
      <c r="H136" s="69" t="s">
        <v>165</v>
      </c>
      <c r="I136" s="70"/>
      <c r="J136" s="68" t="s">
        <v>165</v>
      </c>
      <c r="K136" s="69" t="s">
        <v>165</v>
      </c>
      <c r="L136" s="70" t="s">
        <v>165</v>
      </c>
      <c r="M136" s="68" t="s">
        <v>165</v>
      </c>
      <c r="N136" s="69"/>
      <c r="O136" s="69"/>
      <c r="P136" s="71"/>
      <c r="Q136" s="72">
        <f>SUM(BV136:CJ136)*VLOOKUP(W136,Tables!$W$3:$Z$8,4)</f>
        <v>256</v>
      </c>
      <c r="R136" s="73">
        <f t="shared" si="112"/>
        <v>3.2</v>
      </c>
      <c r="S136" s="74">
        <f t="shared" si="113"/>
        <v>0</v>
      </c>
      <c r="T136" s="74">
        <f t="shared" si="114"/>
        <v>0</v>
      </c>
      <c r="U136" s="75">
        <f t="shared" si="115"/>
        <v>12.8</v>
      </c>
      <c r="V136" s="76">
        <f t="shared" si="116"/>
        <v>204.8</v>
      </c>
      <c r="W136" s="77">
        <v>0</v>
      </c>
      <c r="X136" s="78">
        <f t="shared" si="117"/>
        <v>0</v>
      </c>
      <c r="Y136" s="79">
        <f t="shared" si="118"/>
        <v>0</v>
      </c>
      <c r="Z136" s="79">
        <f t="shared" si="119"/>
        <v>0</v>
      </c>
      <c r="AA136" s="78">
        <f t="shared" si="120"/>
        <v>1</v>
      </c>
      <c r="AB136" s="79">
        <f t="shared" si="121"/>
        <v>1</v>
      </c>
      <c r="AC136" s="79">
        <f t="shared" si="122"/>
        <v>1</v>
      </c>
      <c r="AD136" s="79">
        <f t="shared" si="123"/>
        <v>1</v>
      </c>
      <c r="AE136" s="79">
        <f t="shared" si="124"/>
        <v>0</v>
      </c>
      <c r="AF136" s="78">
        <f t="shared" si="125"/>
        <v>1</v>
      </c>
      <c r="AG136" s="79">
        <f t="shared" si="126"/>
        <v>1</v>
      </c>
      <c r="AH136" s="79">
        <f t="shared" si="127"/>
        <v>1</v>
      </c>
      <c r="AI136" s="78">
        <f t="shared" si="128"/>
        <v>1</v>
      </c>
      <c r="AJ136" s="79">
        <f t="shared" si="129"/>
        <v>0</v>
      </c>
      <c r="AK136" s="79">
        <f t="shared" si="130"/>
        <v>0</v>
      </c>
      <c r="AL136" s="80">
        <f t="shared" si="131"/>
        <v>0</v>
      </c>
      <c r="AM136" s="81">
        <f t="shared" si="132"/>
        <v>0.64</v>
      </c>
      <c r="AN136" s="82" t="str">
        <f t="shared" si="133"/>
        <v/>
      </c>
      <c r="AO136" s="79" t="str">
        <f t="shared" si="134"/>
        <v/>
      </c>
      <c r="AP136" t="str">
        <f t="shared" si="135"/>
        <v/>
      </c>
      <c r="AQ136" s="82" t="str">
        <f t="shared" si="136"/>
        <v>C</v>
      </c>
      <c r="AR136" t="str">
        <f t="shared" si="137"/>
        <v>C</v>
      </c>
      <c r="AS136" t="str">
        <f t="shared" si="138"/>
        <v>C</v>
      </c>
      <c r="AT136" t="str">
        <f t="shared" si="139"/>
        <v>C</v>
      </c>
      <c r="AU136" t="str">
        <f t="shared" si="140"/>
        <v/>
      </c>
      <c r="AV136" s="82" t="str">
        <f t="shared" si="141"/>
        <v>C</v>
      </c>
      <c r="AW136" t="str">
        <f t="shared" si="142"/>
        <v>C</v>
      </c>
      <c r="AX136" t="str">
        <f t="shared" si="143"/>
        <v>C</v>
      </c>
      <c r="AY136" s="82" t="str">
        <f t="shared" si="144"/>
        <v>C</v>
      </c>
      <c r="AZ136" t="str">
        <f t="shared" si="145"/>
        <v/>
      </c>
      <c r="BA136" t="str">
        <f t="shared" si="146"/>
        <v/>
      </c>
      <c r="BB136" s="83" t="str">
        <f t="shared" si="147"/>
        <v/>
      </c>
      <c r="BC136" s="84">
        <f t="shared" si="148"/>
        <v>0</v>
      </c>
      <c r="BD136" s="84">
        <f t="shared" si="149"/>
        <v>0.76190476190476186</v>
      </c>
      <c r="BE136" s="84">
        <f t="shared" si="150"/>
        <v>1</v>
      </c>
      <c r="BF136" s="84">
        <f t="shared" si="151"/>
        <v>0.3888888888888889</v>
      </c>
      <c r="BG136" s="78">
        <f>IF(AN136="",0,VLOOKUP(AN136,Tables!$AB$3:$AC$12,2))</f>
        <v>0</v>
      </c>
      <c r="BH136" s="79">
        <f>IF(AO136="",0,VLOOKUP(AO136,Tables!$AB$3:$AC$12,2))</f>
        <v>0</v>
      </c>
      <c r="BI136" s="79">
        <f>IF(AP136="",0,VLOOKUP(AP136,Tables!$AB$3:$AC$12,2))</f>
        <v>0</v>
      </c>
      <c r="BJ136" s="78">
        <f>IF(AQ136="",0,VLOOKUP(AQ136,Tables!$AB$3:$AC$12,2))</f>
        <v>1</v>
      </c>
      <c r="BK136" s="79">
        <f>IF(AR136="",0,VLOOKUP(AR136,Tables!$AB$3:$AC$12,2))</f>
        <v>1</v>
      </c>
      <c r="BL136" s="79">
        <f>IF(AS136="",0,VLOOKUP(AS136,Tables!$AB$3:$AC$12,2))</f>
        <v>1</v>
      </c>
      <c r="BM136" s="79">
        <f>IF(AT136="",0,VLOOKUP(AT136,Tables!$AB$3:$AC$12,2))</f>
        <v>1</v>
      </c>
      <c r="BN136" s="79">
        <f>IF(AU136="",0,VLOOKUP(AU136,Tables!$AB$3:$AC$12,2))</f>
        <v>0</v>
      </c>
      <c r="BO136" s="78">
        <f>IF(AV136="",0,VLOOKUP(AV136,Tables!$AB$3:$AC$12,2))</f>
        <v>1</v>
      </c>
      <c r="BP136" s="79">
        <f>IF(AW136="",0,VLOOKUP(AW136,Tables!$AB$3:$AC$12,2))</f>
        <v>1</v>
      </c>
      <c r="BQ136" s="79">
        <f>IF(AX136="",0,VLOOKUP(AX136,Tables!$AB$3:$AC$12,2))</f>
        <v>1</v>
      </c>
      <c r="BR136" s="78">
        <f>IF(AY136="",0,VLOOKUP(AY136,Tables!$AB$3:$AC$12,2))</f>
        <v>1</v>
      </c>
      <c r="BS136" s="79">
        <f>IF(AZ136="",0,VLOOKUP(AZ136,Tables!$AB$3:$AC$12,2))</f>
        <v>0</v>
      </c>
      <c r="BT136" s="79">
        <f>IF(BA136="",0,VLOOKUP(BA136,Tables!$AB$3:$AC$12,2))</f>
        <v>0</v>
      </c>
      <c r="BU136" s="80">
        <f>IF(BB136="",0,VLOOKUP(BB136,Tables!$AB$3:$AC$12,2))</f>
        <v>0</v>
      </c>
      <c r="BV136" s="85">
        <f>IF(AN136="",0,VLOOKUP(B136,Tables!$B$3:$D$36,2,FALSE())*X$1)</f>
        <v>0</v>
      </c>
      <c r="BW136" s="72">
        <f>IF(AO136="",0,VLOOKUP(C136,Tables!$B$3:$D$36,2,FALSE())*Y$1)</f>
        <v>0</v>
      </c>
      <c r="BX136" s="72">
        <f>IF(AP136="",0,VLOOKUP(D136,Tables!$B$3:$D$36,2,FALSE())*Z$1)</f>
        <v>0</v>
      </c>
      <c r="BY136" s="85">
        <f>IF(AQ136="",0,VLOOKUP(E136,Tables!$B$3:$D$36,2,FALSE())*AA$1)</f>
        <v>12</v>
      </c>
      <c r="BZ136" s="72">
        <f>IF(AR136="",0,VLOOKUP(F136,Tables!$B$3:$D$36,2,FALSE())*AB$1)</f>
        <v>24</v>
      </c>
      <c r="CA136" s="72">
        <f>IF(AS136="",0,VLOOKUP(G136,Tables!$B$3:$D$36,2,FALSE())*AC$1)</f>
        <v>8</v>
      </c>
      <c r="CB136" s="72">
        <f>IF(AT136="",0,VLOOKUP(H136,Tables!$B$3:$D$36,2,FALSE())*AD$1)</f>
        <v>20</v>
      </c>
      <c r="CC136" s="72">
        <f>IF(AU136="",0,VLOOKUP(I136,Tables!$B$3:$D$36,2,FALSE())*AE$1)</f>
        <v>0</v>
      </c>
      <c r="CD136" s="85">
        <f>IF(AV136="",0,VLOOKUP(J136,Tables!$B$3:$D$36,2,FALSE())*AF$1)</f>
        <v>48</v>
      </c>
      <c r="CE136" s="72">
        <f>IF(AW136="",0,VLOOKUP(K136,Tables!$B$3:$D$36,2,FALSE())*AG$1)</f>
        <v>48</v>
      </c>
      <c r="CF136" s="72">
        <f>IF(AX136="",0,VLOOKUP(L136,Tables!$B$3:$D$36,2,FALSE())*AH$1)</f>
        <v>40</v>
      </c>
      <c r="CG136" s="85">
        <f>IF(AY136="",0,VLOOKUP(M136,Tables!$B$3:$D$36,2,FALSE())*AI$1)</f>
        <v>56.000000000000007</v>
      </c>
      <c r="CH136" s="72">
        <f>IF(AZ136="",0,VLOOKUP(N136,Tables!$B$3:$D$36,2,FALSE())*AJ$1)</f>
        <v>0</v>
      </c>
      <c r="CI136" s="72">
        <f>IF(BA136="",0,VLOOKUP(O136,Tables!$B$3:$D$36,2,FALSE())*AK$1)</f>
        <v>0</v>
      </c>
      <c r="CJ136" s="86">
        <f>IF(BB136="",0,VLOOKUP(P136,Tables!$B$3:$D$36,2,FALSE())*AL$1)</f>
        <v>0</v>
      </c>
      <c r="CK136" s="87">
        <f>IF(AN136="",0,VLOOKUP(B136,Tables!$B$3:$D$36,3,FALSE())*X$1)*IF(OR(AN136="K",AN136="P"),2,1)</f>
        <v>0</v>
      </c>
      <c r="CL136" s="73">
        <f>IF(AO136="",0,VLOOKUP(C136,Tables!$B$3:$D$36,3,FALSE())*Y$1)*IF(OR(AO136="K",AO136="P"),2,1)</f>
        <v>0</v>
      </c>
      <c r="CM136" s="73">
        <f>IF(AP136="",0,VLOOKUP(D136,Tables!$B$3:$D$36,3,FALSE())*Z$1)*IF(OR(AP136="K",AP136="P"),2,1)</f>
        <v>0</v>
      </c>
      <c r="CN136" s="87">
        <f>IF(AQ136="",0,VLOOKUP(E136,Tables!$B$3:$D$36,3,FALSE())*AA$1)</f>
        <v>0.15</v>
      </c>
      <c r="CO136" s="73">
        <f>IF(AR136="",0,VLOOKUP(F136,Tables!$B$3:$D$36,3,FALSE())*AB$1)</f>
        <v>0.3</v>
      </c>
      <c r="CP136" s="73">
        <f>IF(AS136="",0,VLOOKUP(G136,Tables!$B$3:$D$36,3,FALSE())*AC$1)</f>
        <v>0.1</v>
      </c>
      <c r="CQ136" s="73">
        <f>IF(AT136="",0,VLOOKUP(H136,Tables!$B$3:$D$36,3,FALSE())*AD$1)</f>
        <v>0.25</v>
      </c>
      <c r="CR136" s="73">
        <f>IF(AU136="",0,VLOOKUP(I136,Tables!$B$3:$D$36,3,FALSE())*AE$1)</f>
        <v>0</v>
      </c>
      <c r="CS136" s="87">
        <f>IF(AV136="",0,VLOOKUP(J136,Tables!$B$3:$D$36,3,FALSE())*AF$1)</f>
        <v>0.6</v>
      </c>
      <c r="CT136" s="73">
        <f>IF(AW136="",0,VLOOKUP(K136,Tables!$B$3:$D$36,3,FALSE())*AG$1)</f>
        <v>0.6</v>
      </c>
      <c r="CU136" s="73">
        <f>IF(AX136="",0,VLOOKUP(L136,Tables!$B$3:$D$36,3,FALSE())*AH$1)</f>
        <v>0.5</v>
      </c>
      <c r="CV136" s="87">
        <f>IF(AY136="",0,VLOOKUP(M136,Tables!$B$3:$D$36,3,FALSE())*AI$1)</f>
        <v>0.70000000000000007</v>
      </c>
      <c r="CW136" s="73">
        <f>IF(AZ136="",0,VLOOKUP(N136,Tables!$B$3:$D$36,3,FALSE())*AJ$1)</f>
        <v>0</v>
      </c>
      <c r="CX136" s="73">
        <f>IF(BA136="",0,VLOOKUP(O136,Tables!$B$3:$D$36,3,FALSE())*AK$1)</f>
        <v>0</v>
      </c>
      <c r="CY136" s="88">
        <f>IF(BB136="",0,VLOOKUP(P136,Tables!$B$3:$D$36,3,FALSE())*AL$1)</f>
        <v>0</v>
      </c>
      <c r="CZ136" s="89">
        <f t="shared" si="152"/>
        <v>0</v>
      </c>
      <c r="DA136" s="75">
        <f t="shared" si="153"/>
        <v>0</v>
      </c>
      <c r="DB136" s="75">
        <f t="shared" si="154"/>
        <v>0</v>
      </c>
      <c r="DC136" s="89">
        <f t="shared" si="155"/>
        <v>1</v>
      </c>
      <c r="DD136" s="75">
        <f t="shared" si="156"/>
        <v>1</v>
      </c>
      <c r="DE136" s="75">
        <f t="shared" si="157"/>
        <v>1</v>
      </c>
      <c r="DF136" s="75">
        <f t="shared" si="158"/>
        <v>1</v>
      </c>
      <c r="DG136" s="75">
        <f t="shared" si="159"/>
        <v>0</v>
      </c>
      <c r="DH136" s="89">
        <f t="shared" si="160"/>
        <v>1</v>
      </c>
      <c r="DI136" s="75">
        <f t="shared" si="161"/>
        <v>1</v>
      </c>
      <c r="DJ136" s="75">
        <f t="shared" si="162"/>
        <v>1</v>
      </c>
      <c r="DK136" s="89">
        <f t="shared" si="163"/>
        <v>1</v>
      </c>
      <c r="DL136" s="75">
        <f t="shared" si="164"/>
        <v>0</v>
      </c>
      <c r="DM136" s="75">
        <f t="shared" si="165"/>
        <v>0</v>
      </c>
      <c r="DN136" s="90">
        <f t="shared" si="166"/>
        <v>0</v>
      </c>
      <c r="DO136" s="91">
        <f>IF(AN136="",0,VLOOKUP(B136,Tables!$B$3:$M$36,11,FALSE())*X$1)</f>
        <v>0</v>
      </c>
      <c r="DP136" s="92">
        <f>IF(AO136="",0,VLOOKUP(C136,Tables!$B$3:$M$36,11,FALSE())*Y$1)</f>
        <v>0</v>
      </c>
      <c r="DQ136" s="92">
        <f>IF(AP136="",0,VLOOKUP(D136,Tables!$B$3:$M$36,11,FALSE())*Z$1)</f>
        <v>0</v>
      </c>
      <c r="DR136" s="91">
        <f>IF(AQ136="",0,VLOOKUP(E136,Tables!$B$3:$M$36,11,FALSE())*AA$1)</f>
        <v>0.6</v>
      </c>
      <c r="DS136" s="92">
        <f>IF(AR136="",0,VLOOKUP(F136,Tables!$B$3:$M$36,11,FALSE())*AB$1)</f>
        <v>1.2</v>
      </c>
      <c r="DT136" s="92">
        <f>IF(AS136="",0,VLOOKUP(G136,Tables!$B$3:$M$36,11,FALSE())*AC$1)</f>
        <v>0.4</v>
      </c>
      <c r="DU136" s="92">
        <f>IF(AT136="",0,VLOOKUP(H136,Tables!$B$3:$M$36,11,FALSE())*AD$1)</f>
        <v>1</v>
      </c>
      <c r="DV136" s="92">
        <f>IF(AU136="",0,VLOOKUP(I136,Tables!$B$3:$M$36,11,FALSE())*AE$1)</f>
        <v>0</v>
      </c>
      <c r="DW136" s="91">
        <f>IF(AV136="",0,VLOOKUP(J136,Tables!$B$3:$M$36,11,FALSE())*AF$1)</f>
        <v>2.4</v>
      </c>
      <c r="DX136" s="92">
        <f>IF(AW136="",0,VLOOKUP(K136,Tables!$B$3:$M$36,11,FALSE())*AG$1)</f>
        <v>2.4</v>
      </c>
      <c r="DY136" s="92">
        <f>IF(AX136="",0,VLOOKUP(L136,Tables!$B$3:$M$36,11,FALSE())*AH$1)</f>
        <v>2</v>
      </c>
      <c r="DZ136" s="91">
        <f>IF(AY136="",0,VLOOKUP(M136,Tables!$B$3:$M$36,11,FALSE())*AI$1)</f>
        <v>2.8000000000000003</v>
      </c>
      <c r="EA136" s="92">
        <f>IF(AZ136="",0,VLOOKUP(N136,Tables!$B$3:$M$36,11,FALSE())*AJ$1)</f>
        <v>0</v>
      </c>
      <c r="EB136" s="92">
        <f>IF(BA136="",0,VLOOKUP(O136,Tables!$B$3:$M$36,11,FALSE())*AK$1)</f>
        <v>0</v>
      </c>
      <c r="EC136" s="93">
        <f>IF(BB136="",0,VLOOKUP(P136,Tables!$B$3:$M$36,11,FALSE())*AL$1)</f>
        <v>0</v>
      </c>
      <c r="ED136" s="91">
        <f>IF(AN136="",0,VLOOKUP(B136,Tables!$B$3:$M$36,12,FALSE())*X$1)</f>
        <v>0</v>
      </c>
      <c r="EE136" s="92">
        <f>IF(AO136="",0,VLOOKUP(C136,Tables!$B$3:$M$36,12,FALSE())*Y$1)</f>
        <v>0</v>
      </c>
      <c r="EF136" s="92">
        <f>IF(AP136="",0,VLOOKUP(D136,Tables!$B$3:$M$36,12,FALSE())*Z$1)</f>
        <v>0</v>
      </c>
      <c r="EG136" s="91">
        <f>IF(AQ136="",0,VLOOKUP(E136,Tables!$B$3:$M$36,12,FALSE())*AA$1)</f>
        <v>9.6</v>
      </c>
      <c r="EH136" s="92">
        <f>IF(AR136="",0,VLOOKUP(F136,Tables!$B$3:$M$36,12,FALSE())*AB$1)</f>
        <v>19.2</v>
      </c>
      <c r="EI136" s="92">
        <f>IF(AS136="",0,VLOOKUP(G136,Tables!$B$3:$M$36,12,FALSE())*AC$1)</f>
        <v>6.4</v>
      </c>
      <c r="EJ136" s="92">
        <f>IF(AT136="",0,VLOOKUP(H136,Tables!$B$3:$M$36,12,FALSE())*AD$1)</f>
        <v>16</v>
      </c>
      <c r="EK136" s="92">
        <f>IF(AU136="",0,VLOOKUP(I136,Tables!$B$3:$M$36,12,FALSE())*AE$1)</f>
        <v>0</v>
      </c>
      <c r="EL136" s="91">
        <f>IF(AV136="",0,VLOOKUP(J136,Tables!$B$3:$M$36,12,FALSE())*AF$1)</f>
        <v>38.4</v>
      </c>
      <c r="EM136" s="92">
        <f>IF(AW136="",0,VLOOKUP(K136,Tables!$B$3:$M$36,12,FALSE())*AG$1)</f>
        <v>38.4</v>
      </c>
      <c r="EN136" s="92">
        <f>IF(AX136="",0,VLOOKUP(L136,Tables!$B$3:$M$36,12,FALSE())*AH$1)</f>
        <v>32</v>
      </c>
      <c r="EO136" s="91">
        <f>IF(AY136="",0,VLOOKUP(M136,Tables!$B$3:$M$36,12,FALSE())*AI$1)</f>
        <v>44.800000000000004</v>
      </c>
      <c r="EP136" s="92">
        <f>IF(AZ136="",0,VLOOKUP(N136,Tables!$B$3:$M$36,12,FALSE())*AJ$1)</f>
        <v>0</v>
      </c>
      <c r="EQ136" s="92">
        <f>IF(BA136="",0,VLOOKUP(O136,Tables!$B$3:$M$36,12,FALSE())*AK$1)</f>
        <v>0</v>
      </c>
      <c r="ER136" s="93">
        <f>IF(BB136="",0,VLOOKUP(P136,Tables!$B$3:$M$36,12,FALSE())*AL$1)</f>
        <v>0</v>
      </c>
      <c r="ES136" s="94">
        <f t="shared" si="167"/>
        <v>0</v>
      </c>
      <c r="ET136" s="95">
        <f>IF(AN136="",10,MIN(VLOOKUP(B136,MATERIAL,13,FALSE()),'Item Builder'!$W136))</f>
        <v>10</v>
      </c>
      <c r="EU136" s="95">
        <f>IF(AO136="",10,MIN(VLOOKUP(C136,MATERIAL,13,FALSE()),'Item Builder'!$W136))</f>
        <v>10</v>
      </c>
      <c r="EV136" s="95">
        <f>IF(AP136="",10,MIN(VLOOKUP(D136,MATERIAL,13,FALSE()),'Item Builder'!$W136))</f>
        <v>10</v>
      </c>
      <c r="EW136" s="95">
        <f>IF(AQ136="",10,MIN(VLOOKUP(E136,MATERIAL,13,FALSE()),'Item Builder'!$W136))</f>
        <v>0</v>
      </c>
      <c r="EX136" s="95">
        <f>IF(AR136="",10,MIN(VLOOKUP(F136,MATERIAL,13,FALSE()),'Item Builder'!$W136))</f>
        <v>0</v>
      </c>
      <c r="EY136" s="95">
        <f>IF(AS136="",10,MIN(VLOOKUP(G136,MATERIAL,13,FALSE()),'Item Builder'!$W136))</f>
        <v>0</v>
      </c>
      <c r="EZ136" s="95">
        <f>IF(AT136="",10,MIN(VLOOKUP(H136,MATERIAL,13,FALSE()),'Item Builder'!$W136))</f>
        <v>0</v>
      </c>
      <c r="FA136" s="95">
        <f>IF(AU136="",10,MIN(VLOOKUP(I136,MATERIAL,13,FALSE()),'Item Builder'!$W136))</f>
        <v>10</v>
      </c>
      <c r="FB136" s="95">
        <f>IF(AV136="",10,MIN(VLOOKUP(J136,MATERIAL,13,FALSE()),'Item Builder'!$W136))</f>
        <v>0</v>
      </c>
      <c r="FC136" s="95">
        <f>IF(AW136="",10,MIN(VLOOKUP(K136,MATERIAL,13,FALSE()),'Item Builder'!$W136))</f>
        <v>0</v>
      </c>
      <c r="FD136" s="95">
        <f>IF(AX136="",10,MIN(VLOOKUP(L136,MATERIAL,13,FALSE()),'Item Builder'!$W136))</f>
        <v>0</v>
      </c>
      <c r="FE136" s="95">
        <f>IF(AY136="",10,MIN(VLOOKUP(M136,MATERIAL,13,FALSE()),'Item Builder'!$W136))</f>
        <v>0</v>
      </c>
      <c r="FF136" s="95">
        <f>IF(AZ136="",10,MIN(VLOOKUP(N136,MATERIAL,13,FALSE()),'Item Builder'!$W136))</f>
        <v>10</v>
      </c>
      <c r="FG136" s="95">
        <f>IF(BA136="",10,MIN(VLOOKUP(O136,MATERIAL,13,FALSE()),'Item Builder'!$W136))</f>
        <v>10</v>
      </c>
      <c r="FH136" s="95">
        <f>IF(BB136="",10,MIN(VLOOKUP(P136,MATERIAL,13,FALSE()),'Item Builder'!$W136))</f>
        <v>10</v>
      </c>
    </row>
    <row r="137" spans="1:164" x14ac:dyDescent="0.25">
      <c r="A137" s="67" t="s">
        <v>277</v>
      </c>
      <c r="B137" s="68"/>
      <c r="C137" s="69"/>
      <c r="D137" s="70"/>
      <c r="E137" s="68" t="s">
        <v>165</v>
      </c>
      <c r="F137" s="69"/>
      <c r="G137" s="69"/>
      <c r="H137" s="69"/>
      <c r="I137" s="70"/>
      <c r="J137" s="68" t="s">
        <v>165</v>
      </c>
      <c r="K137" s="69" t="s">
        <v>165</v>
      </c>
      <c r="L137" s="70" t="s">
        <v>165</v>
      </c>
      <c r="M137" s="68" t="s">
        <v>165</v>
      </c>
      <c r="N137" s="69" t="s">
        <v>165</v>
      </c>
      <c r="O137" s="69"/>
      <c r="P137" s="71"/>
      <c r="Q137" s="72">
        <f>SUM(BV137:CJ137)*VLOOKUP(W137,Tables!$W$3:$Z$8,4)</f>
        <v>216</v>
      </c>
      <c r="R137" s="73">
        <f t="shared" si="112"/>
        <v>2.7</v>
      </c>
      <c r="S137" s="74">
        <f t="shared" si="113"/>
        <v>0</v>
      </c>
      <c r="T137" s="74">
        <f t="shared" si="114"/>
        <v>0</v>
      </c>
      <c r="U137" s="75">
        <f t="shared" si="115"/>
        <v>10.8</v>
      </c>
      <c r="V137" s="76">
        <f t="shared" si="116"/>
        <v>172.8</v>
      </c>
      <c r="W137" s="77">
        <v>0</v>
      </c>
      <c r="X137" s="78">
        <f t="shared" si="117"/>
        <v>0</v>
      </c>
      <c r="Y137" s="79">
        <f t="shared" si="118"/>
        <v>0</v>
      </c>
      <c r="Z137" s="79">
        <f t="shared" si="119"/>
        <v>0</v>
      </c>
      <c r="AA137" s="78">
        <f t="shared" si="120"/>
        <v>1</v>
      </c>
      <c r="AB137" s="79">
        <f t="shared" si="121"/>
        <v>0</v>
      </c>
      <c r="AC137" s="79">
        <f t="shared" si="122"/>
        <v>0</v>
      </c>
      <c r="AD137" s="79">
        <f t="shared" si="123"/>
        <v>0</v>
      </c>
      <c r="AE137" s="79">
        <f t="shared" si="124"/>
        <v>0</v>
      </c>
      <c r="AF137" s="78">
        <f t="shared" si="125"/>
        <v>1</v>
      </c>
      <c r="AG137" s="79">
        <f t="shared" si="126"/>
        <v>1</v>
      </c>
      <c r="AH137" s="79">
        <f t="shared" si="127"/>
        <v>1</v>
      </c>
      <c r="AI137" s="78">
        <f t="shared" si="128"/>
        <v>1</v>
      </c>
      <c r="AJ137" s="79">
        <f t="shared" si="129"/>
        <v>1</v>
      </c>
      <c r="AK137" s="79">
        <f t="shared" si="130"/>
        <v>0</v>
      </c>
      <c r="AL137" s="80">
        <f t="shared" si="131"/>
        <v>0</v>
      </c>
      <c r="AM137" s="81">
        <f t="shared" si="132"/>
        <v>0.54</v>
      </c>
      <c r="AN137" s="82" t="str">
        <f t="shared" si="133"/>
        <v/>
      </c>
      <c r="AO137" s="79" t="str">
        <f t="shared" si="134"/>
        <v/>
      </c>
      <c r="AP137" t="str">
        <f t="shared" si="135"/>
        <v/>
      </c>
      <c r="AQ137" s="82" t="str">
        <f t="shared" si="136"/>
        <v>C</v>
      </c>
      <c r="AR137" t="str">
        <f t="shared" si="137"/>
        <v/>
      </c>
      <c r="AS137" t="str">
        <f t="shared" si="138"/>
        <v/>
      </c>
      <c r="AT137" t="str">
        <f t="shared" si="139"/>
        <v/>
      </c>
      <c r="AU137" t="str">
        <f t="shared" si="140"/>
        <v/>
      </c>
      <c r="AV137" s="82" t="str">
        <f t="shared" si="141"/>
        <v>C</v>
      </c>
      <c r="AW137" t="str">
        <f t="shared" si="142"/>
        <v>C</v>
      </c>
      <c r="AX137" t="str">
        <f t="shared" si="143"/>
        <v>C</v>
      </c>
      <c r="AY137" s="82" t="str">
        <f t="shared" si="144"/>
        <v>C</v>
      </c>
      <c r="AZ137" t="str">
        <f t="shared" si="145"/>
        <v>C</v>
      </c>
      <c r="BA137" t="str">
        <f t="shared" si="146"/>
        <v/>
      </c>
      <c r="BB137" s="83" t="str">
        <f t="shared" si="147"/>
        <v/>
      </c>
      <c r="BC137" s="84">
        <f t="shared" si="148"/>
        <v>0</v>
      </c>
      <c r="BD137" s="84">
        <f t="shared" si="149"/>
        <v>0.14285714285714285</v>
      </c>
      <c r="BE137" s="84">
        <f t="shared" si="150"/>
        <v>1</v>
      </c>
      <c r="BF137" s="84">
        <f t="shared" si="151"/>
        <v>0.47222222222222221</v>
      </c>
      <c r="BG137" s="78">
        <f>IF(AN137="",0,VLOOKUP(AN137,Tables!$AB$3:$AC$12,2))</f>
        <v>0</v>
      </c>
      <c r="BH137" s="79">
        <f>IF(AO137="",0,VLOOKUP(AO137,Tables!$AB$3:$AC$12,2))</f>
        <v>0</v>
      </c>
      <c r="BI137" s="79">
        <f>IF(AP137="",0,VLOOKUP(AP137,Tables!$AB$3:$AC$12,2))</f>
        <v>0</v>
      </c>
      <c r="BJ137" s="78">
        <f>IF(AQ137="",0,VLOOKUP(AQ137,Tables!$AB$3:$AC$12,2))</f>
        <v>1</v>
      </c>
      <c r="BK137" s="79">
        <f>IF(AR137="",0,VLOOKUP(AR137,Tables!$AB$3:$AC$12,2))</f>
        <v>0</v>
      </c>
      <c r="BL137" s="79">
        <f>IF(AS137="",0,VLOOKUP(AS137,Tables!$AB$3:$AC$12,2))</f>
        <v>0</v>
      </c>
      <c r="BM137" s="79">
        <f>IF(AT137="",0,VLOOKUP(AT137,Tables!$AB$3:$AC$12,2))</f>
        <v>0</v>
      </c>
      <c r="BN137" s="79">
        <f>IF(AU137="",0,VLOOKUP(AU137,Tables!$AB$3:$AC$12,2))</f>
        <v>0</v>
      </c>
      <c r="BO137" s="78">
        <f>IF(AV137="",0,VLOOKUP(AV137,Tables!$AB$3:$AC$12,2))</f>
        <v>1</v>
      </c>
      <c r="BP137" s="79">
        <f>IF(AW137="",0,VLOOKUP(AW137,Tables!$AB$3:$AC$12,2))</f>
        <v>1</v>
      </c>
      <c r="BQ137" s="79">
        <f>IF(AX137="",0,VLOOKUP(AX137,Tables!$AB$3:$AC$12,2))</f>
        <v>1</v>
      </c>
      <c r="BR137" s="78">
        <f>IF(AY137="",0,VLOOKUP(AY137,Tables!$AB$3:$AC$12,2))</f>
        <v>1</v>
      </c>
      <c r="BS137" s="79">
        <f>IF(AZ137="",0,VLOOKUP(AZ137,Tables!$AB$3:$AC$12,2))</f>
        <v>1</v>
      </c>
      <c r="BT137" s="79">
        <f>IF(BA137="",0,VLOOKUP(BA137,Tables!$AB$3:$AC$12,2))</f>
        <v>0</v>
      </c>
      <c r="BU137" s="80">
        <f>IF(BB137="",0,VLOOKUP(BB137,Tables!$AB$3:$AC$12,2))</f>
        <v>0</v>
      </c>
      <c r="BV137" s="85">
        <f>IF(AN137="",0,VLOOKUP(B137,Tables!$B$3:$D$36,2,FALSE())*X$1)</f>
        <v>0</v>
      </c>
      <c r="BW137" s="72">
        <f>IF(AO137="",0,VLOOKUP(C137,Tables!$B$3:$D$36,2,FALSE())*Y$1)</f>
        <v>0</v>
      </c>
      <c r="BX137" s="72">
        <f>IF(AP137="",0,VLOOKUP(D137,Tables!$B$3:$D$36,2,FALSE())*Z$1)</f>
        <v>0</v>
      </c>
      <c r="BY137" s="85">
        <f>IF(AQ137="",0,VLOOKUP(E137,Tables!$B$3:$D$36,2,FALSE())*AA$1)</f>
        <v>12</v>
      </c>
      <c r="BZ137" s="72">
        <f>IF(AR137="",0,VLOOKUP(F137,Tables!$B$3:$D$36,2,FALSE())*AB$1)</f>
        <v>0</v>
      </c>
      <c r="CA137" s="72">
        <f>IF(AS137="",0,VLOOKUP(G137,Tables!$B$3:$D$36,2,FALSE())*AC$1)</f>
        <v>0</v>
      </c>
      <c r="CB137" s="72">
        <f>IF(AT137="",0,VLOOKUP(H137,Tables!$B$3:$D$36,2,FALSE())*AD$1)</f>
        <v>0</v>
      </c>
      <c r="CC137" s="72">
        <f>IF(AU137="",0,VLOOKUP(I137,Tables!$B$3:$D$36,2,FALSE())*AE$1)</f>
        <v>0</v>
      </c>
      <c r="CD137" s="85">
        <f>IF(AV137="",0,VLOOKUP(J137,Tables!$B$3:$D$36,2,FALSE())*AF$1)</f>
        <v>48</v>
      </c>
      <c r="CE137" s="72">
        <f>IF(AW137="",0,VLOOKUP(K137,Tables!$B$3:$D$36,2,FALSE())*AG$1)</f>
        <v>48</v>
      </c>
      <c r="CF137" s="72">
        <f>IF(AX137="",0,VLOOKUP(L137,Tables!$B$3:$D$36,2,FALSE())*AH$1)</f>
        <v>40</v>
      </c>
      <c r="CG137" s="85">
        <f>IF(AY137="",0,VLOOKUP(M137,Tables!$B$3:$D$36,2,FALSE())*AI$1)</f>
        <v>56.000000000000007</v>
      </c>
      <c r="CH137" s="72">
        <f>IF(AZ137="",0,VLOOKUP(N137,Tables!$B$3:$D$36,2,FALSE())*AJ$1)</f>
        <v>12</v>
      </c>
      <c r="CI137" s="72">
        <f>IF(BA137="",0,VLOOKUP(O137,Tables!$B$3:$D$36,2,FALSE())*AK$1)</f>
        <v>0</v>
      </c>
      <c r="CJ137" s="86">
        <f>IF(BB137="",0,VLOOKUP(P137,Tables!$B$3:$D$36,2,FALSE())*AL$1)</f>
        <v>0</v>
      </c>
      <c r="CK137" s="87">
        <f>IF(AN137="",0,VLOOKUP(B137,Tables!$B$3:$D$36,3,FALSE())*X$1)*IF(OR(AN137="K",AN137="P"),2,1)</f>
        <v>0</v>
      </c>
      <c r="CL137" s="73">
        <f>IF(AO137="",0,VLOOKUP(C137,Tables!$B$3:$D$36,3,FALSE())*Y$1)*IF(OR(AO137="K",AO137="P"),2,1)</f>
        <v>0</v>
      </c>
      <c r="CM137" s="73">
        <f>IF(AP137="",0,VLOOKUP(D137,Tables!$B$3:$D$36,3,FALSE())*Z$1)*IF(OR(AP137="K",AP137="P"),2,1)</f>
        <v>0</v>
      </c>
      <c r="CN137" s="87">
        <f>IF(AQ137="",0,VLOOKUP(E137,Tables!$B$3:$D$36,3,FALSE())*AA$1)</f>
        <v>0.15</v>
      </c>
      <c r="CO137" s="73">
        <f>IF(AR137="",0,VLOOKUP(F137,Tables!$B$3:$D$36,3,FALSE())*AB$1)</f>
        <v>0</v>
      </c>
      <c r="CP137" s="73">
        <f>IF(AS137="",0,VLOOKUP(G137,Tables!$B$3:$D$36,3,FALSE())*AC$1)</f>
        <v>0</v>
      </c>
      <c r="CQ137" s="73">
        <f>IF(AT137="",0,VLOOKUP(H137,Tables!$B$3:$D$36,3,FALSE())*AD$1)</f>
        <v>0</v>
      </c>
      <c r="CR137" s="73">
        <f>IF(AU137="",0,VLOOKUP(I137,Tables!$B$3:$D$36,3,FALSE())*AE$1)</f>
        <v>0</v>
      </c>
      <c r="CS137" s="87">
        <f>IF(AV137="",0,VLOOKUP(J137,Tables!$B$3:$D$36,3,FALSE())*AF$1)</f>
        <v>0.6</v>
      </c>
      <c r="CT137" s="73">
        <f>IF(AW137="",0,VLOOKUP(K137,Tables!$B$3:$D$36,3,FALSE())*AG$1)</f>
        <v>0.6</v>
      </c>
      <c r="CU137" s="73">
        <f>IF(AX137="",0,VLOOKUP(L137,Tables!$B$3:$D$36,3,FALSE())*AH$1)</f>
        <v>0.5</v>
      </c>
      <c r="CV137" s="87">
        <f>IF(AY137="",0,VLOOKUP(M137,Tables!$B$3:$D$36,3,FALSE())*AI$1)</f>
        <v>0.70000000000000007</v>
      </c>
      <c r="CW137" s="73">
        <f>IF(AZ137="",0,VLOOKUP(N137,Tables!$B$3:$D$36,3,FALSE())*AJ$1)</f>
        <v>0.15</v>
      </c>
      <c r="CX137" s="73">
        <f>IF(BA137="",0,VLOOKUP(O137,Tables!$B$3:$D$36,3,FALSE())*AK$1)</f>
        <v>0</v>
      </c>
      <c r="CY137" s="88">
        <f>IF(BB137="",0,VLOOKUP(P137,Tables!$B$3:$D$36,3,FALSE())*AL$1)</f>
        <v>0</v>
      </c>
      <c r="CZ137" s="89">
        <f t="shared" si="152"/>
        <v>0</v>
      </c>
      <c r="DA137" s="75">
        <f t="shared" si="153"/>
        <v>0</v>
      </c>
      <c r="DB137" s="75">
        <f t="shared" si="154"/>
        <v>0</v>
      </c>
      <c r="DC137" s="89">
        <f t="shared" si="155"/>
        <v>1</v>
      </c>
      <c r="DD137" s="75">
        <f t="shared" si="156"/>
        <v>0</v>
      </c>
      <c r="DE137" s="75">
        <f t="shared" si="157"/>
        <v>0</v>
      </c>
      <c r="DF137" s="75">
        <f t="shared" si="158"/>
        <v>0</v>
      </c>
      <c r="DG137" s="75">
        <f t="shared" si="159"/>
        <v>0</v>
      </c>
      <c r="DH137" s="89">
        <f t="shared" si="160"/>
        <v>1</v>
      </c>
      <c r="DI137" s="75">
        <f t="shared" si="161"/>
        <v>1</v>
      </c>
      <c r="DJ137" s="75">
        <f t="shared" si="162"/>
        <v>1</v>
      </c>
      <c r="DK137" s="89">
        <f t="shared" si="163"/>
        <v>1</v>
      </c>
      <c r="DL137" s="75">
        <f t="shared" si="164"/>
        <v>1</v>
      </c>
      <c r="DM137" s="75">
        <f t="shared" si="165"/>
        <v>0</v>
      </c>
      <c r="DN137" s="90">
        <f t="shared" si="166"/>
        <v>0</v>
      </c>
      <c r="DO137" s="91">
        <f>IF(AN137="",0,VLOOKUP(B137,Tables!$B$3:$M$36,11,FALSE())*X$1)</f>
        <v>0</v>
      </c>
      <c r="DP137" s="92">
        <f>IF(AO137="",0,VLOOKUP(C137,Tables!$B$3:$M$36,11,FALSE())*Y$1)</f>
        <v>0</v>
      </c>
      <c r="DQ137" s="92">
        <f>IF(AP137="",0,VLOOKUP(D137,Tables!$B$3:$M$36,11,FALSE())*Z$1)</f>
        <v>0</v>
      </c>
      <c r="DR137" s="91">
        <f>IF(AQ137="",0,VLOOKUP(E137,Tables!$B$3:$M$36,11,FALSE())*AA$1)</f>
        <v>0.6</v>
      </c>
      <c r="DS137" s="92">
        <f>IF(AR137="",0,VLOOKUP(F137,Tables!$B$3:$M$36,11,FALSE())*AB$1)</f>
        <v>0</v>
      </c>
      <c r="DT137" s="92">
        <f>IF(AS137="",0,VLOOKUP(G137,Tables!$B$3:$M$36,11,FALSE())*AC$1)</f>
        <v>0</v>
      </c>
      <c r="DU137" s="92">
        <f>IF(AT137="",0,VLOOKUP(H137,Tables!$B$3:$M$36,11,FALSE())*AD$1)</f>
        <v>0</v>
      </c>
      <c r="DV137" s="92">
        <f>IF(AU137="",0,VLOOKUP(I137,Tables!$B$3:$M$36,11,FALSE())*AE$1)</f>
        <v>0</v>
      </c>
      <c r="DW137" s="91">
        <f>IF(AV137="",0,VLOOKUP(J137,Tables!$B$3:$M$36,11,FALSE())*AF$1)</f>
        <v>2.4</v>
      </c>
      <c r="DX137" s="92">
        <f>IF(AW137="",0,VLOOKUP(K137,Tables!$B$3:$M$36,11,FALSE())*AG$1)</f>
        <v>2.4</v>
      </c>
      <c r="DY137" s="92">
        <f>IF(AX137="",0,VLOOKUP(L137,Tables!$B$3:$M$36,11,FALSE())*AH$1)</f>
        <v>2</v>
      </c>
      <c r="DZ137" s="91">
        <f>IF(AY137="",0,VLOOKUP(M137,Tables!$B$3:$M$36,11,FALSE())*AI$1)</f>
        <v>2.8000000000000003</v>
      </c>
      <c r="EA137" s="92">
        <f>IF(AZ137="",0,VLOOKUP(N137,Tables!$B$3:$M$36,11,FALSE())*AJ$1)</f>
        <v>0.6</v>
      </c>
      <c r="EB137" s="92">
        <f>IF(BA137="",0,VLOOKUP(O137,Tables!$B$3:$M$36,11,FALSE())*AK$1)</f>
        <v>0</v>
      </c>
      <c r="EC137" s="93">
        <f>IF(BB137="",0,VLOOKUP(P137,Tables!$B$3:$M$36,11,FALSE())*AL$1)</f>
        <v>0</v>
      </c>
      <c r="ED137" s="91">
        <f>IF(AN137="",0,VLOOKUP(B137,Tables!$B$3:$M$36,12,FALSE())*X$1)</f>
        <v>0</v>
      </c>
      <c r="EE137" s="92">
        <f>IF(AO137="",0,VLOOKUP(C137,Tables!$B$3:$M$36,12,FALSE())*Y$1)</f>
        <v>0</v>
      </c>
      <c r="EF137" s="92">
        <f>IF(AP137="",0,VLOOKUP(D137,Tables!$B$3:$M$36,12,FALSE())*Z$1)</f>
        <v>0</v>
      </c>
      <c r="EG137" s="91">
        <f>IF(AQ137="",0,VLOOKUP(E137,Tables!$B$3:$M$36,12,FALSE())*AA$1)</f>
        <v>9.6</v>
      </c>
      <c r="EH137" s="92">
        <f>IF(AR137="",0,VLOOKUP(F137,Tables!$B$3:$M$36,12,FALSE())*AB$1)</f>
        <v>0</v>
      </c>
      <c r="EI137" s="92">
        <f>IF(AS137="",0,VLOOKUP(G137,Tables!$B$3:$M$36,12,FALSE())*AC$1)</f>
        <v>0</v>
      </c>
      <c r="EJ137" s="92">
        <f>IF(AT137="",0,VLOOKUP(H137,Tables!$B$3:$M$36,12,FALSE())*AD$1)</f>
        <v>0</v>
      </c>
      <c r="EK137" s="92">
        <f>IF(AU137="",0,VLOOKUP(I137,Tables!$B$3:$M$36,12,FALSE())*AE$1)</f>
        <v>0</v>
      </c>
      <c r="EL137" s="91">
        <f>IF(AV137="",0,VLOOKUP(J137,Tables!$B$3:$M$36,12,FALSE())*AF$1)</f>
        <v>38.4</v>
      </c>
      <c r="EM137" s="92">
        <f>IF(AW137="",0,VLOOKUP(K137,Tables!$B$3:$M$36,12,FALSE())*AG$1)</f>
        <v>38.4</v>
      </c>
      <c r="EN137" s="92">
        <f>IF(AX137="",0,VLOOKUP(L137,Tables!$B$3:$M$36,12,FALSE())*AH$1)</f>
        <v>32</v>
      </c>
      <c r="EO137" s="91">
        <f>IF(AY137="",0,VLOOKUP(M137,Tables!$B$3:$M$36,12,FALSE())*AI$1)</f>
        <v>44.800000000000004</v>
      </c>
      <c r="EP137" s="92">
        <f>IF(AZ137="",0,VLOOKUP(N137,Tables!$B$3:$M$36,12,FALSE())*AJ$1)</f>
        <v>9.6</v>
      </c>
      <c r="EQ137" s="92">
        <f>IF(BA137="",0,VLOOKUP(O137,Tables!$B$3:$M$36,12,FALSE())*AK$1)</f>
        <v>0</v>
      </c>
      <c r="ER137" s="93">
        <f>IF(BB137="",0,VLOOKUP(P137,Tables!$B$3:$M$36,12,FALSE())*AL$1)</f>
        <v>0</v>
      </c>
      <c r="ES137" s="94">
        <f t="shared" si="167"/>
        <v>0</v>
      </c>
      <c r="ET137" s="95">
        <f>IF(AN137="",10,MIN(VLOOKUP(B137,MATERIAL,13,FALSE()),'Item Builder'!$W137))</f>
        <v>10</v>
      </c>
      <c r="EU137" s="95">
        <f>IF(AO137="",10,MIN(VLOOKUP(C137,MATERIAL,13,FALSE()),'Item Builder'!$W137))</f>
        <v>10</v>
      </c>
      <c r="EV137" s="95">
        <f>IF(AP137="",10,MIN(VLOOKUP(D137,MATERIAL,13,FALSE()),'Item Builder'!$W137))</f>
        <v>10</v>
      </c>
      <c r="EW137" s="95">
        <f>IF(AQ137="",10,MIN(VLOOKUP(E137,MATERIAL,13,FALSE()),'Item Builder'!$W137))</f>
        <v>0</v>
      </c>
      <c r="EX137" s="95">
        <f>IF(AR137="",10,MIN(VLOOKUP(F137,MATERIAL,13,FALSE()),'Item Builder'!$W137))</f>
        <v>10</v>
      </c>
      <c r="EY137" s="95">
        <f>IF(AS137="",10,MIN(VLOOKUP(G137,MATERIAL,13,FALSE()),'Item Builder'!$W137))</f>
        <v>10</v>
      </c>
      <c r="EZ137" s="95">
        <f>IF(AT137="",10,MIN(VLOOKUP(H137,MATERIAL,13,FALSE()),'Item Builder'!$W137))</f>
        <v>10</v>
      </c>
      <c r="FA137" s="95">
        <f>IF(AU137="",10,MIN(VLOOKUP(I137,MATERIAL,13,FALSE()),'Item Builder'!$W137))</f>
        <v>10</v>
      </c>
      <c r="FB137" s="95">
        <f>IF(AV137="",10,MIN(VLOOKUP(J137,MATERIAL,13,FALSE()),'Item Builder'!$W137))</f>
        <v>0</v>
      </c>
      <c r="FC137" s="95">
        <f>IF(AW137="",10,MIN(VLOOKUP(K137,MATERIAL,13,FALSE()),'Item Builder'!$W137))</f>
        <v>0</v>
      </c>
      <c r="FD137" s="95">
        <f>IF(AX137="",10,MIN(VLOOKUP(L137,MATERIAL,13,FALSE()),'Item Builder'!$W137))</f>
        <v>0</v>
      </c>
      <c r="FE137" s="95">
        <f>IF(AY137="",10,MIN(VLOOKUP(M137,MATERIAL,13,FALSE()),'Item Builder'!$W137))</f>
        <v>0</v>
      </c>
      <c r="FF137" s="95">
        <f>IF(AZ137="",10,MIN(VLOOKUP(N137,MATERIAL,13,FALSE()),'Item Builder'!$W137))</f>
        <v>0</v>
      </c>
      <c r="FG137" s="95">
        <f>IF(BA137="",10,MIN(VLOOKUP(O137,MATERIAL,13,FALSE()),'Item Builder'!$W137))</f>
        <v>10</v>
      </c>
      <c r="FH137" s="95">
        <f>IF(BB137="",10,MIN(VLOOKUP(P137,MATERIAL,13,FALSE()),'Item Builder'!$W137))</f>
        <v>10</v>
      </c>
    </row>
    <row r="138" spans="1:164" x14ac:dyDescent="0.25">
      <c r="A138" s="67" t="s">
        <v>278</v>
      </c>
      <c r="B138" s="68"/>
      <c r="C138" s="69"/>
      <c r="D138" s="70"/>
      <c r="E138" s="68" t="s">
        <v>165</v>
      </c>
      <c r="F138" s="69"/>
      <c r="G138" s="69"/>
      <c r="H138" s="69"/>
      <c r="I138" s="70"/>
      <c r="J138" s="68" t="s">
        <v>165</v>
      </c>
      <c r="K138" s="69" t="s">
        <v>165</v>
      </c>
      <c r="L138" s="70" t="s">
        <v>165</v>
      </c>
      <c r="M138" s="68" t="s">
        <v>165</v>
      </c>
      <c r="N138" s="69" t="s">
        <v>165</v>
      </c>
      <c r="O138" s="69" t="s">
        <v>165</v>
      </c>
      <c r="P138" s="71"/>
      <c r="Q138" s="72">
        <f>SUM(BV138:CJ138)*VLOOKUP(W138,Tables!$W$3:$Z$8,4)</f>
        <v>264</v>
      </c>
      <c r="R138" s="73">
        <f t="shared" si="112"/>
        <v>3.3000000000000003</v>
      </c>
      <c r="S138" s="74">
        <f t="shared" si="113"/>
        <v>0</v>
      </c>
      <c r="T138" s="74">
        <f t="shared" si="114"/>
        <v>0</v>
      </c>
      <c r="U138" s="75">
        <f t="shared" si="115"/>
        <v>13.200000000000001</v>
      </c>
      <c r="V138" s="76">
        <f t="shared" si="116"/>
        <v>211.20000000000002</v>
      </c>
      <c r="W138" s="77">
        <v>0</v>
      </c>
      <c r="X138" s="78">
        <f t="shared" si="117"/>
        <v>0</v>
      </c>
      <c r="Y138" s="79">
        <f t="shared" si="118"/>
        <v>0</v>
      </c>
      <c r="Z138" s="79">
        <f t="shared" si="119"/>
        <v>0</v>
      </c>
      <c r="AA138" s="78">
        <f t="shared" si="120"/>
        <v>1</v>
      </c>
      <c r="AB138" s="79">
        <f t="shared" si="121"/>
        <v>0</v>
      </c>
      <c r="AC138" s="79">
        <f t="shared" si="122"/>
        <v>0</v>
      </c>
      <c r="AD138" s="79">
        <f t="shared" si="123"/>
        <v>0</v>
      </c>
      <c r="AE138" s="79">
        <f t="shared" si="124"/>
        <v>0</v>
      </c>
      <c r="AF138" s="78">
        <f t="shared" si="125"/>
        <v>1</v>
      </c>
      <c r="AG138" s="79">
        <f t="shared" si="126"/>
        <v>1</v>
      </c>
      <c r="AH138" s="79">
        <f t="shared" si="127"/>
        <v>1</v>
      </c>
      <c r="AI138" s="78">
        <f t="shared" si="128"/>
        <v>1</v>
      </c>
      <c r="AJ138" s="79">
        <f t="shared" si="129"/>
        <v>1</v>
      </c>
      <c r="AK138" s="79">
        <f t="shared" si="130"/>
        <v>1</v>
      </c>
      <c r="AL138" s="80">
        <f t="shared" si="131"/>
        <v>0</v>
      </c>
      <c r="AM138" s="81">
        <f t="shared" si="132"/>
        <v>0.66</v>
      </c>
      <c r="AN138" s="82" t="str">
        <f t="shared" si="133"/>
        <v/>
      </c>
      <c r="AO138" s="79" t="str">
        <f t="shared" si="134"/>
        <v/>
      </c>
      <c r="AP138" t="str">
        <f t="shared" si="135"/>
        <v/>
      </c>
      <c r="AQ138" s="82" t="str">
        <f t="shared" si="136"/>
        <v>C</v>
      </c>
      <c r="AR138" t="str">
        <f t="shared" si="137"/>
        <v/>
      </c>
      <c r="AS138" t="str">
        <f t="shared" si="138"/>
        <v/>
      </c>
      <c r="AT138" t="str">
        <f t="shared" si="139"/>
        <v/>
      </c>
      <c r="AU138" t="str">
        <f t="shared" si="140"/>
        <v/>
      </c>
      <c r="AV138" s="82" t="str">
        <f t="shared" si="141"/>
        <v>C</v>
      </c>
      <c r="AW138" t="str">
        <f t="shared" si="142"/>
        <v>C</v>
      </c>
      <c r="AX138" t="str">
        <f t="shared" si="143"/>
        <v>C</v>
      </c>
      <c r="AY138" s="82" t="str">
        <f t="shared" si="144"/>
        <v>C</v>
      </c>
      <c r="AZ138" t="str">
        <f t="shared" si="145"/>
        <v>C</v>
      </c>
      <c r="BA138" t="str">
        <f t="shared" si="146"/>
        <v>C</v>
      </c>
      <c r="BB138" s="83" t="str">
        <f t="shared" si="147"/>
        <v/>
      </c>
      <c r="BC138" s="84">
        <f t="shared" si="148"/>
        <v>0</v>
      </c>
      <c r="BD138" s="84">
        <f t="shared" si="149"/>
        <v>0.14285714285714285</v>
      </c>
      <c r="BE138" s="84">
        <f t="shared" si="150"/>
        <v>1</v>
      </c>
      <c r="BF138" s="84">
        <f t="shared" si="151"/>
        <v>0.80555555555555558</v>
      </c>
      <c r="BG138" s="78">
        <f>IF(AN138="",0,VLOOKUP(AN138,Tables!$AB$3:$AC$12,2))</f>
        <v>0</v>
      </c>
      <c r="BH138" s="79">
        <f>IF(AO138="",0,VLOOKUP(AO138,Tables!$AB$3:$AC$12,2))</f>
        <v>0</v>
      </c>
      <c r="BI138" s="79">
        <f>IF(AP138="",0,VLOOKUP(AP138,Tables!$AB$3:$AC$12,2))</f>
        <v>0</v>
      </c>
      <c r="BJ138" s="78">
        <f>IF(AQ138="",0,VLOOKUP(AQ138,Tables!$AB$3:$AC$12,2))</f>
        <v>1</v>
      </c>
      <c r="BK138" s="79">
        <f>IF(AR138="",0,VLOOKUP(AR138,Tables!$AB$3:$AC$12,2))</f>
        <v>0</v>
      </c>
      <c r="BL138" s="79">
        <f>IF(AS138="",0,VLOOKUP(AS138,Tables!$AB$3:$AC$12,2))</f>
        <v>0</v>
      </c>
      <c r="BM138" s="79">
        <f>IF(AT138="",0,VLOOKUP(AT138,Tables!$AB$3:$AC$12,2))</f>
        <v>0</v>
      </c>
      <c r="BN138" s="79">
        <f>IF(AU138="",0,VLOOKUP(AU138,Tables!$AB$3:$AC$12,2))</f>
        <v>0</v>
      </c>
      <c r="BO138" s="78">
        <f>IF(AV138="",0,VLOOKUP(AV138,Tables!$AB$3:$AC$12,2))</f>
        <v>1</v>
      </c>
      <c r="BP138" s="79">
        <f>IF(AW138="",0,VLOOKUP(AW138,Tables!$AB$3:$AC$12,2))</f>
        <v>1</v>
      </c>
      <c r="BQ138" s="79">
        <f>IF(AX138="",0,VLOOKUP(AX138,Tables!$AB$3:$AC$12,2))</f>
        <v>1</v>
      </c>
      <c r="BR138" s="78">
        <f>IF(AY138="",0,VLOOKUP(AY138,Tables!$AB$3:$AC$12,2))</f>
        <v>1</v>
      </c>
      <c r="BS138" s="79">
        <f>IF(AZ138="",0,VLOOKUP(AZ138,Tables!$AB$3:$AC$12,2))</f>
        <v>1</v>
      </c>
      <c r="BT138" s="79">
        <f>IF(BA138="",0,VLOOKUP(BA138,Tables!$AB$3:$AC$12,2))</f>
        <v>1</v>
      </c>
      <c r="BU138" s="80">
        <f>IF(BB138="",0,VLOOKUP(BB138,Tables!$AB$3:$AC$12,2))</f>
        <v>0</v>
      </c>
      <c r="BV138" s="85">
        <f>IF(AN138="",0,VLOOKUP(B138,Tables!$B$3:$D$36,2,FALSE())*X$1)</f>
        <v>0</v>
      </c>
      <c r="BW138" s="72">
        <f>IF(AO138="",0,VLOOKUP(C138,Tables!$B$3:$D$36,2,FALSE())*Y$1)</f>
        <v>0</v>
      </c>
      <c r="BX138" s="72">
        <f>IF(AP138="",0,VLOOKUP(D138,Tables!$B$3:$D$36,2,FALSE())*Z$1)</f>
        <v>0</v>
      </c>
      <c r="BY138" s="85">
        <f>IF(AQ138="",0,VLOOKUP(E138,Tables!$B$3:$D$36,2,FALSE())*AA$1)</f>
        <v>12</v>
      </c>
      <c r="BZ138" s="72">
        <f>IF(AR138="",0,VLOOKUP(F138,Tables!$B$3:$D$36,2,FALSE())*AB$1)</f>
        <v>0</v>
      </c>
      <c r="CA138" s="72">
        <f>IF(AS138="",0,VLOOKUP(G138,Tables!$B$3:$D$36,2,FALSE())*AC$1)</f>
        <v>0</v>
      </c>
      <c r="CB138" s="72">
        <f>IF(AT138="",0,VLOOKUP(H138,Tables!$B$3:$D$36,2,FALSE())*AD$1)</f>
        <v>0</v>
      </c>
      <c r="CC138" s="72">
        <f>IF(AU138="",0,VLOOKUP(I138,Tables!$B$3:$D$36,2,FALSE())*AE$1)</f>
        <v>0</v>
      </c>
      <c r="CD138" s="85">
        <f>IF(AV138="",0,VLOOKUP(J138,Tables!$B$3:$D$36,2,FALSE())*AF$1)</f>
        <v>48</v>
      </c>
      <c r="CE138" s="72">
        <f>IF(AW138="",0,VLOOKUP(K138,Tables!$B$3:$D$36,2,FALSE())*AG$1)</f>
        <v>48</v>
      </c>
      <c r="CF138" s="72">
        <f>IF(AX138="",0,VLOOKUP(L138,Tables!$B$3:$D$36,2,FALSE())*AH$1)</f>
        <v>40</v>
      </c>
      <c r="CG138" s="85">
        <f>IF(AY138="",0,VLOOKUP(M138,Tables!$B$3:$D$36,2,FALSE())*AI$1)</f>
        <v>56.000000000000007</v>
      </c>
      <c r="CH138" s="72">
        <f>IF(AZ138="",0,VLOOKUP(N138,Tables!$B$3:$D$36,2,FALSE())*AJ$1)</f>
        <v>12</v>
      </c>
      <c r="CI138" s="72">
        <f>IF(BA138="",0,VLOOKUP(O138,Tables!$B$3:$D$36,2,FALSE())*AK$1)</f>
        <v>48</v>
      </c>
      <c r="CJ138" s="86">
        <f>IF(BB138="",0,VLOOKUP(P138,Tables!$B$3:$D$36,2,FALSE())*AL$1)</f>
        <v>0</v>
      </c>
      <c r="CK138" s="87">
        <f>IF(AN138="",0,VLOOKUP(B138,Tables!$B$3:$D$36,3,FALSE())*X$1)*IF(OR(AN138="K",AN138="P"),2,1)</f>
        <v>0</v>
      </c>
      <c r="CL138" s="73">
        <f>IF(AO138="",0,VLOOKUP(C138,Tables!$B$3:$D$36,3,FALSE())*Y$1)*IF(OR(AO138="K",AO138="P"),2,1)</f>
        <v>0</v>
      </c>
      <c r="CM138" s="73">
        <f>IF(AP138="",0,VLOOKUP(D138,Tables!$B$3:$D$36,3,FALSE())*Z$1)*IF(OR(AP138="K",AP138="P"),2,1)</f>
        <v>0</v>
      </c>
      <c r="CN138" s="87">
        <f>IF(AQ138="",0,VLOOKUP(E138,Tables!$B$3:$D$36,3,FALSE())*AA$1)</f>
        <v>0.15</v>
      </c>
      <c r="CO138" s="73">
        <f>IF(AR138="",0,VLOOKUP(F138,Tables!$B$3:$D$36,3,FALSE())*AB$1)</f>
        <v>0</v>
      </c>
      <c r="CP138" s="73">
        <f>IF(AS138="",0,VLOOKUP(G138,Tables!$B$3:$D$36,3,FALSE())*AC$1)</f>
        <v>0</v>
      </c>
      <c r="CQ138" s="73">
        <f>IF(AT138="",0,VLOOKUP(H138,Tables!$B$3:$D$36,3,FALSE())*AD$1)</f>
        <v>0</v>
      </c>
      <c r="CR138" s="73">
        <f>IF(AU138="",0,VLOOKUP(I138,Tables!$B$3:$D$36,3,FALSE())*AE$1)</f>
        <v>0</v>
      </c>
      <c r="CS138" s="87">
        <f>IF(AV138="",0,VLOOKUP(J138,Tables!$B$3:$D$36,3,FALSE())*AF$1)</f>
        <v>0.6</v>
      </c>
      <c r="CT138" s="73">
        <f>IF(AW138="",0,VLOOKUP(K138,Tables!$B$3:$D$36,3,FALSE())*AG$1)</f>
        <v>0.6</v>
      </c>
      <c r="CU138" s="73">
        <f>IF(AX138="",0,VLOOKUP(L138,Tables!$B$3:$D$36,3,FALSE())*AH$1)</f>
        <v>0.5</v>
      </c>
      <c r="CV138" s="87">
        <f>IF(AY138="",0,VLOOKUP(M138,Tables!$B$3:$D$36,3,FALSE())*AI$1)</f>
        <v>0.70000000000000007</v>
      </c>
      <c r="CW138" s="73">
        <f>IF(AZ138="",0,VLOOKUP(N138,Tables!$B$3:$D$36,3,FALSE())*AJ$1)</f>
        <v>0.15</v>
      </c>
      <c r="CX138" s="73">
        <f>IF(BA138="",0,VLOOKUP(O138,Tables!$B$3:$D$36,3,FALSE())*AK$1)</f>
        <v>0.6</v>
      </c>
      <c r="CY138" s="88">
        <f>IF(BB138="",0,VLOOKUP(P138,Tables!$B$3:$D$36,3,FALSE())*AL$1)</f>
        <v>0</v>
      </c>
      <c r="CZ138" s="89">
        <f t="shared" si="152"/>
        <v>0</v>
      </c>
      <c r="DA138" s="75">
        <f t="shared" si="153"/>
        <v>0</v>
      </c>
      <c r="DB138" s="75">
        <f t="shared" si="154"/>
        <v>0</v>
      </c>
      <c r="DC138" s="89">
        <f t="shared" si="155"/>
        <v>1</v>
      </c>
      <c r="DD138" s="75">
        <f t="shared" si="156"/>
        <v>0</v>
      </c>
      <c r="DE138" s="75">
        <f t="shared" si="157"/>
        <v>0</v>
      </c>
      <c r="DF138" s="75">
        <f t="shared" si="158"/>
        <v>0</v>
      </c>
      <c r="DG138" s="75">
        <f t="shared" si="159"/>
        <v>0</v>
      </c>
      <c r="DH138" s="89">
        <f t="shared" si="160"/>
        <v>1</v>
      </c>
      <c r="DI138" s="75">
        <f t="shared" si="161"/>
        <v>1</v>
      </c>
      <c r="DJ138" s="75">
        <f t="shared" si="162"/>
        <v>1</v>
      </c>
      <c r="DK138" s="89">
        <f t="shared" si="163"/>
        <v>1</v>
      </c>
      <c r="DL138" s="75">
        <f t="shared" si="164"/>
        <v>1</v>
      </c>
      <c r="DM138" s="75">
        <f t="shared" si="165"/>
        <v>1</v>
      </c>
      <c r="DN138" s="90">
        <f t="shared" si="166"/>
        <v>0</v>
      </c>
      <c r="DO138" s="91">
        <f>IF(AN138="",0,VLOOKUP(B138,Tables!$B$3:$M$36,11,FALSE())*X$1)</f>
        <v>0</v>
      </c>
      <c r="DP138" s="92">
        <f>IF(AO138="",0,VLOOKUP(C138,Tables!$B$3:$M$36,11,FALSE())*Y$1)</f>
        <v>0</v>
      </c>
      <c r="DQ138" s="92">
        <f>IF(AP138="",0,VLOOKUP(D138,Tables!$B$3:$M$36,11,FALSE())*Z$1)</f>
        <v>0</v>
      </c>
      <c r="DR138" s="91">
        <f>IF(AQ138="",0,VLOOKUP(E138,Tables!$B$3:$M$36,11,FALSE())*AA$1)</f>
        <v>0.6</v>
      </c>
      <c r="DS138" s="92">
        <f>IF(AR138="",0,VLOOKUP(F138,Tables!$B$3:$M$36,11,FALSE())*AB$1)</f>
        <v>0</v>
      </c>
      <c r="DT138" s="92">
        <f>IF(AS138="",0,VLOOKUP(G138,Tables!$B$3:$M$36,11,FALSE())*AC$1)</f>
        <v>0</v>
      </c>
      <c r="DU138" s="92">
        <f>IF(AT138="",0,VLOOKUP(H138,Tables!$B$3:$M$36,11,FALSE())*AD$1)</f>
        <v>0</v>
      </c>
      <c r="DV138" s="92">
        <f>IF(AU138="",0,VLOOKUP(I138,Tables!$B$3:$M$36,11,FALSE())*AE$1)</f>
        <v>0</v>
      </c>
      <c r="DW138" s="91">
        <f>IF(AV138="",0,VLOOKUP(J138,Tables!$B$3:$M$36,11,FALSE())*AF$1)</f>
        <v>2.4</v>
      </c>
      <c r="DX138" s="92">
        <f>IF(AW138="",0,VLOOKUP(K138,Tables!$B$3:$M$36,11,FALSE())*AG$1)</f>
        <v>2.4</v>
      </c>
      <c r="DY138" s="92">
        <f>IF(AX138="",0,VLOOKUP(L138,Tables!$B$3:$M$36,11,FALSE())*AH$1)</f>
        <v>2</v>
      </c>
      <c r="DZ138" s="91">
        <f>IF(AY138="",0,VLOOKUP(M138,Tables!$B$3:$M$36,11,FALSE())*AI$1)</f>
        <v>2.8000000000000003</v>
      </c>
      <c r="EA138" s="92">
        <f>IF(AZ138="",0,VLOOKUP(N138,Tables!$B$3:$M$36,11,FALSE())*AJ$1)</f>
        <v>0.6</v>
      </c>
      <c r="EB138" s="92">
        <f>IF(BA138="",0,VLOOKUP(O138,Tables!$B$3:$M$36,11,FALSE())*AK$1)</f>
        <v>2.4</v>
      </c>
      <c r="EC138" s="93">
        <f>IF(BB138="",0,VLOOKUP(P138,Tables!$B$3:$M$36,11,FALSE())*AL$1)</f>
        <v>0</v>
      </c>
      <c r="ED138" s="91">
        <f>IF(AN138="",0,VLOOKUP(B138,Tables!$B$3:$M$36,12,FALSE())*X$1)</f>
        <v>0</v>
      </c>
      <c r="EE138" s="92">
        <f>IF(AO138="",0,VLOOKUP(C138,Tables!$B$3:$M$36,12,FALSE())*Y$1)</f>
        <v>0</v>
      </c>
      <c r="EF138" s="92">
        <f>IF(AP138="",0,VLOOKUP(D138,Tables!$B$3:$M$36,12,FALSE())*Z$1)</f>
        <v>0</v>
      </c>
      <c r="EG138" s="91">
        <f>IF(AQ138="",0,VLOOKUP(E138,Tables!$B$3:$M$36,12,FALSE())*AA$1)</f>
        <v>9.6</v>
      </c>
      <c r="EH138" s="92">
        <f>IF(AR138="",0,VLOOKUP(F138,Tables!$B$3:$M$36,12,FALSE())*AB$1)</f>
        <v>0</v>
      </c>
      <c r="EI138" s="92">
        <f>IF(AS138="",0,VLOOKUP(G138,Tables!$B$3:$M$36,12,FALSE())*AC$1)</f>
        <v>0</v>
      </c>
      <c r="EJ138" s="92">
        <f>IF(AT138="",0,VLOOKUP(H138,Tables!$B$3:$M$36,12,FALSE())*AD$1)</f>
        <v>0</v>
      </c>
      <c r="EK138" s="92">
        <f>IF(AU138="",0,VLOOKUP(I138,Tables!$B$3:$M$36,12,FALSE())*AE$1)</f>
        <v>0</v>
      </c>
      <c r="EL138" s="91">
        <f>IF(AV138="",0,VLOOKUP(J138,Tables!$B$3:$M$36,12,FALSE())*AF$1)</f>
        <v>38.4</v>
      </c>
      <c r="EM138" s="92">
        <f>IF(AW138="",0,VLOOKUP(K138,Tables!$B$3:$M$36,12,FALSE())*AG$1)</f>
        <v>38.4</v>
      </c>
      <c r="EN138" s="92">
        <f>IF(AX138="",0,VLOOKUP(L138,Tables!$B$3:$M$36,12,FALSE())*AH$1)</f>
        <v>32</v>
      </c>
      <c r="EO138" s="91">
        <f>IF(AY138="",0,VLOOKUP(M138,Tables!$B$3:$M$36,12,FALSE())*AI$1)</f>
        <v>44.800000000000004</v>
      </c>
      <c r="EP138" s="92">
        <f>IF(AZ138="",0,VLOOKUP(N138,Tables!$B$3:$M$36,12,FALSE())*AJ$1)</f>
        <v>9.6</v>
      </c>
      <c r="EQ138" s="92">
        <f>IF(BA138="",0,VLOOKUP(O138,Tables!$B$3:$M$36,12,FALSE())*AK$1)</f>
        <v>38.4</v>
      </c>
      <c r="ER138" s="93">
        <f>IF(BB138="",0,VLOOKUP(P138,Tables!$B$3:$M$36,12,FALSE())*AL$1)</f>
        <v>0</v>
      </c>
      <c r="ES138" s="94">
        <f t="shared" si="167"/>
        <v>0</v>
      </c>
      <c r="ET138" s="95">
        <f>IF(AN138="",10,MIN(VLOOKUP(B138,MATERIAL,13,FALSE()),'Item Builder'!$W138))</f>
        <v>10</v>
      </c>
      <c r="EU138" s="95">
        <f>IF(AO138="",10,MIN(VLOOKUP(C138,MATERIAL,13,FALSE()),'Item Builder'!$W138))</f>
        <v>10</v>
      </c>
      <c r="EV138" s="95">
        <f>IF(AP138="",10,MIN(VLOOKUP(D138,MATERIAL,13,FALSE()),'Item Builder'!$W138))</f>
        <v>10</v>
      </c>
      <c r="EW138" s="95">
        <f>IF(AQ138="",10,MIN(VLOOKUP(E138,MATERIAL,13,FALSE()),'Item Builder'!$W138))</f>
        <v>0</v>
      </c>
      <c r="EX138" s="95">
        <f>IF(AR138="",10,MIN(VLOOKUP(F138,MATERIAL,13,FALSE()),'Item Builder'!$W138))</f>
        <v>10</v>
      </c>
      <c r="EY138" s="95">
        <f>IF(AS138="",10,MIN(VLOOKUP(G138,MATERIAL,13,FALSE()),'Item Builder'!$W138))</f>
        <v>10</v>
      </c>
      <c r="EZ138" s="95">
        <f>IF(AT138="",10,MIN(VLOOKUP(H138,MATERIAL,13,FALSE()),'Item Builder'!$W138))</f>
        <v>10</v>
      </c>
      <c r="FA138" s="95">
        <f>IF(AU138="",10,MIN(VLOOKUP(I138,MATERIAL,13,FALSE()),'Item Builder'!$W138))</f>
        <v>10</v>
      </c>
      <c r="FB138" s="95">
        <f>IF(AV138="",10,MIN(VLOOKUP(J138,MATERIAL,13,FALSE()),'Item Builder'!$W138))</f>
        <v>0</v>
      </c>
      <c r="FC138" s="95">
        <f>IF(AW138="",10,MIN(VLOOKUP(K138,MATERIAL,13,FALSE()),'Item Builder'!$W138))</f>
        <v>0</v>
      </c>
      <c r="FD138" s="95">
        <f>IF(AX138="",10,MIN(VLOOKUP(L138,MATERIAL,13,FALSE()),'Item Builder'!$W138))</f>
        <v>0</v>
      </c>
      <c r="FE138" s="95">
        <f>IF(AY138="",10,MIN(VLOOKUP(M138,MATERIAL,13,FALSE()),'Item Builder'!$W138))</f>
        <v>0</v>
      </c>
      <c r="FF138" s="95">
        <f>IF(AZ138="",10,MIN(VLOOKUP(N138,MATERIAL,13,FALSE()),'Item Builder'!$W138))</f>
        <v>0</v>
      </c>
      <c r="FG138" s="95">
        <f>IF(BA138="",10,MIN(VLOOKUP(O138,MATERIAL,13,FALSE()),'Item Builder'!$W138))</f>
        <v>0</v>
      </c>
      <c r="FH138" s="95">
        <f>IF(BB138="",10,MIN(VLOOKUP(P138,MATERIAL,13,FALSE()),'Item Builder'!$W138))</f>
        <v>10</v>
      </c>
    </row>
    <row r="139" spans="1:164" x14ac:dyDescent="0.25">
      <c r="A139" s="67" t="s">
        <v>279</v>
      </c>
      <c r="B139" s="68"/>
      <c r="C139" s="69"/>
      <c r="D139" s="70"/>
      <c r="E139" s="68" t="s">
        <v>165</v>
      </c>
      <c r="F139" s="69" t="s">
        <v>165</v>
      </c>
      <c r="G139" s="69" t="s">
        <v>165</v>
      </c>
      <c r="H139" s="69" t="s">
        <v>165</v>
      </c>
      <c r="I139" s="70"/>
      <c r="J139" s="68" t="s">
        <v>165</v>
      </c>
      <c r="K139" s="69" t="s">
        <v>165</v>
      </c>
      <c r="L139" s="70" t="s">
        <v>165</v>
      </c>
      <c r="M139" s="68" t="s">
        <v>165</v>
      </c>
      <c r="N139" s="69" t="s">
        <v>165</v>
      </c>
      <c r="O139" s="69" t="s">
        <v>165</v>
      </c>
      <c r="P139" s="71"/>
      <c r="Q139" s="72">
        <f>SUM(BV139:CJ139)*VLOOKUP(W139,Tables!$W$3:$Z$8,4)</f>
        <v>316</v>
      </c>
      <c r="R139" s="73">
        <f t="shared" si="112"/>
        <v>3.95</v>
      </c>
      <c r="S139" s="74">
        <f t="shared" si="113"/>
        <v>0</v>
      </c>
      <c r="T139" s="74">
        <f t="shared" si="114"/>
        <v>0</v>
      </c>
      <c r="U139" s="75">
        <f t="shared" si="115"/>
        <v>15.8</v>
      </c>
      <c r="V139" s="76">
        <f t="shared" si="116"/>
        <v>252.8</v>
      </c>
      <c r="W139" s="77">
        <v>0</v>
      </c>
      <c r="X139" s="78">
        <f t="shared" si="117"/>
        <v>0</v>
      </c>
      <c r="Y139" s="79">
        <f t="shared" si="118"/>
        <v>0</v>
      </c>
      <c r="Z139" s="79">
        <f t="shared" si="119"/>
        <v>0</v>
      </c>
      <c r="AA139" s="78">
        <f t="shared" si="120"/>
        <v>1</v>
      </c>
      <c r="AB139" s="79">
        <f t="shared" si="121"/>
        <v>1</v>
      </c>
      <c r="AC139" s="79">
        <f t="shared" si="122"/>
        <v>1</v>
      </c>
      <c r="AD139" s="79">
        <f t="shared" si="123"/>
        <v>1</v>
      </c>
      <c r="AE139" s="79">
        <f t="shared" si="124"/>
        <v>0</v>
      </c>
      <c r="AF139" s="78">
        <f t="shared" si="125"/>
        <v>1</v>
      </c>
      <c r="AG139" s="79">
        <f t="shared" si="126"/>
        <v>1</v>
      </c>
      <c r="AH139" s="79">
        <f t="shared" si="127"/>
        <v>1</v>
      </c>
      <c r="AI139" s="78">
        <f t="shared" si="128"/>
        <v>1</v>
      </c>
      <c r="AJ139" s="79">
        <f t="shared" si="129"/>
        <v>1</v>
      </c>
      <c r="AK139" s="79">
        <f t="shared" si="130"/>
        <v>1</v>
      </c>
      <c r="AL139" s="80">
        <f t="shared" si="131"/>
        <v>0</v>
      </c>
      <c r="AM139" s="81">
        <f t="shared" si="132"/>
        <v>0.79</v>
      </c>
      <c r="AN139" s="82" t="str">
        <f t="shared" si="133"/>
        <v/>
      </c>
      <c r="AO139" s="79" t="str">
        <f t="shared" si="134"/>
        <v/>
      </c>
      <c r="AP139" t="str">
        <f t="shared" si="135"/>
        <v/>
      </c>
      <c r="AQ139" s="82" t="str">
        <f t="shared" si="136"/>
        <v>C</v>
      </c>
      <c r="AR139" t="str">
        <f t="shared" si="137"/>
        <v>C</v>
      </c>
      <c r="AS139" t="str">
        <f t="shared" si="138"/>
        <v>C</v>
      </c>
      <c r="AT139" t="str">
        <f t="shared" si="139"/>
        <v>C</v>
      </c>
      <c r="AU139" t="str">
        <f t="shared" si="140"/>
        <v/>
      </c>
      <c r="AV139" s="82" t="str">
        <f t="shared" si="141"/>
        <v>C</v>
      </c>
      <c r="AW139" t="str">
        <f t="shared" si="142"/>
        <v>C</v>
      </c>
      <c r="AX139" t="str">
        <f t="shared" si="143"/>
        <v>C</v>
      </c>
      <c r="AY139" s="82" t="str">
        <f t="shared" si="144"/>
        <v>C</v>
      </c>
      <c r="AZ139" t="str">
        <f t="shared" si="145"/>
        <v>C</v>
      </c>
      <c r="BA139" t="str">
        <f t="shared" si="146"/>
        <v>C</v>
      </c>
      <c r="BB139" s="83" t="str">
        <f t="shared" si="147"/>
        <v/>
      </c>
      <c r="BC139" s="84">
        <f t="shared" si="148"/>
        <v>0</v>
      </c>
      <c r="BD139" s="84">
        <f t="shared" si="149"/>
        <v>0.76190476190476186</v>
      </c>
      <c r="BE139" s="84">
        <f t="shared" si="150"/>
        <v>1</v>
      </c>
      <c r="BF139" s="84">
        <f t="shared" si="151"/>
        <v>0.80555555555555558</v>
      </c>
      <c r="BG139" s="78">
        <f>IF(AN139="",0,VLOOKUP(AN139,Tables!$AB$3:$AC$12,2))</f>
        <v>0</v>
      </c>
      <c r="BH139" s="79">
        <f>IF(AO139="",0,VLOOKUP(AO139,Tables!$AB$3:$AC$12,2))</f>
        <v>0</v>
      </c>
      <c r="BI139" s="79">
        <f>IF(AP139="",0,VLOOKUP(AP139,Tables!$AB$3:$AC$12,2))</f>
        <v>0</v>
      </c>
      <c r="BJ139" s="78">
        <f>IF(AQ139="",0,VLOOKUP(AQ139,Tables!$AB$3:$AC$12,2))</f>
        <v>1</v>
      </c>
      <c r="BK139" s="79">
        <f>IF(AR139="",0,VLOOKUP(AR139,Tables!$AB$3:$AC$12,2))</f>
        <v>1</v>
      </c>
      <c r="BL139" s="79">
        <f>IF(AS139="",0,VLOOKUP(AS139,Tables!$AB$3:$AC$12,2))</f>
        <v>1</v>
      </c>
      <c r="BM139" s="79">
        <f>IF(AT139="",0,VLOOKUP(AT139,Tables!$AB$3:$AC$12,2))</f>
        <v>1</v>
      </c>
      <c r="BN139" s="79">
        <f>IF(AU139="",0,VLOOKUP(AU139,Tables!$AB$3:$AC$12,2))</f>
        <v>0</v>
      </c>
      <c r="BO139" s="78">
        <f>IF(AV139="",0,VLOOKUP(AV139,Tables!$AB$3:$AC$12,2))</f>
        <v>1</v>
      </c>
      <c r="BP139" s="79">
        <f>IF(AW139="",0,VLOOKUP(AW139,Tables!$AB$3:$AC$12,2))</f>
        <v>1</v>
      </c>
      <c r="BQ139" s="79">
        <f>IF(AX139="",0,VLOOKUP(AX139,Tables!$AB$3:$AC$12,2))</f>
        <v>1</v>
      </c>
      <c r="BR139" s="78">
        <f>IF(AY139="",0,VLOOKUP(AY139,Tables!$AB$3:$AC$12,2))</f>
        <v>1</v>
      </c>
      <c r="BS139" s="79">
        <f>IF(AZ139="",0,VLOOKUP(AZ139,Tables!$AB$3:$AC$12,2))</f>
        <v>1</v>
      </c>
      <c r="BT139" s="79">
        <f>IF(BA139="",0,VLOOKUP(BA139,Tables!$AB$3:$AC$12,2))</f>
        <v>1</v>
      </c>
      <c r="BU139" s="80">
        <f>IF(BB139="",0,VLOOKUP(BB139,Tables!$AB$3:$AC$12,2))</f>
        <v>0</v>
      </c>
      <c r="BV139" s="85">
        <f>IF(AN139="",0,VLOOKUP(B139,Tables!$B$3:$D$36,2,FALSE())*X$1)</f>
        <v>0</v>
      </c>
      <c r="BW139" s="72">
        <f>IF(AO139="",0,VLOOKUP(C139,Tables!$B$3:$D$36,2,FALSE())*Y$1)</f>
        <v>0</v>
      </c>
      <c r="BX139" s="72">
        <f>IF(AP139="",0,VLOOKUP(D139,Tables!$B$3:$D$36,2,FALSE())*Z$1)</f>
        <v>0</v>
      </c>
      <c r="BY139" s="85">
        <f>IF(AQ139="",0,VLOOKUP(E139,Tables!$B$3:$D$36,2,FALSE())*AA$1)</f>
        <v>12</v>
      </c>
      <c r="BZ139" s="72">
        <f>IF(AR139="",0,VLOOKUP(F139,Tables!$B$3:$D$36,2,FALSE())*AB$1)</f>
        <v>24</v>
      </c>
      <c r="CA139" s="72">
        <f>IF(AS139="",0,VLOOKUP(G139,Tables!$B$3:$D$36,2,FALSE())*AC$1)</f>
        <v>8</v>
      </c>
      <c r="CB139" s="72">
        <f>IF(AT139="",0,VLOOKUP(H139,Tables!$B$3:$D$36,2,FALSE())*AD$1)</f>
        <v>20</v>
      </c>
      <c r="CC139" s="72">
        <f>IF(AU139="",0,VLOOKUP(I139,Tables!$B$3:$D$36,2,FALSE())*AE$1)</f>
        <v>0</v>
      </c>
      <c r="CD139" s="85">
        <f>IF(AV139="",0,VLOOKUP(J139,Tables!$B$3:$D$36,2,FALSE())*AF$1)</f>
        <v>48</v>
      </c>
      <c r="CE139" s="72">
        <f>IF(AW139="",0,VLOOKUP(K139,Tables!$B$3:$D$36,2,FALSE())*AG$1)</f>
        <v>48</v>
      </c>
      <c r="CF139" s="72">
        <f>IF(AX139="",0,VLOOKUP(L139,Tables!$B$3:$D$36,2,FALSE())*AH$1)</f>
        <v>40</v>
      </c>
      <c r="CG139" s="85">
        <f>IF(AY139="",0,VLOOKUP(M139,Tables!$B$3:$D$36,2,FALSE())*AI$1)</f>
        <v>56.000000000000007</v>
      </c>
      <c r="CH139" s="72">
        <f>IF(AZ139="",0,VLOOKUP(N139,Tables!$B$3:$D$36,2,FALSE())*AJ$1)</f>
        <v>12</v>
      </c>
      <c r="CI139" s="72">
        <f>IF(BA139="",0,VLOOKUP(O139,Tables!$B$3:$D$36,2,FALSE())*AK$1)</f>
        <v>48</v>
      </c>
      <c r="CJ139" s="86">
        <f>IF(BB139="",0,VLOOKUP(P139,Tables!$B$3:$D$36,2,FALSE())*AL$1)</f>
        <v>0</v>
      </c>
      <c r="CK139" s="87">
        <f>IF(AN139="",0,VLOOKUP(B139,Tables!$B$3:$D$36,3,FALSE())*X$1)*IF(OR(AN139="K",AN139="P"),2,1)</f>
        <v>0</v>
      </c>
      <c r="CL139" s="73">
        <f>IF(AO139="",0,VLOOKUP(C139,Tables!$B$3:$D$36,3,FALSE())*Y$1)*IF(OR(AO139="K",AO139="P"),2,1)</f>
        <v>0</v>
      </c>
      <c r="CM139" s="73">
        <f>IF(AP139="",0,VLOOKUP(D139,Tables!$B$3:$D$36,3,FALSE())*Z$1)*IF(OR(AP139="K",AP139="P"),2,1)</f>
        <v>0</v>
      </c>
      <c r="CN139" s="87">
        <f>IF(AQ139="",0,VLOOKUP(E139,Tables!$B$3:$D$36,3,FALSE())*AA$1)</f>
        <v>0.15</v>
      </c>
      <c r="CO139" s="73">
        <f>IF(AR139="",0,VLOOKUP(F139,Tables!$B$3:$D$36,3,FALSE())*AB$1)</f>
        <v>0.3</v>
      </c>
      <c r="CP139" s="73">
        <f>IF(AS139="",0,VLOOKUP(G139,Tables!$B$3:$D$36,3,FALSE())*AC$1)</f>
        <v>0.1</v>
      </c>
      <c r="CQ139" s="73">
        <f>IF(AT139="",0,VLOOKUP(H139,Tables!$B$3:$D$36,3,FALSE())*AD$1)</f>
        <v>0.25</v>
      </c>
      <c r="CR139" s="73">
        <f>IF(AU139="",0,VLOOKUP(I139,Tables!$B$3:$D$36,3,FALSE())*AE$1)</f>
        <v>0</v>
      </c>
      <c r="CS139" s="87">
        <f>IF(AV139="",0,VLOOKUP(J139,Tables!$B$3:$D$36,3,FALSE())*AF$1)</f>
        <v>0.6</v>
      </c>
      <c r="CT139" s="73">
        <f>IF(AW139="",0,VLOOKUP(K139,Tables!$B$3:$D$36,3,FALSE())*AG$1)</f>
        <v>0.6</v>
      </c>
      <c r="CU139" s="73">
        <f>IF(AX139="",0,VLOOKUP(L139,Tables!$B$3:$D$36,3,FALSE())*AH$1)</f>
        <v>0.5</v>
      </c>
      <c r="CV139" s="87">
        <f>IF(AY139="",0,VLOOKUP(M139,Tables!$B$3:$D$36,3,FALSE())*AI$1)</f>
        <v>0.70000000000000007</v>
      </c>
      <c r="CW139" s="73">
        <f>IF(AZ139="",0,VLOOKUP(N139,Tables!$B$3:$D$36,3,FALSE())*AJ$1)</f>
        <v>0.15</v>
      </c>
      <c r="CX139" s="73">
        <f>IF(BA139="",0,VLOOKUP(O139,Tables!$B$3:$D$36,3,FALSE())*AK$1)</f>
        <v>0.6</v>
      </c>
      <c r="CY139" s="88">
        <f>IF(BB139="",0,VLOOKUP(P139,Tables!$B$3:$D$36,3,FALSE())*AL$1)</f>
        <v>0</v>
      </c>
      <c r="CZ139" s="89">
        <f t="shared" si="152"/>
        <v>0</v>
      </c>
      <c r="DA139" s="75">
        <f t="shared" si="153"/>
        <v>0</v>
      </c>
      <c r="DB139" s="75">
        <f t="shared" si="154"/>
        <v>0</v>
      </c>
      <c r="DC139" s="89">
        <f t="shared" si="155"/>
        <v>1</v>
      </c>
      <c r="DD139" s="75">
        <f t="shared" si="156"/>
        <v>1</v>
      </c>
      <c r="DE139" s="75">
        <f t="shared" si="157"/>
        <v>1</v>
      </c>
      <c r="DF139" s="75">
        <f t="shared" si="158"/>
        <v>1</v>
      </c>
      <c r="DG139" s="75">
        <f t="shared" si="159"/>
        <v>0</v>
      </c>
      <c r="DH139" s="89">
        <f t="shared" si="160"/>
        <v>1</v>
      </c>
      <c r="DI139" s="75">
        <f t="shared" si="161"/>
        <v>1</v>
      </c>
      <c r="DJ139" s="75">
        <f t="shared" si="162"/>
        <v>1</v>
      </c>
      <c r="DK139" s="89">
        <f t="shared" si="163"/>
        <v>1</v>
      </c>
      <c r="DL139" s="75">
        <f t="shared" si="164"/>
        <v>1</v>
      </c>
      <c r="DM139" s="75">
        <f t="shared" si="165"/>
        <v>1</v>
      </c>
      <c r="DN139" s="90">
        <f t="shared" si="166"/>
        <v>0</v>
      </c>
      <c r="DO139" s="91">
        <f>IF(AN139="",0,VLOOKUP(B139,Tables!$B$3:$M$36,11,FALSE())*X$1)</f>
        <v>0</v>
      </c>
      <c r="DP139" s="92">
        <f>IF(AO139="",0,VLOOKUP(C139,Tables!$B$3:$M$36,11,FALSE())*Y$1)</f>
        <v>0</v>
      </c>
      <c r="DQ139" s="92">
        <f>IF(AP139="",0,VLOOKUP(D139,Tables!$B$3:$M$36,11,FALSE())*Z$1)</f>
        <v>0</v>
      </c>
      <c r="DR139" s="91">
        <f>IF(AQ139="",0,VLOOKUP(E139,Tables!$B$3:$M$36,11,FALSE())*AA$1)</f>
        <v>0.6</v>
      </c>
      <c r="DS139" s="92">
        <f>IF(AR139="",0,VLOOKUP(F139,Tables!$B$3:$M$36,11,FALSE())*AB$1)</f>
        <v>1.2</v>
      </c>
      <c r="DT139" s="92">
        <f>IF(AS139="",0,VLOOKUP(G139,Tables!$B$3:$M$36,11,FALSE())*AC$1)</f>
        <v>0.4</v>
      </c>
      <c r="DU139" s="92">
        <f>IF(AT139="",0,VLOOKUP(H139,Tables!$B$3:$M$36,11,FALSE())*AD$1)</f>
        <v>1</v>
      </c>
      <c r="DV139" s="92">
        <f>IF(AU139="",0,VLOOKUP(I139,Tables!$B$3:$M$36,11,FALSE())*AE$1)</f>
        <v>0</v>
      </c>
      <c r="DW139" s="91">
        <f>IF(AV139="",0,VLOOKUP(J139,Tables!$B$3:$M$36,11,FALSE())*AF$1)</f>
        <v>2.4</v>
      </c>
      <c r="DX139" s="92">
        <f>IF(AW139="",0,VLOOKUP(K139,Tables!$B$3:$M$36,11,FALSE())*AG$1)</f>
        <v>2.4</v>
      </c>
      <c r="DY139" s="92">
        <f>IF(AX139="",0,VLOOKUP(L139,Tables!$B$3:$M$36,11,FALSE())*AH$1)</f>
        <v>2</v>
      </c>
      <c r="DZ139" s="91">
        <f>IF(AY139="",0,VLOOKUP(M139,Tables!$B$3:$M$36,11,FALSE())*AI$1)</f>
        <v>2.8000000000000003</v>
      </c>
      <c r="EA139" s="92">
        <f>IF(AZ139="",0,VLOOKUP(N139,Tables!$B$3:$M$36,11,FALSE())*AJ$1)</f>
        <v>0.6</v>
      </c>
      <c r="EB139" s="92">
        <f>IF(BA139="",0,VLOOKUP(O139,Tables!$B$3:$M$36,11,FALSE())*AK$1)</f>
        <v>2.4</v>
      </c>
      <c r="EC139" s="93">
        <f>IF(BB139="",0,VLOOKUP(P139,Tables!$B$3:$M$36,11,FALSE())*AL$1)</f>
        <v>0</v>
      </c>
      <c r="ED139" s="91">
        <f>IF(AN139="",0,VLOOKUP(B139,Tables!$B$3:$M$36,12,FALSE())*X$1)</f>
        <v>0</v>
      </c>
      <c r="EE139" s="92">
        <f>IF(AO139="",0,VLOOKUP(C139,Tables!$B$3:$M$36,12,FALSE())*Y$1)</f>
        <v>0</v>
      </c>
      <c r="EF139" s="92">
        <f>IF(AP139="",0,VLOOKUP(D139,Tables!$B$3:$M$36,12,FALSE())*Z$1)</f>
        <v>0</v>
      </c>
      <c r="EG139" s="91">
        <f>IF(AQ139="",0,VLOOKUP(E139,Tables!$B$3:$M$36,12,FALSE())*AA$1)</f>
        <v>9.6</v>
      </c>
      <c r="EH139" s="92">
        <f>IF(AR139="",0,VLOOKUP(F139,Tables!$B$3:$M$36,12,FALSE())*AB$1)</f>
        <v>19.2</v>
      </c>
      <c r="EI139" s="92">
        <f>IF(AS139="",0,VLOOKUP(G139,Tables!$B$3:$M$36,12,FALSE())*AC$1)</f>
        <v>6.4</v>
      </c>
      <c r="EJ139" s="92">
        <f>IF(AT139="",0,VLOOKUP(H139,Tables!$B$3:$M$36,12,FALSE())*AD$1)</f>
        <v>16</v>
      </c>
      <c r="EK139" s="92">
        <f>IF(AU139="",0,VLOOKUP(I139,Tables!$B$3:$M$36,12,FALSE())*AE$1)</f>
        <v>0</v>
      </c>
      <c r="EL139" s="91">
        <f>IF(AV139="",0,VLOOKUP(J139,Tables!$B$3:$M$36,12,FALSE())*AF$1)</f>
        <v>38.4</v>
      </c>
      <c r="EM139" s="92">
        <f>IF(AW139="",0,VLOOKUP(K139,Tables!$B$3:$M$36,12,FALSE())*AG$1)</f>
        <v>38.4</v>
      </c>
      <c r="EN139" s="92">
        <f>IF(AX139="",0,VLOOKUP(L139,Tables!$B$3:$M$36,12,FALSE())*AH$1)</f>
        <v>32</v>
      </c>
      <c r="EO139" s="91">
        <f>IF(AY139="",0,VLOOKUP(M139,Tables!$B$3:$M$36,12,FALSE())*AI$1)</f>
        <v>44.800000000000004</v>
      </c>
      <c r="EP139" s="92">
        <f>IF(AZ139="",0,VLOOKUP(N139,Tables!$B$3:$M$36,12,FALSE())*AJ$1)</f>
        <v>9.6</v>
      </c>
      <c r="EQ139" s="92">
        <f>IF(BA139="",0,VLOOKUP(O139,Tables!$B$3:$M$36,12,FALSE())*AK$1)</f>
        <v>38.4</v>
      </c>
      <c r="ER139" s="93">
        <f>IF(BB139="",0,VLOOKUP(P139,Tables!$B$3:$M$36,12,FALSE())*AL$1)</f>
        <v>0</v>
      </c>
      <c r="ES139" s="94">
        <f t="shared" si="167"/>
        <v>0</v>
      </c>
      <c r="ET139" s="95">
        <f>IF(AN139="",10,MIN(VLOOKUP(B139,MATERIAL,13,FALSE()),'Item Builder'!$W139))</f>
        <v>10</v>
      </c>
      <c r="EU139" s="95">
        <f>IF(AO139="",10,MIN(VLOOKUP(C139,MATERIAL,13,FALSE()),'Item Builder'!$W139))</f>
        <v>10</v>
      </c>
      <c r="EV139" s="95">
        <f>IF(AP139="",10,MIN(VLOOKUP(D139,MATERIAL,13,FALSE()),'Item Builder'!$W139))</f>
        <v>10</v>
      </c>
      <c r="EW139" s="95">
        <f>IF(AQ139="",10,MIN(VLOOKUP(E139,MATERIAL,13,FALSE()),'Item Builder'!$W139))</f>
        <v>0</v>
      </c>
      <c r="EX139" s="95">
        <f>IF(AR139="",10,MIN(VLOOKUP(F139,MATERIAL,13,FALSE()),'Item Builder'!$W139))</f>
        <v>0</v>
      </c>
      <c r="EY139" s="95">
        <f>IF(AS139="",10,MIN(VLOOKUP(G139,MATERIAL,13,FALSE()),'Item Builder'!$W139))</f>
        <v>0</v>
      </c>
      <c r="EZ139" s="95">
        <f>IF(AT139="",10,MIN(VLOOKUP(H139,MATERIAL,13,FALSE()),'Item Builder'!$W139))</f>
        <v>0</v>
      </c>
      <c r="FA139" s="95">
        <f>IF(AU139="",10,MIN(VLOOKUP(I139,MATERIAL,13,FALSE()),'Item Builder'!$W139))</f>
        <v>10</v>
      </c>
      <c r="FB139" s="95">
        <f>IF(AV139="",10,MIN(VLOOKUP(J139,MATERIAL,13,FALSE()),'Item Builder'!$W139))</f>
        <v>0</v>
      </c>
      <c r="FC139" s="95">
        <f>IF(AW139="",10,MIN(VLOOKUP(K139,MATERIAL,13,FALSE()),'Item Builder'!$W139))</f>
        <v>0</v>
      </c>
      <c r="FD139" s="95">
        <f>IF(AX139="",10,MIN(VLOOKUP(L139,MATERIAL,13,FALSE()),'Item Builder'!$W139))</f>
        <v>0</v>
      </c>
      <c r="FE139" s="95">
        <f>IF(AY139="",10,MIN(VLOOKUP(M139,MATERIAL,13,FALSE()),'Item Builder'!$W139))</f>
        <v>0</v>
      </c>
      <c r="FF139" s="95">
        <f>IF(AZ139="",10,MIN(VLOOKUP(N139,MATERIAL,13,FALSE()),'Item Builder'!$W139))</f>
        <v>0</v>
      </c>
      <c r="FG139" s="95">
        <f>IF(BA139="",10,MIN(VLOOKUP(O139,MATERIAL,13,FALSE()),'Item Builder'!$W139))</f>
        <v>0</v>
      </c>
      <c r="FH139" s="95">
        <f>IF(BB139="",10,MIN(VLOOKUP(P139,MATERIAL,13,FALSE()),'Item Builder'!$W139))</f>
        <v>10</v>
      </c>
    </row>
    <row r="140" spans="1:164" x14ac:dyDescent="0.25">
      <c r="A140" s="67" t="s">
        <v>280</v>
      </c>
      <c r="B140" s="68"/>
      <c r="C140" s="69"/>
      <c r="D140" s="70"/>
      <c r="E140" s="68"/>
      <c r="F140" s="69"/>
      <c r="G140" s="69"/>
      <c r="H140" s="69"/>
      <c r="I140" s="70"/>
      <c r="J140" s="68"/>
      <c r="K140" s="69"/>
      <c r="L140" s="70" t="s">
        <v>165</v>
      </c>
      <c r="M140" s="68" t="s">
        <v>165</v>
      </c>
      <c r="N140" s="69" t="s">
        <v>165</v>
      </c>
      <c r="O140" s="69"/>
      <c r="P140" s="71"/>
      <c r="Q140" s="72">
        <f>SUM(BV140:CJ140)*VLOOKUP(W140,Tables!$W$3:$Z$8,4)</f>
        <v>108</v>
      </c>
      <c r="R140" s="73">
        <f t="shared" si="112"/>
        <v>1.35</v>
      </c>
      <c r="S140" s="74">
        <f t="shared" si="113"/>
        <v>0</v>
      </c>
      <c r="T140" s="74">
        <f t="shared" si="114"/>
        <v>0</v>
      </c>
      <c r="U140" s="75">
        <f t="shared" si="115"/>
        <v>5.4</v>
      </c>
      <c r="V140" s="76">
        <f t="shared" si="116"/>
        <v>86.4</v>
      </c>
      <c r="W140" s="77">
        <v>0</v>
      </c>
      <c r="X140" s="78">
        <f t="shared" si="117"/>
        <v>0</v>
      </c>
      <c r="Y140" s="79">
        <f t="shared" si="118"/>
        <v>0</v>
      </c>
      <c r="Z140" s="79">
        <f t="shared" si="119"/>
        <v>0</v>
      </c>
      <c r="AA140" s="78">
        <f t="shared" si="120"/>
        <v>0</v>
      </c>
      <c r="AB140" s="79">
        <f t="shared" si="121"/>
        <v>0</v>
      </c>
      <c r="AC140" s="79">
        <f t="shared" si="122"/>
        <v>0</v>
      </c>
      <c r="AD140" s="79">
        <f t="shared" si="123"/>
        <v>0</v>
      </c>
      <c r="AE140" s="79">
        <f t="shared" si="124"/>
        <v>0</v>
      </c>
      <c r="AF140" s="78">
        <f t="shared" si="125"/>
        <v>0</v>
      </c>
      <c r="AG140" s="79">
        <f t="shared" si="126"/>
        <v>0</v>
      </c>
      <c r="AH140" s="79">
        <f t="shared" si="127"/>
        <v>1</v>
      </c>
      <c r="AI140" s="78">
        <f t="shared" si="128"/>
        <v>1</v>
      </c>
      <c r="AJ140" s="79">
        <f t="shared" si="129"/>
        <v>1</v>
      </c>
      <c r="AK140" s="79">
        <f t="shared" si="130"/>
        <v>0</v>
      </c>
      <c r="AL140" s="80">
        <f t="shared" si="131"/>
        <v>0</v>
      </c>
      <c r="AM140" s="81">
        <f t="shared" si="132"/>
        <v>0.27</v>
      </c>
      <c r="AN140" s="82" t="str">
        <f t="shared" si="133"/>
        <v/>
      </c>
      <c r="AO140" s="79" t="str">
        <f t="shared" si="134"/>
        <v/>
      </c>
      <c r="AP140" t="str">
        <f t="shared" si="135"/>
        <v/>
      </c>
      <c r="AQ140" s="82" t="str">
        <f t="shared" si="136"/>
        <v/>
      </c>
      <c r="AR140" t="str">
        <f t="shared" si="137"/>
        <v/>
      </c>
      <c r="AS140" t="str">
        <f t="shared" si="138"/>
        <v/>
      </c>
      <c r="AT140" t="str">
        <f t="shared" si="139"/>
        <v/>
      </c>
      <c r="AU140" t="str">
        <f t="shared" si="140"/>
        <v/>
      </c>
      <c r="AV140" s="82" t="str">
        <f t="shared" si="141"/>
        <v/>
      </c>
      <c r="AW140" t="str">
        <f t="shared" si="142"/>
        <v/>
      </c>
      <c r="AX140" t="str">
        <f t="shared" si="143"/>
        <v>C</v>
      </c>
      <c r="AY140" s="82" t="str">
        <f t="shared" si="144"/>
        <v>C</v>
      </c>
      <c r="AZ140" t="str">
        <f t="shared" si="145"/>
        <v>C</v>
      </c>
      <c r="BA140" t="str">
        <f t="shared" si="146"/>
        <v/>
      </c>
      <c r="BB140" s="83" t="str">
        <f t="shared" si="147"/>
        <v/>
      </c>
      <c r="BC140" s="84">
        <f t="shared" si="148"/>
        <v>0</v>
      </c>
      <c r="BD140" s="84">
        <f t="shared" si="149"/>
        <v>0</v>
      </c>
      <c r="BE140" s="84">
        <f t="shared" si="150"/>
        <v>0.29411764705882359</v>
      </c>
      <c r="BF140" s="84">
        <f t="shared" si="151"/>
        <v>0.47222222222222221</v>
      </c>
      <c r="BG140" s="78">
        <f>IF(AN140="",0,VLOOKUP(AN140,Tables!$AB$3:$AC$12,2))</f>
        <v>0</v>
      </c>
      <c r="BH140" s="79">
        <f>IF(AO140="",0,VLOOKUP(AO140,Tables!$AB$3:$AC$12,2))</f>
        <v>0</v>
      </c>
      <c r="BI140" s="79">
        <f>IF(AP140="",0,VLOOKUP(AP140,Tables!$AB$3:$AC$12,2))</f>
        <v>0</v>
      </c>
      <c r="BJ140" s="78">
        <f>IF(AQ140="",0,VLOOKUP(AQ140,Tables!$AB$3:$AC$12,2))</f>
        <v>0</v>
      </c>
      <c r="BK140" s="79">
        <f>IF(AR140="",0,VLOOKUP(AR140,Tables!$AB$3:$AC$12,2))</f>
        <v>0</v>
      </c>
      <c r="BL140" s="79">
        <f>IF(AS140="",0,VLOOKUP(AS140,Tables!$AB$3:$AC$12,2))</f>
        <v>0</v>
      </c>
      <c r="BM140" s="79">
        <f>IF(AT140="",0,VLOOKUP(AT140,Tables!$AB$3:$AC$12,2))</f>
        <v>0</v>
      </c>
      <c r="BN140" s="79">
        <f>IF(AU140="",0,VLOOKUP(AU140,Tables!$AB$3:$AC$12,2))</f>
        <v>0</v>
      </c>
      <c r="BO140" s="78">
        <f>IF(AV140="",0,VLOOKUP(AV140,Tables!$AB$3:$AC$12,2))</f>
        <v>0</v>
      </c>
      <c r="BP140" s="79">
        <f>IF(AW140="",0,VLOOKUP(AW140,Tables!$AB$3:$AC$12,2))</f>
        <v>0</v>
      </c>
      <c r="BQ140" s="79">
        <f>IF(AX140="",0,VLOOKUP(AX140,Tables!$AB$3:$AC$12,2))</f>
        <v>1</v>
      </c>
      <c r="BR140" s="78">
        <f>IF(AY140="",0,VLOOKUP(AY140,Tables!$AB$3:$AC$12,2))</f>
        <v>1</v>
      </c>
      <c r="BS140" s="79">
        <f>IF(AZ140="",0,VLOOKUP(AZ140,Tables!$AB$3:$AC$12,2))</f>
        <v>1</v>
      </c>
      <c r="BT140" s="79">
        <f>IF(BA140="",0,VLOOKUP(BA140,Tables!$AB$3:$AC$12,2))</f>
        <v>0</v>
      </c>
      <c r="BU140" s="80">
        <f>IF(BB140="",0,VLOOKUP(BB140,Tables!$AB$3:$AC$12,2))</f>
        <v>0</v>
      </c>
      <c r="BV140" s="85">
        <f>IF(AN140="",0,VLOOKUP(B140,Tables!$B$3:$D$36,2,FALSE())*X$1)</f>
        <v>0</v>
      </c>
      <c r="BW140" s="72">
        <f>IF(AO140="",0,VLOOKUP(C140,Tables!$B$3:$D$36,2,FALSE())*Y$1)</f>
        <v>0</v>
      </c>
      <c r="BX140" s="72">
        <f>IF(AP140="",0,VLOOKUP(D140,Tables!$B$3:$D$36,2,FALSE())*Z$1)</f>
        <v>0</v>
      </c>
      <c r="BY140" s="85">
        <f>IF(AQ140="",0,VLOOKUP(E140,Tables!$B$3:$D$36,2,FALSE())*AA$1)</f>
        <v>0</v>
      </c>
      <c r="BZ140" s="72">
        <f>IF(AR140="",0,VLOOKUP(F140,Tables!$B$3:$D$36,2,FALSE())*AB$1)</f>
        <v>0</v>
      </c>
      <c r="CA140" s="72">
        <f>IF(AS140="",0,VLOOKUP(G140,Tables!$B$3:$D$36,2,FALSE())*AC$1)</f>
        <v>0</v>
      </c>
      <c r="CB140" s="72">
        <f>IF(AT140="",0,VLOOKUP(H140,Tables!$B$3:$D$36,2,FALSE())*AD$1)</f>
        <v>0</v>
      </c>
      <c r="CC140" s="72">
        <f>IF(AU140="",0,VLOOKUP(I140,Tables!$B$3:$D$36,2,FALSE())*AE$1)</f>
        <v>0</v>
      </c>
      <c r="CD140" s="85">
        <f>IF(AV140="",0,VLOOKUP(J140,Tables!$B$3:$D$36,2,FALSE())*AF$1)</f>
        <v>0</v>
      </c>
      <c r="CE140" s="72">
        <f>IF(AW140="",0,VLOOKUP(K140,Tables!$B$3:$D$36,2,FALSE())*AG$1)</f>
        <v>0</v>
      </c>
      <c r="CF140" s="72">
        <f>IF(AX140="",0,VLOOKUP(L140,Tables!$B$3:$D$36,2,FALSE())*AH$1)</f>
        <v>40</v>
      </c>
      <c r="CG140" s="85">
        <f>IF(AY140="",0,VLOOKUP(M140,Tables!$B$3:$D$36,2,FALSE())*AI$1)</f>
        <v>56.000000000000007</v>
      </c>
      <c r="CH140" s="72">
        <f>IF(AZ140="",0,VLOOKUP(N140,Tables!$B$3:$D$36,2,FALSE())*AJ$1)</f>
        <v>12</v>
      </c>
      <c r="CI140" s="72">
        <f>IF(BA140="",0,VLOOKUP(O140,Tables!$B$3:$D$36,2,FALSE())*AK$1)</f>
        <v>0</v>
      </c>
      <c r="CJ140" s="86">
        <f>IF(BB140="",0,VLOOKUP(P140,Tables!$B$3:$D$36,2,FALSE())*AL$1)</f>
        <v>0</v>
      </c>
      <c r="CK140" s="87">
        <f>IF(AN140="",0,VLOOKUP(B140,Tables!$B$3:$D$36,3,FALSE())*X$1)*IF(OR(AN140="K",AN140="P"),2,1)</f>
        <v>0</v>
      </c>
      <c r="CL140" s="73">
        <f>IF(AO140="",0,VLOOKUP(C140,Tables!$B$3:$D$36,3,FALSE())*Y$1)*IF(OR(AO140="K",AO140="P"),2,1)</f>
        <v>0</v>
      </c>
      <c r="CM140" s="73">
        <f>IF(AP140="",0,VLOOKUP(D140,Tables!$B$3:$D$36,3,FALSE())*Z$1)*IF(OR(AP140="K",AP140="P"),2,1)</f>
        <v>0</v>
      </c>
      <c r="CN140" s="87">
        <f>IF(AQ140="",0,VLOOKUP(E140,Tables!$B$3:$D$36,3,FALSE())*AA$1)</f>
        <v>0</v>
      </c>
      <c r="CO140" s="73">
        <f>IF(AR140="",0,VLOOKUP(F140,Tables!$B$3:$D$36,3,FALSE())*AB$1)</f>
        <v>0</v>
      </c>
      <c r="CP140" s="73">
        <f>IF(AS140="",0,VLOOKUP(G140,Tables!$B$3:$D$36,3,FALSE())*AC$1)</f>
        <v>0</v>
      </c>
      <c r="CQ140" s="73">
        <f>IF(AT140="",0,VLOOKUP(H140,Tables!$B$3:$D$36,3,FALSE())*AD$1)</f>
        <v>0</v>
      </c>
      <c r="CR140" s="73">
        <f>IF(AU140="",0,VLOOKUP(I140,Tables!$B$3:$D$36,3,FALSE())*AE$1)</f>
        <v>0</v>
      </c>
      <c r="CS140" s="87">
        <f>IF(AV140="",0,VLOOKUP(J140,Tables!$B$3:$D$36,3,FALSE())*AF$1)</f>
        <v>0</v>
      </c>
      <c r="CT140" s="73">
        <f>IF(AW140="",0,VLOOKUP(K140,Tables!$B$3:$D$36,3,FALSE())*AG$1)</f>
        <v>0</v>
      </c>
      <c r="CU140" s="73">
        <f>IF(AX140="",0,VLOOKUP(L140,Tables!$B$3:$D$36,3,FALSE())*AH$1)</f>
        <v>0.5</v>
      </c>
      <c r="CV140" s="87">
        <f>IF(AY140="",0,VLOOKUP(M140,Tables!$B$3:$D$36,3,FALSE())*AI$1)</f>
        <v>0.70000000000000007</v>
      </c>
      <c r="CW140" s="73">
        <f>IF(AZ140="",0,VLOOKUP(N140,Tables!$B$3:$D$36,3,FALSE())*AJ$1)</f>
        <v>0.15</v>
      </c>
      <c r="CX140" s="73">
        <f>IF(BA140="",0,VLOOKUP(O140,Tables!$B$3:$D$36,3,FALSE())*AK$1)</f>
        <v>0</v>
      </c>
      <c r="CY140" s="88">
        <f>IF(BB140="",0,VLOOKUP(P140,Tables!$B$3:$D$36,3,FALSE())*AL$1)</f>
        <v>0</v>
      </c>
      <c r="CZ140" s="89">
        <f t="shared" si="152"/>
        <v>0</v>
      </c>
      <c r="DA140" s="75">
        <f t="shared" si="153"/>
        <v>0</v>
      </c>
      <c r="DB140" s="75">
        <f t="shared" si="154"/>
        <v>0</v>
      </c>
      <c r="DC140" s="89">
        <f t="shared" si="155"/>
        <v>0</v>
      </c>
      <c r="DD140" s="75">
        <f t="shared" si="156"/>
        <v>0</v>
      </c>
      <c r="DE140" s="75">
        <f t="shared" si="157"/>
        <v>0</v>
      </c>
      <c r="DF140" s="75">
        <f t="shared" si="158"/>
        <v>0</v>
      </c>
      <c r="DG140" s="75">
        <f t="shared" si="159"/>
        <v>0</v>
      </c>
      <c r="DH140" s="89">
        <f t="shared" si="160"/>
        <v>0</v>
      </c>
      <c r="DI140" s="75">
        <f t="shared" si="161"/>
        <v>0</v>
      </c>
      <c r="DJ140" s="75">
        <f t="shared" si="162"/>
        <v>1</v>
      </c>
      <c r="DK140" s="89">
        <f t="shared" si="163"/>
        <v>1</v>
      </c>
      <c r="DL140" s="75">
        <f t="shared" si="164"/>
        <v>1</v>
      </c>
      <c r="DM140" s="75">
        <f t="shared" si="165"/>
        <v>0</v>
      </c>
      <c r="DN140" s="90">
        <f t="shared" si="166"/>
        <v>0</v>
      </c>
      <c r="DO140" s="91">
        <f>IF(AN140="",0,VLOOKUP(B140,Tables!$B$3:$M$36,11,FALSE())*X$1)</f>
        <v>0</v>
      </c>
      <c r="DP140" s="92">
        <f>IF(AO140="",0,VLOOKUP(C140,Tables!$B$3:$M$36,11,FALSE())*Y$1)</f>
        <v>0</v>
      </c>
      <c r="DQ140" s="92">
        <f>IF(AP140="",0,VLOOKUP(D140,Tables!$B$3:$M$36,11,FALSE())*Z$1)</f>
        <v>0</v>
      </c>
      <c r="DR140" s="91">
        <f>IF(AQ140="",0,VLOOKUP(E140,Tables!$B$3:$M$36,11,FALSE())*AA$1)</f>
        <v>0</v>
      </c>
      <c r="DS140" s="92">
        <f>IF(AR140="",0,VLOOKUP(F140,Tables!$B$3:$M$36,11,FALSE())*AB$1)</f>
        <v>0</v>
      </c>
      <c r="DT140" s="92">
        <f>IF(AS140="",0,VLOOKUP(G140,Tables!$B$3:$M$36,11,FALSE())*AC$1)</f>
        <v>0</v>
      </c>
      <c r="DU140" s="92">
        <f>IF(AT140="",0,VLOOKUP(H140,Tables!$B$3:$M$36,11,FALSE())*AD$1)</f>
        <v>0</v>
      </c>
      <c r="DV140" s="92">
        <f>IF(AU140="",0,VLOOKUP(I140,Tables!$B$3:$M$36,11,FALSE())*AE$1)</f>
        <v>0</v>
      </c>
      <c r="DW140" s="91">
        <f>IF(AV140="",0,VLOOKUP(J140,Tables!$B$3:$M$36,11,FALSE())*AF$1)</f>
        <v>0</v>
      </c>
      <c r="DX140" s="92">
        <f>IF(AW140="",0,VLOOKUP(K140,Tables!$B$3:$M$36,11,FALSE())*AG$1)</f>
        <v>0</v>
      </c>
      <c r="DY140" s="92">
        <f>IF(AX140="",0,VLOOKUP(L140,Tables!$B$3:$M$36,11,FALSE())*AH$1)</f>
        <v>2</v>
      </c>
      <c r="DZ140" s="91">
        <f>IF(AY140="",0,VLOOKUP(M140,Tables!$B$3:$M$36,11,FALSE())*AI$1)</f>
        <v>2.8000000000000003</v>
      </c>
      <c r="EA140" s="92">
        <f>IF(AZ140="",0,VLOOKUP(N140,Tables!$B$3:$M$36,11,FALSE())*AJ$1)</f>
        <v>0.6</v>
      </c>
      <c r="EB140" s="92">
        <f>IF(BA140="",0,VLOOKUP(O140,Tables!$B$3:$M$36,11,FALSE())*AK$1)</f>
        <v>0</v>
      </c>
      <c r="EC140" s="93">
        <f>IF(BB140="",0,VLOOKUP(P140,Tables!$B$3:$M$36,11,FALSE())*AL$1)</f>
        <v>0</v>
      </c>
      <c r="ED140" s="91">
        <f>IF(AN140="",0,VLOOKUP(B140,Tables!$B$3:$M$36,12,FALSE())*X$1)</f>
        <v>0</v>
      </c>
      <c r="EE140" s="92">
        <f>IF(AO140="",0,VLOOKUP(C140,Tables!$B$3:$M$36,12,FALSE())*Y$1)</f>
        <v>0</v>
      </c>
      <c r="EF140" s="92">
        <f>IF(AP140="",0,VLOOKUP(D140,Tables!$B$3:$M$36,12,FALSE())*Z$1)</f>
        <v>0</v>
      </c>
      <c r="EG140" s="91">
        <f>IF(AQ140="",0,VLOOKUP(E140,Tables!$B$3:$M$36,12,FALSE())*AA$1)</f>
        <v>0</v>
      </c>
      <c r="EH140" s="92">
        <f>IF(AR140="",0,VLOOKUP(F140,Tables!$B$3:$M$36,12,FALSE())*AB$1)</f>
        <v>0</v>
      </c>
      <c r="EI140" s="92">
        <f>IF(AS140="",0,VLOOKUP(G140,Tables!$B$3:$M$36,12,FALSE())*AC$1)</f>
        <v>0</v>
      </c>
      <c r="EJ140" s="92">
        <f>IF(AT140="",0,VLOOKUP(H140,Tables!$B$3:$M$36,12,FALSE())*AD$1)</f>
        <v>0</v>
      </c>
      <c r="EK140" s="92">
        <f>IF(AU140="",0,VLOOKUP(I140,Tables!$B$3:$M$36,12,FALSE())*AE$1)</f>
        <v>0</v>
      </c>
      <c r="EL140" s="91">
        <f>IF(AV140="",0,VLOOKUP(J140,Tables!$B$3:$M$36,12,FALSE())*AF$1)</f>
        <v>0</v>
      </c>
      <c r="EM140" s="92">
        <f>IF(AW140="",0,VLOOKUP(K140,Tables!$B$3:$M$36,12,FALSE())*AG$1)</f>
        <v>0</v>
      </c>
      <c r="EN140" s="92">
        <f>IF(AX140="",0,VLOOKUP(L140,Tables!$B$3:$M$36,12,FALSE())*AH$1)</f>
        <v>32</v>
      </c>
      <c r="EO140" s="91">
        <f>IF(AY140="",0,VLOOKUP(M140,Tables!$B$3:$M$36,12,FALSE())*AI$1)</f>
        <v>44.800000000000004</v>
      </c>
      <c r="EP140" s="92">
        <f>IF(AZ140="",0,VLOOKUP(N140,Tables!$B$3:$M$36,12,FALSE())*AJ$1)</f>
        <v>9.6</v>
      </c>
      <c r="EQ140" s="92">
        <f>IF(BA140="",0,VLOOKUP(O140,Tables!$B$3:$M$36,12,FALSE())*AK$1)</f>
        <v>0</v>
      </c>
      <c r="ER140" s="93">
        <f>IF(BB140="",0,VLOOKUP(P140,Tables!$B$3:$M$36,12,FALSE())*AL$1)</f>
        <v>0</v>
      </c>
      <c r="ES140" s="94">
        <f t="shared" si="167"/>
        <v>0</v>
      </c>
      <c r="ET140" s="95">
        <f>IF(AN140="",10,MIN(VLOOKUP(B140,MATERIAL,13,FALSE()),'Item Builder'!$W140))</f>
        <v>10</v>
      </c>
      <c r="EU140" s="95">
        <f>IF(AO140="",10,MIN(VLOOKUP(C140,MATERIAL,13,FALSE()),'Item Builder'!$W140))</f>
        <v>10</v>
      </c>
      <c r="EV140" s="95">
        <f>IF(AP140="",10,MIN(VLOOKUP(D140,MATERIAL,13,FALSE()),'Item Builder'!$W140))</f>
        <v>10</v>
      </c>
      <c r="EW140" s="95">
        <f>IF(AQ140="",10,MIN(VLOOKUP(E140,MATERIAL,13,FALSE()),'Item Builder'!$W140))</f>
        <v>10</v>
      </c>
      <c r="EX140" s="95">
        <f>IF(AR140="",10,MIN(VLOOKUP(F140,MATERIAL,13,FALSE()),'Item Builder'!$W140))</f>
        <v>10</v>
      </c>
      <c r="EY140" s="95">
        <f>IF(AS140="",10,MIN(VLOOKUP(G140,MATERIAL,13,FALSE()),'Item Builder'!$W140))</f>
        <v>10</v>
      </c>
      <c r="EZ140" s="95">
        <f>IF(AT140="",10,MIN(VLOOKUP(H140,MATERIAL,13,FALSE()),'Item Builder'!$W140))</f>
        <v>10</v>
      </c>
      <c r="FA140" s="95">
        <f>IF(AU140="",10,MIN(VLOOKUP(I140,MATERIAL,13,FALSE()),'Item Builder'!$W140))</f>
        <v>10</v>
      </c>
      <c r="FB140" s="95">
        <f>IF(AV140="",10,MIN(VLOOKUP(J140,MATERIAL,13,FALSE()),'Item Builder'!$W140))</f>
        <v>10</v>
      </c>
      <c r="FC140" s="95">
        <f>IF(AW140="",10,MIN(VLOOKUP(K140,MATERIAL,13,FALSE()),'Item Builder'!$W140))</f>
        <v>10</v>
      </c>
      <c r="FD140" s="95">
        <f>IF(AX140="",10,MIN(VLOOKUP(L140,MATERIAL,13,FALSE()),'Item Builder'!$W140))</f>
        <v>0</v>
      </c>
      <c r="FE140" s="95">
        <f>IF(AY140="",10,MIN(VLOOKUP(M140,MATERIAL,13,FALSE()),'Item Builder'!$W140))</f>
        <v>0</v>
      </c>
      <c r="FF140" s="95">
        <f>IF(AZ140="",10,MIN(VLOOKUP(N140,MATERIAL,13,FALSE()),'Item Builder'!$W140))</f>
        <v>0</v>
      </c>
      <c r="FG140" s="95">
        <f>IF(BA140="",10,MIN(VLOOKUP(O140,MATERIAL,13,FALSE()),'Item Builder'!$W140))</f>
        <v>10</v>
      </c>
      <c r="FH140" s="95">
        <f>IF(BB140="",10,MIN(VLOOKUP(P140,MATERIAL,13,FALSE()),'Item Builder'!$W140))</f>
        <v>10</v>
      </c>
    </row>
    <row r="141" spans="1:164" x14ac:dyDescent="0.25">
      <c r="A141" s="67" t="s">
        <v>281</v>
      </c>
      <c r="B141" s="68"/>
      <c r="C141" s="69"/>
      <c r="D141" s="70"/>
      <c r="E141" s="68"/>
      <c r="F141" s="69"/>
      <c r="G141" s="69"/>
      <c r="H141" s="69"/>
      <c r="I141" s="70"/>
      <c r="J141" s="68"/>
      <c r="K141" s="69"/>
      <c r="L141" s="70" t="s">
        <v>165</v>
      </c>
      <c r="M141" s="68" t="s">
        <v>165</v>
      </c>
      <c r="N141" s="69" t="s">
        <v>165</v>
      </c>
      <c r="O141" s="69" t="s">
        <v>165</v>
      </c>
      <c r="P141" s="71"/>
      <c r="Q141" s="72">
        <f>SUM(BV141:CJ141)*VLOOKUP(W141,Tables!$W$3:$Z$8,4)</f>
        <v>156</v>
      </c>
      <c r="R141" s="73">
        <f t="shared" si="112"/>
        <v>1.9500000000000002</v>
      </c>
      <c r="S141" s="74">
        <f t="shared" si="113"/>
        <v>0</v>
      </c>
      <c r="T141" s="74">
        <f t="shared" si="114"/>
        <v>0</v>
      </c>
      <c r="U141" s="75">
        <f t="shared" si="115"/>
        <v>7.8000000000000007</v>
      </c>
      <c r="V141" s="76">
        <f t="shared" si="116"/>
        <v>124.80000000000001</v>
      </c>
      <c r="W141" s="77">
        <v>0</v>
      </c>
      <c r="X141" s="78">
        <f t="shared" si="117"/>
        <v>0</v>
      </c>
      <c r="Y141" s="79">
        <f t="shared" si="118"/>
        <v>0</v>
      </c>
      <c r="Z141" s="79">
        <f t="shared" si="119"/>
        <v>0</v>
      </c>
      <c r="AA141" s="78">
        <f t="shared" si="120"/>
        <v>0</v>
      </c>
      <c r="AB141" s="79">
        <f t="shared" si="121"/>
        <v>0</v>
      </c>
      <c r="AC141" s="79">
        <f t="shared" si="122"/>
        <v>0</v>
      </c>
      <c r="AD141" s="79">
        <f t="shared" si="123"/>
        <v>0</v>
      </c>
      <c r="AE141" s="79">
        <f t="shared" si="124"/>
        <v>0</v>
      </c>
      <c r="AF141" s="78">
        <f t="shared" si="125"/>
        <v>0</v>
      </c>
      <c r="AG141" s="79">
        <f t="shared" si="126"/>
        <v>0</v>
      </c>
      <c r="AH141" s="79">
        <f t="shared" si="127"/>
        <v>1</v>
      </c>
      <c r="AI141" s="78">
        <f t="shared" si="128"/>
        <v>1</v>
      </c>
      <c r="AJ141" s="79">
        <f t="shared" si="129"/>
        <v>1</v>
      </c>
      <c r="AK141" s="79">
        <f t="shared" si="130"/>
        <v>1</v>
      </c>
      <c r="AL141" s="80">
        <f t="shared" si="131"/>
        <v>0</v>
      </c>
      <c r="AM141" s="81">
        <f t="shared" si="132"/>
        <v>0.39</v>
      </c>
      <c r="AN141" s="82" t="str">
        <f t="shared" si="133"/>
        <v/>
      </c>
      <c r="AO141" s="79" t="str">
        <f t="shared" si="134"/>
        <v/>
      </c>
      <c r="AP141" t="str">
        <f t="shared" si="135"/>
        <v/>
      </c>
      <c r="AQ141" s="82" t="str">
        <f t="shared" si="136"/>
        <v/>
      </c>
      <c r="AR141" t="str">
        <f t="shared" si="137"/>
        <v/>
      </c>
      <c r="AS141" t="str">
        <f t="shared" si="138"/>
        <v/>
      </c>
      <c r="AT141" t="str">
        <f t="shared" si="139"/>
        <v/>
      </c>
      <c r="AU141" t="str">
        <f t="shared" si="140"/>
        <v/>
      </c>
      <c r="AV141" s="82" t="str">
        <f t="shared" si="141"/>
        <v/>
      </c>
      <c r="AW141" t="str">
        <f t="shared" si="142"/>
        <v/>
      </c>
      <c r="AX141" t="str">
        <f t="shared" si="143"/>
        <v>C</v>
      </c>
      <c r="AY141" s="82" t="str">
        <f t="shared" si="144"/>
        <v>C</v>
      </c>
      <c r="AZ141" t="str">
        <f t="shared" si="145"/>
        <v>C</v>
      </c>
      <c r="BA141" t="str">
        <f t="shared" si="146"/>
        <v>C</v>
      </c>
      <c r="BB141" s="83" t="str">
        <f t="shared" si="147"/>
        <v/>
      </c>
      <c r="BC141" s="84">
        <f t="shared" si="148"/>
        <v>0</v>
      </c>
      <c r="BD141" s="84">
        <f t="shared" si="149"/>
        <v>0</v>
      </c>
      <c r="BE141" s="84">
        <f t="shared" si="150"/>
        <v>0.29411764705882359</v>
      </c>
      <c r="BF141" s="84">
        <f t="shared" si="151"/>
        <v>0.80555555555555558</v>
      </c>
      <c r="BG141" s="78">
        <f>IF(AN141="",0,VLOOKUP(AN141,Tables!$AB$3:$AC$12,2))</f>
        <v>0</v>
      </c>
      <c r="BH141" s="79">
        <f>IF(AO141="",0,VLOOKUP(AO141,Tables!$AB$3:$AC$12,2))</f>
        <v>0</v>
      </c>
      <c r="BI141" s="79">
        <f>IF(AP141="",0,VLOOKUP(AP141,Tables!$AB$3:$AC$12,2))</f>
        <v>0</v>
      </c>
      <c r="BJ141" s="78">
        <f>IF(AQ141="",0,VLOOKUP(AQ141,Tables!$AB$3:$AC$12,2))</f>
        <v>0</v>
      </c>
      <c r="BK141" s="79">
        <f>IF(AR141="",0,VLOOKUP(AR141,Tables!$AB$3:$AC$12,2))</f>
        <v>0</v>
      </c>
      <c r="BL141" s="79">
        <f>IF(AS141="",0,VLOOKUP(AS141,Tables!$AB$3:$AC$12,2))</f>
        <v>0</v>
      </c>
      <c r="BM141" s="79">
        <f>IF(AT141="",0,VLOOKUP(AT141,Tables!$AB$3:$AC$12,2))</f>
        <v>0</v>
      </c>
      <c r="BN141" s="79">
        <f>IF(AU141="",0,VLOOKUP(AU141,Tables!$AB$3:$AC$12,2))</f>
        <v>0</v>
      </c>
      <c r="BO141" s="78">
        <f>IF(AV141="",0,VLOOKUP(AV141,Tables!$AB$3:$AC$12,2))</f>
        <v>0</v>
      </c>
      <c r="BP141" s="79">
        <f>IF(AW141="",0,VLOOKUP(AW141,Tables!$AB$3:$AC$12,2))</f>
        <v>0</v>
      </c>
      <c r="BQ141" s="79">
        <f>IF(AX141="",0,VLOOKUP(AX141,Tables!$AB$3:$AC$12,2))</f>
        <v>1</v>
      </c>
      <c r="BR141" s="78">
        <f>IF(AY141="",0,VLOOKUP(AY141,Tables!$AB$3:$AC$12,2))</f>
        <v>1</v>
      </c>
      <c r="BS141" s="79">
        <f>IF(AZ141="",0,VLOOKUP(AZ141,Tables!$AB$3:$AC$12,2))</f>
        <v>1</v>
      </c>
      <c r="BT141" s="79">
        <f>IF(BA141="",0,VLOOKUP(BA141,Tables!$AB$3:$AC$12,2))</f>
        <v>1</v>
      </c>
      <c r="BU141" s="80">
        <f>IF(BB141="",0,VLOOKUP(BB141,Tables!$AB$3:$AC$12,2))</f>
        <v>0</v>
      </c>
      <c r="BV141" s="85">
        <f>IF(AN141="",0,VLOOKUP(B141,Tables!$B$3:$D$36,2,FALSE())*X$1)</f>
        <v>0</v>
      </c>
      <c r="BW141" s="72">
        <f>IF(AO141="",0,VLOOKUP(C141,Tables!$B$3:$D$36,2,FALSE())*Y$1)</f>
        <v>0</v>
      </c>
      <c r="BX141" s="72">
        <f>IF(AP141="",0,VLOOKUP(D141,Tables!$B$3:$D$36,2,FALSE())*Z$1)</f>
        <v>0</v>
      </c>
      <c r="BY141" s="85">
        <f>IF(AQ141="",0,VLOOKUP(E141,Tables!$B$3:$D$36,2,FALSE())*AA$1)</f>
        <v>0</v>
      </c>
      <c r="BZ141" s="72">
        <f>IF(AR141="",0,VLOOKUP(F141,Tables!$B$3:$D$36,2,FALSE())*AB$1)</f>
        <v>0</v>
      </c>
      <c r="CA141" s="72">
        <f>IF(AS141="",0,VLOOKUP(G141,Tables!$B$3:$D$36,2,FALSE())*AC$1)</f>
        <v>0</v>
      </c>
      <c r="CB141" s="72">
        <f>IF(AT141="",0,VLOOKUP(H141,Tables!$B$3:$D$36,2,FALSE())*AD$1)</f>
        <v>0</v>
      </c>
      <c r="CC141" s="72">
        <f>IF(AU141="",0,VLOOKUP(I141,Tables!$B$3:$D$36,2,FALSE())*AE$1)</f>
        <v>0</v>
      </c>
      <c r="CD141" s="85">
        <f>IF(AV141="",0,VLOOKUP(J141,Tables!$B$3:$D$36,2,FALSE())*AF$1)</f>
        <v>0</v>
      </c>
      <c r="CE141" s="72">
        <f>IF(AW141="",0,VLOOKUP(K141,Tables!$B$3:$D$36,2,FALSE())*AG$1)</f>
        <v>0</v>
      </c>
      <c r="CF141" s="72">
        <f>IF(AX141="",0,VLOOKUP(L141,Tables!$B$3:$D$36,2,FALSE())*AH$1)</f>
        <v>40</v>
      </c>
      <c r="CG141" s="85">
        <f>IF(AY141="",0,VLOOKUP(M141,Tables!$B$3:$D$36,2,FALSE())*AI$1)</f>
        <v>56.000000000000007</v>
      </c>
      <c r="CH141" s="72">
        <f>IF(AZ141="",0,VLOOKUP(N141,Tables!$B$3:$D$36,2,FALSE())*AJ$1)</f>
        <v>12</v>
      </c>
      <c r="CI141" s="72">
        <f>IF(BA141="",0,VLOOKUP(O141,Tables!$B$3:$D$36,2,FALSE())*AK$1)</f>
        <v>48</v>
      </c>
      <c r="CJ141" s="86">
        <f>IF(BB141="",0,VLOOKUP(P141,Tables!$B$3:$D$36,2,FALSE())*AL$1)</f>
        <v>0</v>
      </c>
      <c r="CK141" s="87">
        <f>IF(AN141="",0,VLOOKUP(B141,Tables!$B$3:$D$36,3,FALSE())*X$1)*IF(OR(AN141="K",AN141="P"),2,1)</f>
        <v>0</v>
      </c>
      <c r="CL141" s="73">
        <f>IF(AO141="",0,VLOOKUP(C141,Tables!$B$3:$D$36,3,FALSE())*Y$1)*IF(OR(AO141="K",AO141="P"),2,1)</f>
        <v>0</v>
      </c>
      <c r="CM141" s="73">
        <f>IF(AP141="",0,VLOOKUP(D141,Tables!$B$3:$D$36,3,FALSE())*Z$1)*IF(OR(AP141="K",AP141="P"),2,1)</f>
        <v>0</v>
      </c>
      <c r="CN141" s="87">
        <f>IF(AQ141="",0,VLOOKUP(E141,Tables!$B$3:$D$36,3,FALSE())*AA$1)</f>
        <v>0</v>
      </c>
      <c r="CO141" s="73">
        <f>IF(AR141="",0,VLOOKUP(F141,Tables!$B$3:$D$36,3,FALSE())*AB$1)</f>
        <v>0</v>
      </c>
      <c r="CP141" s="73">
        <f>IF(AS141="",0,VLOOKUP(G141,Tables!$B$3:$D$36,3,FALSE())*AC$1)</f>
        <v>0</v>
      </c>
      <c r="CQ141" s="73">
        <f>IF(AT141="",0,VLOOKUP(H141,Tables!$B$3:$D$36,3,FALSE())*AD$1)</f>
        <v>0</v>
      </c>
      <c r="CR141" s="73">
        <f>IF(AU141="",0,VLOOKUP(I141,Tables!$B$3:$D$36,3,FALSE())*AE$1)</f>
        <v>0</v>
      </c>
      <c r="CS141" s="87">
        <f>IF(AV141="",0,VLOOKUP(J141,Tables!$B$3:$D$36,3,FALSE())*AF$1)</f>
        <v>0</v>
      </c>
      <c r="CT141" s="73">
        <f>IF(AW141="",0,VLOOKUP(K141,Tables!$B$3:$D$36,3,FALSE())*AG$1)</f>
        <v>0</v>
      </c>
      <c r="CU141" s="73">
        <f>IF(AX141="",0,VLOOKUP(L141,Tables!$B$3:$D$36,3,FALSE())*AH$1)</f>
        <v>0.5</v>
      </c>
      <c r="CV141" s="87">
        <f>IF(AY141="",0,VLOOKUP(M141,Tables!$B$3:$D$36,3,FALSE())*AI$1)</f>
        <v>0.70000000000000007</v>
      </c>
      <c r="CW141" s="73">
        <f>IF(AZ141="",0,VLOOKUP(N141,Tables!$B$3:$D$36,3,FALSE())*AJ$1)</f>
        <v>0.15</v>
      </c>
      <c r="CX141" s="73">
        <f>IF(BA141="",0,VLOOKUP(O141,Tables!$B$3:$D$36,3,FALSE())*AK$1)</f>
        <v>0.6</v>
      </c>
      <c r="CY141" s="88">
        <f>IF(BB141="",0,VLOOKUP(P141,Tables!$B$3:$D$36,3,FALSE())*AL$1)</f>
        <v>0</v>
      </c>
      <c r="CZ141" s="89">
        <f t="shared" si="152"/>
        <v>0</v>
      </c>
      <c r="DA141" s="75">
        <f t="shared" si="153"/>
        <v>0</v>
      </c>
      <c r="DB141" s="75">
        <f t="shared" si="154"/>
        <v>0</v>
      </c>
      <c r="DC141" s="89">
        <f t="shared" si="155"/>
        <v>0</v>
      </c>
      <c r="DD141" s="75">
        <f t="shared" si="156"/>
        <v>0</v>
      </c>
      <c r="DE141" s="75">
        <f t="shared" si="157"/>
        <v>0</v>
      </c>
      <c r="DF141" s="75">
        <f t="shared" si="158"/>
        <v>0</v>
      </c>
      <c r="DG141" s="75">
        <f t="shared" si="159"/>
        <v>0</v>
      </c>
      <c r="DH141" s="89">
        <f t="shared" si="160"/>
        <v>0</v>
      </c>
      <c r="DI141" s="75">
        <f t="shared" si="161"/>
        <v>0</v>
      </c>
      <c r="DJ141" s="75">
        <f t="shared" si="162"/>
        <v>1</v>
      </c>
      <c r="DK141" s="89">
        <f t="shared" si="163"/>
        <v>1</v>
      </c>
      <c r="DL141" s="75">
        <f t="shared" si="164"/>
        <v>1</v>
      </c>
      <c r="DM141" s="75">
        <f t="shared" si="165"/>
        <v>1</v>
      </c>
      <c r="DN141" s="90">
        <f t="shared" si="166"/>
        <v>0</v>
      </c>
      <c r="DO141" s="91">
        <f>IF(AN141="",0,VLOOKUP(B141,Tables!$B$3:$M$36,11,FALSE())*X$1)</f>
        <v>0</v>
      </c>
      <c r="DP141" s="92">
        <f>IF(AO141="",0,VLOOKUP(C141,Tables!$B$3:$M$36,11,FALSE())*Y$1)</f>
        <v>0</v>
      </c>
      <c r="DQ141" s="92">
        <f>IF(AP141="",0,VLOOKUP(D141,Tables!$B$3:$M$36,11,FALSE())*Z$1)</f>
        <v>0</v>
      </c>
      <c r="DR141" s="91">
        <f>IF(AQ141="",0,VLOOKUP(E141,Tables!$B$3:$M$36,11,FALSE())*AA$1)</f>
        <v>0</v>
      </c>
      <c r="DS141" s="92">
        <f>IF(AR141="",0,VLOOKUP(F141,Tables!$B$3:$M$36,11,FALSE())*AB$1)</f>
        <v>0</v>
      </c>
      <c r="DT141" s="92">
        <f>IF(AS141="",0,VLOOKUP(G141,Tables!$B$3:$M$36,11,FALSE())*AC$1)</f>
        <v>0</v>
      </c>
      <c r="DU141" s="92">
        <f>IF(AT141="",0,VLOOKUP(H141,Tables!$B$3:$M$36,11,FALSE())*AD$1)</f>
        <v>0</v>
      </c>
      <c r="DV141" s="92">
        <f>IF(AU141="",0,VLOOKUP(I141,Tables!$B$3:$M$36,11,FALSE())*AE$1)</f>
        <v>0</v>
      </c>
      <c r="DW141" s="91">
        <f>IF(AV141="",0,VLOOKUP(J141,Tables!$B$3:$M$36,11,FALSE())*AF$1)</f>
        <v>0</v>
      </c>
      <c r="DX141" s="92">
        <f>IF(AW141="",0,VLOOKUP(K141,Tables!$B$3:$M$36,11,FALSE())*AG$1)</f>
        <v>0</v>
      </c>
      <c r="DY141" s="92">
        <f>IF(AX141="",0,VLOOKUP(L141,Tables!$B$3:$M$36,11,FALSE())*AH$1)</f>
        <v>2</v>
      </c>
      <c r="DZ141" s="91">
        <f>IF(AY141="",0,VLOOKUP(M141,Tables!$B$3:$M$36,11,FALSE())*AI$1)</f>
        <v>2.8000000000000003</v>
      </c>
      <c r="EA141" s="92">
        <f>IF(AZ141="",0,VLOOKUP(N141,Tables!$B$3:$M$36,11,FALSE())*AJ$1)</f>
        <v>0.6</v>
      </c>
      <c r="EB141" s="92">
        <f>IF(BA141="",0,VLOOKUP(O141,Tables!$B$3:$M$36,11,FALSE())*AK$1)</f>
        <v>2.4</v>
      </c>
      <c r="EC141" s="93">
        <f>IF(BB141="",0,VLOOKUP(P141,Tables!$B$3:$M$36,11,FALSE())*AL$1)</f>
        <v>0</v>
      </c>
      <c r="ED141" s="91">
        <f>IF(AN141="",0,VLOOKUP(B141,Tables!$B$3:$M$36,12,FALSE())*X$1)</f>
        <v>0</v>
      </c>
      <c r="EE141" s="92">
        <f>IF(AO141="",0,VLOOKUP(C141,Tables!$B$3:$M$36,12,FALSE())*Y$1)</f>
        <v>0</v>
      </c>
      <c r="EF141" s="92">
        <f>IF(AP141="",0,VLOOKUP(D141,Tables!$B$3:$M$36,12,FALSE())*Z$1)</f>
        <v>0</v>
      </c>
      <c r="EG141" s="91">
        <f>IF(AQ141="",0,VLOOKUP(E141,Tables!$B$3:$M$36,12,FALSE())*AA$1)</f>
        <v>0</v>
      </c>
      <c r="EH141" s="92">
        <f>IF(AR141="",0,VLOOKUP(F141,Tables!$B$3:$M$36,12,FALSE())*AB$1)</f>
        <v>0</v>
      </c>
      <c r="EI141" s="92">
        <f>IF(AS141="",0,VLOOKUP(G141,Tables!$B$3:$M$36,12,FALSE())*AC$1)</f>
        <v>0</v>
      </c>
      <c r="EJ141" s="92">
        <f>IF(AT141="",0,VLOOKUP(H141,Tables!$B$3:$M$36,12,FALSE())*AD$1)</f>
        <v>0</v>
      </c>
      <c r="EK141" s="92">
        <f>IF(AU141="",0,VLOOKUP(I141,Tables!$B$3:$M$36,12,FALSE())*AE$1)</f>
        <v>0</v>
      </c>
      <c r="EL141" s="91">
        <f>IF(AV141="",0,VLOOKUP(J141,Tables!$B$3:$M$36,12,FALSE())*AF$1)</f>
        <v>0</v>
      </c>
      <c r="EM141" s="92">
        <f>IF(AW141="",0,VLOOKUP(K141,Tables!$B$3:$M$36,12,FALSE())*AG$1)</f>
        <v>0</v>
      </c>
      <c r="EN141" s="92">
        <f>IF(AX141="",0,VLOOKUP(L141,Tables!$B$3:$M$36,12,FALSE())*AH$1)</f>
        <v>32</v>
      </c>
      <c r="EO141" s="91">
        <f>IF(AY141="",0,VLOOKUP(M141,Tables!$B$3:$M$36,12,FALSE())*AI$1)</f>
        <v>44.800000000000004</v>
      </c>
      <c r="EP141" s="92">
        <f>IF(AZ141="",0,VLOOKUP(N141,Tables!$B$3:$M$36,12,FALSE())*AJ$1)</f>
        <v>9.6</v>
      </c>
      <c r="EQ141" s="92">
        <f>IF(BA141="",0,VLOOKUP(O141,Tables!$B$3:$M$36,12,FALSE())*AK$1)</f>
        <v>38.4</v>
      </c>
      <c r="ER141" s="93">
        <f>IF(BB141="",0,VLOOKUP(P141,Tables!$B$3:$M$36,12,FALSE())*AL$1)</f>
        <v>0</v>
      </c>
      <c r="ES141" s="94">
        <f t="shared" si="167"/>
        <v>0</v>
      </c>
      <c r="ET141" s="95">
        <f>IF(AN141="",10,MIN(VLOOKUP(B141,MATERIAL,13,FALSE()),'Item Builder'!$W141))</f>
        <v>10</v>
      </c>
      <c r="EU141" s="95">
        <f>IF(AO141="",10,MIN(VLOOKUP(C141,MATERIAL,13,FALSE()),'Item Builder'!$W141))</f>
        <v>10</v>
      </c>
      <c r="EV141" s="95">
        <f>IF(AP141="",10,MIN(VLOOKUP(D141,MATERIAL,13,FALSE()),'Item Builder'!$W141))</f>
        <v>10</v>
      </c>
      <c r="EW141" s="95">
        <f>IF(AQ141="",10,MIN(VLOOKUP(E141,MATERIAL,13,FALSE()),'Item Builder'!$W141))</f>
        <v>10</v>
      </c>
      <c r="EX141" s="95">
        <f>IF(AR141="",10,MIN(VLOOKUP(F141,MATERIAL,13,FALSE()),'Item Builder'!$W141))</f>
        <v>10</v>
      </c>
      <c r="EY141" s="95">
        <f>IF(AS141="",10,MIN(VLOOKUP(G141,MATERIAL,13,FALSE()),'Item Builder'!$W141))</f>
        <v>10</v>
      </c>
      <c r="EZ141" s="95">
        <f>IF(AT141="",10,MIN(VLOOKUP(H141,MATERIAL,13,FALSE()),'Item Builder'!$W141))</f>
        <v>10</v>
      </c>
      <c r="FA141" s="95">
        <f>IF(AU141="",10,MIN(VLOOKUP(I141,MATERIAL,13,FALSE()),'Item Builder'!$W141))</f>
        <v>10</v>
      </c>
      <c r="FB141" s="95">
        <f>IF(AV141="",10,MIN(VLOOKUP(J141,MATERIAL,13,FALSE()),'Item Builder'!$W141))</f>
        <v>10</v>
      </c>
      <c r="FC141" s="95">
        <f>IF(AW141="",10,MIN(VLOOKUP(K141,MATERIAL,13,FALSE()),'Item Builder'!$W141))</f>
        <v>10</v>
      </c>
      <c r="FD141" s="95">
        <f>IF(AX141="",10,MIN(VLOOKUP(L141,MATERIAL,13,FALSE()),'Item Builder'!$W141))</f>
        <v>0</v>
      </c>
      <c r="FE141" s="95">
        <f>IF(AY141="",10,MIN(VLOOKUP(M141,MATERIAL,13,FALSE()),'Item Builder'!$W141))</f>
        <v>0</v>
      </c>
      <c r="FF141" s="95">
        <f>IF(AZ141="",10,MIN(VLOOKUP(N141,MATERIAL,13,FALSE()),'Item Builder'!$W141))</f>
        <v>0</v>
      </c>
      <c r="FG141" s="95">
        <f>IF(BA141="",10,MIN(VLOOKUP(O141,MATERIAL,13,FALSE()),'Item Builder'!$W141))</f>
        <v>0</v>
      </c>
      <c r="FH141" s="95">
        <f>IF(BB141="",10,MIN(VLOOKUP(P141,MATERIAL,13,FALSE()),'Item Builder'!$W141))</f>
        <v>10</v>
      </c>
    </row>
    <row r="142" spans="1:164" x14ac:dyDescent="0.25">
      <c r="A142" s="67" t="s">
        <v>282</v>
      </c>
      <c r="B142" s="68"/>
      <c r="C142" s="69"/>
      <c r="D142" s="70"/>
      <c r="E142" s="68"/>
      <c r="F142" s="69"/>
      <c r="G142" s="69"/>
      <c r="H142" s="69"/>
      <c r="I142" s="70"/>
      <c r="J142" s="68"/>
      <c r="K142" s="69"/>
      <c r="L142" s="70"/>
      <c r="M142" s="68" t="s">
        <v>165</v>
      </c>
      <c r="N142" s="69" t="s">
        <v>165</v>
      </c>
      <c r="O142" s="69" t="s">
        <v>165</v>
      </c>
      <c r="P142" s="71" t="s">
        <v>165</v>
      </c>
      <c r="Q142" s="72">
        <f>SUM(BV142:CJ142)*VLOOKUP(W142,Tables!$W$3:$Z$8,4)</f>
        <v>144</v>
      </c>
      <c r="R142" s="73">
        <f t="shared" si="112"/>
        <v>1.8000000000000003</v>
      </c>
      <c r="S142" s="74">
        <f t="shared" si="113"/>
        <v>0</v>
      </c>
      <c r="T142" s="74">
        <f t="shared" si="114"/>
        <v>0</v>
      </c>
      <c r="U142" s="75">
        <f t="shared" si="115"/>
        <v>7.2000000000000011</v>
      </c>
      <c r="V142" s="76">
        <f t="shared" si="116"/>
        <v>115.20000000000002</v>
      </c>
      <c r="W142" s="77">
        <v>0</v>
      </c>
      <c r="X142" s="78">
        <f t="shared" si="117"/>
        <v>0</v>
      </c>
      <c r="Y142" s="79">
        <f t="shared" si="118"/>
        <v>0</v>
      </c>
      <c r="Z142" s="79">
        <f t="shared" si="119"/>
        <v>0</v>
      </c>
      <c r="AA142" s="78">
        <f t="shared" si="120"/>
        <v>0</v>
      </c>
      <c r="AB142" s="79">
        <f t="shared" si="121"/>
        <v>0</v>
      </c>
      <c r="AC142" s="79">
        <f t="shared" si="122"/>
        <v>0</v>
      </c>
      <c r="AD142" s="79">
        <f t="shared" si="123"/>
        <v>0</v>
      </c>
      <c r="AE142" s="79">
        <f t="shared" si="124"/>
        <v>0</v>
      </c>
      <c r="AF142" s="78">
        <f t="shared" si="125"/>
        <v>0</v>
      </c>
      <c r="AG142" s="79">
        <f t="shared" si="126"/>
        <v>0</v>
      </c>
      <c r="AH142" s="79">
        <f t="shared" si="127"/>
        <v>0</v>
      </c>
      <c r="AI142" s="78">
        <f t="shared" si="128"/>
        <v>1</v>
      </c>
      <c r="AJ142" s="79">
        <f t="shared" si="129"/>
        <v>1</v>
      </c>
      <c r="AK142" s="79">
        <f t="shared" si="130"/>
        <v>1</v>
      </c>
      <c r="AL142" s="80">
        <f t="shared" si="131"/>
        <v>1</v>
      </c>
      <c r="AM142" s="81">
        <f t="shared" si="132"/>
        <v>0.36000000000000004</v>
      </c>
      <c r="AN142" s="82" t="str">
        <f t="shared" si="133"/>
        <v/>
      </c>
      <c r="AO142" s="79" t="str">
        <f t="shared" si="134"/>
        <v/>
      </c>
      <c r="AP142" t="str">
        <f t="shared" si="135"/>
        <v/>
      </c>
      <c r="AQ142" s="82" t="str">
        <f t="shared" si="136"/>
        <v/>
      </c>
      <c r="AR142" t="str">
        <f t="shared" si="137"/>
        <v/>
      </c>
      <c r="AS142" t="str">
        <f t="shared" si="138"/>
        <v/>
      </c>
      <c r="AT142" t="str">
        <f t="shared" si="139"/>
        <v/>
      </c>
      <c r="AU142" t="str">
        <f t="shared" si="140"/>
        <v/>
      </c>
      <c r="AV142" s="82" t="str">
        <f t="shared" si="141"/>
        <v/>
      </c>
      <c r="AW142" t="str">
        <f t="shared" si="142"/>
        <v/>
      </c>
      <c r="AX142" t="str">
        <f t="shared" si="143"/>
        <v/>
      </c>
      <c r="AY142" s="82" t="str">
        <f t="shared" si="144"/>
        <v>C</v>
      </c>
      <c r="AZ142" t="str">
        <f t="shared" si="145"/>
        <v>C</v>
      </c>
      <c r="BA142" t="str">
        <f t="shared" si="146"/>
        <v>C</v>
      </c>
      <c r="BB142" s="83" t="str">
        <f t="shared" si="147"/>
        <v>C</v>
      </c>
      <c r="BC142" s="84">
        <f t="shared" si="148"/>
        <v>0</v>
      </c>
      <c r="BD142" s="84">
        <f t="shared" si="149"/>
        <v>0</v>
      </c>
      <c r="BE142" s="84">
        <f t="shared" si="150"/>
        <v>0</v>
      </c>
      <c r="BF142" s="84">
        <f t="shared" si="151"/>
        <v>1</v>
      </c>
      <c r="BG142" s="78">
        <f>IF(AN142="",0,VLOOKUP(AN142,Tables!$AB$3:$AC$12,2))</f>
        <v>0</v>
      </c>
      <c r="BH142" s="79">
        <f>IF(AO142="",0,VLOOKUP(AO142,Tables!$AB$3:$AC$12,2))</f>
        <v>0</v>
      </c>
      <c r="BI142" s="79">
        <f>IF(AP142="",0,VLOOKUP(AP142,Tables!$AB$3:$AC$12,2))</f>
        <v>0</v>
      </c>
      <c r="BJ142" s="78">
        <f>IF(AQ142="",0,VLOOKUP(AQ142,Tables!$AB$3:$AC$12,2))</f>
        <v>0</v>
      </c>
      <c r="BK142" s="79">
        <f>IF(AR142="",0,VLOOKUP(AR142,Tables!$AB$3:$AC$12,2))</f>
        <v>0</v>
      </c>
      <c r="BL142" s="79">
        <f>IF(AS142="",0,VLOOKUP(AS142,Tables!$AB$3:$AC$12,2))</f>
        <v>0</v>
      </c>
      <c r="BM142" s="79">
        <f>IF(AT142="",0,VLOOKUP(AT142,Tables!$AB$3:$AC$12,2))</f>
        <v>0</v>
      </c>
      <c r="BN142" s="79">
        <f>IF(AU142="",0,VLOOKUP(AU142,Tables!$AB$3:$AC$12,2))</f>
        <v>0</v>
      </c>
      <c r="BO142" s="78">
        <f>IF(AV142="",0,VLOOKUP(AV142,Tables!$AB$3:$AC$12,2))</f>
        <v>0</v>
      </c>
      <c r="BP142" s="79">
        <f>IF(AW142="",0,VLOOKUP(AW142,Tables!$AB$3:$AC$12,2))</f>
        <v>0</v>
      </c>
      <c r="BQ142" s="79">
        <f>IF(AX142="",0,VLOOKUP(AX142,Tables!$AB$3:$AC$12,2))</f>
        <v>0</v>
      </c>
      <c r="BR142" s="78">
        <f>IF(AY142="",0,VLOOKUP(AY142,Tables!$AB$3:$AC$12,2))</f>
        <v>1</v>
      </c>
      <c r="BS142" s="79">
        <f>IF(AZ142="",0,VLOOKUP(AZ142,Tables!$AB$3:$AC$12,2))</f>
        <v>1</v>
      </c>
      <c r="BT142" s="79">
        <f>IF(BA142="",0,VLOOKUP(BA142,Tables!$AB$3:$AC$12,2))</f>
        <v>1</v>
      </c>
      <c r="BU142" s="80">
        <f>IF(BB142="",0,VLOOKUP(BB142,Tables!$AB$3:$AC$12,2))</f>
        <v>1</v>
      </c>
      <c r="BV142" s="85">
        <f>IF(AN142="",0,VLOOKUP(B142,Tables!$B$3:$D$36,2,FALSE())*X$1)</f>
        <v>0</v>
      </c>
      <c r="BW142" s="72">
        <f>IF(AO142="",0,VLOOKUP(C142,Tables!$B$3:$D$36,2,FALSE())*Y$1)</f>
        <v>0</v>
      </c>
      <c r="BX142" s="72">
        <f>IF(AP142="",0,VLOOKUP(D142,Tables!$B$3:$D$36,2,FALSE())*Z$1)</f>
        <v>0</v>
      </c>
      <c r="BY142" s="85">
        <f>IF(AQ142="",0,VLOOKUP(E142,Tables!$B$3:$D$36,2,FALSE())*AA$1)</f>
        <v>0</v>
      </c>
      <c r="BZ142" s="72">
        <f>IF(AR142="",0,VLOOKUP(F142,Tables!$B$3:$D$36,2,FALSE())*AB$1)</f>
        <v>0</v>
      </c>
      <c r="CA142" s="72">
        <f>IF(AS142="",0,VLOOKUP(G142,Tables!$B$3:$D$36,2,FALSE())*AC$1)</f>
        <v>0</v>
      </c>
      <c r="CB142" s="72">
        <f>IF(AT142="",0,VLOOKUP(H142,Tables!$B$3:$D$36,2,FALSE())*AD$1)</f>
        <v>0</v>
      </c>
      <c r="CC142" s="72">
        <f>IF(AU142="",0,VLOOKUP(I142,Tables!$B$3:$D$36,2,FALSE())*AE$1)</f>
        <v>0</v>
      </c>
      <c r="CD142" s="85">
        <f>IF(AV142="",0,VLOOKUP(J142,Tables!$B$3:$D$36,2,FALSE())*AF$1)</f>
        <v>0</v>
      </c>
      <c r="CE142" s="72">
        <f>IF(AW142="",0,VLOOKUP(K142,Tables!$B$3:$D$36,2,FALSE())*AG$1)</f>
        <v>0</v>
      </c>
      <c r="CF142" s="72">
        <f>IF(AX142="",0,VLOOKUP(L142,Tables!$B$3:$D$36,2,FALSE())*AH$1)</f>
        <v>0</v>
      </c>
      <c r="CG142" s="85">
        <f>IF(AY142="",0,VLOOKUP(M142,Tables!$B$3:$D$36,2,FALSE())*AI$1)</f>
        <v>56.000000000000007</v>
      </c>
      <c r="CH142" s="72">
        <f>IF(AZ142="",0,VLOOKUP(N142,Tables!$B$3:$D$36,2,FALSE())*AJ$1)</f>
        <v>12</v>
      </c>
      <c r="CI142" s="72">
        <f>IF(BA142="",0,VLOOKUP(O142,Tables!$B$3:$D$36,2,FALSE())*AK$1)</f>
        <v>48</v>
      </c>
      <c r="CJ142" s="86">
        <f>IF(BB142="",0,VLOOKUP(P142,Tables!$B$3:$D$36,2,FALSE())*AL$1)</f>
        <v>28.000000000000004</v>
      </c>
      <c r="CK142" s="87">
        <f>IF(AN142="",0,VLOOKUP(B142,Tables!$B$3:$D$36,3,FALSE())*X$1)*IF(OR(AN142="K",AN142="P"),2,1)</f>
        <v>0</v>
      </c>
      <c r="CL142" s="73">
        <f>IF(AO142="",0,VLOOKUP(C142,Tables!$B$3:$D$36,3,FALSE())*Y$1)*IF(OR(AO142="K",AO142="P"),2,1)</f>
        <v>0</v>
      </c>
      <c r="CM142" s="73">
        <f>IF(AP142="",0,VLOOKUP(D142,Tables!$B$3:$D$36,3,FALSE())*Z$1)*IF(OR(AP142="K",AP142="P"),2,1)</f>
        <v>0</v>
      </c>
      <c r="CN142" s="87">
        <f>IF(AQ142="",0,VLOOKUP(E142,Tables!$B$3:$D$36,3,FALSE())*AA$1)</f>
        <v>0</v>
      </c>
      <c r="CO142" s="73">
        <f>IF(AR142="",0,VLOOKUP(F142,Tables!$B$3:$D$36,3,FALSE())*AB$1)</f>
        <v>0</v>
      </c>
      <c r="CP142" s="73">
        <f>IF(AS142="",0,VLOOKUP(G142,Tables!$B$3:$D$36,3,FALSE())*AC$1)</f>
        <v>0</v>
      </c>
      <c r="CQ142" s="73">
        <f>IF(AT142="",0,VLOOKUP(H142,Tables!$B$3:$D$36,3,FALSE())*AD$1)</f>
        <v>0</v>
      </c>
      <c r="CR142" s="73">
        <f>IF(AU142="",0,VLOOKUP(I142,Tables!$B$3:$D$36,3,FALSE())*AE$1)</f>
        <v>0</v>
      </c>
      <c r="CS142" s="87">
        <f>IF(AV142="",0,VLOOKUP(J142,Tables!$B$3:$D$36,3,FALSE())*AF$1)</f>
        <v>0</v>
      </c>
      <c r="CT142" s="73">
        <f>IF(AW142="",0,VLOOKUP(K142,Tables!$B$3:$D$36,3,FALSE())*AG$1)</f>
        <v>0</v>
      </c>
      <c r="CU142" s="73">
        <f>IF(AX142="",0,VLOOKUP(L142,Tables!$B$3:$D$36,3,FALSE())*AH$1)</f>
        <v>0</v>
      </c>
      <c r="CV142" s="87">
        <f>IF(AY142="",0,VLOOKUP(M142,Tables!$B$3:$D$36,3,FALSE())*AI$1)</f>
        <v>0.70000000000000007</v>
      </c>
      <c r="CW142" s="73">
        <f>IF(AZ142="",0,VLOOKUP(N142,Tables!$B$3:$D$36,3,FALSE())*AJ$1)</f>
        <v>0.15</v>
      </c>
      <c r="CX142" s="73">
        <f>IF(BA142="",0,VLOOKUP(O142,Tables!$B$3:$D$36,3,FALSE())*AK$1)</f>
        <v>0.6</v>
      </c>
      <c r="CY142" s="88">
        <f>IF(BB142="",0,VLOOKUP(P142,Tables!$B$3:$D$36,3,FALSE())*AL$1)</f>
        <v>0.35000000000000003</v>
      </c>
      <c r="CZ142" s="89">
        <f t="shared" si="152"/>
        <v>0</v>
      </c>
      <c r="DA142" s="75">
        <f t="shared" si="153"/>
        <v>0</v>
      </c>
      <c r="DB142" s="75">
        <f t="shared" si="154"/>
        <v>0</v>
      </c>
      <c r="DC142" s="89">
        <f t="shared" si="155"/>
        <v>0</v>
      </c>
      <c r="DD142" s="75">
        <f t="shared" si="156"/>
        <v>0</v>
      </c>
      <c r="DE142" s="75">
        <f t="shared" si="157"/>
        <v>0</v>
      </c>
      <c r="DF142" s="75">
        <f t="shared" si="158"/>
        <v>0</v>
      </c>
      <c r="DG142" s="75">
        <f t="shared" si="159"/>
        <v>0</v>
      </c>
      <c r="DH142" s="89">
        <f t="shared" si="160"/>
        <v>0</v>
      </c>
      <c r="DI142" s="75">
        <f t="shared" si="161"/>
        <v>0</v>
      </c>
      <c r="DJ142" s="75">
        <f t="shared" si="162"/>
        <v>0</v>
      </c>
      <c r="DK142" s="89">
        <f t="shared" si="163"/>
        <v>1</v>
      </c>
      <c r="DL142" s="75">
        <f t="shared" si="164"/>
        <v>1</v>
      </c>
      <c r="DM142" s="75">
        <f t="shared" si="165"/>
        <v>1</v>
      </c>
      <c r="DN142" s="90">
        <f t="shared" si="166"/>
        <v>1</v>
      </c>
      <c r="DO142" s="91">
        <f>IF(AN142="",0,VLOOKUP(B142,Tables!$B$3:$M$36,11,FALSE())*X$1)</f>
        <v>0</v>
      </c>
      <c r="DP142" s="92">
        <f>IF(AO142="",0,VLOOKUP(C142,Tables!$B$3:$M$36,11,FALSE())*Y$1)</f>
        <v>0</v>
      </c>
      <c r="DQ142" s="92">
        <f>IF(AP142="",0,VLOOKUP(D142,Tables!$B$3:$M$36,11,FALSE())*Z$1)</f>
        <v>0</v>
      </c>
      <c r="DR142" s="91">
        <f>IF(AQ142="",0,VLOOKUP(E142,Tables!$B$3:$M$36,11,FALSE())*AA$1)</f>
        <v>0</v>
      </c>
      <c r="DS142" s="92">
        <f>IF(AR142="",0,VLOOKUP(F142,Tables!$B$3:$M$36,11,FALSE())*AB$1)</f>
        <v>0</v>
      </c>
      <c r="DT142" s="92">
        <f>IF(AS142="",0,VLOOKUP(G142,Tables!$B$3:$M$36,11,FALSE())*AC$1)</f>
        <v>0</v>
      </c>
      <c r="DU142" s="92">
        <f>IF(AT142="",0,VLOOKUP(H142,Tables!$B$3:$M$36,11,FALSE())*AD$1)</f>
        <v>0</v>
      </c>
      <c r="DV142" s="92">
        <f>IF(AU142="",0,VLOOKUP(I142,Tables!$B$3:$M$36,11,FALSE())*AE$1)</f>
        <v>0</v>
      </c>
      <c r="DW142" s="91">
        <f>IF(AV142="",0,VLOOKUP(J142,Tables!$B$3:$M$36,11,FALSE())*AF$1)</f>
        <v>0</v>
      </c>
      <c r="DX142" s="92">
        <f>IF(AW142="",0,VLOOKUP(K142,Tables!$B$3:$M$36,11,FALSE())*AG$1)</f>
        <v>0</v>
      </c>
      <c r="DY142" s="92">
        <f>IF(AX142="",0,VLOOKUP(L142,Tables!$B$3:$M$36,11,FALSE())*AH$1)</f>
        <v>0</v>
      </c>
      <c r="DZ142" s="91">
        <f>IF(AY142="",0,VLOOKUP(M142,Tables!$B$3:$M$36,11,FALSE())*AI$1)</f>
        <v>2.8000000000000003</v>
      </c>
      <c r="EA142" s="92">
        <f>IF(AZ142="",0,VLOOKUP(N142,Tables!$B$3:$M$36,11,FALSE())*AJ$1)</f>
        <v>0.6</v>
      </c>
      <c r="EB142" s="92">
        <f>IF(BA142="",0,VLOOKUP(O142,Tables!$B$3:$M$36,11,FALSE())*AK$1)</f>
        <v>2.4</v>
      </c>
      <c r="EC142" s="93">
        <f>IF(BB142="",0,VLOOKUP(P142,Tables!$B$3:$M$36,11,FALSE())*AL$1)</f>
        <v>1.4000000000000001</v>
      </c>
      <c r="ED142" s="91">
        <f>IF(AN142="",0,VLOOKUP(B142,Tables!$B$3:$M$36,12,FALSE())*X$1)</f>
        <v>0</v>
      </c>
      <c r="EE142" s="92">
        <f>IF(AO142="",0,VLOOKUP(C142,Tables!$B$3:$M$36,12,FALSE())*Y$1)</f>
        <v>0</v>
      </c>
      <c r="EF142" s="92">
        <f>IF(AP142="",0,VLOOKUP(D142,Tables!$B$3:$M$36,12,FALSE())*Z$1)</f>
        <v>0</v>
      </c>
      <c r="EG142" s="91">
        <f>IF(AQ142="",0,VLOOKUP(E142,Tables!$B$3:$M$36,12,FALSE())*AA$1)</f>
        <v>0</v>
      </c>
      <c r="EH142" s="92">
        <f>IF(AR142="",0,VLOOKUP(F142,Tables!$B$3:$M$36,12,FALSE())*AB$1)</f>
        <v>0</v>
      </c>
      <c r="EI142" s="92">
        <f>IF(AS142="",0,VLOOKUP(G142,Tables!$B$3:$M$36,12,FALSE())*AC$1)</f>
        <v>0</v>
      </c>
      <c r="EJ142" s="92">
        <f>IF(AT142="",0,VLOOKUP(H142,Tables!$B$3:$M$36,12,FALSE())*AD$1)</f>
        <v>0</v>
      </c>
      <c r="EK142" s="92">
        <f>IF(AU142="",0,VLOOKUP(I142,Tables!$B$3:$M$36,12,FALSE())*AE$1)</f>
        <v>0</v>
      </c>
      <c r="EL142" s="91">
        <f>IF(AV142="",0,VLOOKUP(J142,Tables!$B$3:$M$36,12,FALSE())*AF$1)</f>
        <v>0</v>
      </c>
      <c r="EM142" s="92">
        <f>IF(AW142="",0,VLOOKUP(K142,Tables!$B$3:$M$36,12,FALSE())*AG$1)</f>
        <v>0</v>
      </c>
      <c r="EN142" s="92">
        <f>IF(AX142="",0,VLOOKUP(L142,Tables!$B$3:$M$36,12,FALSE())*AH$1)</f>
        <v>0</v>
      </c>
      <c r="EO142" s="91">
        <f>IF(AY142="",0,VLOOKUP(M142,Tables!$B$3:$M$36,12,FALSE())*AI$1)</f>
        <v>44.800000000000004</v>
      </c>
      <c r="EP142" s="92">
        <f>IF(AZ142="",0,VLOOKUP(N142,Tables!$B$3:$M$36,12,FALSE())*AJ$1)</f>
        <v>9.6</v>
      </c>
      <c r="EQ142" s="92">
        <f>IF(BA142="",0,VLOOKUP(O142,Tables!$B$3:$M$36,12,FALSE())*AK$1)</f>
        <v>38.4</v>
      </c>
      <c r="ER142" s="93">
        <f>IF(BB142="",0,VLOOKUP(P142,Tables!$B$3:$M$36,12,FALSE())*AL$1)</f>
        <v>22.400000000000002</v>
      </c>
      <c r="ES142" s="94">
        <f t="shared" si="167"/>
        <v>0</v>
      </c>
      <c r="ET142" s="95">
        <f>IF(AN142="",10,MIN(VLOOKUP(B142,MATERIAL,13,FALSE()),'Item Builder'!$W142))</f>
        <v>10</v>
      </c>
      <c r="EU142" s="95">
        <f>IF(AO142="",10,MIN(VLOOKUP(C142,MATERIAL,13,FALSE()),'Item Builder'!$W142))</f>
        <v>10</v>
      </c>
      <c r="EV142" s="95">
        <f>IF(AP142="",10,MIN(VLOOKUP(D142,MATERIAL,13,FALSE()),'Item Builder'!$W142))</f>
        <v>10</v>
      </c>
      <c r="EW142" s="95">
        <f>IF(AQ142="",10,MIN(VLOOKUP(E142,MATERIAL,13,FALSE()),'Item Builder'!$W142))</f>
        <v>10</v>
      </c>
      <c r="EX142" s="95">
        <f>IF(AR142="",10,MIN(VLOOKUP(F142,MATERIAL,13,FALSE()),'Item Builder'!$W142))</f>
        <v>10</v>
      </c>
      <c r="EY142" s="95">
        <f>IF(AS142="",10,MIN(VLOOKUP(G142,MATERIAL,13,FALSE()),'Item Builder'!$W142))</f>
        <v>10</v>
      </c>
      <c r="EZ142" s="95">
        <f>IF(AT142="",10,MIN(VLOOKUP(H142,MATERIAL,13,FALSE()),'Item Builder'!$W142))</f>
        <v>10</v>
      </c>
      <c r="FA142" s="95">
        <f>IF(AU142="",10,MIN(VLOOKUP(I142,MATERIAL,13,FALSE()),'Item Builder'!$W142))</f>
        <v>10</v>
      </c>
      <c r="FB142" s="95">
        <f>IF(AV142="",10,MIN(VLOOKUP(J142,MATERIAL,13,FALSE()),'Item Builder'!$W142))</f>
        <v>10</v>
      </c>
      <c r="FC142" s="95">
        <f>IF(AW142="",10,MIN(VLOOKUP(K142,MATERIAL,13,FALSE()),'Item Builder'!$W142))</f>
        <v>10</v>
      </c>
      <c r="FD142" s="95">
        <f>IF(AX142="",10,MIN(VLOOKUP(L142,MATERIAL,13,FALSE()),'Item Builder'!$W142))</f>
        <v>10</v>
      </c>
      <c r="FE142" s="95">
        <f>IF(AY142="",10,MIN(VLOOKUP(M142,MATERIAL,13,FALSE()),'Item Builder'!$W142))</f>
        <v>0</v>
      </c>
      <c r="FF142" s="95">
        <f>IF(AZ142="",10,MIN(VLOOKUP(N142,MATERIAL,13,FALSE()),'Item Builder'!$W142))</f>
        <v>0</v>
      </c>
      <c r="FG142" s="95">
        <f>IF(BA142="",10,MIN(VLOOKUP(O142,MATERIAL,13,FALSE()),'Item Builder'!$W142))</f>
        <v>0</v>
      </c>
      <c r="FH142" s="95">
        <f>IF(BB142="",10,MIN(VLOOKUP(P142,MATERIAL,13,FALSE()),'Item Builder'!$W142))</f>
        <v>0</v>
      </c>
    </row>
    <row r="143" spans="1:164" x14ac:dyDescent="0.25">
      <c r="A143" s="67" t="s">
        <v>283</v>
      </c>
      <c r="B143" s="68" t="s">
        <v>168</v>
      </c>
      <c r="C143" s="69"/>
      <c r="D143" s="70"/>
      <c r="E143" s="68"/>
      <c r="F143" s="69"/>
      <c r="G143" s="69"/>
      <c r="H143" s="69"/>
      <c r="I143" s="70"/>
      <c r="J143" s="68"/>
      <c r="K143" s="69"/>
      <c r="L143" s="70"/>
      <c r="M143" s="68"/>
      <c r="N143" s="69"/>
      <c r="O143" s="69"/>
      <c r="P143" s="71"/>
      <c r="Q143" s="72">
        <f>SUM(BV143:CJ143)*VLOOKUP(W143,Tables!$W$3:$Z$8,4)</f>
        <v>24</v>
      </c>
      <c r="R143" s="73">
        <f t="shared" si="112"/>
        <v>0.24</v>
      </c>
      <c r="S143" s="74">
        <f t="shared" si="113"/>
        <v>0</v>
      </c>
      <c r="T143" s="74">
        <f t="shared" si="114"/>
        <v>0</v>
      </c>
      <c r="U143" s="75">
        <f t="shared" si="115"/>
        <v>0.8</v>
      </c>
      <c r="V143" s="76">
        <f t="shared" si="116"/>
        <v>19.2</v>
      </c>
      <c r="W143" s="77">
        <v>0</v>
      </c>
      <c r="X143" s="78">
        <f t="shared" si="117"/>
        <v>1</v>
      </c>
      <c r="Y143" s="79">
        <f t="shared" si="118"/>
        <v>0</v>
      </c>
      <c r="Z143" s="79">
        <f t="shared" si="119"/>
        <v>0</v>
      </c>
      <c r="AA143" s="78">
        <f t="shared" si="120"/>
        <v>0</v>
      </c>
      <c r="AB143" s="79">
        <f t="shared" si="121"/>
        <v>0</v>
      </c>
      <c r="AC143" s="79">
        <f t="shared" si="122"/>
        <v>0</v>
      </c>
      <c r="AD143" s="79">
        <f t="shared" si="123"/>
        <v>0</v>
      </c>
      <c r="AE143" s="79">
        <f t="shared" si="124"/>
        <v>0</v>
      </c>
      <c r="AF143" s="78">
        <f t="shared" si="125"/>
        <v>0</v>
      </c>
      <c r="AG143" s="79">
        <f t="shared" si="126"/>
        <v>0</v>
      </c>
      <c r="AH143" s="79">
        <f t="shared" si="127"/>
        <v>0</v>
      </c>
      <c r="AI143" s="78">
        <f t="shared" si="128"/>
        <v>0</v>
      </c>
      <c r="AJ143" s="79">
        <f t="shared" si="129"/>
        <v>0</v>
      </c>
      <c r="AK143" s="79">
        <f t="shared" si="130"/>
        <v>0</v>
      </c>
      <c r="AL143" s="80">
        <f t="shared" si="131"/>
        <v>0</v>
      </c>
      <c r="AM143" s="81">
        <f t="shared" si="132"/>
        <v>0.04</v>
      </c>
      <c r="AN143" s="82" t="str">
        <f t="shared" si="133"/>
        <v>C</v>
      </c>
      <c r="AO143" s="79" t="str">
        <f t="shared" si="134"/>
        <v/>
      </c>
      <c r="AP143" t="str">
        <f t="shared" si="135"/>
        <v/>
      </c>
      <c r="AQ143" s="82" t="str">
        <f t="shared" si="136"/>
        <v/>
      </c>
      <c r="AR143" t="str">
        <f t="shared" si="137"/>
        <v/>
      </c>
      <c r="AS143" t="str">
        <f t="shared" si="138"/>
        <v/>
      </c>
      <c r="AT143" t="str">
        <f t="shared" si="139"/>
        <v/>
      </c>
      <c r="AU143" t="str">
        <f t="shared" si="140"/>
        <v/>
      </c>
      <c r="AV143" s="82" t="str">
        <f t="shared" si="141"/>
        <v/>
      </c>
      <c r="AW143" t="str">
        <f t="shared" si="142"/>
        <v/>
      </c>
      <c r="AX143" t="str">
        <f t="shared" si="143"/>
        <v/>
      </c>
      <c r="AY143" s="82" t="str">
        <f t="shared" si="144"/>
        <v/>
      </c>
      <c r="AZ143" t="str">
        <f t="shared" si="145"/>
        <v/>
      </c>
      <c r="BA143" t="str">
        <f t="shared" si="146"/>
        <v/>
      </c>
      <c r="BB143" s="83" t="str">
        <f t="shared" si="147"/>
        <v/>
      </c>
      <c r="BC143" s="84">
        <f t="shared" si="148"/>
        <v>0.44444444444444442</v>
      </c>
      <c r="BD143" s="84">
        <f t="shared" si="149"/>
        <v>0</v>
      </c>
      <c r="BE143" s="84">
        <f t="shared" si="150"/>
        <v>0</v>
      </c>
      <c r="BF143" s="84">
        <f t="shared" si="151"/>
        <v>0</v>
      </c>
      <c r="BG143" s="78">
        <f>IF(AN143="",0,VLOOKUP(AN143,Tables!$AB$3:$AC$12,2))</f>
        <v>1</v>
      </c>
      <c r="BH143" s="79">
        <f>IF(AO143="",0,VLOOKUP(AO143,Tables!$AB$3:$AC$12,2))</f>
        <v>0</v>
      </c>
      <c r="BI143" s="79">
        <f>IF(AP143="",0,VLOOKUP(AP143,Tables!$AB$3:$AC$12,2))</f>
        <v>0</v>
      </c>
      <c r="BJ143" s="78">
        <f>IF(AQ143="",0,VLOOKUP(AQ143,Tables!$AB$3:$AC$12,2))</f>
        <v>0</v>
      </c>
      <c r="BK143" s="79">
        <f>IF(AR143="",0,VLOOKUP(AR143,Tables!$AB$3:$AC$12,2))</f>
        <v>0</v>
      </c>
      <c r="BL143" s="79">
        <f>IF(AS143="",0,VLOOKUP(AS143,Tables!$AB$3:$AC$12,2))</f>
        <v>0</v>
      </c>
      <c r="BM143" s="79">
        <f>IF(AT143="",0,VLOOKUP(AT143,Tables!$AB$3:$AC$12,2))</f>
        <v>0</v>
      </c>
      <c r="BN143" s="79">
        <f>IF(AU143="",0,VLOOKUP(AU143,Tables!$AB$3:$AC$12,2))</f>
        <v>0</v>
      </c>
      <c r="BO143" s="78">
        <f>IF(AV143="",0,VLOOKUP(AV143,Tables!$AB$3:$AC$12,2))</f>
        <v>0</v>
      </c>
      <c r="BP143" s="79">
        <f>IF(AW143="",0,VLOOKUP(AW143,Tables!$AB$3:$AC$12,2))</f>
        <v>0</v>
      </c>
      <c r="BQ143" s="79">
        <f>IF(AX143="",0,VLOOKUP(AX143,Tables!$AB$3:$AC$12,2))</f>
        <v>0</v>
      </c>
      <c r="BR143" s="78">
        <f>IF(AY143="",0,VLOOKUP(AY143,Tables!$AB$3:$AC$12,2))</f>
        <v>0</v>
      </c>
      <c r="BS143" s="79">
        <f>IF(AZ143="",0,VLOOKUP(AZ143,Tables!$AB$3:$AC$12,2))</f>
        <v>0</v>
      </c>
      <c r="BT143" s="79">
        <f>IF(BA143="",0,VLOOKUP(BA143,Tables!$AB$3:$AC$12,2))</f>
        <v>0</v>
      </c>
      <c r="BU143" s="80">
        <f>IF(BB143="",0,VLOOKUP(BB143,Tables!$AB$3:$AC$12,2))</f>
        <v>0</v>
      </c>
      <c r="BV143" s="85">
        <f>IF(AN143="",0,VLOOKUP(B143,Tables!$B$3:$D$36,2,FALSE())*X$1)</f>
        <v>24</v>
      </c>
      <c r="BW143" s="72">
        <f>IF(AO143="",0,VLOOKUP(C143,Tables!$B$3:$D$36,2,FALSE())*Y$1)</f>
        <v>0</v>
      </c>
      <c r="BX143" s="72">
        <f>IF(AP143="",0,VLOOKUP(D143,Tables!$B$3:$D$36,2,FALSE())*Z$1)</f>
        <v>0</v>
      </c>
      <c r="BY143" s="85">
        <f>IF(AQ143="",0,VLOOKUP(E143,Tables!$B$3:$D$36,2,FALSE())*AA$1)</f>
        <v>0</v>
      </c>
      <c r="BZ143" s="72">
        <f>IF(AR143="",0,VLOOKUP(F143,Tables!$B$3:$D$36,2,FALSE())*AB$1)</f>
        <v>0</v>
      </c>
      <c r="CA143" s="72">
        <f>IF(AS143="",0,VLOOKUP(G143,Tables!$B$3:$D$36,2,FALSE())*AC$1)</f>
        <v>0</v>
      </c>
      <c r="CB143" s="72">
        <f>IF(AT143="",0,VLOOKUP(H143,Tables!$B$3:$D$36,2,FALSE())*AD$1)</f>
        <v>0</v>
      </c>
      <c r="CC143" s="72">
        <f>IF(AU143="",0,VLOOKUP(I143,Tables!$B$3:$D$36,2,FALSE())*AE$1)</f>
        <v>0</v>
      </c>
      <c r="CD143" s="85">
        <f>IF(AV143="",0,VLOOKUP(J143,Tables!$B$3:$D$36,2,FALSE())*AF$1)</f>
        <v>0</v>
      </c>
      <c r="CE143" s="72">
        <f>IF(AW143="",0,VLOOKUP(K143,Tables!$B$3:$D$36,2,FALSE())*AG$1)</f>
        <v>0</v>
      </c>
      <c r="CF143" s="72">
        <f>IF(AX143="",0,VLOOKUP(L143,Tables!$B$3:$D$36,2,FALSE())*AH$1)</f>
        <v>0</v>
      </c>
      <c r="CG143" s="85">
        <f>IF(AY143="",0,VLOOKUP(M143,Tables!$B$3:$D$36,2,FALSE())*AI$1)</f>
        <v>0</v>
      </c>
      <c r="CH143" s="72">
        <f>IF(AZ143="",0,VLOOKUP(N143,Tables!$B$3:$D$36,2,FALSE())*AJ$1)</f>
        <v>0</v>
      </c>
      <c r="CI143" s="72">
        <f>IF(BA143="",0,VLOOKUP(O143,Tables!$B$3:$D$36,2,FALSE())*AK$1)</f>
        <v>0</v>
      </c>
      <c r="CJ143" s="86">
        <f>IF(BB143="",0,VLOOKUP(P143,Tables!$B$3:$D$36,2,FALSE())*AL$1)</f>
        <v>0</v>
      </c>
      <c r="CK143" s="87">
        <f>IF(AN143="",0,VLOOKUP(B143,Tables!$B$3:$D$36,3,FALSE())*X$1)*IF(OR(AN143="K",AN143="P"),2,1)</f>
        <v>0.24</v>
      </c>
      <c r="CL143" s="73">
        <f>IF(AO143="",0,VLOOKUP(C143,Tables!$B$3:$D$36,3,FALSE())*Y$1)*IF(OR(AO143="K",AO143="P"),2,1)</f>
        <v>0</v>
      </c>
      <c r="CM143" s="73">
        <f>IF(AP143="",0,VLOOKUP(D143,Tables!$B$3:$D$36,3,FALSE())*Z$1)*IF(OR(AP143="K",AP143="P"),2,1)</f>
        <v>0</v>
      </c>
      <c r="CN143" s="87">
        <f>IF(AQ143="",0,VLOOKUP(E143,Tables!$B$3:$D$36,3,FALSE())*AA$1)</f>
        <v>0</v>
      </c>
      <c r="CO143" s="73">
        <f>IF(AR143="",0,VLOOKUP(F143,Tables!$B$3:$D$36,3,FALSE())*AB$1)</f>
        <v>0</v>
      </c>
      <c r="CP143" s="73">
        <f>IF(AS143="",0,VLOOKUP(G143,Tables!$B$3:$D$36,3,FALSE())*AC$1)</f>
        <v>0</v>
      </c>
      <c r="CQ143" s="73">
        <f>IF(AT143="",0,VLOOKUP(H143,Tables!$B$3:$D$36,3,FALSE())*AD$1)</f>
        <v>0</v>
      </c>
      <c r="CR143" s="73">
        <f>IF(AU143="",0,VLOOKUP(I143,Tables!$B$3:$D$36,3,FALSE())*AE$1)</f>
        <v>0</v>
      </c>
      <c r="CS143" s="87">
        <f>IF(AV143="",0,VLOOKUP(J143,Tables!$B$3:$D$36,3,FALSE())*AF$1)</f>
        <v>0</v>
      </c>
      <c r="CT143" s="73">
        <f>IF(AW143="",0,VLOOKUP(K143,Tables!$B$3:$D$36,3,FALSE())*AG$1)</f>
        <v>0</v>
      </c>
      <c r="CU143" s="73">
        <f>IF(AX143="",0,VLOOKUP(L143,Tables!$B$3:$D$36,3,FALSE())*AH$1)</f>
        <v>0</v>
      </c>
      <c r="CV143" s="87">
        <f>IF(AY143="",0,VLOOKUP(M143,Tables!$B$3:$D$36,3,FALSE())*AI$1)</f>
        <v>0</v>
      </c>
      <c r="CW143" s="73">
        <f>IF(AZ143="",0,VLOOKUP(N143,Tables!$B$3:$D$36,3,FALSE())*AJ$1)</f>
        <v>0</v>
      </c>
      <c r="CX143" s="73">
        <f>IF(BA143="",0,VLOOKUP(O143,Tables!$B$3:$D$36,3,FALSE())*AK$1)</f>
        <v>0</v>
      </c>
      <c r="CY143" s="88">
        <f>IF(BB143="",0,VLOOKUP(P143,Tables!$B$3:$D$36,3,FALSE())*AL$1)</f>
        <v>0</v>
      </c>
      <c r="CZ143" s="89">
        <f t="shared" si="152"/>
        <v>1</v>
      </c>
      <c r="DA143" s="75">
        <f t="shared" si="153"/>
        <v>0</v>
      </c>
      <c r="DB143" s="75">
        <f t="shared" si="154"/>
        <v>0</v>
      </c>
      <c r="DC143" s="89">
        <f t="shared" si="155"/>
        <v>0</v>
      </c>
      <c r="DD143" s="75">
        <f t="shared" si="156"/>
        <v>0</v>
      </c>
      <c r="DE143" s="75">
        <f t="shared" si="157"/>
        <v>0</v>
      </c>
      <c r="DF143" s="75">
        <f t="shared" si="158"/>
        <v>0</v>
      </c>
      <c r="DG143" s="75">
        <f t="shared" si="159"/>
        <v>0</v>
      </c>
      <c r="DH143" s="89">
        <f t="shared" si="160"/>
        <v>0</v>
      </c>
      <c r="DI143" s="75">
        <f t="shared" si="161"/>
        <v>0</v>
      </c>
      <c r="DJ143" s="75">
        <f t="shared" si="162"/>
        <v>0</v>
      </c>
      <c r="DK143" s="89">
        <f t="shared" si="163"/>
        <v>0</v>
      </c>
      <c r="DL143" s="75">
        <f t="shared" si="164"/>
        <v>0</v>
      </c>
      <c r="DM143" s="75">
        <f t="shared" si="165"/>
        <v>0</v>
      </c>
      <c r="DN143" s="90">
        <f t="shared" si="166"/>
        <v>0</v>
      </c>
      <c r="DO143" s="91">
        <f>IF(AN143="",0,VLOOKUP(B143,Tables!$B$3:$M$36,11,FALSE())*X$1)</f>
        <v>0.8</v>
      </c>
      <c r="DP143" s="92">
        <f>IF(AO143="",0,VLOOKUP(C143,Tables!$B$3:$M$36,11,FALSE())*Y$1)</f>
        <v>0</v>
      </c>
      <c r="DQ143" s="92">
        <f>IF(AP143="",0,VLOOKUP(D143,Tables!$B$3:$M$36,11,FALSE())*Z$1)</f>
        <v>0</v>
      </c>
      <c r="DR143" s="91">
        <f>IF(AQ143="",0,VLOOKUP(E143,Tables!$B$3:$M$36,11,FALSE())*AA$1)</f>
        <v>0</v>
      </c>
      <c r="DS143" s="92">
        <f>IF(AR143="",0,VLOOKUP(F143,Tables!$B$3:$M$36,11,FALSE())*AB$1)</f>
        <v>0</v>
      </c>
      <c r="DT143" s="92">
        <f>IF(AS143="",0,VLOOKUP(G143,Tables!$B$3:$M$36,11,FALSE())*AC$1)</f>
        <v>0</v>
      </c>
      <c r="DU143" s="92">
        <f>IF(AT143="",0,VLOOKUP(H143,Tables!$B$3:$M$36,11,FALSE())*AD$1)</f>
        <v>0</v>
      </c>
      <c r="DV143" s="92">
        <f>IF(AU143="",0,VLOOKUP(I143,Tables!$B$3:$M$36,11,FALSE())*AE$1)</f>
        <v>0</v>
      </c>
      <c r="DW143" s="91">
        <f>IF(AV143="",0,VLOOKUP(J143,Tables!$B$3:$M$36,11,FALSE())*AF$1)</f>
        <v>0</v>
      </c>
      <c r="DX143" s="92">
        <f>IF(AW143="",0,VLOOKUP(K143,Tables!$B$3:$M$36,11,FALSE())*AG$1)</f>
        <v>0</v>
      </c>
      <c r="DY143" s="92">
        <f>IF(AX143="",0,VLOOKUP(L143,Tables!$B$3:$M$36,11,FALSE())*AH$1)</f>
        <v>0</v>
      </c>
      <c r="DZ143" s="91">
        <f>IF(AY143="",0,VLOOKUP(M143,Tables!$B$3:$M$36,11,FALSE())*AI$1)</f>
        <v>0</v>
      </c>
      <c r="EA143" s="92">
        <f>IF(AZ143="",0,VLOOKUP(N143,Tables!$B$3:$M$36,11,FALSE())*AJ$1)</f>
        <v>0</v>
      </c>
      <c r="EB143" s="92">
        <f>IF(BA143="",0,VLOOKUP(O143,Tables!$B$3:$M$36,11,FALSE())*AK$1)</f>
        <v>0</v>
      </c>
      <c r="EC143" s="93">
        <f>IF(BB143="",0,VLOOKUP(P143,Tables!$B$3:$M$36,11,FALSE())*AL$1)</f>
        <v>0</v>
      </c>
      <c r="ED143" s="91">
        <f>IF(AN143="",0,VLOOKUP(B143,Tables!$B$3:$M$36,12,FALSE())*X$1)</f>
        <v>19.2</v>
      </c>
      <c r="EE143" s="92">
        <f>IF(AO143="",0,VLOOKUP(C143,Tables!$B$3:$M$36,12,FALSE())*Y$1)</f>
        <v>0</v>
      </c>
      <c r="EF143" s="92">
        <f>IF(AP143="",0,VLOOKUP(D143,Tables!$B$3:$M$36,12,FALSE())*Z$1)</f>
        <v>0</v>
      </c>
      <c r="EG143" s="91">
        <f>IF(AQ143="",0,VLOOKUP(E143,Tables!$B$3:$M$36,12,FALSE())*AA$1)</f>
        <v>0</v>
      </c>
      <c r="EH143" s="92">
        <f>IF(AR143="",0,VLOOKUP(F143,Tables!$B$3:$M$36,12,FALSE())*AB$1)</f>
        <v>0</v>
      </c>
      <c r="EI143" s="92">
        <f>IF(AS143="",0,VLOOKUP(G143,Tables!$B$3:$M$36,12,FALSE())*AC$1)</f>
        <v>0</v>
      </c>
      <c r="EJ143" s="92">
        <f>IF(AT143="",0,VLOOKUP(H143,Tables!$B$3:$M$36,12,FALSE())*AD$1)</f>
        <v>0</v>
      </c>
      <c r="EK143" s="92">
        <f>IF(AU143="",0,VLOOKUP(I143,Tables!$B$3:$M$36,12,FALSE())*AE$1)</f>
        <v>0</v>
      </c>
      <c r="EL143" s="91">
        <f>IF(AV143="",0,VLOOKUP(J143,Tables!$B$3:$M$36,12,FALSE())*AF$1)</f>
        <v>0</v>
      </c>
      <c r="EM143" s="92">
        <f>IF(AW143="",0,VLOOKUP(K143,Tables!$B$3:$M$36,12,FALSE())*AG$1)</f>
        <v>0</v>
      </c>
      <c r="EN143" s="92">
        <f>IF(AX143="",0,VLOOKUP(L143,Tables!$B$3:$M$36,12,FALSE())*AH$1)</f>
        <v>0</v>
      </c>
      <c r="EO143" s="91">
        <f>IF(AY143="",0,VLOOKUP(M143,Tables!$B$3:$M$36,12,FALSE())*AI$1)</f>
        <v>0</v>
      </c>
      <c r="EP143" s="92">
        <f>IF(AZ143="",0,VLOOKUP(N143,Tables!$B$3:$M$36,12,FALSE())*AJ$1)</f>
        <v>0</v>
      </c>
      <c r="EQ143" s="92">
        <f>IF(BA143="",0,VLOOKUP(O143,Tables!$B$3:$M$36,12,FALSE())*AK$1)</f>
        <v>0</v>
      </c>
      <c r="ER143" s="93">
        <f>IF(BB143="",0,VLOOKUP(P143,Tables!$B$3:$M$36,12,FALSE())*AL$1)</f>
        <v>0</v>
      </c>
      <c r="ES143" s="94">
        <f t="shared" si="167"/>
        <v>0</v>
      </c>
      <c r="ET143" s="95">
        <f>IF(AN143="",10,MIN(VLOOKUP(B143,MATERIAL,13,FALSE()),'Item Builder'!$W143))</f>
        <v>0</v>
      </c>
      <c r="EU143" s="95">
        <f>IF(AO143="",10,MIN(VLOOKUP(C143,MATERIAL,13,FALSE()),'Item Builder'!$W143))</f>
        <v>10</v>
      </c>
      <c r="EV143" s="95">
        <f>IF(AP143="",10,MIN(VLOOKUP(D143,MATERIAL,13,FALSE()),'Item Builder'!$W143))</f>
        <v>10</v>
      </c>
      <c r="EW143" s="95">
        <f>IF(AQ143="",10,MIN(VLOOKUP(E143,MATERIAL,13,FALSE()),'Item Builder'!$W143))</f>
        <v>10</v>
      </c>
      <c r="EX143" s="95">
        <f>IF(AR143="",10,MIN(VLOOKUP(F143,MATERIAL,13,FALSE()),'Item Builder'!$W143))</f>
        <v>10</v>
      </c>
      <c r="EY143" s="95">
        <f>IF(AS143="",10,MIN(VLOOKUP(G143,MATERIAL,13,FALSE()),'Item Builder'!$W143))</f>
        <v>10</v>
      </c>
      <c r="EZ143" s="95">
        <f>IF(AT143="",10,MIN(VLOOKUP(H143,MATERIAL,13,FALSE()),'Item Builder'!$W143))</f>
        <v>10</v>
      </c>
      <c r="FA143" s="95">
        <f>IF(AU143="",10,MIN(VLOOKUP(I143,MATERIAL,13,FALSE()),'Item Builder'!$W143))</f>
        <v>10</v>
      </c>
      <c r="FB143" s="95">
        <f>IF(AV143="",10,MIN(VLOOKUP(J143,MATERIAL,13,FALSE()),'Item Builder'!$W143))</f>
        <v>10</v>
      </c>
      <c r="FC143" s="95">
        <f>IF(AW143="",10,MIN(VLOOKUP(K143,MATERIAL,13,FALSE()),'Item Builder'!$W143))</f>
        <v>10</v>
      </c>
      <c r="FD143" s="95">
        <f>IF(AX143="",10,MIN(VLOOKUP(L143,MATERIAL,13,FALSE()),'Item Builder'!$W143))</f>
        <v>10</v>
      </c>
      <c r="FE143" s="95">
        <f>IF(AY143="",10,MIN(VLOOKUP(M143,MATERIAL,13,FALSE()),'Item Builder'!$W143))</f>
        <v>10</v>
      </c>
      <c r="FF143" s="95">
        <f>IF(AZ143="",10,MIN(VLOOKUP(N143,MATERIAL,13,FALSE()),'Item Builder'!$W143))</f>
        <v>10</v>
      </c>
      <c r="FG143" s="95">
        <f>IF(BA143="",10,MIN(VLOOKUP(O143,MATERIAL,13,FALSE()),'Item Builder'!$W143))</f>
        <v>10</v>
      </c>
      <c r="FH143" s="95">
        <f>IF(BB143="",10,MIN(VLOOKUP(P143,MATERIAL,13,FALSE()),'Item Builder'!$W143))</f>
        <v>10</v>
      </c>
    </row>
    <row r="144" spans="1:164" x14ac:dyDescent="0.25">
      <c r="A144" s="67" t="s">
        <v>284</v>
      </c>
      <c r="B144" s="68" t="s">
        <v>168</v>
      </c>
      <c r="C144" s="69"/>
      <c r="D144" s="70" t="s">
        <v>168</v>
      </c>
      <c r="E144" s="68"/>
      <c r="F144" s="69"/>
      <c r="G144" s="69"/>
      <c r="H144" s="69"/>
      <c r="I144" s="70"/>
      <c r="J144" s="68"/>
      <c r="K144" s="69"/>
      <c r="L144" s="70"/>
      <c r="M144" s="68"/>
      <c r="N144" s="69"/>
      <c r="O144" s="69"/>
      <c r="P144" s="71"/>
      <c r="Q144" s="72">
        <f>SUM(BV144:CJ144)*VLOOKUP(W144,Tables!$W$3:$Z$8,4)</f>
        <v>36</v>
      </c>
      <c r="R144" s="73">
        <f t="shared" si="112"/>
        <v>0.36</v>
      </c>
      <c r="S144" s="74">
        <f t="shared" si="113"/>
        <v>0</v>
      </c>
      <c r="T144" s="74">
        <f t="shared" si="114"/>
        <v>5</v>
      </c>
      <c r="U144" s="75">
        <f t="shared" si="115"/>
        <v>1.2000000000000002</v>
      </c>
      <c r="V144" s="76">
        <f t="shared" si="116"/>
        <v>28.799999999999997</v>
      </c>
      <c r="W144" s="77">
        <v>0</v>
      </c>
      <c r="X144" s="78">
        <f t="shared" si="117"/>
        <v>1</v>
      </c>
      <c r="Y144" s="79">
        <f t="shared" si="118"/>
        <v>0</v>
      </c>
      <c r="Z144" s="79">
        <f t="shared" si="119"/>
        <v>1</v>
      </c>
      <c r="AA144" s="78">
        <f t="shared" si="120"/>
        <v>0</v>
      </c>
      <c r="AB144" s="79">
        <f t="shared" si="121"/>
        <v>0</v>
      </c>
      <c r="AC144" s="79">
        <f t="shared" si="122"/>
        <v>0</v>
      </c>
      <c r="AD144" s="79">
        <f t="shared" si="123"/>
        <v>0</v>
      </c>
      <c r="AE144" s="79">
        <f t="shared" si="124"/>
        <v>0</v>
      </c>
      <c r="AF144" s="78">
        <f t="shared" si="125"/>
        <v>0</v>
      </c>
      <c r="AG144" s="79">
        <f t="shared" si="126"/>
        <v>0</v>
      </c>
      <c r="AH144" s="79">
        <f t="shared" si="127"/>
        <v>0</v>
      </c>
      <c r="AI144" s="78">
        <f t="shared" si="128"/>
        <v>0</v>
      </c>
      <c r="AJ144" s="79">
        <f t="shared" si="129"/>
        <v>0</v>
      </c>
      <c r="AK144" s="79">
        <f t="shared" si="130"/>
        <v>0</v>
      </c>
      <c r="AL144" s="80">
        <f t="shared" si="131"/>
        <v>0</v>
      </c>
      <c r="AM144" s="81">
        <f t="shared" si="132"/>
        <v>0.06</v>
      </c>
      <c r="AN144" s="82" t="str">
        <f t="shared" si="133"/>
        <v>C</v>
      </c>
      <c r="AO144" s="79" t="str">
        <f t="shared" si="134"/>
        <v/>
      </c>
      <c r="AP144" t="str">
        <f t="shared" si="135"/>
        <v>C</v>
      </c>
      <c r="AQ144" s="82" t="str">
        <f t="shared" si="136"/>
        <v/>
      </c>
      <c r="AR144" t="str">
        <f t="shared" si="137"/>
        <v/>
      </c>
      <c r="AS144" t="str">
        <f t="shared" si="138"/>
        <v/>
      </c>
      <c r="AT144" t="str">
        <f t="shared" si="139"/>
        <v/>
      </c>
      <c r="AU144" t="str">
        <f t="shared" si="140"/>
        <v/>
      </c>
      <c r="AV144" s="82" t="str">
        <f t="shared" si="141"/>
        <v/>
      </c>
      <c r="AW144" t="str">
        <f t="shared" si="142"/>
        <v/>
      </c>
      <c r="AX144" t="str">
        <f t="shared" si="143"/>
        <v/>
      </c>
      <c r="AY144" s="82" t="str">
        <f t="shared" si="144"/>
        <v/>
      </c>
      <c r="AZ144" t="str">
        <f t="shared" si="145"/>
        <v/>
      </c>
      <c r="BA144" t="str">
        <f t="shared" si="146"/>
        <v/>
      </c>
      <c r="BB144" s="83" t="str">
        <f t="shared" si="147"/>
        <v/>
      </c>
      <c r="BC144" s="84">
        <f t="shared" si="148"/>
        <v>0.66666666666666652</v>
      </c>
      <c r="BD144" s="84">
        <f t="shared" si="149"/>
        <v>0</v>
      </c>
      <c r="BE144" s="84">
        <f t="shared" si="150"/>
        <v>0</v>
      </c>
      <c r="BF144" s="84">
        <f t="shared" si="151"/>
        <v>0</v>
      </c>
      <c r="BG144" s="78">
        <f>IF(AN144="",0,VLOOKUP(AN144,Tables!$AB$3:$AC$12,2))</f>
        <v>1</v>
      </c>
      <c r="BH144" s="79">
        <f>IF(AO144="",0,VLOOKUP(AO144,Tables!$AB$3:$AC$12,2))</f>
        <v>0</v>
      </c>
      <c r="BI144" s="79">
        <f>IF(AP144="",0,VLOOKUP(AP144,Tables!$AB$3:$AC$12,2))</f>
        <v>1</v>
      </c>
      <c r="BJ144" s="78">
        <f>IF(AQ144="",0,VLOOKUP(AQ144,Tables!$AB$3:$AC$12,2))</f>
        <v>0</v>
      </c>
      <c r="BK144" s="79">
        <f>IF(AR144="",0,VLOOKUP(AR144,Tables!$AB$3:$AC$12,2))</f>
        <v>0</v>
      </c>
      <c r="BL144" s="79">
        <f>IF(AS144="",0,VLOOKUP(AS144,Tables!$AB$3:$AC$12,2))</f>
        <v>0</v>
      </c>
      <c r="BM144" s="79">
        <f>IF(AT144="",0,VLOOKUP(AT144,Tables!$AB$3:$AC$12,2))</f>
        <v>0</v>
      </c>
      <c r="BN144" s="79">
        <f>IF(AU144="",0,VLOOKUP(AU144,Tables!$AB$3:$AC$12,2))</f>
        <v>0</v>
      </c>
      <c r="BO144" s="78">
        <f>IF(AV144="",0,VLOOKUP(AV144,Tables!$AB$3:$AC$12,2))</f>
        <v>0</v>
      </c>
      <c r="BP144" s="79">
        <f>IF(AW144="",0,VLOOKUP(AW144,Tables!$AB$3:$AC$12,2))</f>
        <v>0</v>
      </c>
      <c r="BQ144" s="79">
        <f>IF(AX144="",0,VLOOKUP(AX144,Tables!$AB$3:$AC$12,2))</f>
        <v>0</v>
      </c>
      <c r="BR144" s="78">
        <f>IF(AY144="",0,VLOOKUP(AY144,Tables!$AB$3:$AC$12,2))</f>
        <v>0</v>
      </c>
      <c r="BS144" s="79">
        <f>IF(AZ144="",0,VLOOKUP(AZ144,Tables!$AB$3:$AC$12,2))</f>
        <v>0</v>
      </c>
      <c r="BT144" s="79">
        <f>IF(BA144="",0,VLOOKUP(BA144,Tables!$AB$3:$AC$12,2))</f>
        <v>0</v>
      </c>
      <c r="BU144" s="80">
        <f>IF(BB144="",0,VLOOKUP(BB144,Tables!$AB$3:$AC$12,2))</f>
        <v>0</v>
      </c>
      <c r="BV144" s="85">
        <f>IF(AN144="",0,VLOOKUP(B144,Tables!$B$3:$D$36,2,FALSE())*X$1)</f>
        <v>24</v>
      </c>
      <c r="BW144" s="72">
        <f>IF(AO144="",0,VLOOKUP(C144,Tables!$B$3:$D$36,2,FALSE())*Y$1)</f>
        <v>0</v>
      </c>
      <c r="BX144" s="72">
        <f>IF(AP144="",0,VLOOKUP(D144,Tables!$B$3:$D$36,2,FALSE())*Z$1)</f>
        <v>12</v>
      </c>
      <c r="BY144" s="85">
        <f>IF(AQ144="",0,VLOOKUP(E144,Tables!$B$3:$D$36,2,FALSE())*AA$1)</f>
        <v>0</v>
      </c>
      <c r="BZ144" s="72">
        <f>IF(AR144="",0,VLOOKUP(F144,Tables!$B$3:$D$36,2,FALSE())*AB$1)</f>
        <v>0</v>
      </c>
      <c r="CA144" s="72">
        <f>IF(AS144="",0,VLOOKUP(G144,Tables!$B$3:$D$36,2,FALSE())*AC$1)</f>
        <v>0</v>
      </c>
      <c r="CB144" s="72">
        <f>IF(AT144="",0,VLOOKUP(H144,Tables!$B$3:$D$36,2,FALSE())*AD$1)</f>
        <v>0</v>
      </c>
      <c r="CC144" s="72">
        <f>IF(AU144="",0,VLOOKUP(I144,Tables!$B$3:$D$36,2,FALSE())*AE$1)</f>
        <v>0</v>
      </c>
      <c r="CD144" s="85">
        <f>IF(AV144="",0,VLOOKUP(J144,Tables!$B$3:$D$36,2,FALSE())*AF$1)</f>
        <v>0</v>
      </c>
      <c r="CE144" s="72">
        <f>IF(AW144="",0,VLOOKUP(K144,Tables!$B$3:$D$36,2,FALSE())*AG$1)</f>
        <v>0</v>
      </c>
      <c r="CF144" s="72">
        <f>IF(AX144="",0,VLOOKUP(L144,Tables!$B$3:$D$36,2,FALSE())*AH$1)</f>
        <v>0</v>
      </c>
      <c r="CG144" s="85">
        <f>IF(AY144="",0,VLOOKUP(M144,Tables!$B$3:$D$36,2,FALSE())*AI$1)</f>
        <v>0</v>
      </c>
      <c r="CH144" s="72">
        <f>IF(AZ144="",0,VLOOKUP(N144,Tables!$B$3:$D$36,2,FALSE())*AJ$1)</f>
        <v>0</v>
      </c>
      <c r="CI144" s="72">
        <f>IF(BA144="",0,VLOOKUP(O144,Tables!$B$3:$D$36,2,FALSE())*AK$1)</f>
        <v>0</v>
      </c>
      <c r="CJ144" s="86">
        <f>IF(BB144="",0,VLOOKUP(P144,Tables!$B$3:$D$36,2,FALSE())*AL$1)</f>
        <v>0</v>
      </c>
      <c r="CK144" s="87">
        <f>IF(AN144="",0,VLOOKUP(B144,Tables!$B$3:$D$36,3,FALSE())*X$1)*IF(OR(AN144="K",AN144="P"),2,1)</f>
        <v>0.24</v>
      </c>
      <c r="CL144" s="73">
        <f>IF(AO144="",0,VLOOKUP(C144,Tables!$B$3:$D$36,3,FALSE())*Y$1)*IF(OR(AO144="K",AO144="P"),2,1)</f>
        <v>0</v>
      </c>
      <c r="CM144" s="73">
        <f>IF(AP144="",0,VLOOKUP(D144,Tables!$B$3:$D$36,3,FALSE())*Z$1)*IF(OR(AP144="K",AP144="P"),2,1)</f>
        <v>0.12</v>
      </c>
      <c r="CN144" s="87">
        <f>IF(AQ144="",0,VLOOKUP(E144,Tables!$B$3:$D$36,3,FALSE())*AA$1)</f>
        <v>0</v>
      </c>
      <c r="CO144" s="73">
        <f>IF(AR144="",0,VLOOKUP(F144,Tables!$B$3:$D$36,3,FALSE())*AB$1)</f>
        <v>0</v>
      </c>
      <c r="CP144" s="73">
        <f>IF(AS144="",0,VLOOKUP(G144,Tables!$B$3:$D$36,3,FALSE())*AC$1)</f>
        <v>0</v>
      </c>
      <c r="CQ144" s="73">
        <f>IF(AT144="",0,VLOOKUP(H144,Tables!$B$3:$D$36,3,FALSE())*AD$1)</f>
        <v>0</v>
      </c>
      <c r="CR144" s="73">
        <f>IF(AU144="",0,VLOOKUP(I144,Tables!$B$3:$D$36,3,FALSE())*AE$1)</f>
        <v>0</v>
      </c>
      <c r="CS144" s="87">
        <f>IF(AV144="",0,VLOOKUP(J144,Tables!$B$3:$D$36,3,FALSE())*AF$1)</f>
        <v>0</v>
      </c>
      <c r="CT144" s="73">
        <f>IF(AW144="",0,VLOOKUP(K144,Tables!$B$3:$D$36,3,FALSE())*AG$1)</f>
        <v>0</v>
      </c>
      <c r="CU144" s="73">
        <f>IF(AX144="",0,VLOOKUP(L144,Tables!$B$3:$D$36,3,FALSE())*AH$1)</f>
        <v>0</v>
      </c>
      <c r="CV144" s="87">
        <f>IF(AY144="",0,VLOOKUP(M144,Tables!$B$3:$D$36,3,FALSE())*AI$1)</f>
        <v>0</v>
      </c>
      <c r="CW144" s="73">
        <f>IF(AZ144="",0,VLOOKUP(N144,Tables!$B$3:$D$36,3,FALSE())*AJ$1)</f>
        <v>0</v>
      </c>
      <c r="CX144" s="73">
        <f>IF(BA144="",0,VLOOKUP(O144,Tables!$B$3:$D$36,3,FALSE())*AK$1)</f>
        <v>0</v>
      </c>
      <c r="CY144" s="88">
        <f>IF(BB144="",0,VLOOKUP(P144,Tables!$B$3:$D$36,3,FALSE())*AL$1)</f>
        <v>0</v>
      </c>
      <c r="CZ144" s="89">
        <f t="shared" si="152"/>
        <v>1</v>
      </c>
      <c r="DA144" s="75">
        <f t="shared" si="153"/>
        <v>0</v>
      </c>
      <c r="DB144" s="75">
        <f t="shared" si="154"/>
        <v>1</v>
      </c>
      <c r="DC144" s="89">
        <f t="shared" si="155"/>
        <v>0</v>
      </c>
      <c r="DD144" s="75">
        <f t="shared" si="156"/>
        <v>0</v>
      </c>
      <c r="DE144" s="75">
        <f t="shared" si="157"/>
        <v>0</v>
      </c>
      <c r="DF144" s="75">
        <f t="shared" si="158"/>
        <v>0</v>
      </c>
      <c r="DG144" s="75">
        <f t="shared" si="159"/>
        <v>0</v>
      </c>
      <c r="DH144" s="89">
        <f t="shared" si="160"/>
        <v>0</v>
      </c>
      <c r="DI144" s="75">
        <f t="shared" si="161"/>
        <v>0</v>
      </c>
      <c r="DJ144" s="75">
        <f t="shared" si="162"/>
        <v>0</v>
      </c>
      <c r="DK144" s="89">
        <f t="shared" si="163"/>
        <v>0</v>
      </c>
      <c r="DL144" s="75">
        <f t="shared" si="164"/>
        <v>0</v>
      </c>
      <c r="DM144" s="75">
        <f t="shared" si="165"/>
        <v>0</v>
      </c>
      <c r="DN144" s="90">
        <f t="shared" si="166"/>
        <v>0</v>
      </c>
      <c r="DO144" s="91">
        <f>IF(AN144="",0,VLOOKUP(B144,Tables!$B$3:$M$36,11,FALSE())*X$1)</f>
        <v>0.8</v>
      </c>
      <c r="DP144" s="92">
        <f>IF(AO144="",0,VLOOKUP(C144,Tables!$B$3:$M$36,11,FALSE())*Y$1)</f>
        <v>0</v>
      </c>
      <c r="DQ144" s="92">
        <f>IF(AP144="",0,VLOOKUP(D144,Tables!$B$3:$M$36,11,FALSE())*Z$1)</f>
        <v>0.4</v>
      </c>
      <c r="DR144" s="91">
        <f>IF(AQ144="",0,VLOOKUP(E144,Tables!$B$3:$M$36,11,FALSE())*AA$1)</f>
        <v>0</v>
      </c>
      <c r="DS144" s="92">
        <f>IF(AR144="",0,VLOOKUP(F144,Tables!$B$3:$M$36,11,FALSE())*AB$1)</f>
        <v>0</v>
      </c>
      <c r="DT144" s="92">
        <f>IF(AS144="",0,VLOOKUP(G144,Tables!$B$3:$M$36,11,FALSE())*AC$1)</f>
        <v>0</v>
      </c>
      <c r="DU144" s="92">
        <f>IF(AT144="",0,VLOOKUP(H144,Tables!$B$3:$M$36,11,FALSE())*AD$1)</f>
        <v>0</v>
      </c>
      <c r="DV144" s="92">
        <f>IF(AU144="",0,VLOOKUP(I144,Tables!$B$3:$M$36,11,FALSE())*AE$1)</f>
        <v>0</v>
      </c>
      <c r="DW144" s="91">
        <f>IF(AV144="",0,VLOOKUP(J144,Tables!$B$3:$M$36,11,FALSE())*AF$1)</f>
        <v>0</v>
      </c>
      <c r="DX144" s="92">
        <f>IF(AW144="",0,VLOOKUP(K144,Tables!$B$3:$M$36,11,FALSE())*AG$1)</f>
        <v>0</v>
      </c>
      <c r="DY144" s="92">
        <f>IF(AX144="",0,VLOOKUP(L144,Tables!$B$3:$M$36,11,FALSE())*AH$1)</f>
        <v>0</v>
      </c>
      <c r="DZ144" s="91">
        <f>IF(AY144="",0,VLOOKUP(M144,Tables!$B$3:$M$36,11,FALSE())*AI$1)</f>
        <v>0</v>
      </c>
      <c r="EA144" s="92">
        <f>IF(AZ144="",0,VLOOKUP(N144,Tables!$B$3:$M$36,11,FALSE())*AJ$1)</f>
        <v>0</v>
      </c>
      <c r="EB144" s="92">
        <f>IF(BA144="",0,VLOOKUP(O144,Tables!$B$3:$M$36,11,FALSE())*AK$1)</f>
        <v>0</v>
      </c>
      <c r="EC144" s="93">
        <f>IF(BB144="",0,VLOOKUP(P144,Tables!$B$3:$M$36,11,FALSE())*AL$1)</f>
        <v>0</v>
      </c>
      <c r="ED144" s="91">
        <f>IF(AN144="",0,VLOOKUP(B144,Tables!$B$3:$M$36,12,FALSE())*X$1)</f>
        <v>19.2</v>
      </c>
      <c r="EE144" s="92">
        <f>IF(AO144="",0,VLOOKUP(C144,Tables!$B$3:$M$36,12,FALSE())*Y$1)</f>
        <v>0</v>
      </c>
      <c r="EF144" s="92">
        <f>IF(AP144="",0,VLOOKUP(D144,Tables!$B$3:$M$36,12,FALSE())*Z$1)</f>
        <v>9.6</v>
      </c>
      <c r="EG144" s="91">
        <f>IF(AQ144="",0,VLOOKUP(E144,Tables!$B$3:$M$36,12,FALSE())*AA$1)</f>
        <v>0</v>
      </c>
      <c r="EH144" s="92">
        <f>IF(AR144="",0,VLOOKUP(F144,Tables!$B$3:$M$36,12,FALSE())*AB$1)</f>
        <v>0</v>
      </c>
      <c r="EI144" s="92">
        <f>IF(AS144="",0,VLOOKUP(G144,Tables!$B$3:$M$36,12,FALSE())*AC$1)</f>
        <v>0</v>
      </c>
      <c r="EJ144" s="92">
        <f>IF(AT144="",0,VLOOKUP(H144,Tables!$B$3:$M$36,12,FALSE())*AD$1)</f>
        <v>0</v>
      </c>
      <c r="EK144" s="92">
        <f>IF(AU144="",0,VLOOKUP(I144,Tables!$B$3:$M$36,12,FALSE())*AE$1)</f>
        <v>0</v>
      </c>
      <c r="EL144" s="91">
        <f>IF(AV144="",0,VLOOKUP(J144,Tables!$B$3:$M$36,12,FALSE())*AF$1)</f>
        <v>0</v>
      </c>
      <c r="EM144" s="92">
        <f>IF(AW144="",0,VLOOKUP(K144,Tables!$B$3:$M$36,12,FALSE())*AG$1)</f>
        <v>0</v>
      </c>
      <c r="EN144" s="92">
        <f>IF(AX144="",0,VLOOKUP(L144,Tables!$B$3:$M$36,12,FALSE())*AH$1)</f>
        <v>0</v>
      </c>
      <c r="EO144" s="91">
        <f>IF(AY144="",0,VLOOKUP(M144,Tables!$B$3:$M$36,12,FALSE())*AI$1)</f>
        <v>0</v>
      </c>
      <c r="EP144" s="92">
        <f>IF(AZ144="",0,VLOOKUP(N144,Tables!$B$3:$M$36,12,FALSE())*AJ$1)</f>
        <v>0</v>
      </c>
      <c r="EQ144" s="92">
        <f>IF(BA144="",0,VLOOKUP(O144,Tables!$B$3:$M$36,12,FALSE())*AK$1)</f>
        <v>0</v>
      </c>
      <c r="ER144" s="93">
        <f>IF(BB144="",0,VLOOKUP(P144,Tables!$B$3:$M$36,12,FALSE())*AL$1)</f>
        <v>0</v>
      </c>
      <c r="ES144" s="94">
        <f t="shared" si="167"/>
        <v>0</v>
      </c>
      <c r="ET144" s="95">
        <f>IF(AN144="",10,MIN(VLOOKUP(B144,MATERIAL,13,FALSE()),'Item Builder'!$W144))</f>
        <v>0</v>
      </c>
      <c r="EU144" s="95">
        <f>IF(AO144="",10,MIN(VLOOKUP(C144,MATERIAL,13,FALSE()),'Item Builder'!$W144))</f>
        <v>10</v>
      </c>
      <c r="EV144" s="95">
        <f>IF(AP144="",10,MIN(VLOOKUP(D144,MATERIAL,13,FALSE()),'Item Builder'!$W144))</f>
        <v>0</v>
      </c>
      <c r="EW144" s="95">
        <f>IF(AQ144="",10,MIN(VLOOKUP(E144,MATERIAL,13,FALSE()),'Item Builder'!$W144))</f>
        <v>10</v>
      </c>
      <c r="EX144" s="95">
        <f>IF(AR144="",10,MIN(VLOOKUP(F144,MATERIAL,13,FALSE()),'Item Builder'!$W144))</f>
        <v>10</v>
      </c>
      <c r="EY144" s="95">
        <f>IF(AS144="",10,MIN(VLOOKUP(G144,MATERIAL,13,FALSE()),'Item Builder'!$W144))</f>
        <v>10</v>
      </c>
      <c r="EZ144" s="95">
        <f>IF(AT144="",10,MIN(VLOOKUP(H144,MATERIAL,13,FALSE()),'Item Builder'!$W144))</f>
        <v>10</v>
      </c>
      <c r="FA144" s="95">
        <f>IF(AU144="",10,MIN(VLOOKUP(I144,MATERIAL,13,FALSE()),'Item Builder'!$W144))</f>
        <v>10</v>
      </c>
      <c r="FB144" s="95">
        <f>IF(AV144="",10,MIN(VLOOKUP(J144,MATERIAL,13,FALSE()),'Item Builder'!$W144))</f>
        <v>10</v>
      </c>
      <c r="FC144" s="95">
        <f>IF(AW144="",10,MIN(VLOOKUP(K144,MATERIAL,13,FALSE()),'Item Builder'!$W144))</f>
        <v>10</v>
      </c>
      <c r="FD144" s="95">
        <f>IF(AX144="",10,MIN(VLOOKUP(L144,MATERIAL,13,FALSE()),'Item Builder'!$W144))</f>
        <v>10</v>
      </c>
      <c r="FE144" s="95">
        <f>IF(AY144="",10,MIN(VLOOKUP(M144,MATERIAL,13,FALSE()),'Item Builder'!$W144))</f>
        <v>10</v>
      </c>
      <c r="FF144" s="95">
        <f>IF(AZ144="",10,MIN(VLOOKUP(N144,MATERIAL,13,FALSE()),'Item Builder'!$W144))</f>
        <v>10</v>
      </c>
      <c r="FG144" s="95">
        <f>IF(BA144="",10,MIN(VLOOKUP(O144,MATERIAL,13,FALSE()),'Item Builder'!$W144))</f>
        <v>10</v>
      </c>
      <c r="FH144" s="95">
        <f>IF(BB144="",10,MIN(VLOOKUP(P144,MATERIAL,13,FALSE()),'Item Builder'!$W144))</f>
        <v>10</v>
      </c>
    </row>
    <row r="145" spans="1:164" x14ac:dyDescent="0.25">
      <c r="A145" s="67" t="s">
        <v>285</v>
      </c>
      <c r="B145" s="68"/>
      <c r="C145" s="69"/>
      <c r="D145" s="70"/>
      <c r="E145" s="68" t="s">
        <v>168</v>
      </c>
      <c r="F145" s="69" t="s">
        <v>168</v>
      </c>
      <c r="G145" s="69"/>
      <c r="H145" s="69"/>
      <c r="I145" s="70"/>
      <c r="J145" s="68" t="s">
        <v>168</v>
      </c>
      <c r="K145" s="69"/>
      <c r="L145" s="70"/>
      <c r="M145" s="68"/>
      <c r="N145" s="69"/>
      <c r="O145" s="69"/>
      <c r="P145" s="71"/>
      <c r="Q145" s="72">
        <f>SUM(BV145:CJ145)*VLOOKUP(W145,Tables!$W$3:$Z$8,4)</f>
        <v>126</v>
      </c>
      <c r="R145" s="73">
        <f t="shared" si="112"/>
        <v>1.26</v>
      </c>
      <c r="S145" s="74">
        <f t="shared" si="113"/>
        <v>0</v>
      </c>
      <c r="T145" s="74">
        <f t="shared" si="114"/>
        <v>0</v>
      </c>
      <c r="U145" s="75">
        <f t="shared" si="115"/>
        <v>4.1999999999999993</v>
      </c>
      <c r="V145" s="76">
        <f t="shared" si="116"/>
        <v>100.79999999999998</v>
      </c>
      <c r="W145" s="77">
        <v>0</v>
      </c>
      <c r="X145" s="78">
        <f t="shared" si="117"/>
        <v>0</v>
      </c>
      <c r="Y145" s="79">
        <f t="shared" si="118"/>
        <v>0</v>
      </c>
      <c r="Z145" s="79">
        <f t="shared" si="119"/>
        <v>0</v>
      </c>
      <c r="AA145" s="78">
        <f t="shared" si="120"/>
        <v>1</v>
      </c>
      <c r="AB145" s="79">
        <f t="shared" si="121"/>
        <v>1</v>
      </c>
      <c r="AC145" s="79">
        <f t="shared" si="122"/>
        <v>0</v>
      </c>
      <c r="AD145" s="79">
        <f t="shared" si="123"/>
        <v>0</v>
      </c>
      <c r="AE145" s="79">
        <f t="shared" si="124"/>
        <v>0</v>
      </c>
      <c r="AF145" s="78">
        <f t="shared" si="125"/>
        <v>1</v>
      </c>
      <c r="AG145" s="79">
        <f t="shared" si="126"/>
        <v>0</v>
      </c>
      <c r="AH145" s="79">
        <f t="shared" si="127"/>
        <v>0</v>
      </c>
      <c r="AI145" s="78">
        <f t="shared" si="128"/>
        <v>0</v>
      </c>
      <c r="AJ145" s="79">
        <f t="shared" si="129"/>
        <v>0</v>
      </c>
      <c r="AK145" s="79">
        <f t="shared" si="130"/>
        <v>0</v>
      </c>
      <c r="AL145" s="80">
        <f t="shared" si="131"/>
        <v>0</v>
      </c>
      <c r="AM145" s="81">
        <f t="shared" si="132"/>
        <v>0.21</v>
      </c>
      <c r="AN145" s="82" t="str">
        <f t="shared" si="133"/>
        <v/>
      </c>
      <c r="AO145" s="79" t="str">
        <f t="shared" si="134"/>
        <v/>
      </c>
      <c r="AP145" t="str">
        <f t="shared" si="135"/>
        <v/>
      </c>
      <c r="AQ145" s="82" t="str">
        <f t="shared" si="136"/>
        <v>C</v>
      </c>
      <c r="AR145" t="str">
        <f t="shared" si="137"/>
        <v>C</v>
      </c>
      <c r="AS145" t="str">
        <f t="shared" si="138"/>
        <v/>
      </c>
      <c r="AT145" t="str">
        <f t="shared" si="139"/>
        <v/>
      </c>
      <c r="AU145" t="str">
        <f t="shared" si="140"/>
        <v/>
      </c>
      <c r="AV145" s="82" t="str">
        <f t="shared" si="141"/>
        <v>C</v>
      </c>
      <c r="AW145" t="str">
        <f t="shared" si="142"/>
        <v/>
      </c>
      <c r="AX145" t="str">
        <f t="shared" si="143"/>
        <v/>
      </c>
      <c r="AY145" s="82" t="str">
        <f t="shared" si="144"/>
        <v/>
      </c>
      <c r="AZ145" t="str">
        <f t="shared" si="145"/>
        <v/>
      </c>
      <c r="BA145" t="str">
        <f t="shared" si="146"/>
        <v/>
      </c>
      <c r="BB145" s="83" t="str">
        <f t="shared" si="147"/>
        <v/>
      </c>
      <c r="BC145" s="84">
        <f t="shared" si="148"/>
        <v>0</v>
      </c>
      <c r="BD145" s="84">
        <f t="shared" si="149"/>
        <v>0.42857142857142849</v>
      </c>
      <c r="BE145" s="84">
        <f t="shared" si="150"/>
        <v>0.35294117647058826</v>
      </c>
      <c r="BF145" s="84">
        <f t="shared" si="151"/>
        <v>0</v>
      </c>
      <c r="BG145" s="78">
        <f>IF(AN145="",0,VLOOKUP(AN145,Tables!$AB$3:$AC$12,2))</f>
        <v>0</v>
      </c>
      <c r="BH145" s="79">
        <f>IF(AO145="",0,VLOOKUP(AO145,Tables!$AB$3:$AC$12,2))</f>
        <v>0</v>
      </c>
      <c r="BI145" s="79">
        <f>IF(AP145="",0,VLOOKUP(AP145,Tables!$AB$3:$AC$12,2))</f>
        <v>0</v>
      </c>
      <c r="BJ145" s="78">
        <f>IF(AQ145="",0,VLOOKUP(AQ145,Tables!$AB$3:$AC$12,2))</f>
        <v>1</v>
      </c>
      <c r="BK145" s="79">
        <f>IF(AR145="",0,VLOOKUP(AR145,Tables!$AB$3:$AC$12,2))</f>
        <v>1</v>
      </c>
      <c r="BL145" s="79">
        <f>IF(AS145="",0,VLOOKUP(AS145,Tables!$AB$3:$AC$12,2))</f>
        <v>0</v>
      </c>
      <c r="BM145" s="79">
        <f>IF(AT145="",0,VLOOKUP(AT145,Tables!$AB$3:$AC$12,2))</f>
        <v>0</v>
      </c>
      <c r="BN145" s="79">
        <f>IF(AU145="",0,VLOOKUP(AU145,Tables!$AB$3:$AC$12,2))</f>
        <v>0</v>
      </c>
      <c r="BO145" s="78">
        <f>IF(AV145="",0,VLOOKUP(AV145,Tables!$AB$3:$AC$12,2))</f>
        <v>1</v>
      </c>
      <c r="BP145" s="79">
        <f>IF(AW145="",0,VLOOKUP(AW145,Tables!$AB$3:$AC$12,2))</f>
        <v>0</v>
      </c>
      <c r="BQ145" s="79">
        <f>IF(AX145="",0,VLOOKUP(AX145,Tables!$AB$3:$AC$12,2))</f>
        <v>0</v>
      </c>
      <c r="BR145" s="78">
        <f>IF(AY145="",0,VLOOKUP(AY145,Tables!$AB$3:$AC$12,2))</f>
        <v>0</v>
      </c>
      <c r="BS145" s="79">
        <f>IF(AZ145="",0,VLOOKUP(AZ145,Tables!$AB$3:$AC$12,2))</f>
        <v>0</v>
      </c>
      <c r="BT145" s="79">
        <f>IF(BA145="",0,VLOOKUP(BA145,Tables!$AB$3:$AC$12,2))</f>
        <v>0</v>
      </c>
      <c r="BU145" s="80">
        <f>IF(BB145="",0,VLOOKUP(BB145,Tables!$AB$3:$AC$12,2))</f>
        <v>0</v>
      </c>
      <c r="BV145" s="85">
        <f>IF(AN145="",0,VLOOKUP(B145,Tables!$B$3:$D$36,2,FALSE())*X$1)</f>
        <v>0</v>
      </c>
      <c r="BW145" s="72">
        <f>IF(AO145="",0,VLOOKUP(C145,Tables!$B$3:$D$36,2,FALSE())*Y$1)</f>
        <v>0</v>
      </c>
      <c r="BX145" s="72">
        <f>IF(AP145="",0,VLOOKUP(D145,Tables!$B$3:$D$36,2,FALSE())*Z$1)</f>
        <v>0</v>
      </c>
      <c r="BY145" s="85">
        <f>IF(AQ145="",0,VLOOKUP(E145,Tables!$B$3:$D$36,2,FALSE())*AA$1)</f>
        <v>18</v>
      </c>
      <c r="BZ145" s="72">
        <f>IF(AR145="",0,VLOOKUP(F145,Tables!$B$3:$D$36,2,FALSE())*AB$1)</f>
        <v>36</v>
      </c>
      <c r="CA145" s="72">
        <f>IF(AS145="",0,VLOOKUP(G145,Tables!$B$3:$D$36,2,FALSE())*AC$1)</f>
        <v>0</v>
      </c>
      <c r="CB145" s="72">
        <f>IF(AT145="",0,VLOOKUP(H145,Tables!$B$3:$D$36,2,FALSE())*AD$1)</f>
        <v>0</v>
      </c>
      <c r="CC145" s="72">
        <f>IF(AU145="",0,VLOOKUP(I145,Tables!$B$3:$D$36,2,FALSE())*AE$1)</f>
        <v>0</v>
      </c>
      <c r="CD145" s="85">
        <f>IF(AV145="",0,VLOOKUP(J145,Tables!$B$3:$D$36,2,FALSE())*AF$1)</f>
        <v>72</v>
      </c>
      <c r="CE145" s="72">
        <f>IF(AW145="",0,VLOOKUP(K145,Tables!$B$3:$D$36,2,FALSE())*AG$1)</f>
        <v>0</v>
      </c>
      <c r="CF145" s="72">
        <f>IF(AX145="",0,VLOOKUP(L145,Tables!$B$3:$D$36,2,FALSE())*AH$1)</f>
        <v>0</v>
      </c>
      <c r="CG145" s="85">
        <f>IF(AY145="",0,VLOOKUP(M145,Tables!$B$3:$D$36,2,FALSE())*AI$1)</f>
        <v>0</v>
      </c>
      <c r="CH145" s="72">
        <f>IF(AZ145="",0,VLOOKUP(N145,Tables!$B$3:$D$36,2,FALSE())*AJ$1)</f>
        <v>0</v>
      </c>
      <c r="CI145" s="72">
        <f>IF(BA145="",0,VLOOKUP(O145,Tables!$B$3:$D$36,2,FALSE())*AK$1)</f>
        <v>0</v>
      </c>
      <c r="CJ145" s="86">
        <f>IF(BB145="",0,VLOOKUP(P145,Tables!$B$3:$D$36,2,FALSE())*AL$1)</f>
        <v>0</v>
      </c>
      <c r="CK145" s="87">
        <f>IF(AN145="",0,VLOOKUP(B145,Tables!$B$3:$D$36,3,FALSE())*X$1)*IF(OR(AN145="K",AN145="P"),2,1)</f>
        <v>0</v>
      </c>
      <c r="CL145" s="73">
        <f>IF(AO145="",0,VLOOKUP(C145,Tables!$B$3:$D$36,3,FALSE())*Y$1)*IF(OR(AO145="K",AO145="P"),2,1)</f>
        <v>0</v>
      </c>
      <c r="CM145" s="73">
        <f>IF(AP145="",0,VLOOKUP(D145,Tables!$B$3:$D$36,3,FALSE())*Z$1)*IF(OR(AP145="K",AP145="P"),2,1)</f>
        <v>0</v>
      </c>
      <c r="CN145" s="87">
        <f>IF(AQ145="",0,VLOOKUP(E145,Tables!$B$3:$D$36,3,FALSE())*AA$1)</f>
        <v>0.18</v>
      </c>
      <c r="CO145" s="73">
        <f>IF(AR145="",0,VLOOKUP(F145,Tables!$B$3:$D$36,3,FALSE())*AB$1)</f>
        <v>0.36</v>
      </c>
      <c r="CP145" s="73">
        <f>IF(AS145="",0,VLOOKUP(G145,Tables!$B$3:$D$36,3,FALSE())*AC$1)</f>
        <v>0</v>
      </c>
      <c r="CQ145" s="73">
        <f>IF(AT145="",0,VLOOKUP(H145,Tables!$B$3:$D$36,3,FALSE())*AD$1)</f>
        <v>0</v>
      </c>
      <c r="CR145" s="73">
        <f>IF(AU145="",0,VLOOKUP(I145,Tables!$B$3:$D$36,3,FALSE())*AE$1)</f>
        <v>0</v>
      </c>
      <c r="CS145" s="87">
        <f>IF(AV145="",0,VLOOKUP(J145,Tables!$B$3:$D$36,3,FALSE())*AF$1)</f>
        <v>0.72</v>
      </c>
      <c r="CT145" s="73">
        <f>IF(AW145="",0,VLOOKUP(K145,Tables!$B$3:$D$36,3,FALSE())*AG$1)</f>
        <v>0</v>
      </c>
      <c r="CU145" s="73">
        <f>IF(AX145="",0,VLOOKUP(L145,Tables!$B$3:$D$36,3,FALSE())*AH$1)</f>
        <v>0</v>
      </c>
      <c r="CV145" s="87">
        <f>IF(AY145="",0,VLOOKUP(M145,Tables!$B$3:$D$36,3,FALSE())*AI$1)</f>
        <v>0</v>
      </c>
      <c r="CW145" s="73">
        <f>IF(AZ145="",0,VLOOKUP(N145,Tables!$B$3:$D$36,3,FALSE())*AJ$1)</f>
        <v>0</v>
      </c>
      <c r="CX145" s="73">
        <f>IF(BA145="",0,VLOOKUP(O145,Tables!$B$3:$D$36,3,FALSE())*AK$1)</f>
        <v>0</v>
      </c>
      <c r="CY145" s="88">
        <f>IF(BB145="",0,VLOOKUP(P145,Tables!$B$3:$D$36,3,FALSE())*AL$1)</f>
        <v>0</v>
      </c>
      <c r="CZ145" s="89">
        <f t="shared" si="152"/>
        <v>0</v>
      </c>
      <c r="DA145" s="75">
        <f t="shared" si="153"/>
        <v>0</v>
      </c>
      <c r="DB145" s="75">
        <f t="shared" si="154"/>
        <v>0</v>
      </c>
      <c r="DC145" s="89">
        <f t="shared" si="155"/>
        <v>1</v>
      </c>
      <c r="DD145" s="75">
        <f t="shared" si="156"/>
        <v>1</v>
      </c>
      <c r="DE145" s="75">
        <f t="shared" si="157"/>
        <v>0</v>
      </c>
      <c r="DF145" s="75">
        <f t="shared" si="158"/>
        <v>0</v>
      </c>
      <c r="DG145" s="75">
        <f t="shared" si="159"/>
        <v>0</v>
      </c>
      <c r="DH145" s="89">
        <f t="shared" si="160"/>
        <v>1</v>
      </c>
      <c r="DI145" s="75">
        <f t="shared" si="161"/>
        <v>0</v>
      </c>
      <c r="DJ145" s="75">
        <f t="shared" si="162"/>
        <v>0</v>
      </c>
      <c r="DK145" s="89">
        <f t="shared" si="163"/>
        <v>0</v>
      </c>
      <c r="DL145" s="75">
        <f t="shared" si="164"/>
        <v>0</v>
      </c>
      <c r="DM145" s="75">
        <f t="shared" si="165"/>
        <v>0</v>
      </c>
      <c r="DN145" s="90">
        <f t="shared" si="166"/>
        <v>0</v>
      </c>
      <c r="DO145" s="91">
        <f>IF(AN145="",0,VLOOKUP(B145,Tables!$B$3:$M$36,11,FALSE())*X$1)</f>
        <v>0</v>
      </c>
      <c r="DP145" s="92">
        <f>IF(AO145="",0,VLOOKUP(C145,Tables!$B$3:$M$36,11,FALSE())*Y$1)</f>
        <v>0</v>
      </c>
      <c r="DQ145" s="92">
        <f>IF(AP145="",0,VLOOKUP(D145,Tables!$B$3:$M$36,11,FALSE())*Z$1)</f>
        <v>0</v>
      </c>
      <c r="DR145" s="91">
        <f>IF(AQ145="",0,VLOOKUP(E145,Tables!$B$3:$M$36,11,FALSE())*AA$1)</f>
        <v>0.6</v>
      </c>
      <c r="DS145" s="92">
        <f>IF(AR145="",0,VLOOKUP(F145,Tables!$B$3:$M$36,11,FALSE())*AB$1)</f>
        <v>1.2</v>
      </c>
      <c r="DT145" s="92">
        <f>IF(AS145="",0,VLOOKUP(G145,Tables!$B$3:$M$36,11,FALSE())*AC$1)</f>
        <v>0</v>
      </c>
      <c r="DU145" s="92">
        <f>IF(AT145="",0,VLOOKUP(H145,Tables!$B$3:$M$36,11,FALSE())*AD$1)</f>
        <v>0</v>
      </c>
      <c r="DV145" s="92">
        <f>IF(AU145="",0,VLOOKUP(I145,Tables!$B$3:$M$36,11,FALSE())*AE$1)</f>
        <v>0</v>
      </c>
      <c r="DW145" s="91">
        <f>IF(AV145="",0,VLOOKUP(J145,Tables!$B$3:$M$36,11,FALSE())*AF$1)</f>
        <v>2.4</v>
      </c>
      <c r="DX145" s="92">
        <f>IF(AW145="",0,VLOOKUP(K145,Tables!$B$3:$M$36,11,FALSE())*AG$1)</f>
        <v>0</v>
      </c>
      <c r="DY145" s="92">
        <f>IF(AX145="",0,VLOOKUP(L145,Tables!$B$3:$M$36,11,FALSE())*AH$1)</f>
        <v>0</v>
      </c>
      <c r="DZ145" s="91">
        <f>IF(AY145="",0,VLOOKUP(M145,Tables!$B$3:$M$36,11,FALSE())*AI$1)</f>
        <v>0</v>
      </c>
      <c r="EA145" s="92">
        <f>IF(AZ145="",0,VLOOKUP(N145,Tables!$B$3:$M$36,11,FALSE())*AJ$1)</f>
        <v>0</v>
      </c>
      <c r="EB145" s="92">
        <f>IF(BA145="",0,VLOOKUP(O145,Tables!$B$3:$M$36,11,FALSE())*AK$1)</f>
        <v>0</v>
      </c>
      <c r="EC145" s="93">
        <f>IF(BB145="",0,VLOOKUP(P145,Tables!$B$3:$M$36,11,FALSE())*AL$1)</f>
        <v>0</v>
      </c>
      <c r="ED145" s="91">
        <f>IF(AN145="",0,VLOOKUP(B145,Tables!$B$3:$M$36,12,FALSE())*X$1)</f>
        <v>0</v>
      </c>
      <c r="EE145" s="92">
        <f>IF(AO145="",0,VLOOKUP(C145,Tables!$B$3:$M$36,12,FALSE())*Y$1)</f>
        <v>0</v>
      </c>
      <c r="EF145" s="92">
        <f>IF(AP145="",0,VLOOKUP(D145,Tables!$B$3:$M$36,12,FALSE())*Z$1)</f>
        <v>0</v>
      </c>
      <c r="EG145" s="91">
        <f>IF(AQ145="",0,VLOOKUP(E145,Tables!$B$3:$M$36,12,FALSE())*AA$1)</f>
        <v>14.399999999999999</v>
      </c>
      <c r="EH145" s="92">
        <f>IF(AR145="",0,VLOOKUP(F145,Tables!$B$3:$M$36,12,FALSE())*AB$1)</f>
        <v>28.799999999999997</v>
      </c>
      <c r="EI145" s="92">
        <f>IF(AS145="",0,VLOOKUP(G145,Tables!$B$3:$M$36,12,FALSE())*AC$1)</f>
        <v>0</v>
      </c>
      <c r="EJ145" s="92">
        <f>IF(AT145="",0,VLOOKUP(H145,Tables!$B$3:$M$36,12,FALSE())*AD$1)</f>
        <v>0</v>
      </c>
      <c r="EK145" s="92">
        <f>IF(AU145="",0,VLOOKUP(I145,Tables!$B$3:$M$36,12,FALSE())*AE$1)</f>
        <v>0</v>
      </c>
      <c r="EL145" s="91">
        <f>IF(AV145="",0,VLOOKUP(J145,Tables!$B$3:$M$36,12,FALSE())*AF$1)</f>
        <v>57.599999999999994</v>
      </c>
      <c r="EM145" s="92">
        <f>IF(AW145="",0,VLOOKUP(K145,Tables!$B$3:$M$36,12,FALSE())*AG$1)</f>
        <v>0</v>
      </c>
      <c r="EN145" s="92">
        <f>IF(AX145="",0,VLOOKUP(L145,Tables!$B$3:$M$36,12,FALSE())*AH$1)</f>
        <v>0</v>
      </c>
      <c r="EO145" s="91">
        <f>IF(AY145="",0,VLOOKUP(M145,Tables!$B$3:$M$36,12,FALSE())*AI$1)</f>
        <v>0</v>
      </c>
      <c r="EP145" s="92">
        <f>IF(AZ145="",0,VLOOKUP(N145,Tables!$B$3:$M$36,12,FALSE())*AJ$1)</f>
        <v>0</v>
      </c>
      <c r="EQ145" s="92">
        <f>IF(BA145="",0,VLOOKUP(O145,Tables!$B$3:$M$36,12,FALSE())*AK$1)</f>
        <v>0</v>
      </c>
      <c r="ER145" s="93">
        <f>IF(BB145="",0,VLOOKUP(P145,Tables!$B$3:$M$36,12,FALSE())*AL$1)</f>
        <v>0</v>
      </c>
      <c r="ES145" s="94">
        <f t="shared" si="167"/>
        <v>0</v>
      </c>
      <c r="ET145" s="95">
        <f>IF(AN145="",10,MIN(VLOOKUP(B145,MATERIAL,13,FALSE()),'Item Builder'!$W145))</f>
        <v>10</v>
      </c>
      <c r="EU145" s="95">
        <f>IF(AO145="",10,MIN(VLOOKUP(C145,MATERIAL,13,FALSE()),'Item Builder'!$W145))</f>
        <v>10</v>
      </c>
      <c r="EV145" s="95">
        <f>IF(AP145="",10,MIN(VLOOKUP(D145,MATERIAL,13,FALSE()),'Item Builder'!$W145))</f>
        <v>10</v>
      </c>
      <c r="EW145" s="95">
        <f>IF(AQ145="",10,MIN(VLOOKUP(E145,MATERIAL,13,FALSE()),'Item Builder'!$W145))</f>
        <v>0</v>
      </c>
      <c r="EX145" s="95">
        <f>IF(AR145="",10,MIN(VLOOKUP(F145,MATERIAL,13,FALSE()),'Item Builder'!$W145))</f>
        <v>0</v>
      </c>
      <c r="EY145" s="95">
        <f>IF(AS145="",10,MIN(VLOOKUP(G145,MATERIAL,13,FALSE()),'Item Builder'!$W145))</f>
        <v>10</v>
      </c>
      <c r="EZ145" s="95">
        <f>IF(AT145="",10,MIN(VLOOKUP(H145,MATERIAL,13,FALSE()),'Item Builder'!$W145))</f>
        <v>10</v>
      </c>
      <c r="FA145" s="95">
        <f>IF(AU145="",10,MIN(VLOOKUP(I145,MATERIAL,13,FALSE()),'Item Builder'!$W145))</f>
        <v>10</v>
      </c>
      <c r="FB145" s="95">
        <f>IF(AV145="",10,MIN(VLOOKUP(J145,MATERIAL,13,FALSE()),'Item Builder'!$W145))</f>
        <v>0</v>
      </c>
      <c r="FC145" s="95">
        <f>IF(AW145="",10,MIN(VLOOKUP(K145,MATERIAL,13,FALSE()),'Item Builder'!$W145))</f>
        <v>10</v>
      </c>
      <c r="FD145" s="95">
        <f>IF(AX145="",10,MIN(VLOOKUP(L145,MATERIAL,13,FALSE()),'Item Builder'!$W145))</f>
        <v>10</v>
      </c>
      <c r="FE145" s="95">
        <f>IF(AY145="",10,MIN(VLOOKUP(M145,MATERIAL,13,FALSE()),'Item Builder'!$W145))</f>
        <v>10</v>
      </c>
      <c r="FF145" s="95">
        <f>IF(AZ145="",10,MIN(VLOOKUP(N145,MATERIAL,13,FALSE()),'Item Builder'!$W145))</f>
        <v>10</v>
      </c>
      <c r="FG145" s="95">
        <f>IF(BA145="",10,MIN(VLOOKUP(O145,MATERIAL,13,FALSE()),'Item Builder'!$W145))</f>
        <v>10</v>
      </c>
      <c r="FH145" s="95">
        <f>IF(BB145="",10,MIN(VLOOKUP(P145,MATERIAL,13,FALSE()),'Item Builder'!$W145))</f>
        <v>10</v>
      </c>
    </row>
    <row r="146" spans="1:164" x14ac:dyDescent="0.25">
      <c r="A146" s="67" t="s">
        <v>286</v>
      </c>
      <c r="B146" s="68"/>
      <c r="C146" s="69"/>
      <c r="D146" s="70"/>
      <c r="E146" s="68"/>
      <c r="F146" s="69"/>
      <c r="G146" s="69"/>
      <c r="H146" s="69"/>
      <c r="I146" s="70" t="s">
        <v>168</v>
      </c>
      <c r="J146" s="68"/>
      <c r="K146" s="69"/>
      <c r="L146" s="70"/>
      <c r="M146" s="68"/>
      <c r="N146" s="69"/>
      <c r="O146" s="69"/>
      <c r="P146" s="71"/>
      <c r="Q146" s="72">
        <f>SUM(BV146:CJ146)*VLOOKUP(W146,Tables!$W$3:$Z$8,4)</f>
        <v>30</v>
      </c>
      <c r="R146" s="73">
        <f t="shared" si="112"/>
        <v>0.30000000000000004</v>
      </c>
      <c r="S146" s="74">
        <f t="shared" si="113"/>
        <v>0</v>
      </c>
      <c r="T146" s="74">
        <f t="shared" si="114"/>
        <v>0</v>
      </c>
      <c r="U146" s="75">
        <f t="shared" si="115"/>
        <v>1</v>
      </c>
      <c r="V146" s="76">
        <f t="shared" si="116"/>
        <v>24</v>
      </c>
      <c r="W146" s="77">
        <v>0</v>
      </c>
      <c r="X146" s="78">
        <f t="shared" si="117"/>
        <v>0</v>
      </c>
      <c r="Y146" s="79">
        <f t="shared" si="118"/>
        <v>0</v>
      </c>
      <c r="Z146" s="79">
        <f t="shared" si="119"/>
        <v>0</v>
      </c>
      <c r="AA146" s="78">
        <f t="shared" si="120"/>
        <v>0</v>
      </c>
      <c r="AB146" s="79">
        <f t="shared" si="121"/>
        <v>0</v>
      </c>
      <c r="AC146" s="79">
        <f t="shared" si="122"/>
        <v>0</v>
      </c>
      <c r="AD146" s="79">
        <f t="shared" si="123"/>
        <v>0</v>
      </c>
      <c r="AE146" s="79">
        <f t="shared" si="124"/>
        <v>1</v>
      </c>
      <c r="AF146" s="78">
        <f t="shared" si="125"/>
        <v>0</v>
      </c>
      <c r="AG146" s="79">
        <f t="shared" si="126"/>
        <v>0</v>
      </c>
      <c r="AH146" s="79">
        <f t="shared" si="127"/>
        <v>0</v>
      </c>
      <c r="AI146" s="78">
        <f t="shared" si="128"/>
        <v>0</v>
      </c>
      <c r="AJ146" s="79">
        <f t="shared" si="129"/>
        <v>0</v>
      </c>
      <c r="AK146" s="79">
        <f t="shared" si="130"/>
        <v>0</v>
      </c>
      <c r="AL146" s="80">
        <f t="shared" si="131"/>
        <v>0</v>
      </c>
      <c r="AM146" s="81">
        <f t="shared" si="132"/>
        <v>0.05</v>
      </c>
      <c r="AN146" s="82" t="str">
        <f t="shared" si="133"/>
        <v/>
      </c>
      <c r="AO146" s="79" t="str">
        <f t="shared" si="134"/>
        <v/>
      </c>
      <c r="AP146" t="str">
        <f t="shared" si="135"/>
        <v/>
      </c>
      <c r="AQ146" s="82" t="str">
        <f t="shared" si="136"/>
        <v/>
      </c>
      <c r="AR146" t="str">
        <f t="shared" si="137"/>
        <v/>
      </c>
      <c r="AS146" t="str">
        <f t="shared" si="138"/>
        <v/>
      </c>
      <c r="AT146" t="str">
        <f t="shared" si="139"/>
        <v/>
      </c>
      <c r="AU146" t="str">
        <f t="shared" si="140"/>
        <v>C</v>
      </c>
      <c r="AV146" s="82" t="str">
        <f t="shared" si="141"/>
        <v/>
      </c>
      <c r="AW146" t="str">
        <f t="shared" si="142"/>
        <v/>
      </c>
      <c r="AX146" t="str">
        <f t="shared" si="143"/>
        <v/>
      </c>
      <c r="AY146" s="82" t="str">
        <f t="shared" si="144"/>
        <v/>
      </c>
      <c r="AZ146" t="str">
        <f t="shared" si="145"/>
        <v/>
      </c>
      <c r="BA146" t="str">
        <f t="shared" si="146"/>
        <v/>
      </c>
      <c r="BB146" s="83" t="str">
        <f t="shared" si="147"/>
        <v/>
      </c>
      <c r="BC146" s="84">
        <f t="shared" si="148"/>
        <v>0</v>
      </c>
      <c r="BD146" s="84">
        <f t="shared" si="149"/>
        <v>0.23809523809523808</v>
      </c>
      <c r="BE146" s="84">
        <f t="shared" si="150"/>
        <v>0</v>
      </c>
      <c r="BF146" s="84">
        <f t="shared" si="151"/>
        <v>0</v>
      </c>
      <c r="BG146" s="78">
        <f>IF(AN146="",0,VLOOKUP(AN146,Tables!$AB$3:$AC$12,2))</f>
        <v>0</v>
      </c>
      <c r="BH146" s="79">
        <f>IF(AO146="",0,VLOOKUP(AO146,Tables!$AB$3:$AC$12,2))</f>
        <v>0</v>
      </c>
      <c r="BI146" s="79">
        <f>IF(AP146="",0,VLOOKUP(AP146,Tables!$AB$3:$AC$12,2))</f>
        <v>0</v>
      </c>
      <c r="BJ146" s="78">
        <f>IF(AQ146="",0,VLOOKUP(AQ146,Tables!$AB$3:$AC$12,2))</f>
        <v>0</v>
      </c>
      <c r="BK146" s="79">
        <f>IF(AR146="",0,VLOOKUP(AR146,Tables!$AB$3:$AC$12,2))</f>
        <v>0</v>
      </c>
      <c r="BL146" s="79">
        <f>IF(AS146="",0,VLOOKUP(AS146,Tables!$AB$3:$AC$12,2))</f>
        <v>0</v>
      </c>
      <c r="BM146" s="79">
        <f>IF(AT146="",0,VLOOKUP(AT146,Tables!$AB$3:$AC$12,2))</f>
        <v>0</v>
      </c>
      <c r="BN146" s="79">
        <f>IF(AU146="",0,VLOOKUP(AU146,Tables!$AB$3:$AC$12,2))</f>
        <v>1</v>
      </c>
      <c r="BO146" s="78">
        <f>IF(AV146="",0,VLOOKUP(AV146,Tables!$AB$3:$AC$12,2))</f>
        <v>0</v>
      </c>
      <c r="BP146" s="79">
        <f>IF(AW146="",0,VLOOKUP(AW146,Tables!$AB$3:$AC$12,2))</f>
        <v>0</v>
      </c>
      <c r="BQ146" s="79">
        <f>IF(AX146="",0,VLOOKUP(AX146,Tables!$AB$3:$AC$12,2))</f>
        <v>0</v>
      </c>
      <c r="BR146" s="78">
        <f>IF(AY146="",0,VLOOKUP(AY146,Tables!$AB$3:$AC$12,2))</f>
        <v>0</v>
      </c>
      <c r="BS146" s="79">
        <f>IF(AZ146="",0,VLOOKUP(AZ146,Tables!$AB$3:$AC$12,2))</f>
        <v>0</v>
      </c>
      <c r="BT146" s="79">
        <f>IF(BA146="",0,VLOOKUP(BA146,Tables!$AB$3:$AC$12,2))</f>
        <v>0</v>
      </c>
      <c r="BU146" s="80">
        <f>IF(BB146="",0,VLOOKUP(BB146,Tables!$AB$3:$AC$12,2))</f>
        <v>0</v>
      </c>
      <c r="BV146" s="85">
        <f>IF(AN146="",0,VLOOKUP(B146,Tables!$B$3:$D$36,2,FALSE())*X$1)</f>
        <v>0</v>
      </c>
      <c r="BW146" s="72">
        <f>IF(AO146="",0,VLOOKUP(C146,Tables!$B$3:$D$36,2,FALSE())*Y$1)</f>
        <v>0</v>
      </c>
      <c r="BX146" s="72">
        <f>IF(AP146="",0,VLOOKUP(D146,Tables!$B$3:$D$36,2,FALSE())*Z$1)</f>
        <v>0</v>
      </c>
      <c r="BY146" s="85">
        <f>IF(AQ146="",0,VLOOKUP(E146,Tables!$B$3:$D$36,2,FALSE())*AA$1)</f>
        <v>0</v>
      </c>
      <c r="BZ146" s="72">
        <f>IF(AR146="",0,VLOOKUP(F146,Tables!$B$3:$D$36,2,FALSE())*AB$1)</f>
        <v>0</v>
      </c>
      <c r="CA146" s="72">
        <f>IF(AS146="",0,VLOOKUP(G146,Tables!$B$3:$D$36,2,FALSE())*AC$1)</f>
        <v>0</v>
      </c>
      <c r="CB146" s="72">
        <f>IF(AT146="",0,VLOOKUP(H146,Tables!$B$3:$D$36,2,FALSE())*AD$1)</f>
        <v>0</v>
      </c>
      <c r="CC146" s="72">
        <f>IF(AU146="",0,VLOOKUP(I146,Tables!$B$3:$D$36,2,FALSE())*AE$1)</f>
        <v>30</v>
      </c>
      <c r="CD146" s="85">
        <f>IF(AV146="",0,VLOOKUP(J146,Tables!$B$3:$D$36,2,FALSE())*AF$1)</f>
        <v>0</v>
      </c>
      <c r="CE146" s="72">
        <f>IF(AW146="",0,VLOOKUP(K146,Tables!$B$3:$D$36,2,FALSE())*AG$1)</f>
        <v>0</v>
      </c>
      <c r="CF146" s="72">
        <f>IF(AX146="",0,VLOOKUP(L146,Tables!$B$3:$D$36,2,FALSE())*AH$1)</f>
        <v>0</v>
      </c>
      <c r="CG146" s="85">
        <f>IF(AY146="",0,VLOOKUP(M146,Tables!$B$3:$D$36,2,FALSE())*AI$1)</f>
        <v>0</v>
      </c>
      <c r="CH146" s="72">
        <f>IF(AZ146="",0,VLOOKUP(N146,Tables!$B$3:$D$36,2,FALSE())*AJ$1)</f>
        <v>0</v>
      </c>
      <c r="CI146" s="72">
        <f>IF(BA146="",0,VLOOKUP(O146,Tables!$B$3:$D$36,2,FALSE())*AK$1)</f>
        <v>0</v>
      </c>
      <c r="CJ146" s="86">
        <f>IF(BB146="",0,VLOOKUP(P146,Tables!$B$3:$D$36,2,FALSE())*AL$1)</f>
        <v>0</v>
      </c>
      <c r="CK146" s="87">
        <f>IF(AN146="",0,VLOOKUP(B146,Tables!$B$3:$D$36,3,FALSE())*X$1)*IF(OR(AN146="K",AN146="P"),2,1)</f>
        <v>0</v>
      </c>
      <c r="CL146" s="73">
        <f>IF(AO146="",0,VLOOKUP(C146,Tables!$B$3:$D$36,3,FALSE())*Y$1)*IF(OR(AO146="K",AO146="P"),2,1)</f>
        <v>0</v>
      </c>
      <c r="CM146" s="73">
        <f>IF(AP146="",0,VLOOKUP(D146,Tables!$B$3:$D$36,3,FALSE())*Z$1)*IF(OR(AP146="K",AP146="P"),2,1)</f>
        <v>0</v>
      </c>
      <c r="CN146" s="87">
        <f>IF(AQ146="",0,VLOOKUP(E146,Tables!$B$3:$D$36,3,FALSE())*AA$1)</f>
        <v>0</v>
      </c>
      <c r="CO146" s="73">
        <f>IF(AR146="",0,VLOOKUP(F146,Tables!$B$3:$D$36,3,FALSE())*AB$1)</f>
        <v>0</v>
      </c>
      <c r="CP146" s="73">
        <f>IF(AS146="",0,VLOOKUP(G146,Tables!$B$3:$D$36,3,FALSE())*AC$1)</f>
        <v>0</v>
      </c>
      <c r="CQ146" s="73">
        <f>IF(AT146="",0,VLOOKUP(H146,Tables!$B$3:$D$36,3,FALSE())*AD$1)</f>
        <v>0</v>
      </c>
      <c r="CR146" s="73">
        <f>IF(AU146="",0,VLOOKUP(I146,Tables!$B$3:$D$36,3,FALSE())*AE$1)</f>
        <v>0.30000000000000004</v>
      </c>
      <c r="CS146" s="87">
        <f>IF(AV146="",0,VLOOKUP(J146,Tables!$B$3:$D$36,3,FALSE())*AF$1)</f>
        <v>0</v>
      </c>
      <c r="CT146" s="73">
        <f>IF(AW146="",0,VLOOKUP(K146,Tables!$B$3:$D$36,3,FALSE())*AG$1)</f>
        <v>0</v>
      </c>
      <c r="CU146" s="73">
        <f>IF(AX146="",0,VLOOKUP(L146,Tables!$B$3:$D$36,3,FALSE())*AH$1)</f>
        <v>0</v>
      </c>
      <c r="CV146" s="87">
        <f>IF(AY146="",0,VLOOKUP(M146,Tables!$B$3:$D$36,3,FALSE())*AI$1)</f>
        <v>0</v>
      </c>
      <c r="CW146" s="73">
        <f>IF(AZ146="",0,VLOOKUP(N146,Tables!$B$3:$D$36,3,FALSE())*AJ$1)</f>
        <v>0</v>
      </c>
      <c r="CX146" s="73">
        <f>IF(BA146="",0,VLOOKUP(O146,Tables!$B$3:$D$36,3,FALSE())*AK$1)</f>
        <v>0</v>
      </c>
      <c r="CY146" s="88">
        <f>IF(BB146="",0,VLOOKUP(P146,Tables!$B$3:$D$36,3,FALSE())*AL$1)</f>
        <v>0</v>
      </c>
      <c r="CZ146" s="89">
        <f t="shared" si="152"/>
        <v>0</v>
      </c>
      <c r="DA146" s="75">
        <f t="shared" si="153"/>
        <v>0</v>
      </c>
      <c r="DB146" s="75">
        <f t="shared" si="154"/>
        <v>0</v>
      </c>
      <c r="DC146" s="89">
        <f t="shared" si="155"/>
        <v>0</v>
      </c>
      <c r="DD146" s="75">
        <f t="shared" si="156"/>
        <v>0</v>
      </c>
      <c r="DE146" s="75">
        <f t="shared" si="157"/>
        <v>0</v>
      </c>
      <c r="DF146" s="75">
        <f t="shared" si="158"/>
        <v>0</v>
      </c>
      <c r="DG146" s="75">
        <f t="shared" si="159"/>
        <v>1</v>
      </c>
      <c r="DH146" s="89">
        <f t="shared" si="160"/>
        <v>0</v>
      </c>
      <c r="DI146" s="75">
        <f t="shared" si="161"/>
        <v>0</v>
      </c>
      <c r="DJ146" s="75">
        <f t="shared" si="162"/>
        <v>0</v>
      </c>
      <c r="DK146" s="89">
        <f t="shared" si="163"/>
        <v>0</v>
      </c>
      <c r="DL146" s="75">
        <f t="shared" si="164"/>
        <v>0</v>
      </c>
      <c r="DM146" s="75">
        <f t="shared" si="165"/>
        <v>0</v>
      </c>
      <c r="DN146" s="90">
        <f t="shared" si="166"/>
        <v>0</v>
      </c>
      <c r="DO146" s="91">
        <f>IF(AN146="",0,VLOOKUP(B146,Tables!$B$3:$M$36,11,FALSE())*X$1)</f>
        <v>0</v>
      </c>
      <c r="DP146" s="92">
        <f>IF(AO146="",0,VLOOKUP(C146,Tables!$B$3:$M$36,11,FALSE())*Y$1)</f>
        <v>0</v>
      </c>
      <c r="DQ146" s="92">
        <f>IF(AP146="",0,VLOOKUP(D146,Tables!$B$3:$M$36,11,FALSE())*Z$1)</f>
        <v>0</v>
      </c>
      <c r="DR146" s="91">
        <f>IF(AQ146="",0,VLOOKUP(E146,Tables!$B$3:$M$36,11,FALSE())*AA$1)</f>
        <v>0</v>
      </c>
      <c r="DS146" s="92">
        <f>IF(AR146="",0,VLOOKUP(F146,Tables!$B$3:$M$36,11,FALSE())*AB$1)</f>
        <v>0</v>
      </c>
      <c r="DT146" s="92">
        <f>IF(AS146="",0,VLOOKUP(G146,Tables!$B$3:$M$36,11,FALSE())*AC$1)</f>
        <v>0</v>
      </c>
      <c r="DU146" s="92">
        <f>IF(AT146="",0,VLOOKUP(H146,Tables!$B$3:$M$36,11,FALSE())*AD$1)</f>
        <v>0</v>
      </c>
      <c r="DV146" s="92">
        <f>IF(AU146="",0,VLOOKUP(I146,Tables!$B$3:$M$36,11,FALSE())*AE$1)</f>
        <v>1</v>
      </c>
      <c r="DW146" s="91">
        <f>IF(AV146="",0,VLOOKUP(J146,Tables!$B$3:$M$36,11,FALSE())*AF$1)</f>
        <v>0</v>
      </c>
      <c r="DX146" s="92">
        <f>IF(AW146="",0,VLOOKUP(K146,Tables!$B$3:$M$36,11,FALSE())*AG$1)</f>
        <v>0</v>
      </c>
      <c r="DY146" s="92">
        <f>IF(AX146="",0,VLOOKUP(L146,Tables!$B$3:$M$36,11,FALSE())*AH$1)</f>
        <v>0</v>
      </c>
      <c r="DZ146" s="91">
        <f>IF(AY146="",0,VLOOKUP(M146,Tables!$B$3:$M$36,11,FALSE())*AI$1)</f>
        <v>0</v>
      </c>
      <c r="EA146" s="92">
        <f>IF(AZ146="",0,VLOOKUP(N146,Tables!$B$3:$M$36,11,FALSE())*AJ$1)</f>
        <v>0</v>
      </c>
      <c r="EB146" s="92">
        <f>IF(BA146="",0,VLOOKUP(O146,Tables!$B$3:$M$36,11,FALSE())*AK$1)</f>
        <v>0</v>
      </c>
      <c r="EC146" s="93">
        <f>IF(BB146="",0,VLOOKUP(P146,Tables!$B$3:$M$36,11,FALSE())*AL$1)</f>
        <v>0</v>
      </c>
      <c r="ED146" s="91">
        <f>IF(AN146="",0,VLOOKUP(B146,Tables!$B$3:$M$36,12,FALSE())*X$1)</f>
        <v>0</v>
      </c>
      <c r="EE146" s="92">
        <f>IF(AO146="",0,VLOOKUP(C146,Tables!$B$3:$M$36,12,FALSE())*Y$1)</f>
        <v>0</v>
      </c>
      <c r="EF146" s="92">
        <f>IF(AP146="",0,VLOOKUP(D146,Tables!$B$3:$M$36,12,FALSE())*Z$1)</f>
        <v>0</v>
      </c>
      <c r="EG146" s="91">
        <f>IF(AQ146="",0,VLOOKUP(E146,Tables!$B$3:$M$36,12,FALSE())*AA$1)</f>
        <v>0</v>
      </c>
      <c r="EH146" s="92">
        <f>IF(AR146="",0,VLOOKUP(F146,Tables!$B$3:$M$36,12,FALSE())*AB$1)</f>
        <v>0</v>
      </c>
      <c r="EI146" s="92">
        <f>IF(AS146="",0,VLOOKUP(G146,Tables!$B$3:$M$36,12,FALSE())*AC$1)</f>
        <v>0</v>
      </c>
      <c r="EJ146" s="92">
        <f>IF(AT146="",0,VLOOKUP(H146,Tables!$B$3:$M$36,12,FALSE())*AD$1)</f>
        <v>0</v>
      </c>
      <c r="EK146" s="92">
        <f>IF(AU146="",0,VLOOKUP(I146,Tables!$B$3:$M$36,12,FALSE())*AE$1)</f>
        <v>24</v>
      </c>
      <c r="EL146" s="91">
        <f>IF(AV146="",0,VLOOKUP(J146,Tables!$B$3:$M$36,12,FALSE())*AF$1)</f>
        <v>0</v>
      </c>
      <c r="EM146" s="92">
        <f>IF(AW146="",0,VLOOKUP(K146,Tables!$B$3:$M$36,12,FALSE())*AG$1)</f>
        <v>0</v>
      </c>
      <c r="EN146" s="92">
        <f>IF(AX146="",0,VLOOKUP(L146,Tables!$B$3:$M$36,12,FALSE())*AH$1)</f>
        <v>0</v>
      </c>
      <c r="EO146" s="91">
        <f>IF(AY146="",0,VLOOKUP(M146,Tables!$B$3:$M$36,12,FALSE())*AI$1)</f>
        <v>0</v>
      </c>
      <c r="EP146" s="92">
        <f>IF(AZ146="",0,VLOOKUP(N146,Tables!$B$3:$M$36,12,FALSE())*AJ$1)</f>
        <v>0</v>
      </c>
      <c r="EQ146" s="92">
        <f>IF(BA146="",0,VLOOKUP(O146,Tables!$B$3:$M$36,12,FALSE())*AK$1)</f>
        <v>0</v>
      </c>
      <c r="ER146" s="93">
        <f>IF(BB146="",0,VLOOKUP(P146,Tables!$B$3:$M$36,12,FALSE())*AL$1)</f>
        <v>0</v>
      </c>
      <c r="ES146" s="94">
        <f t="shared" si="167"/>
        <v>0</v>
      </c>
      <c r="ET146" s="95">
        <f>IF(AN146="",10,MIN(VLOOKUP(B146,MATERIAL,13,FALSE()),'Item Builder'!$W146))</f>
        <v>10</v>
      </c>
      <c r="EU146" s="95">
        <f>IF(AO146="",10,MIN(VLOOKUP(C146,MATERIAL,13,FALSE()),'Item Builder'!$W146))</f>
        <v>10</v>
      </c>
      <c r="EV146" s="95">
        <f>IF(AP146="",10,MIN(VLOOKUP(D146,MATERIAL,13,FALSE()),'Item Builder'!$W146))</f>
        <v>10</v>
      </c>
      <c r="EW146" s="95">
        <f>IF(AQ146="",10,MIN(VLOOKUP(E146,MATERIAL,13,FALSE()),'Item Builder'!$W146))</f>
        <v>10</v>
      </c>
      <c r="EX146" s="95">
        <f>IF(AR146="",10,MIN(VLOOKUP(F146,MATERIAL,13,FALSE()),'Item Builder'!$W146))</f>
        <v>10</v>
      </c>
      <c r="EY146" s="95">
        <f>IF(AS146="",10,MIN(VLOOKUP(G146,MATERIAL,13,FALSE()),'Item Builder'!$W146))</f>
        <v>10</v>
      </c>
      <c r="EZ146" s="95">
        <f>IF(AT146="",10,MIN(VLOOKUP(H146,MATERIAL,13,FALSE()),'Item Builder'!$W146))</f>
        <v>10</v>
      </c>
      <c r="FA146" s="95">
        <f>IF(AU146="",10,MIN(VLOOKUP(I146,MATERIAL,13,FALSE()),'Item Builder'!$W146))</f>
        <v>0</v>
      </c>
      <c r="FB146" s="95">
        <f>IF(AV146="",10,MIN(VLOOKUP(J146,MATERIAL,13,FALSE()),'Item Builder'!$W146))</f>
        <v>10</v>
      </c>
      <c r="FC146" s="95">
        <f>IF(AW146="",10,MIN(VLOOKUP(K146,MATERIAL,13,FALSE()),'Item Builder'!$W146))</f>
        <v>10</v>
      </c>
      <c r="FD146" s="95">
        <f>IF(AX146="",10,MIN(VLOOKUP(L146,MATERIAL,13,FALSE()),'Item Builder'!$W146))</f>
        <v>10</v>
      </c>
      <c r="FE146" s="95">
        <f>IF(AY146="",10,MIN(VLOOKUP(M146,MATERIAL,13,FALSE()),'Item Builder'!$W146))</f>
        <v>10</v>
      </c>
      <c r="FF146" s="95">
        <f>IF(AZ146="",10,MIN(VLOOKUP(N146,MATERIAL,13,FALSE()),'Item Builder'!$W146))</f>
        <v>10</v>
      </c>
      <c r="FG146" s="95">
        <f>IF(BA146="",10,MIN(VLOOKUP(O146,MATERIAL,13,FALSE()),'Item Builder'!$W146))</f>
        <v>10</v>
      </c>
      <c r="FH146" s="95">
        <f>IF(BB146="",10,MIN(VLOOKUP(P146,MATERIAL,13,FALSE()),'Item Builder'!$W146))</f>
        <v>10</v>
      </c>
    </row>
    <row r="147" spans="1:164" x14ac:dyDescent="0.25">
      <c r="A147" s="67" t="s">
        <v>287</v>
      </c>
      <c r="B147" s="68"/>
      <c r="C147" s="69"/>
      <c r="D147" s="70"/>
      <c r="E147" s="68"/>
      <c r="F147" s="69"/>
      <c r="G147" s="69"/>
      <c r="H147" s="69"/>
      <c r="I147" s="70"/>
      <c r="J147" s="68" t="s">
        <v>168</v>
      </c>
      <c r="K147" s="69" t="s">
        <v>168</v>
      </c>
      <c r="L147" s="70"/>
      <c r="M147" s="68"/>
      <c r="N147" s="69"/>
      <c r="O147" s="69"/>
      <c r="P147" s="71"/>
      <c r="Q147" s="72">
        <f>SUM(BV147:CJ147)*VLOOKUP(W147,Tables!$W$3:$Z$8,4)</f>
        <v>144</v>
      </c>
      <c r="R147" s="73">
        <f t="shared" si="112"/>
        <v>1.44</v>
      </c>
      <c r="S147" s="74">
        <f t="shared" si="113"/>
        <v>0</v>
      </c>
      <c r="T147" s="74">
        <f t="shared" si="114"/>
        <v>0</v>
      </c>
      <c r="U147" s="75">
        <f t="shared" si="115"/>
        <v>4.8</v>
      </c>
      <c r="V147" s="76">
        <f t="shared" si="116"/>
        <v>115.19999999999999</v>
      </c>
      <c r="W147" s="77">
        <v>0</v>
      </c>
      <c r="X147" s="78">
        <f t="shared" si="117"/>
        <v>0</v>
      </c>
      <c r="Y147" s="79">
        <f t="shared" si="118"/>
        <v>0</v>
      </c>
      <c r="Z147" s="79">
        <f t="shared" si="119"/>
        <v>0</v>
      </c>
      <c r="AA147" s="78">
        <f t="shared" si="120"/>
        <v>0</v>
      </c>
      <c r="AB147" s="79">
        <f t="shared" si="121"/>
        <v>0</v>
      </c>
      <c r="AC147" s="79">
        <f t="shared" si="122"/>
        <v>0</v>
      </c>
      <c r="AD147" s="79">
        <f t="shared" si="123"/>
        <v>0</v>
      </c>
      <c r="AE147" s="79">
        <f t="shared" si="124"/>
        <v>0</v>
      </c>
      <c r="AF147" s="78">
        <f t="shared" si="125"/>
        <v>1</v>
      </c>
      <c r="AG147" s="79">
        <f t="shared" si="126"/>
        <v>1</v>
      </c>
      <c r="AH147" s="79">
        <f t="shared" si="127"/>
        <v>0</v>
      </c>
      <c r="AI147" s="78">
        <f t="shared" si="128"/>
        <v>0</v>
      </c>
      <c r="AJ147" s="79">
        <f t="shared" si="129"/>
        <v>0</v>
      </c>
      <c r="AK147" s="79">
        <f t="shared" si="130"/>
        <v>0</v>
      </c>
      <c r="AL147" s="80">
        <f t="shared" si="131"/>
        <v>0</v>
      </c>
      <c r="AM147" s="81">
        <f t="shared" si="132"/>
        <v>0.24</v>
      </c>
      <c r="AN147" s="82" t="str">
        <f t="shared" si="133"/>
        <v/>
      </c>
      <c r="AO147" s="79" t="str">
        <f t="shared" si="134"/>
        <v/>
      </c>
      <c r="AP147" t="str">
        <f t="shared" si="135"/>
        <v/>
      </c>
      <c r="AQ147" s="82" t="str">
        <f t="shared" si="136"/>
        <v/>
      </c>
      <c r="AR147" t="str">
        <f t="shared" si="137"/>
        <v/>
      </c>
      <c r="AS147" t="str">
        <f t="shared" si="138"/>
        <v/>
      </c>
      <c r="AT147" t="str">
        <f t="shared" si="139"/>
        <v/>
      </c>
      <c r="AU147" t="str">
        <f t="shared" si="140"/>
        <v/>
      </c>
      <c r="AV147" s="82" t="str">
        <f t="shared" si="141"/>
        <v>C</v>
      </c>
      <c r="AW147" t="str">
        <f t="shared" si="142"/>
        <v>C</v>
      </c>
      <c r="AX147" t="str">
        <f t="shared" si="143"/>
        <v/>
      </c>
      <c r="AY147" s="82" t="str">
        <f t="shared" si="144"/>
        <v/>
      </c>
      <c r="AZ147" t="str">
        <f t="shared" si="145"/>
        <v/>
      </c>
      <c r="BA147" t="str">
        <f t="shared" si="146"/>
        <v/>
      </c>
      <c r="BB147" s="83" t="str">
        <f t="shared" si="147"/>
        <v/>
      </c>
      <c r="BC147" s="84">
        <f t="shared" si="148"/>
        <v>0</v>
      </c>
      <c r="BD147" s="84">
        <f t="shared" si="149"/>
        <v>0</v>
      </c>
      <c r="BE147" s="84">
        <f t="shared" si="150"/>
        <v>0.70588235294117652</v>
      </c>
      <c r="BF147" s="84">
        <f t="shared" si="151"/>
        <v>0</v>
      </c>
      <c r="BG147" s="78">
        <f>IF(AN147="",0,VLOOKUP(AN147,Tables!$AB$3:$AC$12,2))</f>
        <v>0</v>
      </c>
      <c r="BH147" s="79">
        <f>IF(AO147="",0,VLOOKUP(AO147,Tables!$AB$3:$AC$12,2))</f>
        <v>0</v>
      </c>
      <c r="BI147" s="79">
        <f>IF(AP147="",0,VLOOKUP(AP147,Tables!$AB$3:$AC$12,2))</f>
        <v>0</v>
      </c>
      <c r="BJ147" s="78">
        <f>IF(AQ147="",0,VLOOKUP(AQ147,Tables!$AB$3:$AC$12,2))</f>
        <v>0</v>
      </c>
      <c r="BK147" s="79">
        <f>IF(AR147="",0,VLOOKUP(AR147,Tables!$AB$3:$AC$12,2))</f>
        <v>0</v>
      </c>
      <c r="BL147" s="79">
        <f>IF(AS147="",0,VLOOKUP(AS147,Tables!$AB$3:$AC$12,2))</f>
        <v>0</v>
      </c>
      <c r="BM147" s="79">
        <f>IF(AT147="",0,VLOOKUP(AT147,Tables!$AB$3:$AC$12,2))</f>
        <v>0</v>
      </c>
      <c r="BN147" s="79">
        <f>IF(AU147="",0,VLOOKUP(AU147,Tables!$AB$3:$AC$12,2))</f>
        <v>0</v>
      </c>
      <c r="BO147" s="78">
        <f>IF(AV147="",0,VLOOKUP(AV147,Tables!$AB$3:$AC$12,2))</f>
        <v>1</v>
      </c>
      <c r="BP147" s="79">
        <f>IF(AW147="",0,VLOOKUP(AW147,Tables!$AB$3:$AC$12,2))</f>
        <v>1</v>
      </c>
      <c r="BQ147" s="79">
        <f>IF(AX147="",0,VLOOKUP(AX147,Tables!$AB$3:$AC$12,2))</f>
        <v>0</v>
      </c>
      <c r="BR147" s="78">
        <f>IF(AY147="",0,VLOOKUP(AY147,Tables!$AB$3:$AC$12,2))</f>
        <v>0</v>
      </c>
      <c r="BS147" s="79">
        <f>IF(AZ147="",0,VLOOKUP(AZ147,Tables!$AB$3:$AC$12,2))</f>
        <v>0</v>
      </c>
      <c r="BT147" s="79">
        <f>IF(BA147="",0,VLOOKUP(BA147,Tables!$AB$3:$AC$12,2))</f>
        <v>0</v>
      </c>
      <c r="BU147" s="80">
        <f>IF(BB147="",0,VLOOKUP(BB147,Tables!$AB$3:$AC$12,2))</f>
        <v>0</v>
      </c>
      <c r="BV147" s="85">
        <f>IF(AN147="",0,VLOOKUP(B147,Tables!$B$3:$D$36,2,FALSE())*X$1)</f>
        <v>0</v>
      </c>
      <c r="BW147" s="72">
        <f>IF(AO147="",0,VLOOKUP(C147,Tables!$B$3:$D$36,2,FALSE())*Y$1)</f>
        <v>0</v>
      </c>
      <c r="BX147" s="72">
        <f>IF(AP147="",0,VLOOKUP(D147,Tables!$B$3:$D$36,2,FALSE())*Z$1)</f>
        <v>0</v>
      </c>
      <c r="BY147" s="85">
        <f>IF(AQ147="",0,VLOOKUP(E147,Tables!$B$3:$D$36,2,FALSE())*AA$1)</f>
        <v>0</v>
      </c>
      <c r="BZ147" s="72">
        <f>IF(AR147="",0,VLOOKUP(F147,Tables!$B$3:$D$36,2,FALSE())*AB$1)</f>
        <v>0</v>
      </c>
      <c r="CA147" s="72">
        <f>IF(AS147="",0,VLOOKUP(G147,Tables!$B$3:$D$36,2,FALSE())*AC$1)</f>
        <v>0</v>
      </c>
      <c r="CB147" s="72">
        <f>IF(AT147="",0,VLOOKUP(H147,Tables!$B$3:$D$36,2,FALSE())*AD$1)</f>
        <v>0</v>
      </c>
      <c r="CC147" s="72">
        <f>IF(AU147="",0,VLOOKUP(I147,Tables!$B$3:$D$36,2,FALSE())*AE$1)</f>
        <v>0</v>
      </c>
      <c r="CD147" s="85">
        <f>IF(AV147="",0,VLOOKUP(J147,Tables!$B$3:$D$36,2,FALSE())*AF$1)</f>
        <v>72</v>
      </c>
      <c r="CE147" s="72">
        <f>IF(AW147="",0,VLOOKUP(K147,Tables!$B$3:$D$36,2,FALSE())*AG$1)</f>
        <v>72</v>
      </c>
      <c r="CF147" s="72">
        <f>IF(AX147="",0,VLOOKUP(L147,Tables!$B$3:$D$36,2,FALSE())*AH$1)</f>
        <v>0</v>
      </c>
      <c r="CG147" s="85">
        <f>IF(AY147="",0,VLOOKUP(M147,Tables!$B$3:$D$36,2,FALSE())*AI$1)</f>
        <v>0</v>
      </c>
      <c r="CH147" s="72">
        <f>IF(AZ147="",0,VLOOKUP(N147,Tables!$B$3:$D$36,2,FALSE())*AJ$1)</f>
        <v>0</v>
      </c>
      <c r="CI147" s="72">
        <f>IF(BA147="",0,VLOOKUP(O147,Tables!$B$3:$D$36,2,FALSE())*AK$1)</f>
        <v>0</v>
      </c>
      <c r="CJ147" s="86">
        <f>IF(BB147="",0,VLOOKUP(P147,Tables!$B$3:$D$36,2,FALSE())*AL$1)</f>
        <v>0</v>
      </c>
      <c r="CK147" s="87">
        <f>IF(AN147="",0,VLOOKUP(B147,Tables!$B$3:$D$36,3,FALSE())*X$1)*IF(OR(AN147="K",AN147="P"),2,1)</f>
        <v>0</v>
      </c>
      <c r="CL147" s="73">
        <f>IF(AO147="",0,VLOOKUP(C147,Tables!$B$3:$D$36,3,FALSE())*Y$1)*IF(OR(AO147="K",AO147="P"),2,1)</f>
        <v>0</v>
      </c>
      <c r="CM147" s="73">
        <f>IF(AP147="",0,VLOOKUP(D147,Tables!$B$3:$D$36,3,FALSE())*Z$1)*IF(OR(AP147="K",AP147="P"),2,1)</f>
        <v>0</v>
      </c>
      <c r="CN147" s="87">
        <f>IF(AQ147="",0,VLOOKUP(E147,Tables!$B$3:$D$36,3,FALSE())*AA$1)</f>
        <v>0</v>
      </c>
      <c r="CO147" s="73">
        <f>IF(AR147="",0,VLOOKUP(F147,Tables!$B$3:$D$36,3,FALSE())*AB$1)</f>
        <v>0</v>
      </c>
      <c r="CP147" s="73">
        <f>IF(AS147="",0,VLOOKUP(G147,Tables!$B$3:$D$36,3,FALSE())*AC$1)</f>
        <v>0</v>
      </c>
      <c r="CQ147" s="73">
        <f>IF(AT147="",0,VLOOKUP(H147,Tables!$B$3:$D$36,3,FALSE())*AD$1)</f>
        <v>0</v>
      </c>
      <c r="CR147" s="73">
        <f>IF(AU147="",0,VLOOKUP(I147,Tables!$B$3:$D$36,3,FALSE())*AE$1)</f>
        <v>0</v>
      </c>
      <c r="CS147" s="87">
        <f>IF(AV147="",0,VLOOKUP(J147,Tables!$B$3:$D$36,3,FALSE())*AF$1)</f>
        <v>0.72</v>
      </c>
      <c r="CT147" s="73">
        <f>IF(AW147="",0,VLOOKUP(K147,Tables!$B$3:$D$36,3,FALSE())*AG$1)</f>
        <v>0.72</v>
      </c>
      <c r="CU147" s="73">
        <f>IF(AX147="",0,VLOOKUP(L147,Tables!$B$3:$D$36,3,FALSE())*AH$1)</f>
        <v>0</v>
      </c>
      <c r="CV147" s="87">
        <f>IF(AY147="",0,VLOOKUP(M147,Tables!$B$3:$D$36,3,FALSE())*AI$1)</f>
        <v>0</v>
      </c>
      <c r="CW147" s="73">
        <f>IF(AZ147="",0,VLOOKUP(N147,Tables!$B$3:$D$36,3,FALSE())*AJ$1)</f>
        <v>0</v>
      </c>
      <c r="CX147" s="73">
        <f>IF(BA147="",0,VLOOKUP(O147,Tables!$B$3:$D$36,3,FALSE())*AK$1)</f>
        <v>0</v>
      </c>
      <c r="CY147" s="88">
        <f>IF(BB147="",0,VLOOKUP(P147,Tables!$B$3:$D$36,3,FALSE())*AL$1)</f>
        <v>0</v>
      </c>
      <c r="CZ147" s="89">
        <f t="shared" si="152"/>
        <v>0</v>
      </c>
      <c r="DA147" s="75">
        <f t="shared" si="153"/>
        <v>0</v>
      </c>
      <c r="DB147" s="75">
        <f t="shared" si="154"/>
        <v>0</v>
      </c>
      <c r="DC147" s="89">
        <f t="shared" si="155"/>
        <v>0</v>
      </c>
      <c r="DD147" s="75">
        <f t="shared" si="156"/>
        <v>0</v>
      </c>
      <c r="DE147" s="75">
        <f t="shared" si="157"/>
        <v>0</v>
      </c>
      <c r="DF147" s="75">
        <f t="shared" si="158"/>
        <v>0</v>
      </c>
      <c r="DG147" s="75">
        <f t="shared" si="159"/>
        <v>0</v>
      </c>
      <c r="DH147" s="89">
        <f t="shared" si="160"/>
        <v>1</v>
      </c>
      <c r="DI147" s="75">
        <f t="shared" si="161"/>
        <v>1</v>
      </c>
      <c r="DJ147" s="75">
        <f t="shared" si="162"/>
        <v>0</v>
      </c>
      <c r="DK147" s="89">
        <f t="shared" si="163"/>
        <v>0</v>
      </c>
      <c r="DL147" s="75">
        <f t="shared" si="164"/>
        <v>0</v>
      </c>
      <c r="DM147" s="75">
        <f t="shared" si="165"/>
        <v>0</v>
      </c>
      <c r="DN147" s="90">
        <f t="shared" si="166"/>
        <v>0</v>
      </c>
      <c r="DO147" s="91">
        <f>IF(AN147="",0,VLOOKUP(B147,Tables!$B$3:$M$36,11,FALSE())*X$1)</f>
        <v>0</v>
      </c>
      <c r="DP147" s="92">
        <f>IF(AO147="",0,VLOOKUP(C147,Tables!$B$3:$M$36,11,FALSE())*Y$1)</f>
        <v>0</v>
      </c>
      <c r="DQ147" s="92">
        <f>IF(AP147="",0,VLOOKUP(D147,Tables!$B$3:$M$36,11,FALSE())*Z$1)</f>
        <v>0</v>
      </c>
      <c r="DR147" s="91">
        <f>IF(AQ147="",0,VLOOKUP(E147,Tables!$B$3:$M$36,11,FALSE())*AA$1)</f>
        <v>0</v>
      </c>
      <c r="DS147" s="92">
        <f>IF(AR147="",0,VLOOKUP(F147,Tables!$B$3:$M$36,11,FALSE())*AB$1)</f>
        <v>0</v>
      </c>
      <c r="DT147" s="92">
        <f>IF(AS147="",0,VLOOKUP(G147,Tables!$B$3:$M$36,11,FALSE())*AC$1)</f>
        <v>0</v>
      </c>
      <c r="DU147" s="92">
        <f>IF(AT147="",0,VLOOKUP(H147,Tables!$B$3:$M$36,11,FALSE())*AD$1)</f>
        <v>0</v>
      </c>
      <c r="DV147" s="92">
        <f>IF(AU147="",0,VLOOKUP(I147,Tables!$B$3:$M$36,11,FALSE())*AE$1)</f>
        <v>0</v>
      </c>
      <c r="DW147" s="91">
        <f>IF(AV147="",0,VLOOKUP(J147,Tables!$B$3:$M$36,11,FALSE())*AF$1)</f>
        <v>2.4</v>
      </c>
      <c r="DX147" s="92">
        <f>IF(AW147="",0,VLOOKUP(K147,Tables!$B$3:$M$36,11,FALSE())*AG$1)</f>
        <v>2.4</v>
      </c>
      <c r="DY147" s="92">
        <f>IF(AX147="",0,VLOOKUP(L147,Tables!$B$3:$M$36,11,FALSE())*AH$1)</f>
        <v>0</v>
      </c>
      <c r="DZ147" s="91">
        <f>IF(AY147="",0,VLOOKUP(M147,Tables!$B$3:$M$36,11,FALSE())*AI$1)</f>
        <v>0</v>
      </c>
      <c r="EA147" s="92">
        <f>IF(AZ147="",0,VLOOKUP(N147,Tables!$B$3:$M$36,11,FALSE())*AJ$1)</f>
        <v>0</v>
      </c>
      <c r="EB147" s="92">
        <f>IF(BA147="",0,VLOOKUP(O147,Tables!$B$3:$M$36,11,FALSE())*AK$1)</f>
        <v>0</v>
      </c>
      <c r="EC147" s="93">
        <f>IF(BB147="",0,VLOOKUP(P147,Tables!$B$3:$M$36,11,FALSE())*AL$1)</f>
        <v>0</v>
      </c>
      <c r="ED147" s="91">
        <f>IF(AN147="",0,VLOOKUP(B147,Tables!$B$3:$M$36,12,FALSE())*X$1)</f>
        <v>0</v>
      </c>
      <c r="EE147" s="92">
        <f>IF(AO147="",0,VLOOKUP(C147,Tables!$B$3:$M$36,12,FALSE())*Y$1)</f>
        <v>0</v>
      </c>
      <c r="EF147" s="92">
        <f>IF(AP147="",0,VLOOKUP(D147,Tables!$B$3:$M$36,12,FALSE())*Z$1)</f>
        <v>0</v>
      </c>
      <c r="EG147" s="91">
        <f>IF(AQ147="",0,VLOOKUP(E147,Tables!$B$3:$M$36,12,FALSE())*AA$1)</f>
        <v>0</v>
      </c>
      <c r="EH147" s="92">
        <f>IF(AR147="",0,VLOOKUP(F147,Tables!$B$3:$M$36,12,FALSE())*AB$1)</f>
        <v>0</v>
      </c>
      <c r="EI147" s="92">
        <f>IF(AS147="",0,VLOOKUP(G147,Tables!$B$3:$M$36,12,FALSE())*AC$1)</f>
        <v>0</v>
      </c>
      <c r="EJ147" s="92">
        <f>IF(AT147="",0,VLOOKUP(H147,Tables!$B$3:$M$36,12,FALSE())*AD$1)</f>
        <v>0</v>
      </c>
      <c r="EK147" s="92">
        <f>IF(AU147="",0,VLOOKUP(I147,Tables!$B$3:$M$36,12,FALSE())*AE$1)</f>
        <v>0</v>
      </c>
      <c r="EL147" s="91">
        <f>IF(AV147="",0,VLOOKUP(J147,Tables!$B$3:$M$36,12,FALSE())*AF$1)</f>
        <v>57.599999999999994</v>
      </c>
      <c r="EM147" s="92">
        <f>IF(AW147="",0,VLOOKUP(K147,Tables!$B$3:$M$36,12,FALSE())*AG$1)</f>
        <v>57.599999999999994</v>
      </c>
      <c r="EN147" s="92">
        <f>IF(AX147="",0,VLOOKUP(L147,Tables!$B$3:$M$36,12,FALSE())*AH$1)</f>
        <v>0</v>
      </c>
      <c r="EO147" s="91">
        <f>IF(AY147="",0,VLOOKUP(M147,Tables!$B$3:$M$36,12,FALSE())*AI$1)</f>
        <v>0</v>
      </c>
      <c r="EP147" s="92">
        <f>IF(AZ147="",0,VLOOKUP(N147,Tables!$B$3:$M$36,12,FALSE())*AJ$1)</f>
        <v>0</v>
      </c>
      <c r="EQ147" s="92">
        <f>IF(BA147="",0,VLOOKUP(O147,Tables!$B$3:$M$36,12,FALSE())*AK$1)</f>
        <v>0</v>
      </c>
      <c r="ER147" s="93">
        <f>IF(BB147="",0,VLOOKUP(P147,Tables!$B$3:$M$36,12,FALSE())*AL$1)</f>
        <v>0</v>
      </c>
      <c r="ES147" s="94">
        <f t="shared" si="167"/>
        <v>0</v>
      </c>
      <c r="ET147" s="95">
        <f>IF(AN147="",10,MIN(VLOOKUP(B147,MATERIAL,13,FALSE()),'Item Builder'!$W147))</f>
        <v>10</v>
      </c>
      <c r="EU147" s="95">
        <f>IF(AO147="",10,MIN(VLOOKUP(C147,MATERIAL,13,FALSE()),'Item Builder'!$W147))</f>
        <v>10</v>
      </c>
      <c r="EV147" s="95">
        <f>IF(AP147="",10,MIN(VLOOKUP(D147,MATERIAL,13,FALSE()),'Item Builder'!$W147))</f>
        <v>10</v>
      </c>
      <c r="EW147" s="95">
        <f>IF(AQ147="",10,MIN(VLOOKUP(E147,MATERIAL,13,FALSE()),'Item Builder'!$W147))</f>
        <v>10</v>
      </c>
      <c r="EX147" s="95">
        <f>IF(AR147="",10,MIN(VLOOKUP(F147,MATERIAL,13,FALSE()),'Item Builder'!$W147))</f>
        <v>10</v>
      </c>
      <c r="EY147" s="95">
        <f>IF(AS147="",10,MIN(VLOOKUP(G147,MATERIAL,13,FALSE()),'Item Builder'!$W147))</f>
        <v>10</v>
      </c>
      <c r="EZ147" s="95">
        <f>IF(AT147="",10,MIN(VLOOKUP(H147,MATERIAL,13,FALSE()),'Item Builder'!$W147))</f>
        <v>10</v>
      </c>
      <c r="FA147" s="95">
        <f>IF(AU147="",10,MIN(VLOOKUP(I147,MATERIAL,13,FALSE()),'Item Builder'!$W147))</f>
        <v>10</v>
      </c>
      <c r="FB147" s="95">
        <f>IF(AV147="",10,MIN(VLOOKUP(J147,MATERIAL,13,FALSE()),'Item Builder'!$W147))</f>
        <v>0</v>
      </c>
      <c r="FC147" s="95">
        <f>IF(AW147="",10,MIN(VLOOKUP(K147,MATERIAL,13,FALSE()),'Item Builder'!$W147))</f>
        <v>0</v>
      </c>
      <c r="FD147" s="95">
        <f>IF(AX147="",10,MIN(VLOOKUP(L147,MATERIAL,13,FALSE()),'Item Builder'!$W147))</f>
        <v>10</v>
      </c>
      <c r="FE147" s="95">
        <f>IF(AY147="",10,MIN(VLOOKUP(M147,MATERIAL,13,FALSE()),'Item Builder'!$W147))</f>
        <v>10</v>
      </c>
      <c r="FF147" s="95">
        <f>IF(AZ147="",10,MIN(VLOOKUP(N147,MATERIAL,13,FALSE()),'Item Builder'!$W147))</f>
        <v>10</v>
      </c>
      <c r="FG147" s="95">
        <f>IF(BA147="",10,MIN(VLOOKUP(O147,MATERIAL,13,FALSE()),'Item Builder'!$W147))</f>
        <v>10</v>
      </c>
      <c r="FH147" s="95">
        <f>IF(BB147="",10,MIN(VLOOKUP(P147,MATERIAL,13,FALSE()),'Item Builder'!$W147))</f>
        <v>10</v>
      </c>
    </row>
    <row r="148" spans="1:164" x14ac:dyDescent="0.25">
      <c r="A148" s="67" t="s">
        <v>288</v>
      </c>
      <c r="B148" s="68"/>
      <c r="C148" s="69"/>
      <c r="D148" s="70"/>
      <c r="E148" s="68" t="s">
        <v>168</v>
      </c>
      <c r="F148" s="69" t="s">
        <v>168</v>
      </c>
      <c r="G148" s="69"/>
      <c r="H148" s="69"/>
      <c r="I148" s="70"/>
      <c r="J148" s="68" t="s">
        <v>168</v>
      </c>
      <c r="K148" s="69" t="s">
        <v>168</v>
      </c>
      <c r="L148" s="70"/>
      <c r="M148" s="68"/>
      <c r="N148" s="69"/>
      <c r="O148" s="69"/>
      <c r="P148" s="71"/>
      <c r="Q148" s="72">
        <f>SUM(BV148:CJ148)*VLOOKUP(W148,Tables!$W$3:$Z$8,4)</f>
        <v>198</v>
      </c>
      <c r="R148" s="73">
        <f t="shared" si="112"/>
        <v>1.98</v>
      </c>
      <c r="S148" s="74">
        <f t="shared" si="113"/>
        <v>0</v>
      </c>
      <c r="T148" s="74">
        <f t="shared" si="114"/>
        <v>0</v>
      </c>
      <c r="U148" s="75">
        <f t="shared" si="115"/>
        <v>6.6</v>
      </c>
      <c r="V148" s="76">
        <f t="shared" si="116"/>
        <v>158.39999999999998</v>
      </c>
      <c r="W148" s="77">
        <v>0</v>
      </c>
      <c r="X148" s="78">
        <f t="shared" si="117"/>
        <v>0</v>
      </c>
      <c r="Y148" s="79">
        <f t="shared" si="118"/>
        <v>0</v>
      </c>
      <c r="Z148" s="79">
        <f t="shared" si="119"/>
        <v>0</v>
      </c>
      <c r="AA148" s="78">
        <f t="shared" si="120"/>
        <v>1</v>
      </c>
      <c r="AB148" s="79">
        <f t="shared" si="121"/>
        <v>1</v>
      </c>
      <c r="AC148" s="79">
        <f t="shared" si="122"/>
        <v>0</v>
      </c>
      <c r="AD148" s="79">
        <f t="shared" si="123"/>
        <v>0</v>
      </c>
      <c r="AE148" s="79">
        <f t="shared" si="124"/>
        <v>0</v>
      </c>
      <c r="AF148" s="78">
        <f t="shared" si="125"/>
        <v>1</v>
      </c>
      <c r="AG148" s="79">
        <f t="shared" si="126"/>
        <v>1</v>
      </c>
      <c r="AH148" s="79">
        <f t="shared" si="127"/>
        <v>0</v>
      </c>
      <c r="AI148" s="78">
        <f t="shared" si="128"/>
        <v>0</v>
      </c>
      <c r="AJ148" s="79">
        <f t="shared" si="129"/>
        <v>0</v>
      </c>
      <c r="AK148" s="79">
        <f t="shared" si="130"/>
        <v>0</v>
      </c>
      <c r="AL148" s="80">
        <f t="shared" si="131"/>
        <v>0</v>
      </c>
      <c r="AM148" s="81">
        <f t="shared" si="132"/>
        <v>0.32999999999999996</v>
      </c>
      <c r="AN148" s="82" t="str">
        <f t="shared" si="133"/>
        <v/>
      </c>
      <c r="AO148" s="79" t="str">
        <f t="shared" si="134"/>
        <v/>
      </c>
      <c r="AP148" t="str">
        <f t="shared" si="135"/>
        <v/>
      </c>
      <c r="AQ148" s="82" t="str">
        <f t="shared" si="136"/>
        <v>C</v>
      </c>
      <c r="AR148" t="str">
        <f t="shared" si="137"/>
        <v>C</v>
      </c>
      <c r="AS148" t="str">
        <f t="shared" si="138"/>
        <v/>
      </c>
      <c r="AT148" t="str">
        <f t="shared" si="139"/>
        <v/>
      </c>
      <c r="AU148" t="str">
        <f t="shared" si="140"/>
        <v/>
      </c>
      <c r="AV148" s="82" t="str">
        <f t="shared" si="141"/>
        <v>C</v>
      </c>
      <c r="AW148" t="str">
        <f t="shared" si="142"/>
        <v>C</v>
      </c>
      <c r="AX148" t="str">
        <f t="shared" si="143"/>
        <v/>
      </c>
      <c r="AY148" s="82" t="str">
        <f t="shared" si="144"/>
        <v/>
      </c>
      <c r="AZ148" t="str">
        <f t="shared" si="145"/>
        <v/>
      </c>
      <c r="BA148" t="str">
        <f t="shared" si="146"/>
        <v/>
      </c>
      <c r="BB148" s="83" t="str">
        <f t="shared" si="147"/>
        <v/>
      </c>
      <c r="BC148" s="84">
        <f t="shared" si="148"/>
        <v>0</v>
      </c>
      <c r="BD148" s="84">
        <f t="shared" si="149"/>
        <v>0.42857142857142849</v>
      </c>
      <c r="BE148" s="84">
        <f t="shared" si="150"/>
        <v>0.70588235294117652</v>
      </c>
      <c r="BF148" s="84">
        <f t="shared" si="151"/>
        <v>0</v>
      </c>
      <c r="BG148" s="78">
        <f>IF(AN148="",0,VLOOKUP(AN148,Tables!$AB$3:$AC$12,2))</f>
        <v>0</v>
      </c>
      <c r="BH148" s="79">
        <f>IF(AO148="",0,VLOOKUP(AO148,Tables!$AB$3:$AC$12,2))</f>
        <v>0</v>
      </c>
      <c r="BI148" s="79">
        <f>IF(AP148="",0,VLOOKUP(AP148,Tables!$AB$3:$AC$12,2))</f>
        <v>0</v>
      </c>
      <c r="BJ148" s="78">
        <f>IF(AQ148="",0,VLOOKUP(AQ148,Tables!$AB$3:$AC$12,2))</f>
        <v>1</v>
      </c>
      <c r="BK148" s="79">
        <f>IF(AR148="",0,VLOOKUP(AR148,Tables!$AB$3:$AC$12,2))</f>
        <v>1</v>
      </c>
      <c r="BL148" s="79">
        <f>IF(AS148="",0,VLOOKUP(AS148,Tables!$AB$3:$AC$12,2))</f>
        <v>0</v>
      </c>
      <c r="BM148" s="79">
        <f>IF(AT148="",0,VLOOKUP(AT148,Tables!$AB$3:$AC$12,2))</f>
        <v>0</v>
      </c>
      <c r="BN148" s="79">
        <f>IF(AU148="",0,VLOOKUP(AU148,Tables!$AB$3:$AC$12,2))</f>
        <v>0</v>
      </c>
      <c r="BO148" s="78">
        <f>IF(AV148="",0,VLOOKUP(AV148,Tables!$AB$3:$AC$12,2))</f>
        <v>1</v>
      </c>
      <c r="BP148" s="79">
        <f>IF(AW148="",0,VLOOKUP(AW148,Tables!$AB$3:$AC$12,2))</f>
        <v>1</v>
      </c>
      <c r="BQ148" s="79">
        <f>IF(AX148="",0,VLOOKUP(AX148,Tables!$AB$3:$AC$12,2))</f>
        <v>0</v>
      </c>
      <c r="BR148" s="78">
        <f>IF(AY148="",0,VLOOKUP(AY148,Tables!$AB$3:$AC$12,2))</f>
        <v>0</v>
      </c>
      <c r="BS148" s="79">
        <f>IF(AZ148="",0,VLOOKUP(AZ148,Tables!$AB$3:$AC$12,2))</f>
        <v>0</v>
      </c>
      <c r="BT148" s="79">
        <f>IF(BA148="",0,VLOOKUP(BA148,Tables!$AB$3:$AC$12,2))</f>
        <v>0</v>
      </c>
      <c r="BU148" s="80">
        <f>IF(BB148="",0,VLOOKUP(BB148,Tables!$AB$3:$AC$12,2))</f>
        <v>0</v>
      </c>
      <c r="BV148" s="85">
        <f>IF(AN148="",0,VLOOKUP(B148,Tables!$B$3:$D$36,2,FALSE())*X$1)</f>
        <v>0</v>
      </c>
      <c r="BW148" s="72">
        <f>IF(AO148="",0,VLOOKUP(C148,Tables!$B$3:$D$36,2,FALSE())*Y$1)</f>
        <v>0</v>
      </c>
      <c r="BX148" s="72">
        <f>IF(AP148="",0,VLOOKUP(D148,Tables!$B$3:$D$36,2,FALSE())*Z$1)</f>
        <v>0</v>
      </c>
      <c r="BY148" s="85">
        <f>IF(AQ148="",0,VLOOKUP(E148,Tables!$B$3:$D$36,2,FALSE())*AA$1)</f>
        <v>18</v>
      </c>
      <c r="BZ148" s="72">
        <f>IF(AR148="",0,VLOOKUP(F148,Tables!$B$3:$D$36,2,FALSE())*AB$1)</f>
        <v>36</v>
      </c>
      <c r="CA148" s="72">
        <f>IF(AS148="",0,VLOOKUP(G148,Tables!$B$3:$D$36,2,FALSE())*AC$1)</f>
        <v>0</v>
      </c>
      <c r="CB148" s="72">
        <f>IF(AT148="",0,VLOOKUP(H148,Tables!$B$3:$D$36,2,FALSE())*AD$1)</f>
        <v>0</v>
      </c>
      <c r="CC148" s="72">
        <f>IF(AU148="",0,VLOOKUP(I148,Tables!$B$3:$D$36,2,FALSE())*AE$1)</f>
        <v>0</v>
      </c>
      <c r="CD148" s="85">
        <f>IF(AV148="",0,VLOOKUP(J148,Tables!$B$3:$D$36,2,FALSE())*AF$1)</f>
        <v>72</v>
      </c>
      <c r="CE148" s="72">
        <f>IF(AW148="",0,VLOOKUP(K148,Tables!$B$3:$D$36,2,FALSE())*AG$1)</f>
        <v>72</v>
      </c>
      <c r="CF148" s="72">
        <f>IF(AX148="",0,VLOOKUP(L148,Tables!$B$3:$D$36,2,FALSE())*AH$1)</f>
        <v>0</v>
      </c>
      <c r="CG148" s="85">
        <f>IF(AY148="",0,VLOOKUP(M148,Tables!$B$3:$D$36,2,FALSE())*AI$1)</f>
        <v>0</v>
      </c>
      <c r="CH148" s="72">
        <f>IF(AZ148="",0,VLOOKUP(N148,Tables!$B$3:$D$36,2,FALSE())*AJ$1)</f>
        <v>0</v>
      </c>
      <c r="CI148" s="72">
        <f>IF(BA148="",0,VLOOKUP(O148,Tables!$B$3:$D$36,2,FALSE())*AK$1)</f>
        <v>0</v>
      </c>
      <c r="CJ148" s="86">
        <f>IF(BB148="",0,VLOOKUP(P148,Tables!$B$3:$D$36,2,FALSE())*AL$1)</f>
        <v>0</v>
      </c>
      <c r="CK148" s="87">
        <f>IF(AN148="",0,VLOOKUP(B148,Tables!$B$3:$D$36,3,FALSE())*X$1)*IF(OR(AN148="K",AN148="P"),2,1)</f>
        <v>0</v>
      </c>
      <c r="CL148" s="73">
        <f>IF(AO148="",0,VLOOKUP(C148,Tables!$B$3:$D$36,3,FALSE())*Y$1)*IF(OR(AO148="K",AO148="P"),2,1)</f>
        <v>0</v>
      </c>
      <c r="CM148" s="73">
        <f>IF(AP148="",0,VLOOKUP(D148,Tables!$B$3:$D$36,3,FALSE())*Z$1)*IF(OR(AP148="K",AP148="P"),2,1)</f>
        <v>0</v>
      </c>
      <c r="CN148" s="87">
        <f>IF(AQ148="",0,VLOOKUP(E148,Tables!$B$3:$D$36,3,FALSE())*AA$1)</f>
        <v>0.18</v>
      </c>
      <c r="CO148" s="73">
        <f>IF(AR148="",0,VLOOKUP(F148,Tables!$B$3:$D$36,3,FALSE())*AB$1)</f>
        <v>0.36</v>
      </c>
      <c r="CP148" s="73">
        <f>IF(AS148="",0,VLOOKUP(G148,Tables!$B$3:$D$36,3,FALSE())*AC$1)</f>
        <v>0</v>
      </c>
      <c r="CQ148" s="73">
        <f>IF(AT148="",0,VLOOKUP(H148,Tables!$B$3:$D$36,3,FALSE())*AD$1)</f>
        <v>0</v>
      </c>
      <c r="CR148" s="73">
        <f>IF(AU148="",0,VLOOKUP(I148,Tables!$B$3:$D$36,3,FALSE())*AE$1)</f>
        <v>0</v>
      </c>
      <c r="CS148" s="87">
        <f>IF(AV148="",0,VLOOKUP(J148,Tables!$B$3:$D$36,3,FALSE())*AF$1)</f>
        <v>0.72</v>
      </c>
      <c r="CT148" s="73">
        <f>IF(AW148="",0,VLOOKUP(K148,Tables!$B$3:$D$36,3,FALSE())*AG$1)</f>
        <v>0.72</v>
      </c>
      <c r="CU148" s="73">
        <f>IF(AX148="",0,VLOOKUP(L148,Tables!$B$3:$D$36,3,FALSE())*AH$1)</f>
        <v>0</v>
      </c>
      <c r="CV148" s="87">
        <f>IF(AY148="",0,VLOOKUP(M148,Tables!$B$3:$D$36,3,FALSE())*AI$1)</f>
        <v>0</v>
      </c>
      <c r="CW148" s="73">
        <f>IF(AZ148="",0,VLOOKUP(N148,Tables!$B$3:$D$36,3,FALSE())*AJ$1)</f>
        <v>0</v>
      </c>
      <c r="CX148" s="73">
        <f>IF(BA148="",0,VLOOKUP(O148,Tables!$B$3:$D$36,3,FALSE())*AK$1)</f>
        <v>0</v>
      </c>
      <c r="CY148" s="88">
        <f>IF(BB148="",0,VLOOKUP(P148,Tables!$B$3:$D$36,3,FALSE())*AL$1)</f>
        <v>0</v>
      </c>
      <c r="CZ148" s="89">
        <f t="shared" si="152"/>
        <v>0</v>
      </c>
      <c r="DA148" s="75">
        <f t="shared" si="153"/>
        <v>0</v>
      </c>
      <c r="DB148" s="75">
        <f t="shared" si="154"/>
        <v>0</v>
      </c>
      <c r="DC148" s="89">
        <f t="shared" si="155"/>
        <v>1</v>
      </c>
      <c r="DD148" s="75">
        <f t="shared" si="156"/>
        <v>1</v>
      </c>
      <c r="DE148" s="75">
        <f t="shared" si="157"/>
        <v>0</v>
      </c>
      <c r="DF148" s="75">
        <f t="shared" si="158"/>
        <v>0</v>
      </c>
      <c r="DG148" s="75">
        <f t="shared" si="159"/>
        <v>0</v>
      </c>
      <c r="DH148" s="89">
        <f t="shared" si="160"/>
        <v>1</v>
      </c>
      <c r="DI148" s="75">
        <f t="shared" si="161"/>
        <v>1</v>
      </c>
      <c r="DJ148" s="75">
        <f t="shared" si="162"/>
        <v>0</v>
      </c>
      <c r="DK148" s="89">
        <f t="shared" si="163"/>
        <v>0</v>
      </c>
      <c r="DL148" s="75">
        <f t="shared" si="164"/>
        <v>0</v>
      </c>
      <c r="DM148" s="75">
        <f t="shared" si="165"/>
        <v>0</v>
      </c>
      <c r="DN148" s="90">
        <f t="shared" si="166"/>
        <v>0</v>
      </c>
      <c r="DO148" s="91">
        <f>IF(AN148="",0,VLOOKUP(B148,Tables!$B$3:$M$36,11,FALSE())*X$1)</f>
        <v>0</v>
      </c>
      <c r="DP148" s="92">
        <f>IF(AO148="",0,VLOOKUP(C148,Tables!$B$3:$M$36,11,FALSE())*Y$1)</f>
        <v>0</v>
      </c>
      <c r="DQ148" s="92">
        <f>IF(AP148="",0,VLOOKUP(D148,Tables!$B$3:$M$36,11,FALSE())*Z$1)</f>
        <v>0</v>
      </c>
      <c r="DR148" s="91">
        <f>IF(AQ148="",0,VLOOKUP(E148,Tables!$B$3:$M$36,11,FALSE())*AA$1)</f>
        <v>0.6</v>
      </c>
      <c r="DS148" s="92">
        <f>IF(AR148="",0,VLOOKUP(F148,Tables!$B$3:$M$36,11,FALSE())*AB$1)</f>
        <v>1.2</v>
      </c>
      <c r="DT148" s="92">
        <f>IF(AS148="",0,VLOOKUP(G148,Tables!$B$3:$M$36,11,FALSE())*AC$1)</f>
        <v>0</v>
      </c>
      <c r="DU148" s="92">
        <f>IF(AT148="",0,VLOOKUP(H148,Tables!$B$3:$M$36,11,FALSE())*AD$1)</f>
        <v>0</v>
      </c>
      <c r="DV148" s="92">
        <f>IF(AU148="",0,VLOOKUP(I148,Tables!$B$3:$M$36,11,FALSE())*AE$1)</f>
        <v>0</v>
      </c>
      <c r="DW148" s="91">
        <f>IF(AV148="",0,VLOOKUP(J148,Tables!$B$3:$M$36,11,FALSE())*AF$1)</f>
        <v>2.4</v>
      </c>
      <c r="DX148" s="92">
        <f>IF(AW148="",0,VLOOKUP(K148,Tables!$B$3:$M$36,11,FALSE())*AG$1)</f>
        <v>2.4</v>
      </c>
      <c r="DY148" s="92">
        <f>IF(AX148="",0,VLOOKUP(L148,Tables!$B$3:$M$36,11,FALSE())*AH$1)</f>
        <v>0</v>
      </c>
      <c r="DZ148" s="91">
        <f>IF(AY148="",0,VLOOKUP(M148,Tables!$B$3:$M$36,11,FALSE())*AI$1)</f>
        <v>0</v>
      </c>
      <c r="EA148" s="92">
        <f>IF(AZ148="",0,VLOOKUP(N148,Tables!$B$3:$M$36,11,FALSE())*AJ$1)</f>
        <v>0</v>
      </c>
      <c r="EB148" s="92">
        <f>IF(BA148="",0,VLOOKUP(O148,Tables!$B$3:$M$36,11,FALSE())*AK$1)</f>
        <v>0</v>
      </c>
      <c r="EC148" s="93">
        <f>IF(BB148="",0,VLOOKUP(P148,Tables!$B$3:$M$36,11,FALSE())*AL$1)</f>
        <v>0</v>
      </c>
      <c r="ED148" s="91">
        <f>IF(AN148="",0,VLOOKUP(B148,Tables!$B$3:$M$36,12,FALSE())*X$1)</f>
        <v>0</v>
      </c>
      <c r="EE148" s="92">
        <f>IF(AO148="",0,VLOOKUP(C148,Tables!$B$3:$M$36,12,FALSE())*Y$1)</f>
        <v>0</v>
      </c>
      <c r="EF148" s="92">
        <f>IF(AP148="",0,VLOOKUP(D148,Tables!$B$3:$M$36,12,FALSE())*Z$1)</f>
        <v>0</v>
      </c>
      <c r="EG148" s="91">
        <f>IF(AQ148="",0,VLOOKUP(E148,Tables!$B$3:$M$36,12,FALSE())*AA$1)</f>
        <v>14.399999999999999</v>
      </c>
      <c r="EH148" s="92">
        <f>IF(AR148="",0,VLOOKUP(F148,Tables!$B$3:$M$36,12,FALSE())*AB$1)</f>
        <v>28.799999999999997</v>
      </c>
      <c r="EI148" s="92">
        <f>IF(AS148="",0,VLOOKUP(G148,Tables!$B$3:$M$36,12,FALSE())*AC$1)</f>
        <v>0</v>
      </c>
      <c r="EJ148" s="92">
        <f>IF(AT148="",0,VLOOKUP(H148,Tables!$B$3:$M$36,12,FALSE())*AD$1)</f>
        <v>0</v>
      </c>
      <c r="EK148" s="92">
        <f>IF(AU148="",0,VLOOKUP(I148,Tables!$B$3:$M$36,12,FALSE())*AE$1)</f>
        <v>0</v>
      </c>
      <c r="EL148" s="91">
        <f>IF(AV148="",0,VLOOKUP(J148,Tables!$B$3:$M$36,12,FALSE())*AF$1)</f>
        <v>57.599999999999994</v>
      </c>
      <c r="EM148" s="92">
        <f>IF(AW148="",0,VLOOKUP(K148,Tables!$B$3:$M$36,12,FALSE())*AG$1)</f>
        <v>57.599999999999994</v>
      </c>
      <c r="EN148" s="92">
        <f>IF(AX148="",0,VLOOKUP(L148,Tables!$B$3:$M$36,12,FALSE())*AH$1)</f>
        <v>0</v>
      </c>
      <c r="EO148" s="91">
        <f>IF(AY148="",0,VLOOKUP(M148,Tables!$B$3:$M$36,12,FALSE())*AI$1)</f>
        <v>0</v>
      </c>
      <c r="EP148" s="92">
        <f>IF(AZ148="",0,VLOOKUP(N148,Tables!$B$3:$M$36,12,FALSE())*AJ$1)</f>
        <v>0</v>
      </c>
      <c r="EQ148" s="92">
        <f>IF(BA148="",0,VLOOKUP(O148,Tables!$B$3:$M$36,12,FALSE())*AK$1)</f>
        <v>0</v>
      </c>
      <c r="ER148" s="93">
        <f>IF(BB148="",0,VLOOKUP(P148,Tables!$B$3:$M$36,12,FALSE())*AL$1)</f>
        <v>0</v>
      </c>
      <c r="ES148" s="94">
        <f t="shared" si="167"/>
        <v>0</v>
      </c>
      <c r="ET148" s="95">
        <f>IF(AN148="",10,MIN(VLOOKUP(B148,MATERIAL,13,FALSE()),'Item Builder'!$W148))</f>
        <v>10</v>
      </c>
      <c r="EU148" s="95">
        <f>IF(AO148="",10,MIN(VLOOKUP(C148,MATERIAL,13,FALSE()),'Item Builder'!$W148))</f>
        <v>10</v>
      </c>
      <c r="EV148" s="95">
        <f>IF(AP148="",10,MIN(VLOOKUP(D148,MATERIAL,13,FALSE()),'Item Builder'!$W148))</f>
        <v>10</v>
      </c>
      <c r="EW148" s="95">
        <f>IF(AQ148="",10,MIN(VLOOKUP(E148,MATERIAL,13,FALSE()),'Item Builder'!$W148))</f>
        <v>0</v>
      </c>
      <c r="EX148" s="95">
        <f>IF(AR148="",10,MIN(VLOOKUP(F148,MATERIAL,13,FALSE()),'Item Builder'!$W148))</f>
        <v>0</v>
      </c>
      <c r="EY148" s="95">
        <f>IF(AS148="",10,MIN(VLOOKUP(G148,MATERIAL,13,FALSE()),'Item Builder'!$W148))</f>
        <v>10</v>
      </c>
      <c r="EZ148" s="95">
        <f>IF(AT148="",10,MIN(VLOOKUP(H148,MATERIAL,13,FALSE()),'Item Builder'!$W148))</f>
        <v>10</v>
      </c>
      <c r="FA148" s="95">
        <f>IF(AU148="",10,MIN(VLOOKUP(I148,MATERIAL,13,FALSE()),'Item Builder'!$W148))</f>
        <v>10</v>
      </c>
      <c r="FB148" s="95">
        <f>IF(AV148="",10,MIN(VLOOKUP(J148,MATERIAL,13,FALSE()),'Item Builder'!$W148))</f>
        <v>0</v>
      </c>
      <c r="FC148" s="95">
        <f>IF(AW148="",10,MIN(VLOOKUP(K148,MATERIAL,13,FALSE()),'Item Builder'!$W148))</f>
        <v>0</v>
      </c>
      <c r="FD148" s="95">
        <f>IF(AX148="",10,MIN(VLOOKUP(L148,MATERIAL,13,FALSE()),'Item Builder'!$W148))</f>
        <v>10</v>
      </c>
      <c r="FE148" s="95">
        <f>IF(AY148="",10,MIN(VLOOKUP(M148,MATERIAL,13,FALSE()),'Item Builder'!$W148))</f>
        <v>10</v>
      </c>
      <c r="FF148" s="95">
        <f>IF(AZ148="",10,MIN(VLOOKUP(N148,MATERIAL,13,FALSE()),'Item Builder'!$W148))</f>
        <v>10</v>
      </c>
      <c r="FG148" s="95">
        <f>IF(BA148="",10,MIN(VLOOKUP(O148,MATERIAL,13,FALSE()),'Item Builder'!$W148))</f>
        <v>10</v>
      </c>
      <c r="FH148" s="95">
        <f>IF(BB148="",10,MIN(VLOOKUP(P148,MATERIAL,13,FALSE()),'Item Builder'!$W148))</f>
        <v>10</v>
      </c>
    </row>
    <row r="149" spans="1:164" x14ac:dyDescent="0.25">
      <c r="A149" s="67" t="s">
        <v>289</v>
      </c>
      <c r="B149" s="68"/>
      <c r="C149" s="69"/>
      <c r="D149" s="70"/>
      <c r="E149" s="68" t="s">
        <v>168</v>
      </c>
      <c r="F149" s="69" t="s">
        <v>168</v>
      </c>
      <c r="G149" s="69" t="s">
        <v>168</v>
      </c>
      <c r="H149" s="69"/>
      <c r="I149" s="70"/>
      <c r="J149" s="68" t="s">
        <v>168</v>
      </c>
      <c r="K149" s="69" t="s">
        <v>168</v>
      </c>
      <c r="L149" s="70" t="s">
        <v>168</v>
      </c>
      <c r="M149" s="68"/>
      <c r="N149" s="69"/>
      <c r="O149" s="69"/>
      <c r="P149" s="71"/>
      <c r="Q149" s="72">
        <f>SUM(BV149:CJ149)*VLOOKUP(W149,Tables!$W$3:$Z$8,4)</f>
        <v>270</v>
      </c>
      <c r="R149" s="73">
        <f t="shared" si="112"/>
        <v>2.6999999999999997</v>
      </c>
      <c r="S149" s="74">
        <f t="shared" si="113"/>
        <v>0</v>
      </c>
      <c r="T149" s="74">
        <f t="shared" si="114"/>
        <v>0</v>
      </c>
      <c r="U149" s="75">
        <f t="shared" si="115"/>
        <v>9</v>
      </c>
      <c r="V149" s="76">
        <f t="shared" si="116"/>
        <v>216</v>
      </c>
      <c r="W149" s="77">
        <v>0</v>
      </c>
      <c r="X149" s="78">
        <f t="shared" si="117"/>
        <v>0</v>
      </c>
      <c r="Y149" s="79">
        <f t="shared" si="118"/>
        <v>0</v>
      </c>
      <c r="Z149" s="79">
        <f t="shared" si="119"/>
        <v>0</v>
      </c>
      <c r="AA149" s="78">
        <f t="shared" si="120"/>
        <v>1</v>
      </c>
      <c r="AB149" s="79">
        <f t="shared" si="121"/>
        <v>1</v>
      </c>
      <c r="AC149" s="79">
        <f t="shared" si="122"/>
        <v>1</v>
      </c>
      <c r="AD149" s="79">
        <f t="shared" si="123"/>
        <v>0</v>
      </c>
      <c r="AE149" s="79">
        <f t="shared" si="124"/>
        <v>0</v>
      </c>
      <c r="AF149" s="78">
        <f t="shared" si="125"/>
        <v>1</v>
      </c>
      <c r="AG149" s="79">
        <f t="shared" si="126"/>
        <v>1</v>
      </c>
      <c r="AH149" s="79">
        <f t="shared" si="127"/>
        <v>1</v>
      </c>
      <c r="AI149" s="78">
        <f t="shared" si="128"/>
        <v>0</v>
      </c>
      <c r="AJ149" s="79">
        <f t="shared" si="129"/>
        <v>0</v>
      </c>
      <c r="AK149" s="79">
        <f t="shared" si="130"/>
        <v>0</v>
      </c>
      <c r="AL149" s="80">
        <f t="shared" si="131"/>
        <v>0</v>
      </c>
      <c r="AM149" s="81">
        <f t="shared" si="132"/>
        <v>0.44999999999999996</v>
      </c>
      <c r="AN149" s="82" t="str">
        <f t="shared" si="133"/>
        <v/>
      </c>
      <c r="AO149" s="79" t="str">
        <f t="shared" si="134"/>
        <v/>
      </c>
      <c r="AP149" t="str">
        <f t="shared" si="135"/>
        <v/>
      </c>
      <c r="AQ149" s="82" t="str">
        <f t="shared" si="136"/>
        <v>C</v>
      </c>
      <c r="AR149" t="str">
        <f t="shared" si="137"/>
        <v>C</v>
      </c>
      <c r="AS149" t="str">
        <f t="shared" si="138"/>
        <v>C</v>
      </c>
      <c r="AT149" t="str">
        <f t="shared" si="139"/>
        <v/>
      </c>
      <c r="AU149" t="str">
        <f t="shared" si="140"/>
        <v/>
      </c>
      <c r="AV149" s="82" t="str">
        <f t="shared" si="141"/>
        <v>C</v>
      </c>
      <c r="AW149" t="str">
        <f t="shared" si="142"/>
        <v>C</v>
      </c>
      <c r="AX149" t="str">
        <f t="shared" si="143"/>
        <v>C</v>
      </c>
      <c r="AY149" s="82" t="str">
        <f t="shared" si="144"/>
        <v/>
      </c>
      <c r="AZ149" t="str">
        <f t="shared" si="145"/>
        <v/>
      </c>
      <c r="BA149" t="str">
        <f t="shared" si="146"/>
        <v/>
      </c>
      <c r="BB149" s="83" t="str">
        <f t="shared" si="147"/>
        <v/>
      </c>
      <c r="BC149" s="84">
        <f t="shared" si="148"/>
        <v>0</v>
      </c>
      <c r="BD149" s="84">
        <f t="shared" si="149"/>
        <v>0.52380952380952372</v>
      </c>
      <c r="BE149" s="84">
        <f t="shared" si="150"/>
        <v>1</v>
      </c>
      <c r="BF149" s="84">
        <f t="shared" si="151"/>
        <v>0</v>
      </c>
      <c r="BG149" s="78">
        <f>IF(AN149="",0,VLOOKUP(AN149,Tables!$AB$3:$AC$12,2))</f>
        <v>0</v>
      </c>
      <c r="BH149" s="79">
        <f>IF(AO149="",0,VLOOKUP(AO149,Tables!$AB$3:$AC$12,2))</f>
        <v>0</v>
      </c>
      <c r="BI149" s="79">
        <f>IF(AP149="",0,VLOOKUP(AP149,Tables!$AB$3:$AC$12,2))</f>
        <v>0</v>
      </c>
      <c r="BJ149" s="78">
        <f>IF(AQ149="",0,VLOOKUP(AQ149,Tables!$AB$3:$AC$12,2))</f>
        <v>1</v>
      </c>
      <c r="BK149" s="79">
        <f>IF(AR149="",0,VLOOKUP(AR149,Tables!$AB$3:$AC$12,2))</f>
        <v>1</v>
      </c>
      <c r="BL149" s="79">
        <f>IF(AS149="",0,VLOOKUP(AS149,Tables!$AB$3:$AC$12,2))</f>
        <v>1</v>
      </c>
      <c r="BM149" s="79">
        <f>IF(AT149="",0,VLOOKUP(AT149,Tables!$AB$3:$AC$12,2))</f>
        <v>0</v>
      </c>
      <c r="BN149" s="79">
        <f>IF(AU149="",0,VLOOKUP(AU149,Tables!$AB$3:$AC$12,2))</f>
        <v>0</v>
      </c>
      <c r="BO149" s="78">
        <f>IF(AV149="",0,VLOOKUP(AV149,Tables!$AB$3:$AC$12,2))</f>
        <v>1</v>
      </c>
      <c r="BP149" s="79">
        <f>IF(AW149="",0,VLOOKUP(AW149,Tables!$AB$3:$AC$12,2))</f>
        <v>1</v>
      </c>
      <c r="BQ149" s="79">
        <f>IF(AX149="",0,VLOOKUP(AX149,Tables!$AB$3:$AC$12,2))</f>
        <v>1</v>
      </c>
      <c r="BR149" s="78">
        <f>IF(AY149="",0,VLOOKUP(AY149,Tables!$AB$3:$AC$12,2))</f>
        <v>0</v>
      </c>
      <c r="BS149" s="79">
        <f>IF(AZ149="",0,VLOOKUP(AZ149,Tables!$AB$3:$AC$12,2))</f>
        <v>0</v>
      </c>
      <c r="BT149" s="79">
        <f>IF(BA149="",0,VLOOKUP(BA149,Tables!$AB$3:$AC$12,2))</f>
        <v>0</v>
      </c>
      <c r="BU149" s="80">
        <f>IF(BB149="",0,VLOOKUP(BB149,Tables!$AB$3:$AC$12,2))</f>
        <v>0</v>
      </c>
      <c r="BV149" s="85">
        <f>IF(AN149="",0,VLOOKUP(B149,Tables!$B$3:$D$36,2,FALSE())*X$1)</f>
        <v>0</v>
      </c>
      <c r="BW149" s="72">
        <f>IF(AO149="",0,VLOOKUP(C149,Tables!$B$3:$D$36,2,FALSE())*Y$1)</f>
        <v>0</v>
      </c>
      <c r="BX149" s="72">
        <f>IF(AP149="",0,VLOOKUP(D149,Tables!$B$3:$D$36,2,FALSE())*Z$1)</f>
        <v>0</v>
      </c>
      <c r="BY149" s="85">
        <f>IF(AQ149="",0,VLOOKUP(E149,Tables!$B$3:$D$36,2,FALSE())*AA$1)</f>
        <v>18</v>
      </c>
      <c r="BZ149" s="72">
        <f>IF(AR149="",0,VLOOKUP(F149,Tables!$B$3:$D$36,2,FALSE())*AB$1)</f>
        <v>36</v>
      </c>
      <c r="CA149" s="72">
        <f>IF(AS149="",0,VLOOKUP(G149,Tables!$B$3:$D$36,2,FALSE())*AC$1)</f>
        <v>12</v>
      </c>
      <c r="CB149" s="72">
        <f>IF(AT149="",0,VLOOKUP(H149,Tables!$B$3:$D$36,2,FALSE())*AD$1)</f>
        <v>0</v>
      </c>
      <c r="CC149" s="72">
        <f>IF(AU149="",0,VLOOKUP(I149,Tables!$B$3:$D$36,2,FALSE())*AE$1)</f>
        <v>0</v>
      </c>
      <c r="CD149" s="85">
        <f>IF(AV149="",0,VLOOKUP(J149,Tables!$B$3:$D$36,2,FALSE())*AF$1)</f>
        <v>72</v>
      </c>
      <c r="CE149" s="72">
        <f>IF(AW149="",0,VLOOKUP(K149,Tables!$B$3:$D$36,2,FALSE())*AG$1)</f>
        <v>72</v>
      </c>
      <c r="CF149" s="72">
        <f>IF(AX149="",0,VLOOKUP(L149,Tables!$B$3:$D$36,2,FALSE())*AH$1)</f>
        <v>60</v>
      </c>
      <c r="CG149" s="85">
        <f>IF(AY149="",0,VLOOKUP(M149,Tables!$B$3:$D$36,2,FALSE())*AI$1)</f>
        <v>0</v>
      </c>
      <c r="CH149" s="72">
        <f>IF(AZ149="",0,VLOOKUP(N149,Tables!$B$3:$D$36,2,FALSE())*AJ$1)</f>
        <v>0</v>
      </c>
      <c r="CI149" s="72">
        <f>IF(BA149="",0,VLOOKUP(O149,Tables!$B$3:$D$36,2,FALSE())*AK$1)</f>
        <v>0</v>
      </c>
      <c r="CJ149" s="86">
        <f>IF(BB149="",0,VLOOKUP(P149,Tables!$B$3:$D$36,2,FALSE())*AL$1)</f>
        <v>0</v>
      </c>
      <c r="CK149" s="87">
        <f>IF(AN149="",0,VLOOKUP(B149,Tables!$B$3:$D$36,3,FALSE())*X$1)*IF(OR(AN149="K",AN149="P"),2,1)</f>
        <v>0</v>
      </c>
      <c r="CL149" s="73">
        <f>IF(AO149="",0,VLOOKUP(C149,Tables!$B$3:$D$36,3,FALSE())*Y$1)*IF(OR(AO149="K",AO149="P"),2,1)</f>
        <v>0</v>
      </c>
      <c r="CM149" s="73">
        <f>IF(AP149="",0,VLOOKUP(D149,Tables!$B$3:$D$36,3,FALSE())*Z$1)*IF(OR(AP149="K",AP149="P"),2,1)</f>
        <v>0</v>
      </c>
      <c r="CN149" s="87">
        <f>IF(AQ149="",0,VLOOKUP(E149,Tables!$B$3:$D$36,3,FALSE())*AA$1)</f>
        <v>0.18</v>
      </c>
      <c r="CO149" s="73">
        <f>IF(AR149="",0,VLOOKUP(F149,Tables!$B$3:$D$36,3,FALSE())*AB$1)</f>
        <v>0.36</v>
      </c>
      <c r="CP149" s="73">
        <f>IF(AS149="",0,VLOOKUP(G149,Tables!$B$3:$D$36,3,FALSE())*AC$1)</f>
        <v>0.12</v>
      </c>
      <c r="CQ149" s="73">
        <f>IF(AT149="",0,VLOOKUP(H149,Tables!$B$3:$D$36,3,FALSE())*AD$1)</f>
        <v>0</v>
      </c>
      <c r="CR149" s="73">
        <f>IF(AU149="",0,VLOOKUP(I149,Tables!$B$3:$D$36,3,FALSE())*AE$1)</f>
        <v>0</v>
      </c>
      <c r="CS149" s="87">
        <f>IF(AV149="",0,VLOOKUP(J149,Tables!$B$3:$D$36,3,FALSE())*AF$1)</f>
        <v>0.72</v>
      </c>
      <c r="CT149" s="73">
        <f>IF(AW149="",0,VLOOKUP(K149,Tables!$B$3:$D$36,3,FALSE())*AG$1)</f>
        <v>0.72</v>
      </c>
      <c r="CU149" s="73">
        <f>IF(AX149="",0,VLOOKUP(L149,Tables!$B$3:$D$36,3,FALSE())*AH$1)</f>
        <v>0.60000000000000009</v>
      </c>
      <c r="CV149" s="87">
        <f>IF(AY149="",0,VLOOKUP(M149,Tables!$B$3:$D$36,3,FALSE())*AI$1)</f>
        <v>0</v>
      </c>
      <c r="CW149" s="73">
        <f>IF(AZ149="",0,VLOOKUP(N149,Tables!$B$3:$D$36,3,FALSE())*AJ$1)</f>
        <v>0</v>
      </c>
      <c r="CX149" s="73">
        <f>IF(BA149="",0,VLOOKUP(O149,Tables!$B$3:$D$36,3,FALSE())*AK$1)</f>
        <v>0</v>
      </c>
      <c r="CY149" s="88">
        <f>IF(BB149="",0,VLOOKUP(P149,Tables!$B$3:$D$36,3,FALSE())*AL$1)</f>
        <v>0</v>
      </c>
      <c r="CZ149" s="89">
        <f t="shared" si="152"/>
        <v>0</v>
      </c>
      <c r="DA149" s="75">
        <f t="shared" si="153"/>
        <v>0</v>
      </c>
      <c r="DB149" s="75">
        <f t="shared" si="154"/>
        <v>0</v>
      </c>
      <c r="DC149" s="89">
        <f t="shared" si="155"/>
        <v>1</v>
      </c>
      <c r="DD149" s="75">
        <f t="shared" si="156"/>
        <v>1</v>
      </c>
      <c r="DE149" s="75">
        <f t="shared" si="157"/>
        <v>1</v>
      </c>
      <c r="DF149" s="75">
        <f t="shared" si="158"/>
        <v>0</v>
      </c>
      <c r="DG149" s="75">
        <f t="shared" si="159"/>
        <v>0</v>
      </c>
      <c r="DH149" s="89">
        <f t="shared" si="160"/>
        <v>1</v>
      </c>
      <c r="DI149" s="75">
        <f t="shared" si="161"/>
        <v>1</v>
      </c>
      <c r="DJ149" s="75">
        <f t="shared" si="162"/>
        <v>1</v>
      </c>
      <c r="DK149" s="89">
        <f t="shared" si="163"/>
        <v>0</v>
      </c>
      <c r="DL149" s="75">
        <f t="shared" si="164"/>
        <v>0</v>
      </c>
      <c r="DM149" s="75">
        <f t="shared" si="165"/>
        <v>0</v>
      </c>
      <c r="DN149" s="90">
        <f t="shared" si="166"/>
        <v>0</v>
      </c>
      <c r="DO149" s="91">
        <f>IF(AN149="",0,VLOOKUP(B149,Tables!$B$3:$M$36,11,FALSE())*X$1)</f>
        <v>0</v>
      </c>
      <c r="DP149" s="92">
        <f>IF(AO149="",0,VLOOKUP(C149,Tables!$B$3:$M$36,11,FALSE())*Y$1)</f>
        <v>0</v>
      </c>
      <c r="DQ149" s="92">
        <f>IF(AP149="",0,VLOOKUP(D149,Tables!$B$3:$M$36,11,FALSE())*Z$1)</f>
        <v>0</v>
      </c>
      <c r="DR149" s="91">
        <f>IF(AQ149="",0,VLOOKUP(E149,Tables!$B$3:$M$36,11,FALSE())*AA$1)</f>
        <v>0.6</v>
      </c>
      <c r="DS149" s="92">
        <f>IF(AR149="",0,VLOOKUP(F149,Tables!$B$3:$M$36,11,FALSE())*AB$1)</f>
        <v>1.2</v>
      </c>
      <c r="DT149" s="92">
        <f>IF(AS149="",0,VLOOKUP(G149,Tables!$B$3:$M$36,11,FALSE())*AC$1)</f>
        <v>0.4</v>
      </c>
      <c r="DU149" s="92">
        <f>IF(AT149="",0,VLOOKUP(H149,Tables!$B$3:$M$36,11,FALSE())*AD$1)</f>
        <v>0</v>
      </c>
      <c r="DV149" s="92">
        <f>IF(AU149="",0,VLOOKUP(I149,Tables!$B$3:$M$36,11,FALSE())*AE$1)</f>
        <v>0</v>
      </c>
      <c r="DW149" s="91">
        <f>IF(AV149="",0,VLOOKUP(J149,Tables!$B$3:$M$36,11,FALSE())*AF$1)</f>
        <v>2.4</v>
      </c>
      <c r="DX149" s="92">
        <f>IF(AW149="",0,VLOOKUP(K149,Tables!$B$3:$M$36,11,FALSE())*AG$1)</f>
        <v>2.4</v>
      </c>
      <c r="DY149" s="92">
        <f>IF(AX149="",0,VLOOKUP(L149,Tables!$B$3:$M$36,11,FALSE())*AH$1)</f>
        <v>2</v>
      </c>
      <c r="DZ149" s="91">
        <f>IF(AY149="",0,VLOOKUP(M149,Tables!$B$3:$M$36,11,FALSE())*AI$1)</f>
        <v>0</v>
      </c>
      <c r="EA149" s="92">
        <f>IF(AZ149="",0,VLOOKUP(N149,Tables!$B$3:$M$36,11,FALSE())*AJ$1)</f>
        <v>0</v>
      </c>
      <c r="EB149" s="92">
        <f>IF(BA149="",0,VLOOKUP(O149,Tables!$B$3:$M$36,11,FALSE())*AK$1)</f>
        <v>0</v>
      </c>
      <c r="EC149" s="93">
        <f>IF(BB149="",0,VLOOKUP(P149,Tables!$B$3:$M$36,11,FALSE())*AL$1)</f>
        <v>0</v>
      </c>
      <c r="ED149" s="91">
        <f>IF(AN149="",0,VLOOKUP(B149,Tables!$B$3:$M$36,12,FALSE())*X$1)</f>
        <v>0</v>
      </c>
      <c r="EE149" s="92">
        <f>IF(AO149="",0,VLOOKUP(C149,Tables!$B$3:$M$36,12,FALSE())*Y$1)</f>
        <v>0</v>
      </c>
      <c r="EF149" s="92">
        <f>IF(AP149="",0,VLOOKUP(D149,Tables!$B$3:$M$36,12,FALSE())*Z$1)</f>
        <v>0</v>
      </c>
      <c r="EG149" s="91">
        <f>IF(AQ149="",0,VLOOKUP(E149,Tables!$B$3:$M$36,12,FALSE())*AA$1)</f>
        <v>14.399999999999999</v>
      </c>
      <c r="EH149" s="92">
        <f>IF(AR149="",0,VLOOKUP(F149,Tables!$B$3:$M$36,12,FALSE())*AB$1)</f>
        <v>28.799999999999997</v>
      </c>
      <c r="EI149" s="92">
        <f>IF(AS149="",0,VLOOKUP(G149,Tables!$B$3:$M$36,12,FALSE())*AC$1)</f>
        <v>9.6</v>
      </c>
      <c r="EJ149" s="92">
        <f>IF(AT149="",0,VLOOKUP(H149,Tables!$B$3:$M$36,12,FALSE())*AD$1)</f>
        <v>0</v>
      </c>
      <c r="EK149" s="92">
        <f>IF(AU149="",0,VLOOKUP(I149,Tables!$B$3:$M$36,12,FALSE())*AE$1)</f>
        <v>0</v>
      </c>
      <c r="EL149" s="91">
        <f>IF(AV149="",0,VLOOKUP(J149,Tables!$B$3:$M$36,12,FALSE())*AF$1)</f>
        <v>57.599999999999994</v>
      </c>
      <c r="EM149" s="92">
        <f>IF(AW149="",0,VLOOKUP(K149,Tables!$B$3:$M$36,12,FALSE())*AG$1)</f>
        <v>57.599999999999994</v>
      </c>
      <c r="EN149" s="92">
        <f>IF(AX149="",0,VLOOKUP(L149,Tables!$B$3:$M$36,12,FALSE())*AH$1)</f>
        <v>48</v>
      </c>
      <c r="EO149" s="91">
        <f>IF(AY149="",0,VLOOKUP(M149,Tables!$B$3:$M$36,12,FALSE())*AI$1)</f>
        <v>0</v>
      </c>
      <c r="EP149" s="92">
        <f>IF(AZ149="",0,VLOOKUP(N149,Tables!$B$3:$M$36,12,FALSE())*AJ$1)</f>
        <v>0</v>
      </c>
      <c r="EQ149" s="92">
        <f>IF(BA149="",0,VLOOKUP(O149,Tables!$B$3:$M$36,12,FALSE())*AK$1)</f>
        <v>0</v>
      </c>
      <c r="ER149" s="93">
        <f>IF(BB149="",0,VLOOKUP(P149,Tables!$B$3:$M$36,12,FALSE())*AL$1)</f>
        <v>0</v>
      </c>
      <c r="ES149" s="94">
        <f t="shared" si="167"/>
        <v>0</v>
      </c>
      <c r="ET149" s="95">
        <f>IF(AN149="",10,MIN(VLOOKUP(B149,MATERIAL,13,FALSE()),'Item Builder'!$W149))</f>
        <v>10</v>
      </c>
      <c r="EU149" s="95">
        <f>IF(AO149="",10,MIN(VLOOKUP(C149,MATERIAL,13,FALSE()),'Item Builder'!$W149))</f>
        <v>10</v>
      </c>
      <c r="EV149" s="95">
        <f>IF(AP149="",10,MIN(VLOOKUP(D149,MATERIAL,13,FALSE()),'Item Builder'!$W149))</f>
        <v>10</v>
      </c>
      <c r="EW149" s="95">
        <f>IF(AQ149="",10,MIN(VLOOKUP(E149,MATERIAL,13,FALSE()),'Item Builder'!$W149))</f>
        <v>0</v>
      </c>
      <c r="EX149" s="95">
        <f>IF(AR149="",10,MIN(VLOOKUP(F149,MATERIAL,13,FALSE()),'Item Builder'!$W149))</f>
        <v>0</v>
      </c>
      <c r="EY149" s="95">
        <f>IF(AS149="",10,MIN(VLOOKUP(G149,MATERIAL,13,FALSE()),'Item Builder'!$W149))</f>
        <v>0</v>
      </c>
      <c r="EZ149" s="95">
        <f>IF(AT149="",10,MIN(VLOOKUP(H149,MATERIAL,13,FALSE()),'Item Builder'!$W149))</f>
        <v>10</v>
      </c>
      <c r="FA149" s="95">
        <f>IF(AU149="",10,MIN(VLOOKUP(I149,MATERIAL,13,FALSE()),'Item Builder'!$W149))</f>
        <v>10</v>
      </c>
      <c r="FB149" s="95">
        <f>IF(AV149="",10,MIN(VLOOKUP(J149,MATERIAL,13,FALSE()),'Item Builder'!$W149))</f>
        <v>0</v>
      </c>
      <c r="FC149" s="95">
        <f>IF(AW149="",10,MIN(VLOOKUP(K149,MATERIAL,13,FALSE()),'Item Builder'!$W149))</f>
        <v>0</v>
      </c>
      <c r="FD149" s="95">
        <f>IF(AX149="",10,MIN(VLOOKUP(L149,MATERIAL,13,FALSE()),'Item Builder'!$W149))</f>
        <v>0</v>
      </c>
      <c r="FE149" s="95">
        <f>IF(AY149="",10,MIN(VLOOKUP(M149,MATERIAL,13,FALSE()),'Item Builder'!$W149))</f>
        <v>10</v>
      </c>
      <c r="FF149" s="95">
        <f>IF(AZ149="",10,MIN(VLOOKUP(N149,MATERIAL,13,FALSE()),'Item Builder'!$W149))</f>
        <v>10</v>
      </c>
      <c r="FG149" s="95">
        <f>IF(BA149="",10,MIN(VLOOKUP(O149,MATERIAL,13,FALSE()),'Item Builder'!$W149))</f>
        <v>10</v>
      </c>
      <c r="FH149" s="95">
        <f>IF(BB149="",10,MIN(VLOOKUP(P149,MATERIAL,13,FALSE()),'Item Builder'!$W149))</f>
        <v>10</v>
      </c>
    </row>
    <row r="150" spans="1:164" x14ac:dyDescent="0.25">
      <c r="A150" s="67" t="s">
        <v>290</v>
      </c>
      <c r="B150" s="68"/>
      <c r="C150" s="69"/>
      <c r="D150" s="70"/>
      <c r="E150" s="68" t="s">
        <v>168</v>
      </c>
      <c r="F150" s="69" t="s">
        <v>168</v>
      </c>
      <c r="G150" s="69" t="s">
        <v>168</v>
      </c>
      <c r="H150" s="69" t="s">
        <v>168</v>
      </c>
      <c r="I150" s="70"/>
      <c r="J150" s="68" t="s">
        <v>168</v>
      </c>
      <c r="K150" s="69" t="s">
        <v>168</v>
      </c>
      <c r="L150" s="70" t="s">
        <v>168</v>
      </c>
      <c r="M150" s="68"/>
      <c r="N150" s="69"/>
      <c r="O150" s="69"/>
      <c r="P150" s="71"/>
      <c r="Q150" s="72">
        <f>SUM(BV150:CJ150)*VLOOKUP(W150,Tables!$W$3:$Z$8,4)</f>
        <v>300</v>
      </c>
      <c r="R150" s="73">
        <f t="shared" si="112"/>
        <v>3.0000000000000004</v>
      </c>
      <c r="S150" s="74">
        <f t="shared" si="113"/>
        <v>0</v>
      </c>
      <c r="T150" s="74">
        <f t="shared" si="114"/>
        <v>0</v>
      </c>
      <c r="U150" s="75">
        <f t="shared" si="115"/>
        <v>10</v>
      </c>
      <c r="V150" s="76">
        <f t="shared" si="116"/>
        <v>239.99999999999997</v>
      </c>
      <c r="W150" s="77">
        <v>0</v>
      </c>
      <c r="X150" s="78">
        <f t="shared" si="117"/>
        <v>0</v>
      </c>
      <c r="Y150" s="79">
        <f t="shared" si="118"/>
        <v>0</v>
      </c>
      <c r="Z150" s="79">
        <f t="shared" si="119"/>
        <v>0</v>
      </c>
      <c r="AA150" s="78">
        <f t="shared" si="120"/>
        <v>1</v>
      </c>
      <c r="AB150" s="79">
        <f t="shared" si="121"/>
        <v>1</v>
      </c>
      <c r="AC150" s="79">
        <f t="shared" si="122"/>
        <v>1</v>
      </c>
      <c r="AD150" s="79">
        <f t="shared" si="123"/>
        <v>1</v>
      </c>
      <c r="AE150" s="79">
        <f t="shared" si="124"/>
        <v>0</v>
      </c>
      <c r="AF150" s="78">
        <f t="shared" si="125"/>
        <v>1</v>
      </c>
      <c r="AG150" s="79">
        <f t="shared" si="126"/>
        <v>1</v>
      </c>
      <c r="AH150" s="79">
        <f t="shared" si="127"/>
        <v>1</v>
      </c>
      <c r="AI150" s="78">
        <f t="shared" si="128"/>
        <v>0</v>
      </c>
      <c r="AJ150" s="79">
        <f t="shared" si="129"/>
        <v>0</v>
      </c>
      <c r="AK150" s="79">
        <f t="shared" si="130"/>
        <v>0</v>
      </c>
      <c r="AL150" s="80">
        <f t="shared" si="131"/>
        <v>0</v>
      </c>
      <c r="AM150" s="81">
        <f t="shared" si="132"/>
        <v>0.5</v>
      </c>
      <c r="AN150" s="82" t="str">
        <f t="shared" si="133"/>
        <v/>
      </c>
      <c r="AO150" s="79" t="str">
        <f t="shared" si="134"/>
        <v/>
      </c>
      <c r="AP150" t="str">
        <f t="shared" si="135"/>
        <v/>
      </c>
      <c r="AQ150" s="82" t="str">
        <f t="shared" si="136"/>
        <v>C</v>
      </c>
      <c r="AR150" t="str">
        <f t="shared" si="137"/>
        <v>C</v>
      </c>
      <c r="AS150" t="str">
        <f t="shared" si="138"/>
        <v>C</v>
      </c>
      <c r="AT150" t="str">
        <f t="shared" si="139"/>
        <v>C</v>
      </c>
      <c r="AU150" t="str">
        <f t="shared" si="140"/>
        <v/>
      </c>
      <c r="AV150" s="82" t="str">
        <f t="shared" si="141"/>
        <v>C</v>
      </c>
      <c r="AW150" t="str">
        <f t="shared" si="142"/>
        <v>C</v>
      </c>
      <c r="AX150" t="str">
        <f t="shared" si="143"/>
        <v>C</v>
      </c>
      <c r="AY150" s="82" t="str">
        <f t="shared" si="144"/>
        <v/>
      </c>
      <c r="AZ150" t="str">
        <f t="shared" si="145"/>
        <v/>
      </c>
      <c r="BA150" t="str">
        <f t="shared" si="146"/>
        <v/>
      </c>
      <c r="BB150" s="83" t="str">
        <f t="shared" si="147"/>
        <v/>
      </c>
      <c r="BC150" s="84">
        <f t="shared" si="148"/>
        <v>0</v>
      </c>
      <c r="BD150" s="84">
        <f t="shared" si="149"/>
        <v>0.76190476190476186</v>
      </c>
      <c r="BE150" s="84">
        <f t="shared" si="150"/>
        <v>1</v>
      </c>
      <c r="BF150" s="84">
        <f t="shared" si="151"/>
        <v>0</v>
      </c>
      <c r="BG150" s="78">
        <f>IF(AN150="",0,VLOOKUP(AN150,Tables!$AB$3:$AC$12,2))</f>
        <v>0</v>
      </c>
      <c r="BH150" s="79">
        <f>IF(AO150="",0,VLOOKUP(AO150,Tables!$AB$3:$AC$12,2))</f>
        <v>0</v>
      </c>
      <c r="BI150" s="79">
        <f>IF(AP150="",0,VLOOKUP(AP150,Tables!$AB$3:$AC$12,2))</f>
        <v>0</v>
      </c>
      <c r="BJ150" s="78">
        <f>IF(AQ150="",0,VLOOKUP(AQ150,Tables!$AB$3:$AC$12,2))</f>
        <v>1</v>
      </c>
      <c r="BK150" s="79">
        <f>IF(AR150="",0,VLOOKUP(AR150,Tables!$AB$3:$AC$12,2))</f>
        <v>1</v>
      </c>
      <c r="BL150" s="79">
        <f>IF(AS150="",0,VLOOKUP(AS150,Tables!$AB$3:$AC$12,2))</f>
        <v>1</v>
      </c>
      <c r="BM150" s="79">
        <f>IF(AT150="",0,VLOOKUP(AT150,Tables!$AB$3:$AC$12,2))</f>
        <v>1</v>
      </c>
      <c r="BN150" s="79">
        <f>IF(AU150="",0,VLOOKUP(AU150,Tables!$AB$3:$AC$12,2))</f>
        <v>0</v>
      </c>
      <c r="BO150" s="78">
        <f>IF(AV150="",0,VLOOKUP(AV150,Tables!$AB$3:$AC$12,2))</f>
        <v>1</v>
      </c>
      <c r="BP150" s="79">
        <f>IF(AW150="",0,VLOOKUP(AW150,Tables!$AB$3:$AC$12,2))</f>
        <v>1</v>
      </c>
      <c r="BQ150" s="79">
        <f>IF(AX150="",0,VLOOKUP(AX150,Tables!$AB$3:$AC$12,2))</f>
        <v>1</v>
      </c>
      <c r="BR150" s="78">
        <f>IF(AY150="",0,VLOOKUP(AY150,Tables!$AB$3:$AC$12,2))</f>
        <v>0</v>
      </c>
      <c r="BS150" s="79">
        <f>IF(AZ150="",0,VLOOKUP(AZ150,Tables!$AB$3:$AC$12,2))</f>
        <v>0</v>
      </c>
      <c r="BT150" s="79">
        <f>IF(BA150="",0,VLOOKUP(BA150,Tables!$AB$3:$AC$12,2))</f>
        <v>0</v>
      </c>
      <c r="BU150" s="80">
        <f>IF(BB150="",0,VLOOKUP(BB150,Tables!$AB$3:$AC$12,2))</f>
        <v>0</v>
      </c>
      <c r="BV150" s="85">
        <f>IF(AN150="",0,VLOOKUP(B150,Tables!$B$3:$D$36,2,FALSE())*X$1)</f>
        <v>0</v>
      </c>
      <c r="BW150" s="72">
        <f>IF(AO150="",0,VLOOKUP(C150,Tables!$B$3:$D$36,2,FALSE())*Y$1)</f>
        <v>0</v>
      </c>
      <c r="BX150" s="72">
        <f>IF(AP150="",0,VLOOKUP(D150,Tables!$B$3:$D$36,2,FALSE())*Z$1)</f>
        <v>0</v>
      </c>
      <c r="BY150" s="85">
        <f>IF(AQ150="",0,VLOOKUP(E150,Tables!$B$3:$D$36,2,FALSE())*AA$1)</f>
        <v>18</v>
      </c>
      <c r="BZ150" s="72">
        <f>IF(AR150="",0,VLOOKUP(F150,Tables!$B$3:$D$36,2,FALSE())*AB$1)</f>
        <v>36</v>
      </c>
      <c r="CA150" s="72">
        <f>IF(AS150="",0,VLOOKUP(G150,Tables!$B$3:$D$36,2,FALSE())*AC$1)</f>
        <v>12</v>
      </c>
      <c r="CB150" s="72">
        <f>IF(AT150="",0,VLOOKUP(H150,Tables!$B$3:$D$36,2,FALSE())*AD$1)</f>
        <v>30</v>
      </c>
      <c r="CC150" s="72">
        <f>IF(AU150="",0,VLOOKUP(I150,Tables!$B$3:$D$36,2,FALSE())*AE$1)</f>
        <v>0</v>
      </c>
      <c r="CD150" s="85">
        <f>IF(AV150="",0,VLOOKUP(J150,Tables!$B$3:$D$36,2,FALSE())*AF$1)</f>
        <v>72</v>
      </c>
      <c r="CE150" s="72">
        <f>IF(AW150="",0,VLOOKUP(K150,Tables!$B$3:$D$36,2,FALSE())*AG$1)</f>
        <v>72</v>
      </c>
      <c r="CF150" s="72">
        <f>IF(AX150="",0,VLOOKUP(L150,Tables!$B$3:$D$36,2,FALSE())*AH$1)</f>
        <v>60</v>
      </c>
      <c r="CG150" s="85">
        <f>IF(AY150="",0,VLOOKUP(M150,Tables!$B$3:$D$36,2,FALSE())*AI$1)</f>
        <v>0</v>
      </c>
      <c r="CH150" s="72">
        <f>IF(AZ150="",0,VLOOKUP(N150,Tables!$B$3:$D$36,2,FALSE())*AJ$1)</f>
        <v>0</v>
      </c>
      <c r="CI150" s="72">
        <f>IF(BA150="",0,VLOOKUP(O150,Tables!$B$3:$D$36,2,FALSE())*AK$1)</f>
        <v>0</v>
      </c>
      <c r="CJ150" s="86">
        <f>IF(BB150="",0,VLOOKUP(P150,Tables!$B$3:$D$36,2,FALSE())*AL$1)</f>
        <v>0</v>
      </c>
      <c r="CK150" s="87">
        <f>IF(AN150="",0,VLOOKUP(B150,Tables!$B$3:$D$36,3,FALSE())*X$1)*IF(OR(AN150="K",AN150="P"),2,1)</f>
        <v>0</v>
      </c>
      <c r="CL150" s="73">
        <f>IF(AO150="",0,VLOOKUP(C150,Tables!$B$3:$D$36,3,FALSE())*Y$1)*IF(OR(AO150="K",AO150="P"),2,1)</f>
        <v>0</v>
      </c>
      <c r="CM150" s="73">
        <f>IF(AP150="",0,VLOOKUP(D150,Tables!$B$3:$D$36,3,FALSE())*Z$1)*IF(OR(AP150="K",AP150="P"),2,1)</f>
        <v>0</v>
      </c>
      <c r="CN150" s="87">
        <f>IF(AQ150="",0,VLOOKUP(E150,Tables!$B$3:$D$36,3,FALSE())*AA$1)</f>
        <v>0.18</v>
      </c>
      <c r="CO150" s="73">
        <f>IF(AR150="",0,VLOOKUP(F150,Tables!$B$3:$D$36,3,FALSE())*AB$1)</f>
        <v>0.36</v>
      </c>
      <c r="CP150" s="73">
        <f>IF(AS150="",0,VLOOKUP(G150,Tables!$B$3:$D$36,3,FALSE())*AC$1)</f>
        <v>0.12</v>
      </c>
      <c r="CQ150" s="73">
        <f>IF(AT150="",0,VLOOKUP(H150,Tables!$B$3:$D$36,3,FALSE())*AD$1)</f>
        <v>0.30000000000000004</v>
      </c>
      <c r="CR150" s="73">
        <f>IF(AU150="",0,VLOOKUP(I150,Tables!$B$3:$D$36,3,FALSE())*AE$1)</f>
        <v>0</v>
      </c>
      <c r="CS150" s="87">
        <f>IF(AV150="",0,VLOOKUP(J150,Tables!$B$3:$D$36,3,FALSE())*AF$1)</f>
        <v>0.72</v>
      </c>
      <c r="CT150" s="73">
        <f>IF(AW150="",0,VLOOKUP(K150,Tables!$B$3:$D$36,3,FALSE())*AG$1)</f>
        <v>0.72</v>
      </c>
      <c r="CU150" s="73">
        <f>IF(AX150="",0,VLOOKUP(L150,Tables!$B$3:$D$36,3,FALSE())*AH$1)</f>
        <v>0.60000000000000009</v>
      </c>
      <c r="CV150" s="87">
        <f>IF(AY150="",0,VLOOKUP(M150,Tables!$B$3:$D$36,3,FALSE())*AI$1)</f>
        <v>0</v>
      </c>
      <c r="CW150" s="73">
        <f>IF(AZ150="",0,VLOOKUP(N150,Tables!$B$3:$D$36,3,FALSE())*AJ$1)</f>
        <v>0</v>
      </c>
      <c r="CX150" s="73">
        <f>IF(BA150="",0,VLOOKUP(O150,Tables!$B$3:$D$36,3,FALSE())*AK$1)</f>
        <v>0</v>
      </c>
      <c r="CY150" s="88">
        <f>IF(BB150="",0,VLOOKUP(P150,Tables!$B$3:$D$36,3,FALSE())*AL$1)</f>
        <v>0</v>
      </c>
      <c r="CZ150" s="89">
        <f t="shared" si="152"/>
        <v>0</v>
      </c>
      <c r="DA150" s="75">
        <f t="shared" si="153"/>
        <v>0</v>
      </c>
      <c r="DB150" s="75">
        <f t="shared" si="154"/>
        <v>0</v>
      </c>
      <c r="DC150" s="89">
        <f t="shared" si="155"/>
        <v>1</v>
      </c>
      <c r="DD150" s="75">
        <f t="shared" si="156"/>
        <v>1</v>
      </c>
      <c r="DE150" s="75">
        <f t="shared" si="157"/>
        <v>1</v>
      </c>
      <c r="DF150" s="75">
        <f t="shared" si="158"/>
        <v>1</v>
      </c>
      <c r="DG150" s="75">
        <f t="shared" si="159"/>
        <v>0</v>
      </c>
      <c r="DH150" s="89">
        <f t="shared" si="160"/>
        <v>1</v>
      </c>
      <c r="DI150" s="75">
        <f t="shared" si="161"/>
        <v>1</v>
      </c>
      <c r="DJ150" s="75">
        <f t="shared" si="162"/>
        <v>1</v>
      </c>
      <c r="DK150" s="89">
        <f t="shared" si="163"/>
        <v>0</v>
      </c>
      <c r="DL150" s="75">
        <f t="shared" si="164"/>
        <v>0</v>
      </c>
      <c r="DM150" s="75">
        <f t="shared" si="165"/>
        <v>0</v>
      </c>
      <c r="DN150" s="90">
        <f t="shared" si="166"/>
        <v>0</v>
      </c>
      <c r="DO150" s="91">
        <f>IF(AN150="",0,VLOOKUP(B150,Tables!$B$3:$M$36,11,FALSE())*X$1)</f>
        <v>0</v>
      </c>
      <c r="DP150" s="92">
        <f>IF(AO150="",0,VLOOKUP(C150,Tables!$B$3:$M$36,11,FALSE())*Y$1)</f>
        <v>0</v>
      </c>
      <c r="DQ150" s="92">
        <f>IF(AP150="",0,VLOOKUP(D150,Tables!$B$3:$M$36,11,FALSE())*Z$1)</f>
        <v>0</v>
      </c>
      <c r="DR150" s="91">
        <f>IF(AQ150="",0,VLOOKUP(E150,Tables!$B$3:$M$36,11,FALSE())*AA$1)</f>
        <v>0.6</v>
      </c>
      <c r="DS150" s="92">
        <f>IF(AR150="",0,VLOOKUP(F150,Tables!$B$3:$M$36,11,FALSE())*AB$1)</f>
        <v>1.2</v>
      </c>
      <c r="DT150" s="92">
        <f>IF(AS150="",0,VLOOKUP(G150,Tables!$B$3:$M$36,11,FALSE())*AC$1)</f>
        <v>0.4</v>
      </c>
      <c r="DU150" s="92">
        <f>IF(AT150="",0,VLOOKUP(H150,Tables!$B$3:$M$36,11,FALSE())*AD$1)</f>
        <v>1</v>
      </c>
      <c r="DV150" s="92">
        <f>IF(AU150="",0,VLOOKUP(I150,Tables!$B$3:$M$36,11,FALSE())*AE$1)</f>
        <v>0</v>
      </c>
      <c r="DW150" s="91">
        <f>IF(AV150="",0,VLOOKUP(J150,Tables!$B$3:$M$36,11,FALSE())*AF$1)</f>
        <v>2.4</v>
      </c>
      <c r="DX150" s="92">
        <f>IF(AW150="",0,VLOOKUP(K150,Tables!$B$3:$M$36,11,FALSE())*AG$1)</f>
        <v>2.4</v>
      </c>
      <c r="DY150" s="92">
        <f>IF(AX150="",0,VLOOKUP(L150,Tables!$B$3:$M$36,11,FALSE())*AH$1)</f>
        <v>2</v>
      </c>
      <c r="DZ150" s="91">
        <f>IF(AY150="",0,VLOOKUP(M150,Tables!$B$3:$M$36,11,FALSE())*AI$1)</f>
        <v>0</v>
      </c>
      <c r="EA150" s="92">
        <f>IF(AZ150="",0,VLOOKUP(N150,Tables!$B$3:$M$36,11,FALSE())*AJ$1)</f>
        <v>0</v>
      </c>
      <c r="EB150" s="92">
        <f>IF(BA150="",0,VLOOKUP(O150,Tables!$B$3:$M$36,11,FALSE())*AK$1)</f>
        <v>0</v>
      </c>
      <c r="EC150" s="93">
        <f>IF(BB150="",0,VLOOKUP(P150,Tables!$B$3:$M$36,11,FALSE())*AL$1)</f>
        <v>0</v>
      </c>
      <c r="ED150" s="91">
        <f>IF(AN150="",0,VLOOKUP(B150,Tables!$B$3:$M$36,12,FALSE())*X$1)</f>
        <v>0</v>
      </c>
      <c r="EE150" s="92">
        <f>IF(AO150="",0,VLOOKUP(C150,Tables!$B$3:$M$36,12,FALSE())*Y$1)</f>
        <v>0</v>
      </c>
      <c r="EF150" s="92">
        <f>IF(AP150="",0,VLOOKUP(D150,Tables!$B$3:$M$36,12,FALSE())*Z$1)</f>
        <v>0</v>
      </c>
      <c r="EG150" s="91">
        <f>IF(AQ150="",0,VLOOKUP(E150,Tables!$B$3:$M$36,12,FALSE())*AA$1)</f>
        <v>14.399999999999999</v>
      </c>
      <c r="EH150" s="92">
        <f>IF(AR150="",0,VLOOKUP(F150,Tables!$B$3:$M$36,12,FALSE())*AB$1)</f>
        <v>28.799999999999997</v>
      </c>
      <c r="EI150" s="92">
        <f>IF(AS150="",0,VLOOKUP(G150,Tables!$B$3:$M$36,12,FALSE())*AC$1)</f>
        <v>9.6</v>
      </c>
      <c r="EJ150" s="92">
        <f>IF(AT150="",0,VLOOKUP(H150,Tables!$B$3:$M$36,12,FALSE())*AD$1)</f>
        <v>24</v>
      </c>
      <c r="EK150" s="92">
        <f>IF(AU150="",0,VLOOKUP(I150,Tables!$B$3:$M$36,12,FALSE())*AE$1)</f>
        <v>0</v>
      </c>
      <c r="EL150" s="91">
        <f>IF(AV150="",0,VLOOKUP(J150,Tables!$B$3:$M$36,12,FALSE())*AF$1)</f>
        <v>57.599999999999994</v>
      </c>
      <c r="EM150" s="92">
        <f>IF(AW150="",0,VLOOKUP(K150,Tables!$B$3:$M$36,12,FALSE())*AG$1)</f>
        <v>57.599999999999994</v>
      </c>
      <c r="EN150" s="92">
        <f>IF(AX150="",0,VLOOKUP(L150,Tables!$B$3:$M$36,12,FALSE())*AH$1)</f>
        <v>48</v>
      </c>
      <c r="EO150" s="91">
        <f>IF(AY150="",0,VLOOKUP(M150,Tables!$B$3:$M$36,12,FALSE())*AI$1)</f>
        <v>0</v>
      </c>
      <c r="EP150" s="92">
        <f>IF(AZ150="",0,VLOOKUP(N150,Tables!$B$3:$M$36,12,FALSE())*AJ$1)</f>
        <v>0</v>
      </c>
      <c r="EQ150" s="92">
        <f>IF(BA150="",0,VLOOKUP(O150,Tables!$B$3:$M$36,12,FALSE())*AK$1)</f>
        <v>0</v>
      </c>
      <c r="ER150" s="93">
        <f>IF(BB150="",0,VLOOKUP(P150,Tables!$B$3:$M$36,12,FALSE())*AL$1)</f>
        <v>0</v>
      </c>
      <c r="ES150" s="94">
        <f t="shared" si="167"/>
        <v>0</v>
      </c>
      <c r="ET150" s="95">
        <f>IF(AN150="",10,MIN(VLOOKUP(B150,MATERIAL,13,FALSE()),'Item Builder'!$W150))</f>
        <v>10</v>
      </c>
      <c r="EU150" s="95">
        <f>IF(AO150="",10,MIN(VLOOKUP(C150,MATERIAL,13,FALSE()),'Item Builder'!$W150))</f>
        <v>10</v>
      </c>
      <c r="EV150" s="95">
        <f>IF(AP150="",10,MIN(VLOOKUP(D150,MATERIAL,13,FALSE()),'Item Builder'!$W150))</f>
        <v>10</v>
      </c>
      <c r="EW150" s="95">
        <f>IF(AQ150="",10,MIN(VLOOKUP(E150,MATERIAL,13,FALSE()),'Item Builder'!$W150))</f>
        <v>0</v>
      </c>
      <c r="EX150" s="95">
        <f>IF(AR150="",10,MIN(VLOOKUP(F150,MATERIAL,13,FALSE()),'Item Builder'!$W150))</f>
        <v>0</v>
      </c>
      <c r="EY150" s="95">
        <f>IF(AS150="",10,MIN(VLOOKUP(G150,MATERIAL,13,FALSE()),'Item Builder'!$W150))</f>
        <v>0</v>
      </c>
      <c r="EZ150" s="95">
        <f>IF(AT150="",10,MIN(VLOOKUP(H150,MATERIAL,13,FALSE()),'Item Builder'!$W150))</f>
        <v>0</v>
      </c>
      <c r="FA150" s="95">
        <f>IF(AU150="",10,MIN(VLOOKUP(I150,MATERIAL,13,FALSE()),'Item Builder'!$W150))</f>
        <v>10</v>
      </c>
      <c r="FB150" s="95">
        <f>IF(AV150="",10,MIN(VLOOKUP(J150,MATERIAL,13,FALSE()),'Item Builder'!$W150))</f>
        <v>0</v>
      </c>
      <c r="FC150" s="95">
        <f>IF(AW150="",10,MIN(VLOOKUP(K150,MATERIAL,13,FALSE()),'Item Builder'!$W150))</f>
        <v>0</v>
      </c>
      <c r="FD150" s="95">
        <f>IF(AX150="",10,MIN(VLOOKUP(L150,MATERIAL,13,FALSE()),'Item Builder'!$W150))</f>
        <v>0</v>
      </c>
      <c r="FE150" s="95">
        <f>IF(AY150="",10,MIN(VLOOKUP(M150,MATERIAL,13,FALSE()),'Item Builder'!$W150))</f>
        <v>10</v>
      </c>
      <c r="FF150" s="95">
        <f>IF(AZ150="",10,MIN(VLOOKUP(N150,MATERIAL,13,FALSE()),'Item Builder'!$W150))</f>
        <v>10</v>
      </c>
      <c r="FG150" s="95">
        <f>IF(BA150="",10,MIN(VLOOKUP(O150,MATERIAL,13,FALSE()),'Item Builder'!$W150))</f>
        <v>10</v>
      </c>
      <c r="FH150" s="95">
        <f>IF(BB150="",10,MIN(VLOOKUP(P150,MATERIAL,13,FALSE()),'Item Builder'!$W150))</f>
        <v>10</v>
      </c>
    </row>
    <row r="151" spans="1:164" x14ac:dyDescent="0.25">
      <c r="A151" s="67" t="s">
        <v>291</v>
      </c>
      <c r="B151" s="68"/>
      <c r="C151" s="69"/>
      <c r="D151" s="70"/>
      <c r="E151" s="68" t="s">
        <v>168</v>
      </c>
      <c r="F151" s="69" t="s">
        <v>168</v>
      </c>
      <c r="G151" s="69" t="s">
        <v>168</v>
      </c>
      <c r="H151" s="69" t="s">
        <v>168</v>
      </c>
      <c r="I151" s="70"/>
      <c r="J151" s="68" t="s">
        <v>168</v>
      </c>
      <c r="K151" s="69" t="s">
        <v>168</v>
      </c>
      <c r="L151" s="70" t="s">
        <v>168</v>
      </c>
      <c r="M151" s="68" t="s">
        <v>168</v>
      </c>
      <c r="N151" s="69"/>
      <c r="O151" s="69"/>
      <c r="P151" s="71"/>
      <c r="Q151" s="72">
        <f>SUM(BV151:CJ151)*VLOOKUP(W151,Tables!$W$3:$Z$8,4)</f>
        <v>384</v>
      </c>
      <c r="R151" s="73">
        <f t="shared" si="112"/>
        <v>3.8400000000000007</v>
      </c>
      <c r="S151" s="74">
        <f t="shared" si="113"/>
        <v>0</v>
      </c>
      <c r="T151" s="74">
        <f t="shared" si="114"/>
        <v>0</v>
      </c>
      <c r="U151" s="75">
        <f t="shared" si="115"/>
        <v>12.8</v>
      </c>
      <c r="V151" s="76">
        <f t="shared" si="116"/>
        <v>307.2</v>
      </c>
      <c r="W151" s="77">
        <v>0</v>
      </c>
      <c r="X151" s="78">
        <f t="shared" si="117"/>
        <v>0</v>
      </c>
      <c r="Y151" s="79">
        <f t="shared" si="118"/>
        <v>0</v>
      </c>
      <c r="Z151" s="79">
        <f t="shared" si="119"/>
        <v>0</v>
      </c>
      <c r="AA151" s="78">
        <f t="shared" si="120"/>
        <v>1</v>
      </c>
      <c r="AB151" s="79">
        <f t="shared" si="121"/>
        <v>1</v>
      </c>
      <c r="AC151" s="79">
        <f t="shared" si="122"/>
        <v>1</v>
      </c>
      <c r="AD151" s="79">
        <f t="shared" si="123"/>
        <v>1</v>
      </c>
      <c r="AE151" s="79">
        <f t="shared" si="124"/>
        <v>0</v>
      </c>
      <c r="AF151" s="78">
        <f t="shared" si="125"/>
        <v>1</v>
      </c>
      <c r="AG151" s="79">
        <f t="shared" si="126"/>
        <v>1</v>
      </c>
      <c r="AH151" s="79">
        <f t="shared" si="127"/>
        <v>1</v>
      </c>
      <c r="AI151" s="78">
        <f t="shared" si="128"/>
        <v>1</v>
      </c>
      <c r="AJ151" s="79">
        <f t="shared" si="129"/>
        <v>0</v>
      </c>
      <c r="AK151" s="79">
        <f t="shared" si="130"/>
        <v>0</v>
      </c>
      <c r="AL151" s="80">
        <f t="shared" si="131"/>
        <v>0</v>
      </c>
      <c r="AM151" s="81">
        <f t="shared" si="132"/>
        <v>0.64</v>
      </c>
      <c r="AN151" s="82" t="str">
        <f t="shared" si="133"/>
        <v/>
      </c>
      <c r="AO151" s="79" t="str">
        <f t="shared" si="134"/>
        <v/>
      </c>
      <c r="AP151" t="str">
        <f t="shared" si="135"/>
        <v/>
      </c>
      <c r="AQ151" s="82" t="str">
        <f t="shared" si="136"/>
        <v>C</v>
      </c>
      <c r="AR151" t="str">
        <f t="shared" si="137"/>
        <v>C</v>
      </c>
      <c r="AS151" t="str">
        <f t="shared" si="138"/>
        <v>C</v>
      </c>
      <c r="AT151" t="str">
        <f t="shared" si="139"/>
        <v>C</v>
      </c>
      <c r="AU151" t="str">
        <f t="shared" si="140"/>
        <v/>
      </c>
      <c r="AV151" s="82" t="str">
        <f t="shared" si="141"/>
        <v>C</v>
      </c>
      <c r="AW151" t="str">
        <f t="shared" si="142"/>
        <v>C</v>
      </c>
      <c r="AX151" t="str">
        <f t="shared" si="143"/>
        <v>C</v>
      </c>
      <c r="AY151" s="82" t="str">
        <f t="shared" si="144"/>
        <v>C</v>
      </c>
      <c r="AZ151" t="str">
        <f t="shared" si="145"/>
        <v/>
      </c>
      <c r="BA151" t="str">
        <f t="shared" si="146"/>
        <v/>
      </c>
      <c r="BB151" s="83" t="str">
        <f t="shared" si="147"/>
        <v/>
      </c>
      <c r="BC151" s="84">
        <f t="shared" si="148"/>
        <v>0</v>
      </c>
      <c r="BD151" s="84">
        <f t="shared" si="149"/>
        <v>0.76190476190476186</v>
      </c>
      <c r="BE151" s="84">
        <f t="shared" si="150"/>
        <v>1</v>
      </c>
      <c r="BF151" s="84">
        <f t="shared" si="151"/>
        <v>0.3888888888888889</v>
      </c>
      <c r="BG151" s="78">
        <f>IF(AN151="",0,VLOOKUP(AN151,Tables!$AB$3:$AC$12,2))</f>
        <v>0</v>
      </c>
      <c r="BH151" s="79">
        <f>IF(AO151="",0,VLOOKUP(AO151,Tables!$AB$3:$AC$12,2))</f>
        <v>0</v>
      </c>
      <c r="BI151" s="79">
        <f>IF(AP151="",0,VLOOKUP(AP151,Tables!$AB$3:$AC$12,2))</f>
        <v>0</v>
      </c>
      <c r="BJ151" s="78">
        <f>IF(AQ151="",0,VLOOKUP(AQ151,Tables!$AB$3:$AC$12,2))</f>
        <v>1</v>
      </c>
      <c r="BK151" s="79">
        <f>IF(AR151="",0,VLOOKUP(AR151,Tables!$AB$3:$AC$12,2))</f>
        <v>1</v>
      </c>
      <c r="BL151" s="79">
        <f>IF(AS151="",0,VLOOKUP(AS151,Tables!$AB$3:$AC$12,2))</f>
        <v>1</v>
      </c>
      <c r="BM151" s="79">
        <f>IF(AT151="",0,VLOOKUP(AT151,Tables!$AB$3:$AC$12,2))</f>
        <v>1</v>
      </c>
      <c r="BN151" s="79">
        <f>IF(AU151="",0,VLOOKUP(AU151,Tables!$AB$3:$AC$12,2))</f>
        <v>0</v>
      </c>
      <c r="BO151" s="78">
        <f>IF(AV151="",0,VLOOKUP(AV151,Tables!$AB$3:$AC$12,2))</f>
        <v>1</v>
      </c>
      <c r="BP151" s="79">
        <f>IF(AW151="",0,VLOOKUP(AW151,Tables!$AB$3:$AC$12,2))</f>
        <v>1</v>
      </c>
      <c r="BQ151" s="79">
        <f>IF(AX151="",0,VLOOKUP(AX151,Tables!$AB$3:$AC$12,2))</f>
        <v>1</v>
      </c>
      <c r="BR151" s="78">
        <f>IF(AY151="",0,VLOOKUP(AY151,Tables!$AB$3:$AC$12,2))</f>
        <v>1</v>
      </c>
      <c r="BS151" s="79">
        <f>IF(AZ151="",0,VLOOKUP(AZ151,Tables!$AB$3:$AC$12,2))</f>
        <v>0</v>
      </c>
      <c r="BT151" s="79">
        <f>IF(BA151="",0,VLOOKUP(BA151,Tables!$AB$3:$AC$12,2))</f>
        <v>0</v>
      </c>
      <c r="BU151" s="80">
        <f>IF(BB151="",0,VLOOKUP(BB151,Tables!$AB$3:$AC$12,2))</f>
        <v>0</v>
      </c>
      <c r="BV151" s="85">
        <f>IF(AN151="",0,VLOOKUP(B151,Tables!$B$3:$D$36,2,FALSE())*X$1)</f>
        <v>0</v>
      </c>
      <c r="BW151" s="72">
        <f>IF(AO151="",0,VLOOKUP(C151,Tables!$B$3:$D$36,2,FALSE())*Y$1)</f>
        <v>0</v>
      </c>
      <c r="BX151" s="72">
        <f>IF(AP151="",0,VLOOKUP(D151,Tables!$B$3:$D$36,2,FALSE())*Z$1)</f>
        <v>0</v>
      </c>
      <c r="BY151" s="85">
        <f>IF(AQ151="",0,VLOOKUP(E151,Tables!$B$3:$D$36,2,FALSE())*AA$1)</f>
        <v>18</v>
      </c>
      <c r="BZ151" s="72">
        <f>IF(AR151="",0,VLOOKUP(F151,Tables!$B$3:$D$36,2,FALSE())*AB$1)</f>
        <v>36</v>
      </c>
      <c r="CA151" s="72">
        <f>IF(AS151="",0,VLOOKUP(G151,Tables!$B$3:$D$36,2,FALSE())*AC$1)</f>
        <v>12</v>
      </c>
      <c r="CB151" s="72">
        <f>IF(AT151="",0,VLOOKUP(H151,Tables!$B$3:$D$36,2,FALSE())*AD$1)</f>
        <v>30</v>
      </c>
      <c r="CC151" s="72">
        <f>IF(AU151="",0,VLOOKUP(I151,Tables!$B$3:$D$36,2,FALSE())*AE$1)</f>
        <v>0</v>
      </c>
      <c r="CD151" s="85">
        <f>IF(AV151="",0,VLOOKUP(J151,Tables!$B$3:$D$36,2,FALSE())*AF$1)</f>
        <v>72</v>
      </c>
      <c r="CE151" s="72">
        <f>IF(AW151="",0,VLOOKUP(K151,Tables!$B$3:$D$36,2,FALSE())*AG$1)</f>
        <v>72</v>
      </c>
      <c r="CF151" s="72">
        <f>IF(AX151="",0,VLOOKUP(L151,Tables!$B$3:$D$36,2,FALSE())*AH$1)</f>
        <v>60</v>
      </c>
      <c r="CG151" s="85">
        <f>IF(AY151="",0,VLOOKUP(M151,Tables!$B$3:$D$36,2,FALSE())*AI$1)</f>
        <v>84.000000000000014</v>
      </c>
      <c r="CH151" s="72">
        <f>IF(AZ151="",0,VLOOKUP(N151,Tables!$B$3:$D$36,2,FALSE())*AJ$1)</f>
        <v>0</v>
      </c>
      <c r="CI151" s="72">
        <f>IF(BA151="",0,VLOOKUP(O151,Tables!$B$3:$D$36,2,FALSE())*AK$1)</f>
        <v>0</v>
      </c>
      <c r="CJ151" s="86">
        <f>IF(BB151="",0,VLOOKUP(P151,Tables!$B$3:$D$36,2,FALSE())*AL$1)</f>
        <v>0</v>
      </c>
      <c r="CK151" s="87">
        <f>IF(AN151="",0,VLOOKUP(B151,Tables!$B$3:$D$36,3,FALSE())*X$1)*IF(OR(AN151="K",AN151="P"),2,1)</f>
        <v>0</v>
      </c>
      <c r="CL151" s="73">
        <f>IF(AO151="",0,VLOOKUP(C151,Tables!$B$3:$D$36,3,FALSE())*Y$1)*IF(OR(AO151="K",AO151="P"),2,1)</f>
        <v>0</v>
      </c>
      <c r="CM151" s="73">
        <f>IF(AP151="",0,VLOOKUP(D151,Tables!$B$3:$D$36,3,FALSE())*Z$1)*IF(OR(AP151="K",AP151="P"),2,1)</f>
        <v>0</v>
      </c>
      <c r="CN151" s="87">
        <f>IF(AQ151="",0,VLOOKUP(E151,Tables!$B$3:$D$36,3,FALSE())*AA$1)</f>
        <v>0.18</v>
      </c>
      <c r="CO151" s="73">
        <f>IF(AR151="",0,VLOOKUP(F151,Tables!$B$3:$D$36,3,FALSE())*AB$1)</f>
        <v>0.36</v>
      </c>
      <c r="CP151" s="73">
        <f>IF(AS151="",0,VLOOKUP(G151,Tables!$B$3:$D$36,3,FALSE())*AC$1)</f>
        <v>0.12</v>
      </c>
      <c r="CQ151" s="73">
        <f>IF(AT151="",0,VLOOKUP(H151,Tables!$B$3:$D$36,3,FALSE())*AD$1)</f>
        <v>0.30000000000000004</v>
      </c>
      <c r="CR151" s="73">
        <f>IF(AU151="",0,VLOOKUP(I151,Tables!$B$3:$D$36,3,FALSE())*AE$1)</f>
        <v>0</v>
      </c>
      <c r="CS151" s="87">
        <f>IF(AV151="",0,VLOOKUP(J151,Tables!$B$3:$D$36,3,FALSE())*AF$1)</f>
        <v>0.72</v>
      </c>
      <c r="CT151" s="73">
        <f>IF(AW151="",0,VLOOKUP(K151,Tables!$B$3:$D$36,3,FALSE())*AG$1)</f>
        <v>0.72</v>
      </c>
      <c r="CU151" s="73">
        <f>IF(AX151="",0,VLOOKUP(L151,Tables!$B$3:$D$36,3,FALSE())*AH$1)</f>
        <v>0.60000000000000009</v>
      </c>
      <c r="CV151" s="87">
        <f>IF(AY151="",0,VLOOKUP(M151,Tables!$B$3:$D$36,3,FALSE())*AI$1)</f>
        <v>0.84000000000000008</v>
      </c>
      <c r="CW151" s="73">
        <f>IF(AZ151="",0,VLOOKUP(N151,Tables!$B$3:$D$36,3,FALSE())*AJ$1)</f>
        <v>0</v>
      </c>
      <c r="CX151" s="73">
        <f>IF(BA151="",0,VLOOKUP(O151,Tables!$B$3:$D$36,3,FALSE())*AK$1)</f>
        <v>0</v>
      </c>
      <c r="CY151" s="88">
        <f>IF(BB151="",0,VLOOKUP(P151,Tables!$B$3:$D$36,3,FALSE())*AL$1)</f>
        <v>0</v>
      </c>
      <c r="CZ151" s="89">
        <f t="shared" si="152"/>
        <v>0</v>
      </c>
      <c r="DA151" s="75">
        <f t="shared" si="153"/>
        <v>0</v>
      </c>
      <c r="DB151" s="75">
        <f t="shared" si="154"/>
        <v>0</v>
      </c>
      <c r="DC151" s="89">
        <f t="shared" si="155"/>
        <v>1</v>
      </c>
      <c r="DD151" s="75">
        <f t="shared" si="156"/>
        <v>1</v>
      </c>
      <c r="DE151" s="75">
        <f t="shared" si="157"/>
        <v>1</v>
      </c>
      <c r="DF151" s="75">
        <f t="shared" si="158"/>
        <v>1</v>
      </c>
      <c r="DG151" s="75">
        <f t="shared" si="159"/>
        <v>0</v>
      </c>
      <c r="DH151" s="89">
        <f t="shared" si="160"/>
        <v>1</v>
      </c>
      <c r="DI151" s="75">
        <f t="shared" si="161"/>
        <v>1</v>
      </c>
      <c r="DJ151" s="75">
        <f t="shared" si="162"/>
        <v>1</v>
      </c>
      <c r="DK151" s="89">
        <f t="shared" si="163"/>
        <v>1</v>
      </c>
      <c r="DL151" s="75">
        <f t="shared" si="164"/>
        <v>0</v>
      </c>
      <c r="DM151" s="75">
        <f t="shared" si="165"/>
        <v>0</v>
      </c>
      <c r="DN151" s="90">
        <f t="shared" si="166"/>
        <v>0</v>
      </c>
      <c r="DO151" s="91">
        <f>IF(AN151="",0,VLOOKUP(B151,Tables!$B$3:$M$36,11,FALSE())*X$1)</f>
        <v>0</v>
      </c>
      <c r="DP151" s="92">
        <f>IF(AO151="",0,VLOOKUP(C151,Tables!$B$3:$M$36,11,FALSE())*Y$1)</f>
        <v>0</v>
      </c>
      <c r="DQ151" s="92">
        <f>IF(AP151="",0,VLOOKUP(D151,Tables!$B$3:$M$36,11,FALSE())*Z$1)</f>
        <v>0</v>
      </c>
      <c r="DR151" s="91">
        <f>IF(AQ151="",0,VLOOKUP(E151,Tables!$B$3:$M$36,11,FALSE())*AA$1)</f>
        <v>0.6</v>
      </c>
      <c r="DS151" s="92">
        <f>IF(AR151="",0,VLOOKUP(F151,Tables!$B$3:$M$36,11,FALSE())*AB$1)</f>
        <v>1.2</v>
      </c>
      <c r="DT151" s="92">
        <f>IF(AS151="",0,VLOOKUP(G151,Tables!$B$3:$M$36,11,FALSE())*AC$1)</f>
        <v>0.4</v>
      </c>
      <c r="DU151" s="92">
        <f>IF(AT151="",0,VLOOKUP(H151,Tables!$B$3:$M$36,11,FALSE())*AD$1)</f>
        <v>1</v>
      </c>
      <c r="DV151" s="92">
        <f>IF(AU151="",0,VLOOKUP(I151,Tables!$B$3:$M$36,11,FALSE())*AE$1)</f>
        <v>0</v>
      </c>
      <c r="DW151" s="91">
        <f>IF(AV151="",0,VLOOKUP(J151,Tables!$B$3:$M$36,11,FALSE())*AF$1)</f>
        <v>2.4</v>
      </c>
      <c r="DX151" s="92">
        <f>IF(AW151="",0,VLOOKUP(K151,Tables!$B$3:$M$36,11,FALSE())*AG$1)</f>
        <v>2.4</v>
      </c>
      <c r="DY151" s="92">
        <f>IF(AX151="",0,VLOOKUP(L151,Tables!$B$3:$M$36,11,FALSE())*AH$1)</f>
        <v>2</v>
      </c>
      <c r="DZ151" s="91">
        <f>IF(AY151="",0,VLOOKUP(M151,Tables!$B$3:$M$36,11,FALSE())*AI$1)</f>
        <v>2.8000000000000003</v>
      </c>
      <c r="EA151" s="92">
        <f>IF(AZ151="",0,VLOOKUP(N151,Tables!$B$3:$M$36,11,FALSE())*AJ$1)</f>
        <v>0</v>
      </c>
      <c r="EB151" s="92">
        <f>IF(BA151="",0,VLOOKUP(O151,Tables!$B$3:$M$36,11,FALSE())*AK$1)</f>
        <v>0</v>
      </c>
      <c r="EC151" s="93">
        <f>IF(BB151="",0,VLOOKUP(P151,Tables!$B$3:$M$36,11,FALSE())*AL$1)</f>
        <v>0</v>
      </c>
      <c r="ED151" s="91">
        <f>IF(AN151="",0,VLOOKUP(B151,Tables!$B$3:$M$36,12,FALSE())*X$1)</f>
        <v>0</v>
      </c>
      <c r="EE151" s="92">
        <f>IF(AO151="",0,VLOOKUP(C151,Tables!$B$3:$M$36,12,FALSE())*Y$1)</f>
        <v>0</v>
      </c>
      <c r="EF151" s="92">
        <f>IF(AP151="",0,VLOOKUP(D151,Tables!$B$3:$M$36,12,FALSE())*Z$1)</f>
        <v>0</v>
      </c>
      <c r="EG151" s="91">
        <f>IF(AQ151="",0,VLOOKUP(E151,Tables!$B$3:$M$36,12,FALSE())*AA$1)</f>
        <v>14.399999999999999</v>
      </c>
      <c r="EH151" s="92">
        <f>IF(AR151="",0,VLOOKUP(F151,Tables!$B$3:$M$36,12,FALSE())*AB$1)</f>
        <v>28.799999999999997</v>
      </c>
      <c r="EI151" s="92">
        <f>IF(AS151="",0,VLOOKUP(G151,Tables!$B$3:$M$36,12,FALSE())*AC$1)</f>
        <v>9.6</v>
      </c>
      <c r="EJ151" s="92">
        <f>IF(AT151="",0,VLOOKUP(H151,Tables!$B$3:$M$36,12,FALSE())*AD$1)</f>
        <v>24</v>
      </c>
      <c r="EK151" s="92">
        <f>IF(AU151="",0,VLOOKUP(I151,Tables!$B$3:$M$36,12,FALSE())*AE$1)</f>
        <v>0</v>
      </c>
      <c r="EL151" s="91">
        <f>IF(AV151="",0,VLOOKUP(J151,Tables!$B$3:$M$36,12,FALSE())*AF$1)</f>
        <v>57.599999999999994</v>
      </c>
      <c r="EM151" s="92">
        <f>IF(AW151="",0,VLOOKUP(K151,Tables!$B$3:$M$36,12,FALSE())*AG$1)</f>
        <v>57.599999999999994</v>
      </c>
      <c r="EN151" s="92">
        <f>IF(AX151="",0,VLOOKUP(L151,Tables!$B$3:$M$36,12,FALSE())*AH$1)</f>
        <v>48</v>
      </c>
      <c r="EO151" s="91">
        <f>IF(AY151="",0,VLOOKUP(M151,Tables!$B$3:$M$36,12,FALSE())*AI$1)</f>
        <v>67.2</v>
      </c>
      <c r="EP151" s="92">
        <f>IF(AZ151="",0,VLOOKUP(N151,Tables!$B$3:$M$36,12,FALSE())*AJ$1)</f>
        <v>0</v>
      </c>
      <c r="EQ151" s="92">
        <f>IF(BA151="",0,VLOOKUP(O151,Tables!$B$3:$M$36,12,FALSE())*AK$1)</f>
        <v>0</v>
      </c>
      <c r="ER151" s="93">
        <f>IF(BB151="",0,VLOOKUP(P151,Tables!$B$3:$M$36,12,FALSE())*AL$1)</f>
        <v>0</v>
      </c>
      <c r="ES151" s="94">
        <f t="shared" si="167"/>
        <v>0</v>
      </c>
      <c r="ET151" s="95">
        <f>IF(AN151="",10,MIN(VLOOKUP(B151,MATERIAL,13,FALSE()),'Item Builder'!$W151))</f>
        <v>10</v>
      </c>
      <c r="EU151" s="95">
        <f>IF(AO151="",10,MIN(VLOOKUP(C151,MATERIAL,13,FALSE()),'Item Builder'!$W151))</f>
        <v>10</v>
      </c>
      <c r="EV151" s="95">
        <f>IF(AP151="",10,MIN(VLOOKUP(D151,MATERIAL,13,FALSE()),'Item Builder'!$W151))</f>
        <v>10</v>
      </c>
      <c r="EW151" s="95">
        <f>IF(AQ151="",10,MIN(VLOOKUP(E151,MATERIAL,13,FALSE()),'Item Builder'!$W151))</f>
        <v>0</v>
      </c>
      <c r="EX151" s="95">
        <f>IF(AR151="",10,MIN(VLOOKUP(F151,MATERIAL,13,FALSE()),'Item Builder'!$W151))</f>
        <v>0</v>
      </c>
      <c r="EY151" s="95">
        <f>IF(AS151="",10,MIN(VLOOKUP(G151,MATERIAL,13,FALSE()),'Item Builder'!$W151))</f>
        <v>0</v>
      </c>
      <c r="EZ151" s="95">
        <f>IF(AT151="",10,MIN(VLOOKUP(H151,MATERIAL,13,FALSE()),'Item Builder'!$W151))</f>
        <v>0</v>
      </c>
      <c r="FA151" s="95">
        <f>IF(AU151="",10,MIN(VLOOKUP(I151,MATERIAL,13,FALSE()),'Item Builder'!$W151))</f>
        <v>10</v>
      </c>
      <c r="FB151" s="95">
        <f>IF(AV151="",10,MIN(VLOOKUP(J151,MATERIAL,13,FALSE()),'Item Builder'!$W151))</f>
        <v>0</v>
      </c>
      <c r="FC151" s="95">
        <f>IF(AW151="",10,MIN(VLOOKUP(K151,MATERIAL,13,FALSE()),'Item Builder'!$W151))</f>
        <v>0</v>
      </c>
      <c r="FD151" s="95">
        <f>IF(AX151="",10,MIN(VLOOKUP(L151,MATERIAL,13,FALSE()),'Item Builder'!$W151))</f>
        <v>0</v>
      </c>
      <c r="FE151" s="95">
        <f>IF(AY151="",10,MIN(VLOOKUP(M151,MATERIAL,13,FALSE()),'Item Builder'!$W151))</f>
        <v>0</v>
      </c>
      <c r="FF151" s="95">
        <f>IF(AZ151="",10,MIN(VLOOKUP(N151,MATERIAL,13,FALSE()),'Item Builder'!$W151))</f>
        <v>10</v>
      </c>
      <c r="FG151" s="95">
        <f>IF(BA151="",10,MIN(VLOOKUP(O151,MATERIAL,13,FALSE()),'Item Builder'!$W151))</f>
        <v>10</v>
      </c>
      <c r="FH151" s="95">
        <f>IF(BB151="",10,MIN(VLOOKUP(P151,MATERIAL,13,FALSE()),'Item Builder'!$W151))</f>
        <v>10</v>
      </c>
    </row>
    <row r="152" spans="1:164" x14ac:dyDescent="0.25">
      <c r="A152" s="67" t="s">
        <v>292</v>
      </c>
      <c r="B152" s="68"/>
      <c r="C152" s="69"/>
      <c r="D152" s="70"/>
      <c r="E152" s="68" t="s">
        <v>168</v>
      </c>
      <c r="F152" s="69"/>
      <c r="G152" s="69"/>
      <c r="H152" s="69"/>
      <c r="I152" s="70"/>
      <c r="J152" s="68" t="s">
        <v>168</v>
      </c>
      <c r="K152" s="69" t="s">
        <v>168</v>
      </c>
      <c r="L152" s="70" t="s">
        <v>168</v>
      </c>
      <c r="M152" s="68" t="s">
        <v>168</v>
      </c>
      <c r="N152" s="69" t="s">
        <v>168</v>
      </c>
      <c r="O152" s="69"/>
      <c r="P152" s="71"/>
      <c r="Q152" s="72">
        <f>SUM(BV152:CJ152)*VLOOKUP(W152,Tables!$W$3:$Z$8,4)</f>
        <v>324</v>
      </c>
      <c r="R152" s="73">
        <f t="shared" si="112"/>
        <v>3.2399999999999998</v>
      </c>
      <c r="S152" s="74">
        <f t="shared" si="113"/>
        <v>0</v>
      </c>
      <c r="T152" s="74">
        <f t="shared" si="114"/>
        <v>0</v>
      </c>
      <c r="U152" s="75">
        <f t="shared" si="115"/>
        <v>10.8</v>
      </c>
      <c r="V152" s="76">
        <f t="shared" si="116"/>
        <v>259.2</v>
      </c>
      <c r="W152" s="77">
        <v>0</v>
      </c>
      <c r="X152" s="78">
        <f t="shared" si="117"/>
        <v>0</v>
      </c>
      <c r="Y152" s="79">
        <f t="shared" si="118"/>
        <v>0</v>
      </c>
      <c r="Z152" s="79">
        <f t="shared" si="119"/>
        <v>0</v>
      </c>
      <c r="AA152" s="78">
        <f t="shared" si="120"/>
        <v>1</v>
      </c>
      <c r="AB152" s="79">
        <f t="shared" si="121"/>
        <v>0</v>
      </c>
      <c r="AC152" s="79">
        <f t="shared" si="122"/>
        <v>0</v>
      </c>
      <c r="AD152" s="79">
        <f t="shared" si="123"/>
        <v>0</v>
      </c>
      <c r="AE152" s="79">
        <f t="shared" si="124"/>
        <v>0</v>
      </c>
      <c r="AF152" s="78">
        <f t="shared" si="125"/>
        <v>1</v>
      </c>
      <c r="AG152" s="79">
        <f t="shared" si="126"/>
        <v>1</v>
      </c>
      <c r="AH152" s="79">
        <f t="shared" si="127"/>
        <v>1</v>
      </c>
      <c r="AI152" s="78">
        <f t="shared" si="128"/>
        <v>1</v>
      </c>
      <c r="AJ152" s="79">
        <f t="shared" si="129"/>
        <v>1</v>
      </c>
      <c r="AK152" s="79">
        <f t="shared" si="130"/>
        <v>0</v>
      </c>
      <c r="AL152" s="80">
        <f t="shared" si="131"/>
        <v>0</v>
      </c>
      <c r="AM152" s="81">
        <f t="shared" si="132"/>
        <v>0.54</v>
      </c>
      <c r="AN152" s="82" t="str">
        <f t="shared" si="133"/>
        <v/>
      </c>
      <c r="AO152" s="79" t="str">
        <f t="shared" si="134"/>
        <v/>
      </c>
      <c r="AP152" t="str">
        <f t="shared" si="135"/>
        <v/>
      </c>
      <c r="AQ152" s="82" t="str">
        <f t="shared" si="136"/>
        <v>C</v>
      </c>
      <c r="AR152" t="str">
        <f t="shared" si="137"/>
        <v/>
      </c>
      <c r="AS152" t="str">
        <f t="shared" si="138"/>
        <v/>
      </c>
      <c r="AT152" t="str">
        <f t="shared" si="139"/>
        <v/>
      </c>
      <c r="AU152" t="str">
        <f t="shared" si="140"/>
        <v/>
      </c>
      <c r="AV152" s="82" t="str">
        <f t="shared" si="141"/>
        <v>C</v>
      </c>
      <c r="AW152" t="str">
        <f t="shared" si="142"/>
        <v>C</v>
      </c>
      <c r="AX152" t="str">
        <f t="shared" si="143"/>
        <v>C</v>
      </c>
      <c r="AY152" s="82" t="str">
        <f t="shared" si="144"/>
        <v>C</v>
      </c>
      <c r="AZ152" t="str">
        <f t="shared" si="145"/>
        <v>C</v>
      </c>
      <c r="BA152" t="str">
        <f t="shared" si="146"/>
        <v/>
      </c>
      <c r="BB152" s="83" t="str">
        <f t="shared" si="147"/>
        <v/>
      </c>
      <c r="BC152" s="84">
        <f t="shared" si="148"/>
        <v>0</v>
      </c>
      <c r="BD152" s="84">
        <f t="shared" si="149"/>
        <v>0.14285714285714285</v>
      </c>
      <c r="BE152" s="84">
        <f t="shared" si="150"/>
        <v>1</v>
      </c>
      <c r="BF152" s="84">
        <f t="shared" si="151"/>
        <v>0.47222222222222221</v>
      </c>
      <c r="BG152" s="78">
        <f>IF(AN152="",0,VLOOKUP(AN152,Tables!$AB$3:$AC$12,2))</f>
        <v>0</v>
      </c>
      <c r="BH152" s="79">
        <f>IF(AO152="",0,VLOOKUP(AO152,Tables!$AB$3:$AC$12,2))</f>
        <v>0</v>
      </c>
      <c r="BI152" s="79">
        <f>IF(AP152="",0,VLOOKUP(AP152,Tables!$AB$3:$AC$12,2))</f>
        <v>0</v>
      </c>
      <c r="BJ152" s="78">
        <f>IF(AQ152="",0,VLOOKUP(AQ152,Tables!$AB$3:$AC$12,2))</f>
        <v>1</v>
      </c>
      <c r="BK152" s="79">
        <f>IF(AR152="",0,VLOOKUP(AR152,Tables!$AB$3:$AC$12,2))</f>
        <v>0</v>
      </c>
      <c r="BL152" s="79">
        <f>IF(AS152="",0,VLOOKUP(AS152,Tables!$AB$3:$AC$12,2))</f>
        <v>0</v>
      </c>
      <c r="BM152" s="79">
        <f>IF(AT152="",0,VLOOKUP(AT152,Tables!$AB$3:$AC$12,2))</f>
        <v>0</v>
      </c>
      <c r="BN152" s="79">
        <f>IF(AU152="",0,VLOOKUP(AU152,Tables!$AB$3:$AC$12,2))</f>
        <v>0</v>
      </c>
      <c r="BO152" s="78">
        <f>IF(AV152="",0,VLOOKUP(AV152,Tables!$AB$3:$AC$12,2))</f>
        <v>1</v>
      </c>
      <c r="BP152" s="79">
        <f>IF(AW152="",0,VLOOKUP(AW152,Tables!$AB$3:$AC$12,2))</f>
        <v>1</v>
      </c>
      <c r="BQ152" s="79">
        <f>IF(AX152="",0,VLOOKUP(AX152,Tables!$AB$3:$AC$12,2))</f>
        <v>1</v>
      </c>
      <c r="BR152" s="78">
        <f>IF(AY152="",0,VLOOKUP(AY152,Tables!$AB$3:$AC$12,2))</f>
        <v>1</v>
      </c>
      <c r="BS152" s="79">
        <f>IF(AZ152="",0,VLOOKUP(AZ152,Tables!$AB$3:$AC$12,2))</f>
        <v>1</v>
      </c>
      <c r="BT152" s="79">
        <f>IF(BA152="",0,VLOOKUP(BA152,Tables!$AB$3:$AC$12,2))</f>
        <v>0</v>
      </c>
      <c r="BU152" s="80">
        <f>IF(BB152="",0,VLOOKUP(BB152,Tables!$AB$3:$AC$12,2))</f>
        <v>0</v>
      </c>
      <c r="BV152" s="85">
        <f>IF(AN152="",0,VLOOKUP(B152,Tables!$B$3:$D$36,2,FALSE())*X$1)</f>
        <v>0</v>
      </c>
      <c r="BW152" s="72">
        <f>IF(AO152="",0,VLOOKUP(C152,Tables!$B$3:$D$36,2,FALSE())*Y$1)</f>
        <v>0</v>
      </c>
      <c r="BX152" s="72">
        <f>IF(AP152="",0,VLOOKUP(D152,Tables!$B$3:$D$36,2,FALSE())*Z$1)</f>
        <v>0</v>
      </c>
      <c r="BY152" s="85">
        <f>IF(AQ152="",0,VLOOKUP(E152,Tables!$B$3:$D$36,2,FALSE())*AA$1)</f>
        <v>18</v>
      </c>
      <c r="BZ152" s="72">
        <f>IF(AR152="",0,VLOOKUP(F152,Tables!$B$3:$D$36,2,FALSE())*AB$1)</f>
        <v>0</v>
      </c>
      <c r="CA152" s="72">
        <f>IF(AS152="",0,VLOOKUP(G152,Tables!$B$3:$D$36,2,FALSE())*AC$1)</f>
        <v>0</v>
      </c>
      <c r="CB152" s="72">
        <f>IF(AT152="",0,VLOOKUP(H152,Tables!$B$3:$D$36,2,FALSE())*AD$1)</f>
        <v>0</v>
      </c>
      <c r="CC152" s="72">
        <f>IF(AU152="",0,VLOOKUP(I152,Tables!$B$3:$D$36,2,FALSE())*AE$1)</f>
        <v>0</v>
      </c>
      <c r="CD152" s="85">
        <f>IF(AV152="",0,VLOOKUP(J152,Tables!$B$3:$D$36,2,FALSE())*AF$1)</f>
        <v>72</v>
      </c>
      <c r="CE152" s="72">
        <f>IF(AW152="",0,VLOOKUP(K152,Tables!$B$3:$D$36,2,FALSE())*AG$1)</f>
        <v>72</v>
      </c>
      <c r="CF152" s="72">
        <f>IF(AX152="",0,VLOOKUP(L152,Tables!$B$3:$D$36,2,FALSE())*AH$1)</f>
        <v>60</v>
      </c>
      <c r="CG152" s="85">
        <f>IF(AY152="",0,VLOOKUP(M152,Tables!$B$3:$D$36,2,FALSE())*AI$1)</f>
        <v>84.000000000000014</v>
      </c>
      <c r="CH152" s="72">
        <f>IF(AZ152="",0,VLOOKUP(N152,Tables!$B$3:$D$36,2,FALSE())*AJ$1)</f>
        <v>18</v>
      </c>
      <c r="CI152" s="72">
        <f>IF(BA152="",0,VLOOKUP(O152,Tables!$B$3:$D$36,2,FALSE())*AK$1)</f>
        <v>0</v>
      </c>
      <c r="CJ152" s="86">
        <f>IF(BB152="",0,VLOOKUP(P152,Tables!$B$3:$D$36,2,FALSE())*AL$1)</f>
        <v>0</v>
      </c>
      <c r="CK152" s="87">
        <f>IF(AN152="",0,VLOOKUP(B152,Tables!$B$3:$D$36,3,FALSE())*X$1)*IF(OR(AN152="K",AN152="P"),2,1)</f>
        <v>0</v>
      </c>
      <c r="CL152" s="73">
        <f>IF(AO152="",0,VLOOKUP(C152,Tables!$B$3:$D$36,3,FALSE())*Y$1)*IF(OR(AO152="K",AO152="P"),2,1)</f>
        <v>0</v>
      </c>
      <c r="CM152" s="73">
        <f>IF(AP152="",0,VLOOKUP(D152,Tables!$B$3:$D$36,3,FALSE())*Z$1)*IF(OR(AP152="K",AP152="P"),2,1)</f>
        <v>0</v>
      </c>
      <c r="CN152" s="87">
        <f>IF(AQ152="",0,VLOOKUP(E152,Tables!$B$3:$D$36,3,FALSE())*AA$1)</f>
        <v>0.18</v>
      </c>
      <c r="CO152" s="73">
        <f>IF(AR152="",0,VLOOKUP(F152,Tables!$B$3:$D$36,3,FALSE())*AB$1)</f>
        <v>0</v>
      </c>
      <c r="CP152" s="73">
        <f>IF(AS152="",0,VLOOKUP(G152,Tables!$B$3:$D$36,3,FALSE())*AC$1)</f>
        <v>0</v>
      </c>
      <c r="CQ152" s="73">
        <f>IF(AT152="",0,VLOOKUP(H152,Tables!$B$3:$D$36,3,FALSE())*AD$1)</f>
        <v>0</v>
      </c>
      <c r="CR152" s="73">
        <f>IF(AU152="",0,VLOOKUP(I152,Tables!$B$3:$D$36,3,FALSE())*AE$1)</f>
        <v>0</v>
      </c>
      <c r="CS152" s="87">
        <f>IF(AV152="",0,VLOOKUP(J152,Tables!$B$3:$D$36,3,FALSE())*AF$1)</f>
        <v>0.72</v>
      </c>
      <c r="CT152" s="73">
        <f>IF(AW152="",0,VLOOKUP(K152,Tables!$B$3:$D$36,3,FALSE())*AG$1)</f>
        <v>0.72</v>
      </c>
      <c r="CU152" s="73">
        <f>IF(AX152="",0,VLOOKUP(L152,Tables!$B$3:$D$36,3,FALSE())*AH$1)</f>
        <v>0.60000000000000009</v>
      </c>
      <c r="CV152" s="87">
        <f>IF(AY152="",0,VLOOKUP(M152,Tables!$B$3:$D$36,3,FALSE())*AI$1)</f>
        <v>0.84000000000000008</v>
      </c>
      <c r="CW152" s="73">
        <f>IF(AZ152="",0,VLOOKUP(N152,Tables!$B$3:$D$36,3,FALSE())*AJ$1)</f>
        <v>0.18</v>
      </c>
      <c r="CX152" s="73">
        <f>IF(BA152="",0,VLOOKUP(O152,Tables!$B$3:$D$36,3,FALSE())*AK$1)</f>
        <v>0</v>
      </c>
      <c r="CY152" s="88">
        <f>IF(BB152="",0,VLOOKUP(P152,Tables!$B$3:$D$36,3,FALSE())*AL$1)</f>
        <v>0</v>
      </c>
      <c r="CZ152" s="89">
        <f t="shared" si="152"/>
        <v>0</v>
      </c>
      <c r="DA152" s="75">
        <f t="shared" si="153"/>
        <v>0</v>
      </c>
      <c r="DB152" s="75">
        <f t="shared" si="154"/>
        <v>0</v>
      </c>
      <c r="DC152" s="89">
        <f t="shared" si="155"/>
        <v>1</v>
      </c>
      <c r="DD152" s="75">
        <f t="shared" si="156"/>
        <v>0</v>
      </c>
      <c r="DE152" s="75">
        <f t="shared" si="157"/>
        <v>0</v>
      </c>
      <c r="DF152" s="75">
        <f t="shared" si="158"/>
        <v>0</v>
      </c>
      <c r="DG152" s="75">
        <f t="shared" si="159"/>
        <v>0</v>
      </c>
      <c r="DH152" s="89">
        <f t="shared" si="160"/>
        <v>1</v>
      </c>
      <c r="DI152" s="75">
        <f t="shared" si="161"/>
        <v>1</v>
      </c>
      <c r="DJ152" s="75">
        <f t="shared" si="162"/>
        <v>1</v>
      </c>
      <c r="DK152" s="89">
        <f t="shared" si="163"/>
        <v>1</v>
      </c>
      <c r="DL152" s="75">
        <f t="shared" si="164"/>
        <v>1</v>
      </c>
      <c r="DM152" s="75">
        <f t="shared" si="165"/>
        <v>0</v>
      </c>
      <c r="DN152" s="90">
        <f t="shared" si="166"/>
        <v>0</v>
      </c>
      <c r="DO152" s="91">
        <f>IF(AN152="",0,VLOOKUP(B152,Tables!$B$3:$M$36,11,FALSE())*X$1)</f>
        <v>0</v>
      </c>
      <c r="DP152" s="92">
        <f>IF(AO152="",0,VLOOKUP(C152,Tables!$B$3:$M$36,11,FALSE())*Y$1)</f>
        <v>0</v>
      </c>
      <c r="DQ152" s="92">
        <f>IF(AP152="",0,VLOOKUP(D152,Tables!$B$3:$M$36,11,FALSE())*Z$1)</f>
        <v>0</v>
      </c>
      <c r="DR152" s="91">
        <f>IF(AQ152="",0,VLOOKUP(E152,Tables!$B$3:$M$36,11,FALSE())*AA$1)</f>
        <v>0.6</v>
      </c>
      <c r="DS152" s="92">
        <f>IF(AR152="",0,VLOOKUP(F152,Tables!$B$3:$M$36,11,FALSE())*AB$1)</f>
        <v>0</v>
      </c>
      <c r="DT152" s="92">
        <f>IF(AS152="",0,VLOOKUP(G152,Tables!$B$3:$M$36,11,FALSE())*AC$1)</f>
        <v>0</v>
      </c>
      <c r="DU152" s="92">
        <f>IF(AT152="",0,VLOOKUP(H152,Tables!$B$3:$M$36,11,FALSE())*AD$1)</f>
        <v>0</v>
      </c>
      <c r="DV152" s="92">
        <f>IF(AU152="",0,VLOOKUP(I152,Tables!$B$3:$M$36,11,FALSE())*AE$1)</f>
        <v>0</v>
      </c>
      <c r="DW152" s="91">
        <f>IF(AV152="",0,VLOOKUP(J152,Tables!$B$3:$M$36,11,FALSE())*AF$1)</f>
        <v>2.4</v>
      </c>
      <c r="DX152" s="92">
        <f>IF(AW152="",0,VLOOKUP(K152,Tables!$B$3:$M$36,11,FALSE())*AG$1)</f>
        <v>2.4</v>
      </c>
      <c r="DY152" s="92">
        <f>IF(AX152="",0,VLOOKUP(L152,Tables!$B$3:$M$36,11,FALSE())*AH$1)</f>
        <v>2</v>
      </c>
      <c r="DZ152" s="91">
        <f>IF(AY152="",0,VLOOKUP(M152,Tables!$B$3:$M$36,11,FALSE())*AI$1)</f>
        <v>2.8000000000000003</v>
      </c>
      <c r="EA152" s="92">
        <f>IF(AZ152="",0,VLOOKUP(N152,Tables!$B$3:$M$36,11,FALSE())*AJ$1)</f>
        <v>0.6</v>
      </c>
      <c r="EB152" s="92">
        <f>IF(BA152="",0,VLOOKUP(O152,Tables!$B$3:$M$36,11,FALSE())*AK$1)</f>
        <v>0</v>
      </c>
      <c r="EC152" s="93">
        <f>IF(BB152="",0,VLOOKUP(P152,Tables!$B$3:$M$36,11,FALSE())*AL$1)</f>
        <v>0</v>
      </c>
      <c r="ED152" s="91">
        <f>IF(AN152="",0,VLOOKUP(B152,Tables!$B$3:$M$36,12,FALSE())*X$1)</f>
        <v>0</v>
      </c>
      <c r="EE152" s="92">
        <f>IF(AO152="",0,VLOOKUP(C152,Tables!$B$3:$M$36,12,FALSE())*Y$1)</f>
        <v>0</v>
      </c>
      <c r="EF152" s="92">
        <f>IF(AP152="",0,VLOOKUP(D152,Tables!$B$3:$M$36,12,FALSE())*Z$1)</f>
        <v>0</v>
      </c>
      <c r="EG152" s="91">
        <f>IF(AQ152="",0,VLOOKUP(E152,Tables!$B$3:$M$36,12,FALSE())*AA$1)</f>
        <v>14.399999999999999</v>
      </c>
      <c r="EH152" s="92">
        <f>IF(AR152="",0,VLOOKUP(F152,Tables!$B$3:$M$36,12,FALSE())*AB$1)</f>
        <v>0</v>
      </c>
      <c r="EI152" s="92">
        <f>IF(AS152="",0,VLOOKUP(G152,Tables!$B$3:$M$36,12,FALSE())*AC$1)</f>
        <v>0</v>
      </c>
      <c r="EJ152" s="92">
        <f>IF(AT152="",0,VLOOKUP(H152,Tables!$B$3:$M$36,12,FALSE())*AD$1)</f>
        <v>0</v>
      </c>
      <c r="EK152" s="92">
        <f>IF(AU152="",0,VLOOKUP(I152,Tables!$B$3:$M$36,12,FALSE())*AE$1)</f>
        <v>0</v>
      </c>
      <c r="EL152" s="91">
        <f>IF(AV152="",0,VLOOKUP(J152,Tables!$B$3:$M$36,12,FALSE())*AF$1)</f>
        <v>57.599999999999994</v>
      </c>
      <c r="EM152" s="92">
        <f>IF(AW152="",0,VLOOKUP(K152,Tables!$B$3:$M$36,12,FALSE())*AG$1)</f>
        <v>57.599999999999994</v>
      </c>
      <c r="EN152" s="92">
        <f>IF(AX152="",0,VLOOKUP(L152,Tables!$B$3:$M$36,12,FALSE())*AH$1)</f>
        <v>48</v>
      </c>
      <c r="EO152" s="91">
        <f>IF(AY152="",0,VLOOKUP(M152,Tables!$B$3:$M$36,12,FALSE())*AI$1)</f>
        <v>67.2</v>
      </c>
      <c r="EP152" s="92">
        <f>IF(AZ152="",0,VLOOKUP(N152,Tables!$B$3:$M$36,12,FALSE())*AJ$1)</f>
        <v>14.399999999999999</v>
      </c>
      <c r="EQ152" s="92">
        <f>IF(BA152="",0,VLOOKUP(O152,Tables!$B$3:$M$36,12,FALSE())*AK$1)</f>
        <v>0</v>
      </c>
      <c r="ER152" s="93">
        <f>IF(BB152="",0,VLOOKUP(P152,Tables!$B$3:$M$36,12,FALSE())*AL$1)</f>
        <v>0</v>
      </c>
      <c r="ES152" s="94">
        <f t="shared" si="167"/>
        <v>0</v>
      </c>
      <c r="ET152" s="95">
        <f>IF(AN152="",10,MIN(VLOOKUP(B152,MATERIAL,13,FALSE()),'Item Builder'!$W152))</f>
        <v>10</v>
      </c>
      <c r="EU152" s="95">
        <f>IF(AO152="",10,MIN(VLOOKUP(C152,MATERIAL,13,FALSE()),'Item Builder'!$W152))</f>
        <v>10</v>
      </c>
      <c r="EV152" s="95">
        <f>IF(AP152="",10,MIN(VLOOKUP(D152,MATERIAL,13,FALSE()),'Item Builder'!$W152))</f>
        <v>10</v>
      </c>
      <c r="EW152" s="95">
        <f>IF(AQ152="",10,MIN(VLOOKUP(E152,MATERIAL,13,FALSE()),'Item Builder'!$W152))</f>
        <v>0</v>
      </c>
      <c r="EX152" s="95">
        <f>IF(AR152="",10,MIN(VLOOKUP(F152,MATERIAL,13,FALSE()),'Item Builder'!$W152))</f>
        <v>10</v>
      </c>
      <c r="EY152" s="95">
        <f>IF(AS152="",10,MIN(VLOOKUP(G152,MATERIAL,13,FALSE()),'Item Builder'!$W152))</f>
        <v>10</v>
      </c>
      <c r="EZ152" s="95">
        <f>IF(AT152="",10,MIN(VLOOKUP(H152,MATERIAL,13,FALSE()),'Item Builder'!$W152))</f>
        <v>10</v>
      </c>
      <c r="FA152" s="95">
        <f>IF(AU152="",10,MIN(VLOOKUP(I152,MATERIAL,13,FALSE()),'Item Builder'!$W152))</f>
        <v>10</v>
      </c>
      <c r="FB152" s="95">
        <f>IF(AV152="",10,MIN(VLOOKUP(J152,MATERIAL,13,FALSE()),'Item Builder'!$W152))</f>
        <v>0</v>
      </c>
      <c r="FC152" s="95">
        <f>IF(AW152="",10,MIN(VLOOKUP(K152,MATERIAL,13,FALSE()),'Item Builder'!$W152))</f>
        <v>0</v>
      </c>
      <c r="FD152" s="95">
        <f>IF(AX152="",10,MIN(VLOOKUP(L152,MATERIAL,13,FALSE()),'Item Builder'!$W152))</f>
        <v>0</v>
      </c>
      <c r="FE152" s="95">
        <f>IF(AY152="",10,MIN(VLOOKUP(M152,MATERIAL,13,FALSE()),'Item Builder'!$W152))</f>
        <v>0</v>
      </c>
      <c r="FF152" s="95">
        <f>IF(AZ152="",10,MIN(VLOOKUP(N152,MATERIAL,13,FALSE()),'Item Builder'!$W152))</f>
        <v>0</v>
      </c>
      <c r="FG152" s="95">
        <f>IF(BA152="",10,MIN(VLOOKUP(O152,MATERIAL,13,FALSE()),'Item Builder'!$W152))</f>
        <v>10</v>
      </c>
      <c r="FH152" s="95">
        <f>IF(BB152="",10,MIN(VLOOKUP(P152,MATERIAL,13,FALSE()),'Item Builder'!$W152))</f>
        <v>10</v>
      </c>
    </row>
    <row r="153" spans="1:164" x14ac:dyDescent="0.25">
      <c r="A153" s="67" t="s">
        <v>293</v>
      </c>
      <c r="B153" s="68"/>
      <c r="C153" s="69"/>
      <c r="D153" s="70"/>
      <c r="E153" s="68" t="s">
        <v>168</v>
      </c>
      <c r="F153" s="69"/>
      <c r="G153" s="69"/>
      <c r="H153" s="69"/>
      <c r="I153" s="70"/>
      <c r="J153" s="68" t="s">
        <v>168</v>
      </c>
      <c r="K153" s="69" t="s">
        <v>168</v>
      </c>
      <c r="L153" s="70" t="s">
        <v>168</v>
      </c>
      <c r="M153" s="68" t="s">
        <v>168</v>
      </c>
      <c r="N153" s="69" t="s">
        <v>168</v>
      </c>
      <c r="O153" s="69" t="s">
        <v>168</v>
      </c>
      <c r="P153" s="71"/>
      <c r="Q153" s="72">
        <f>SUM(BV153:CJ153)*VLOOKUP(W153,Tables!$W$3:$Z$8,4)</f>
        <v>396</v>
      </c>
      <c r="R153" s="73">
        <f t="shared" si="112"/>
        <v>3.96</v>
      </c>
      <c r="S153" s="74">
        <f t="shared" si="113"/>
        <v>0</v>
      </c>
      <c r="T153" s="74">
        <f t="shared" si="114"/>
        <v>0</v>
      </c>
      <c r="U153" s="75">
        <f t="shared" si="115"/>
        <v>13.200000000000001</v>
      </c>
      <c r="V153" s="76">
        <f t="shared" si="116"/>
        <v>316.79999999999995</v>
      </c>
      <c r="W153" s="77">
        <v>0</v>
      </c>
      <c r="X153" s="78">
        <f t="shared" si="117"/>
        <v>0</v>
      </c>
      <c r="Y153" s="79">
        <f t="shared" si="118"/>
        <v>0</v>
      </c>
      <c r="Z153" s="79">
        <f t="shared" si="119"/>
        <v>0</v>
      </c>
      <c r="AA153" s="78">
        <f t="shared" si="120"/>
        <v>1</v>
      </c>
      <c r="AB153" s="79">
        <f t="shared" si="121"/>
        <v>0</v>
      </c>
      <c r="AC153" s="79">
        <f t="shared" si="122"/>
        <v>0</v>
      </c>
      <c r="AD153" s="79">
        <f t="shared" si="123"/>
        <v>0</v>
      </c>
      <c r="AE153" s="79">
        <f t="shared" si="124"/>
        <v>0</v>
      </c>
      <c r="AF153" s="78">
        <f t="shared" si="125"/>
        <v>1</v>
      </c>
      <c r="AG153" s="79">
        <f t="shared" si="126"/>
        <v>1</v>
      </c>
      <c r="AH153" s="79">
        <f t="shared" si="127"/>
        <v>1</v>
      </c>
      <c r="AI153" s="78">
        <f t="shared" si="128"/>
        <v>1</v>
      </c>
      <c r="AJ153" s="79">
        <f t="shared" si="129"/>
        <v>1</v>
      </c>
      <c r="AK153" s="79">
        <f t="shared" si="130"/>
        <v>1</v>
      </c>
      <c r="AL153" s="80">
        <f t="shared" si="131"/>
        <v>0</v>
      </c>
      <c r="AM153" s="81">
        <f t="shared" si="132"/>
        <v>0.66</v>
      </c>
      <c r="AN153" s="82" t="str">
        <f t="shared" si="133"/>
        <v/>
      </c>
      <c r="AO153" s="79" t="str">
        <f t="shared" si="134"/>
        <v/>
      </c>
      <c r="AP153" t="str">
        <f t="shared" si="135"/>
        <v/>
      </c>
      <c r="AQ153" s="82" t="str">
        <f t="shared" si="136"/>
        <v>C</v>
      </c>
      <c r="AR153" t="str">
        <f t="shared" si="137"/>
        <v/>
      </c>
      <c r="AS153" t="str">
        <f t="shared" si="138"/>
        <v/>
      </c>
      <c r="AT153" t="str">
        <f t="shared" si="139"/>
        <v/>
      </c>
      <c r="AU153" t="str">
        <f t="shared" si="140"/>
        <v/>
      </c>
      <c r="AV153" s="82" t="str">
        <f t="shared" si="141"/>
        <v>C</v>
      </c>
      <c r="AW153" t="str">
        <f t="shared" si="142"/>
        <v>C</v>
      </c>
      <c r="AX153" t="str">
        <f t="shared" si="143"/>
        <v>C</v>
      </c>
      <c r="AY153" s="82" t="str">
        <f t="shared" si="144"/>
        <v>C</v>
      </c>
      <c r="AZ153" t="str">
        <f t="shared" si="145"/>
        <v>C</v>
      </c>
      <c r="BA153" t="str">
        <f t="shared" si="146"/>
        <v>C</v>
      </c>
      <c r="BB153" s="83" t="str">
        <f t="shared" si="147"/>
        <v/>
      </c>
      <c r="BC153" s="84">
        <f t="shared" si="148"/>
        <v>0</v>
      </c>
      <c r="BD153" s="84">
        <f t="shared" si="149"/>
        <v>0.14285714285714285</v>
      </c>
      <c r="BE153" s="84">
        <f t="shared" si="150"/>
        <v>1</v>
      </c>
      <c r="BF153" s="84">
        <f t="shared" si="151"/>
        <v>0.80555555555555558</v>
      </c>
      <c r="BG153" s="78">
        <f>IF(AN153="",0,VLOOKUP(AN153,Tables!$AB$3:$AC$12,2))</f>
        <v>0</v>
      </c>
      <c r="BH153" s="79">
        <f>IF(AO153="",0,VLOOKUP(AO153,Tables!$AB$3:$AC$12,2))</f>
        <v>0</v>
      </c>
      <c r="BI153" s="79">
        <f>IF(AP153="",0,VLOOKUP(AP153,Tables!$AB$3:$AC$12,2))</f>
        <v>0</v>
      </c>
      <c r="BJ153" s="78">
        <f>IF(AQ153="",0,VLOOKUP(AQ153,Tables!$AB$3:$AC$12,2))</f>
        <v>1</v>
      </c>
      <c r="BK153" s="79">
        <f>IF(AR153="",0,VLOOKUP(AR153,Tables!$AB$3:$AC$12,2))</f>
        <v>0</v>
      </c>
      <c r="BL153" s="79">
        <f>IF(AS153="",0,VLOOKUP(AS153,Tables!$AB$3:$AC$12,2))</f>
        <v>0</v>
      </c>
      <c r="BM153" s="79">
        <f>IF(AT153="",0,VLOOKUP(AT153,Tables!$AB$3:$AC$12,2))</f>
        <v>0</v>
      </c>
      <c r="BN153" s="79">
        <f>IF(AU153="",0,VLOOKUP(AU153,Tables!$AB$3:$AC$12,2))</f>
        <v>0</v>
      </c>
      <c r="BO153" s="78">
        <f>IF(AV153="",0,VLOOKUP(AV153,Tables!$AB$3:$AC$12,2))</f>
        <v>1</v>
      </c>
      <c r="BP153" s="79">
        <f>IF(AW153="",0,VLOOKUP(AW153,Tables!$AB$3:$AC$12,2))</f>
        <v>1</v>
      </c>
      <c r="BQ153" s="79">
        <f>IF(AX153="",0,VLOOKUP(AX153,Tables!$AB$3:$AC$12,2))</f>
        <v>1</v>
      </c>
      <c r="BR153" s="78">
        <f>IF(AY153="",0,VLOOKUP(AY153,Tables!$AB$3:$AC$12,2))</f>
        <v>1</v>
      </c>
      <c r="BS153" s="79">
        <f>IF(AZ153="",0,VLOOKUP(AZ153,Tables!$AB$3:$AC$12,2))</f>
        <v>1</v>
      </c>
      <c r="BT153" s="79">
        <f>IF(BA153="",0,VLOOKUP(BA153,Tables!$AB$3:$AC$12,2))</f>
        <v>1</v>
      </c>
      <c r="BU153" s="80">
        <f>IF(BB153="",0,VLOOKUP(BB153,Tables!$AB$3:$AC$12,2))</f>
        <v>0</v>
      </c>
      <c r="BV153" s="85">
        <f>IF(AN153="",0,VLOOKUP(B153,Tables!$B$3:$D$36,2,FALSE())*X$1)</f>
        <v>0</v>
      </c>
      <c r="BW153" s="72">
        <f>IF(AO153="",0,VLOOKUP(C153,Tables!$B$3:$D$36,2,FALSE())*Y$1)</f>
        <v>0</v>
      </c>
      <c r="BX153" s="72">
        <f>IF(AP153="",0,VLOOKUP(D153,Tables!$B$3:$D$36,2,FALSE())*Z$1)</f>
        <v>0</v>
      </c>
      <c r="BY153" s="85">
        <f>IF(AQ153="",0,VLOOKUP(E153,Tables!$B$3:$D$36,2,FALSE())*AA$1)</f>
        <v>18</v>
      </c>
      <c r="BZ153" s="72">
        <f>IF(AR153="",0,VLOOKUP(F153,Tables!$B$3:$D$36,2,FALSE())*AB$1)</f>
        <v>0</v>
      </c>
      <c r="CA153" s="72">
        <f>IF(AS153="",0,VLOOKUP(G153,Tables!$B$3:$D$36,2,FALSE())*AC$1)</f>
        <v>0</v>
      </c>
      <c r="CB153" s="72">
        <f>IF(AT153="",0,VLOOKUP(H153,Tables!$B$3:$D$36,2,FALSE())*AD$1)</f>
        <v>0</v>
      </c>
      <c r="CC153" s="72">
        <f>IF(AU153="",0,VLOOKUP(I153,Tables!$B$3:$D$36,2,FALSE())*AE$1)</f>
        <v>0</v>
      </c>
      <c r="CD153" s="85">
        <f>IF(AV153="",0,VLOOKUP(J153,Tables!$B$3:$D$36,2,FALSE())*AF$1)</f>
        <v>72</v>
      </c>
      <c r="CE153" s="72">
        <f>IF(AW153="",0,VLOOKUP(K153,Tables!$B$3:$D$36,2,FALSE())*AG$1)</f>
        <v>72</v>
      </c>
      <c r="CF153" s="72">
        <f>IF(AX153="",0,VLOOKUP(L153,Tables!$B$3:$D$36,2,FALSE())*AH$1)</f>
        <v>60</v>
      </c>
      <c r="CG153" s="85">
        <f>IF(AY153="",0,VLOOKUP(M153,Tables!$B$3:$D$36,2,FALSE())*AI$1)</f>
        <v>84.000000000000014</v>
      </c>
      <c r="CH153" s="72">
        <f>IF(AZ153="",0,VLOOKUP(N153,Tables!$B$3:$D$36,2,FALSE())*AJ$1)</f>
        <v>18</v>
      </c>
      <c r="CI153" s="72">
        <f>IF(BA153="",0,VLOOKUP(O153,Tables!$B$3:$D$36,2,FALSE())*AK$1)</f>
        <v>72</v>
      </c>
      <c r="CJ153" s="86">
        <f>IF(BB153="",0,VLOOKUP(P153,Tables!$B$3:$D$36,2,FALSE())*AL$1)</f>
        <v>0</v>
      </c>
      <c r="CK153" s="87">
        <f>IF(AN153="",0,VLOOKUP(B153,Tables!$B$3:$D$36,3,FALSE())*X$1)*IF(OR(AN153="K",AN153="P"),2,1)</f>
        <v>0</v>
      </c>
      <c r="CL153" s="73">
        <f>IF(AO153="",0,VLOOKUP(C153,Tables!$B$3:$D$36,3,FALSE())*Y$1)*IF(OR(AO153="K",AO153="P"),2,1)</f>
        <v>0</v>
      </c>
      <c r="CM153" s="73">
        <f>IF(AP153="",0,VLOOKUP(D153,Tables!$B$3:$D$36,3,FALSE())*Z$1)*IF(OR(AP153="K",AP153="P"),2,1)</f>
        <v>0</v>
      </c>
      <c r="CN153" s="87">
        <f>IF(AQ153="",0,VLOOKUP(E153,Tables!$B$3:$D$36,3,FALSE())*AA$1)</f>
        <v>0.18</v>
      </c>
      <c r="CO153" s="73">
        <f>IF(AR153="",0,VLOOKUP(F153,Tables!$B$3:$D$36,3,FALSE())*AB$1)</f>
        <v>0</v>
      </c>
      <c r="CP153" s="73">
        <f>IF(AS153="",0,VLOOKUP(G153,Tables!$B$3:$D$36,3,FALSE())*AC$1)</f>
        <v>0</v>
      </c>
      <c r="CQ153" s="73">
        <f>IF(AT153="",0,VLOOKUP(H153,Tables!$B$3:$D$36,3,FALSE())*AD$1)</f>
        <v>0</v>
      </c>
      <c r="CR153" s="73">
        <f>IF(AU153="",0,VLOOKUP(I153,Tables!$B$3:$D$36,3,FALSE())*AE$1)</f>
        <v>0</v>
      </c>
      <c r="CS153" s="87">
        <f>IF(AV153="",0,VLOOKUP(J153,Tables!$B$3:$D$36,3,FALSE())*AF$1)</f>
        <v>0.72</v>
      </c>
      <c r="CT153" s="73">
        <f>IF(AW153="",0,VLOOKUP(K153,Tables!$B$3:$D$36,3,FALSE())*AG$1)</f>
        <v>0.72</v>
      </c>
      <c r="CU153" s="73">
        <f>IF(AX153="",0,VLOOKUP(L153,Tables!$B$3:$D$36,3,FALSE())*AH$1)</f>
        <v>0.60000000000000009</v>
      </c>
      <c r="CV153" s="87">
        <f>IF(AY153="",0,VLOOKUP(M153,Tables!$B$3:$D$36,3,FALSE())*AI$1)</f>
        <v>0.84000000000000008</v>
      </c>
      <c r="CW153" s="73">
        <f>IF(AZ153="",0,VLOOKUP(N153,Tables!$B$3:$D$36,3,FALSE())*AJ$1)</f>
        <v>0.18</v>
      </c>
      <c r="CX153" s="73">
        <f>IF(BA153="",0,VLOOKUP(O153,Tables!$B$3:$D$36,3,FALSE())*AK$1)</f>
        <v>0.72</v>
      </c>
      <c r="CY153" s="88">
        <f>IF(BB153="",0,VLOOKUP(P153,Tables!$B$3:$D$36,3,FALSE())*AL$1)</f>
        <v>0</v>
      </c>
      <c r="CZ153" s="89">
        <f t="shared" si="152"/>
        <v>0</v>
      </c>
      <c r="DA153" s="75">
        <f t="shared" si="153"/>
        <v>0</v>
      </c>
      <c r="DB153" s="75">
        <f t="shared" si="154"/>
        <v>0</v>
      </c>
      <c r="DC153" s="89">
        <f t="shared" si="155"/>
        <v>1</v>
      </c>
      <c r="DD153" s="75">
        <f t="shared" si="156"/>
        <v>0</v>
      </c>
      <c r="DE153" s="75">
        <f t="shared" si="157"/>
        <v>0</v>
      </c>
      <c r="DF153" s="75">
        <f t="shared" si="158"/>
        <v>0</v>
      </c>
      <c r="DG153" s="75">
        <f t="shared" si="159"/>
        <v>0</v>
      </c>
      <c r="DH153" s="89">
        <f t="shared" si="160"/>
        <v>1</v>
      </c>
      <c r="DI153" s="75">
        <f t="shared" si="161"/>
        <v>1</v>
      </c>
      <c r="DJ153" s="75">
        <f t="shared" si="162"/>
        <v>1</v>
      </c>
      <c r="DK153" s="89">
        <f t="shared" si="163"/>
        <v>1</v>
      </c>
      <c r="DL153" s="75">
        <f t="shared" si="164"/>
        <v>1</v>
      </c>
      <c r="DM153" s="75">
        <f t="shared" si="165"/>
        <v>1</v>
      </c>
      <c r="DN153" s="90">
        <f t="shared" si="166"/>
        <v>0</v>
      </c>
      <c r="DO153" s="91">
        <f>IF(AN153="",0,VLOOKUP(B153,Tables!$B$3:$M$36,11,FALSE())*X$1)</f>
        <v>0</v>
      </c>
      <c r="DP153" s="92">
        <f>IF(AO153="",0,VLOOKUP(C153,Tables!$B$3:$M$36,11,FALSE())*Y$1)</f>
        <v>0</v>
      </c>
      <c r="DQ153" s="92">
        <f>IF(AP153="",0,VLOOKUP(D153,Tables!$B$3:$M$36,11,FALSE())*Z$1)</f>
        <v>0</v>
      </c>
      <c r="DR153" s="91">
        <f>IF(AQ153="",0,VLOOKUP(E153,Tables!$B$3:$M$36,11,FALSE())*AA$1)</f>
        <v>0.6</v>
      </c>
      <c r="DS153" s="92">
        <f>IF(AR153="",0,VLOOKUP(F153,Tables!$B$3:$M$36,11,FALSE())*AB$1)</f>
        <v>0</v>
      </c>
      <c r="DT153" s="92">
        <f>IF(AS153="",0,VLOOKUP(G153,Tables!$B$3:$M$36,11,FALSE())*AC$1)</f>
        <v>0</v>
      </c>
      <c r="DU153" s="92">
        <f>IF(AT153="",0,VLOOKUP(H153,Tables!$B$3:$M$36,11,FALSE())*AD$1)</f>
        <v>0</v>
      </c>
      <c r="DV153" s="92">
        <f>IF(AU153="",0,VLOOKUP(I153,Tables!$B$3:$M$36,11,FALSE())*AE$1)</f>
        <v>0</v>
      </c>
      <c r="DW153" s="91">
        <f>IF(AV153="",0,VLOOKUP(J153,Tables!$B$3:$M$36,11,FALSE())*AF$1)</f>
        <v>2.4</v>
      </c>
      <c r="DX153" s="92">
        <f>IF(AW153="",0,VLOOKUP(K153,Tables!$B$3:$M$36,11,FALSE())*AG$1)</f>
        <v>2.4</v>
      </c>
      <c r="DY153" s="92">
        <f>IF(AX153="",0,VLOOKUP(L153,Tables!$B$3:$M$36,11,FALSE())*AH$1)</f>
        <v>2</v>
      </c>
      <c r="DZ153" s="91">
        <f>IF(AY153="",0,VLOOKUP(M153,Tables!$B$3:$M$36,11,FALSE())*AI$1)</f>
        <v>2.8000000000000003</v>
      </c>
      <c r="EA153" s="92">
        <f>IF(AZ153="",0,VLOOKUP(N153,Tables!$B$3:$M$36,11,FALSE())*AJ$1)</f>
        <v>0.6</v>
      </c>
      <c r="EB153" s="92">
        <f>IF(BA153="",0,VLOOKUP(O153,Tables!$B$3:$M$36,11,FALSE())*AK$1)</f>
        <v>2.4</v>
      </c>
      <c r="EC153" s="93">
        <f>IF(BB153="",0,VLOOKUP(P153,Tables!$B$3:$M$36,11,FALSE())*AL$1)</f>
        <v>0</v>
      </c>
      <c r="ED153" s="91">
        <f>IF(AN153="",0,VLOOKUP(B153,Tables!$B$3:$M$36,12,FALSE())*X$1)</f>
        <v>0</v>
      </c>
      <c r="EE153" s="92">
        <f>IF(AO153="",0,VLOOKUP(C153,Tables!$B$3:$M$36,12,FALSE())*Y$1)</f>
        <v>0</v>
      </c>
      <c r="EF153" s="92">
        <f>IF(AP153="",0,VLOOKUP(D153,Tables!$B$3:$M$36,12,FALSE())*Z$1)</f>
        <v>0</v>
      </c>
      <c r="EG153" s="91">
        <f>IF(AQ153="",0,VLOOKUP(E153,Tables!$B$3:$M$36,12,FALSE())*AA$1)</f>
        <v>14.399999999999999</v>
      </c>
      <c r="EH153" s="92">
        <f>IF(AR153="",0,VLOOKUP(F153,Tables!$B$3:$M$36,12,FALSE())*AB$1)</f>
        <v>0</v>
      </c>
      <c r="EI153" s="92">
        <f>IF(AS153="",0,VLOOKUP(G153,Tables!$B$3:$M$36,12,FALSE())*AC$1)</f>
        <v>0</v>
      </c>
      <c r="EJ153" s="92">
        <f>IF(AT153="",0,VLOOKUP(H153,Tables!$B$3:$M$36,12,FALSE())*AD$1)</f>
        <v>0</v>
      </c>
      <c r="EK153" s="92">
        <f>IF(AU153="",0,VLOOKUP(I153,Tables!$B$3:$M$36,12,FALSE())*AE$1)</f>
        <v>0</v>
      </c>
      <c r="EL153" s="91">
        <f>IF(AV153="",0,VLOOKUP(J153,Tables!$B$3:$M$36,12,FALSE())*AF$1)</f>
        <v>57.599999999999994</v>
      </c>
      <c r="EM153" s="92">
        <f>IF(AW153="",0,VLOOKUP(K153,Tables!$B$3:$M$36,12,FALSE())*AG$1)</f>
        <v>57.599999999999994</v>
      </c>
      <c r="EN153" s="92">
        <f>IF(AX153="",0,VLOOKUP(L153,Tables!$B$3:$M$36,12,FALSE())*AH$1)</f>
        <v>48</v>
      </c>
      <c r="EO153" s="91">
        <f>IF(AY153="",0,VLOOKUP(M153,Tables!$B$3:$M$36,12,FALSE())*AI$1)</f>
        <v>67.2</v>
      </c>
      <c r="EP153" s="92">
        <f>IF(AZ153="",0,VLOOKUP(N153,Tables!$B$3:$M$36,12,FALSE())*AJ$1)</f>
        <v>14.399999999999999</v>
      </c>
      <c r="EQ153" s="92">
        <f>IF(BA153="",0,VLOOKUP(O153,Tables!$B$3:$M$36,12,FALSE())*AK$1)</f>
        <v>57.599999999999994</v>
      </c>
      <c r="ER153" s="93">
        <f>IF(BB153="",0,VLOOKUP(P153,Tables!$B$3:$M$36,12,FALSE())*AL$1)</f>
        <v>0</v>
      </c>
      <c r="ES153" s="94">
        <f t="shared" si="167"/>
        <v>0</v>
      </c>
      <c r="ET153" s="95">
        <f>IF(AN153="",10,MIN(VLOOKUP(B153,MATERIAL,13,FALSE()),'Item Builder'!$W153))</f>
        <v>10</v>
      </c>
      <c r="EU153" s="95">
        <f>IF(AO153="",10,MIN(VLOOKUP(C153,MATERIAL,13,FALSE()),'Item Builder'!$W153))</f>
        <v>10</v>
      </c>
      <c r="EV153" s="95">
        <f>IF(AP153="",10,MIN(VLOOKUP(D153,MATERIAL,13,FALSE()),'Item Builder'!$W153))</f>
        <v>10</v>
      </c>
      <c r="EW153" s="95">
        <f>IF(AQ153="",10,MIN(VLOOKUP(E153,MATERIAL,13,FALSE()),'Item Builder'!$W153))</f>
        <v>0</v>
      </c>
      <c r="EX153" s="95">
        <f>IF(AR153="",10,MIN(VLOOKUP(F153,MATERIAL,13,FALSE()),'Item Builder'!$W153))</f>
        <v>10</v>
      </c>
      <c r="EY153" s="95">
        <f>IF(AS153="",10,MIN(VLOOKUP(G153,MATERIAL,13,FALSE()),'Item Builder'!$W153))</f>
        <v>10</v>
      </c>
      <c r="EZ153" s="95">
        <f>IF(AT153="",10,MIN(VLOOKUP(H153,MATERIAL,13,FALSE()),'Item Builder'!$W153))</f>
        <v>10</v>
      </c>
      <c r="FA153" s="95">
        <f>IF(AU153="",10,MIN(VLOOKUP(I153,MATERIAL,13,FALSE()),'Item Builder'!$W153))</f>
        <v>10</v>
      </c>
      <c r="FB153" s="95">
        <f>IF(AV153="",10,MIN(VLOOKUP(J153,MATERIAL,13,FALSE()),'Item Builder'!$W153))</f>
        <v>0</v>
      </c>
      <c r="FC153" s="95">
        <f>IF(AW153="",10,MIN(VLOOKUP(K153,MATERIAL,13,FALSE()),'Item Builder'!$W153))</f>
        <v>0</v>
      </c>
      <c r="FD153" s="95">
        <f>IF(AX153="",10,MIN(VLOOKUP(L153,MATERIAL,13,FALSE()),'Item Builder'!$W153))</f>
        <v>0</v>
      </c>
      <c r="FE153" s="95">
        <f>IF(AY153="",10,MIN(VLOOKUP(M153,MATERIAL,13,FALSE()),'Item Builder'!$W153))</f>
        <v>0</v>
      </c>
      <c r="FF153" s="95">
        <f>IF(AZ153="",10,MIN(VLOOKUP(N153,MATERIAL,13,FALSE()),'Item Builder'!$W153))</f>
        <v>0</v>
      </c>
      <c r="FG153" s="95">
        <f>IF(BA153="",10,MIN(VLOOKUP(O153,MATERIAL,13,FALSE()),'Item Builder'!$W153))</f>
        <v>0</v>
      </c>
      <c r="FH153" s="95">
        <f>IF(BB153="",10,MIN(VLOOKUP(P153,MATERIAL,13,FALSE()),'Item Builder'!$W153))</f>
        <v>10</v>
      </c>
    </row>
    <row r="154" spans="1:164" x14ac:dyDescent="0.25">
      <c r="A154" s="67" t="s">
        <v>294</v>
      </c>
      <c r="B154" s="68"/>
      <c r="C154" s="69"/>
      <c r="D154" s="70"/>
      <c r="E154" s="68" t="s">
        <v>168</v>
      </c>
      <c r="F154" s="69" t="s">
        <v>168</v>
      </c>
      <c r="G154" s="69" t="s">
        <v>168</v>
      </c>
      <c r="H154" s="69" t="s">
        <v>168</v>
      </c>
      <c r="I154" s="70"/>
      <c r="J154" s="68" t="s">
        <v>168</v>
      </c>
      <c r="K154" s="69" t="s">
        <v>168</v>
      </c>
      <c r="L154" s="70" t="s">
        <v>168</v>
      </c>
      <c r="M154" s="68" t="s">
        <v>168</v>
      </c>
      <c r="N154" s="69" t="s">
        <v>168</v>
      </c>
      <c r="O154" s="69" t="s">
        <v>168</v>
      </c>
      <c r="P154" s="71"/>
      <c r="Q154" s="72">
        <f>SUM(BV154:CJ154)*VLOOKUP(W154,Tables!$W$3:$Z$8,4)</f>
        <v>474</v>
      </c>
      <c r="R154" s="73">
        <f t="shared" si="112"/>
        <v>4.74</v>
      </c>
      <c r="S154" s="74">
        <f t="shared" si="113"/>
        <v>0</v>
      </c>
      <c r="T154" s="74">
        <f t="shared" si="114"/>
        <v>0</v>
      </c>
      <c r="U154" s="75">
        <f t="shared" si="115"/>
        <v>15.8</v>
      </c>
      <c r="V154" s="76">
        <f t="shared" si="116"/>
        <v>379.19999999999993</v>
      </c>
      <c r="W154" s="77">
        <v>0</v>
      </c>
      <c r="X154" s="78">
        <f t="shared" si="117"/>
        <v>0</v>
      </c>
      <c r="Y154" s="79">
        <f t="shared" si="118"/>
        <v>0</v>
      </c>
      <c r="Z154" s="79">
        <f t="shared" si="119"/>
        <v>0</v>
      </c>
      <c r="AA154" s="78">
        <f t="shared" si="120"/>
        <v>1</v>
      </c>
      <c r="AB154" s="79">
        <f t="shared" si="121"/>
        <v>1</v>
      </c>
      <c r="AC154" s="79">
        <f t="shared" si="122"/>
        <v>1</v>
      </c>
      <c r="AD154" s="79">
        <f t="shared" si="123"/>
        <v>1</v>
      </c>
      <c r="AE154" s="79">
        <f t="shared" si="124"/>
        <v>0</v>
      </c>
      <c r="AF154" s="78">
        <f t="shared" si="125"/>
        <v>1</v>
      </c>
      <c r="AG154" s="79">
        <f t="shared" si="126"/>
        <v>1</v>
      </c>
      <c r="AH154" s="79">
        <f t="shared" si="127"/>
        <v>1</v>
      </c>
      <c r="AI154" s="78">
        <f t="shared" si="128"/>
        <v>1</v>
      </c>
      <c r="AJ154" s="79">
        <f t="shared" si="129"/>
        <v>1</v>
      </c>
      <c r="AK154" s="79">
        <f t="shared" si="130"/>
        <v>1</v>
      </c>
      <c r="AL154" s="80">
        <f t="shared" si="131"/>
        <v>0</v>
      </c>
      <c r="AM154" s="81">
        <f t="shared" si="132"/>
        <v>0.79</v>
      </c>
      <c r="AN154" s="82" t="str">
        <f t="shared" si="133"/>
        <v/>
      </c>
      <c r="AO154" s="79" t="str">
        <f t="shared" si="134"/>
        <v/>
      </c>
      <c r="AP154" t="str">
        <f t="shared" si="135"/>
        <v/>
      </c>
      <c r="AQ154" s="82" t="str">
        <f t="shared" si="136"/>
        <v>C</v>
      </c>
      <c r="AR154" t="str">
        <f t="shared" si="137"/>
        <v>C</v>
      </c>
      <c r="AS154" t="str">
        <f t="shared" si="138"/>
        <v>C</v>
      </c>
      <c r="AT154" t="str">
        <f t="shared" si="139"/>
        <v>C</v>
      </c>
      <c r="AU154" t="str">
        <f t="shared" si="140"/>
        <v/>
      </c>
      <c r="AV154" s="82" t="str">
        <f t="shared" si="141"/>
        <v>C</v>
      </c>
      <c r="AW154" t="str">
        <f t="shared" si="142"/>
        <v>C</v>
      </c>
      <c r="AX154" t="str">
        <f t="shared" si="143"/>
        <v>C</v>
      </c>
      <c r="AY154" s="82" t="str">
        <f t="shared" si="144"/>
        <v>C</v>
      </c>
      <c r="AZ154" t="str">
        <f t="shared" si="145"/>
        <v>C</v>
      </c>
      <c r="BA154" t="str">
        <f t="shared" si="146"/>
        <v>C</v>
      </c>
      <c r="BB154" s="83" t="str">
        <f t="shared" si="147"/>
        <v/>
      </c>
      <c r="BC154" s="84">
        <f t="shared" si="148"/>
        <v>0</v>
      </c>
      <c r="BD154" s="84">
        <f t="shared" si="149"/>
        <v>0.76190476190476186</v>
      </c>
      <c r="BE154" s="84">
        <f t="shared" si="150"/>
        <v>1</v>
      </c>
      <c r="BF154" s="84">
        <f t="shared" si="151"/>
        <v>0.80555555555555558</v>
      </c>
      <c r="BG154" s="78">
        <f>IF(AN154="",0,VLOOKUP(AN154,Tables!$AB$3:$AC$12,2))</f>
        <v>0</v>
      </c>
      <c r="BH154" s="79">
        <f>IF(AO154="",0,VLOOKUP(AO154,Tables!$AB$3:$AC$12,2))</f>
        <v>0</v>
      </c>
      <c r="BI154" s="79">
        <f>IF(AP154="",0,VLOOKUP(AP154,Tables!$AB$3:$AC$12,2))</f>
        <v>0</v>
      </c>
      <c r="BJ154" s="78">
        <f>IF(AQ154="",0,VLOOKUP(AQ154,Tables!$AB$3:$AC$12,2))</f>
        <v>1</v>
      </c>
      <c r="BK154" s="79">
        <f>IF(AR154="",0,VLOOKUP(AR154,Tables!$AB$3:$AC$12,2))</f>
        <v>1</v>
      </c>
      <c r="BL154" s="79">
        <f>IF(AS154="",0,VLOOKUP(AS154,Tables!$AB$3:$AC$12,2))</f>
        <v>1</v>
      </c>
      <c r="BM154" s="79">
        <f>IF(AT154="",0,VLOOKUP(AT154,Tables!$AB$3:$AC$12,2))</f>
        <v>1</v>
      </c>
      <c r="BN154" s="79">
        <f>IF(AU154="",0,VLOOKUP(AU154,Tables!$AB$3:$AC$12,2))</f>
        <v>0</v>
      </c>
      <c r="BO154" s="78">
        <f>IF(AV154="",0,VLOOKUP(AV154,Tables!$AB$3:$AC$12,2))</f>
        <v>1</v>
      </c>
      <c r="BP154" s="79">
        <f>IF(AW154="",0,VLOOKUP(AW154,Tables!$AB$3:$AC$12,2))</f>
        <v>1</v>
      </c>
      <c r="BQ154" s="79">
        <f>IF(AX154="",0,VLOOKUP(AX154,Tables!$AB$3:$AC$12,2))</f>
        <v>1</v>
      </c>
      <c r="BR154" s="78">
        <f>IF(AY154="",0,VLOOKUP(AY154,Tables!$AB$3:$AC$12,2))</f>
        <v>1</v>
      </c>
      <c r="BS154" s="79">
        <f>IF(AZ154="",0,VLOOKUP(AZ154,Tables!$AB$3:$AC$12,2))</f>
        <v>1</v>
      </c>
      <c r="BT154" s="79">
        <f>IF(BA154="",0,VLOOKUP(BA154,Tables!$AB$3:$AC$12,2))</f>
        <v>1</v>
      </c>
      <c r="BU154" s="80">
        <f>IF(BB154="",0,VLOOKUP(BB154,Tables!$AB$3:$AC$12,2))</f>
        <v>0</v>
      </c>
      <c r="BV154" s="85">
        <f>IF(AN154="",0,VLOOKUP(B154,Tables!$B$3:$D$36,2,FALSE())*X$1)</f>
        <v>0</v>
      </c>
      <c r="BW154" s="72">
        <f>IF(AO154="",0,VLOOKUP(C154,Tables!$B$3:$D$36,2,FALSE())*Y$1)</f>
        <v>0</v>
      </c>
      <c r="BX154" s="72">
        <f>IF(AP154="",0,VLOOKUP(D154,Tables!$B$3:$D$36,2,FALSE())*Z$1)</f>
        <v>0</v>
      </c>
      <c r="BY154" s="85">
        <f>IF(AQ154="",0,VLOOKUP(E154,Tables!$B$3:$D$36,2,FALSE())*AA$1)</f>
        <v>18</v>
      </c>
      <c r="BZ154" s="72">
        <f>IF(AR154="",0,VLOOKUP(F154,Tables!$B$3:$D$36,2,FALSE())*AB$1)</f>
        <v>36</v>
      </c>
      <c r="CA154" s="72">
        <f>IF(AS154="",0,VLOOKUP(G154,Tables!$B$3:$D$36,2,FALSE())*AC$1)</f>
        <v>12</v>
      </c>
      <c r="CB154" s="72">
        <f>IF(AT154="",0,VLOOKUP(H154,Tables!$B$3:$D$36,2,FALSE())*AD$1)</f>
        <v>30</v>
      </c>
      <c r="CC154" s="72">
        <f>IF(AU154="",0,VLOOKUP(I154,Tables!$B$3:$D$36,2,FALSE())*AE$1)</f>
        <v>0</v>
      </c>
      <c r="CD154" s="85">
        <f>IF(AV154="",0,VLOOKUP(J154,Tables!$B$3:$D$36,2,FALSE())*AF$1)</f>
        <v>72</v>
      </c>
      <c r="CE154" s="72">
        <f>IF(AW154="",0,VLOOKUP(K154,Tables!$B$3:$D$36,2,FALSE())*AG$1)</f>
        <v>72</v>
      </c>
      <c r="CF154" s="72">
        <f>IF(AX154="",0,VLOOKUP(L154,Tables!$B$3:$D$36,2,FALSE())*AH$1)</f>
        <v>60</v>
      </c>
      <c r="CG154" s="85">
        <f>IF(AY154="",0,VLOOKUP(M154,Tables!$B$3:$D$36,2,FALSE())*AI$1)</f>
        <v>84.000000000000014</v>
      </c>
      <c r="CH154" s="72">
        <f>IF(AZ154="",0,VLOOKUP(N154,Tables!$B$3:$D$36,2,FALSE())*AJ$1)</f>
        <v>18</v>
      </c>
      <c r="CI154" s="72">
        <f>IF(BA154="",0,VLOOKUP(O154,Tables!$B$3:$D$36,2,FALSE())*AK$1)</f>
        <v>72</v>
      </c>
      <c r="CJ154" s="86">
        <f>IF(BB154="",0,VLOOKUP(P154,Tables!$B$3:$D$36,2,FALSE())*AL$1)</f>
        <v>0</v>
      </c>
      <c r="CK154" s="87">
        <f>IF(AN154="",0,VLOOKUP(B154,Tables!$B$3:$D$36,3,FALSE())*X$1)*IF(OR(AN154="K",AN154="P"),2,1)</f>
        <v>0</v>
      </c>
      <c r="CL154" s="73">
        <f>IF(AO154="",0,VLOOKUP(C154,Tables!$B$3:$D$36,3,FALSE())*Y$1)*IF(OR(AO154="K",AO154="P"),2,1)</f>
        <v>0</v>
      </c>
      <c r="CM154" s="73">
        <f>IF(AP154="",0,VLOOKUP(D154,Tables!$B$3:$D$36,3,FALSE())*Z$1)*IF(OR(AP154="K",AP154="P"),2,1)</f>
        <v>0</v>
      </c>
      <c r="CN154" s="87">
        <f>IF(AQ154="",0,VLOOKUP(E154,Tables!$B$3:$D$36,3,FALSE())*AA$1)</f>
        <v>0.18</v>
      </c>
      <c r="CO154" s="73">
        <f>IF(AR154="",0,VLOOKUP(F154,Tables!$B$3:$D$36,3,FALSE())*AB$1)</f>
        <v>0.36</v>
      </c>
      <c r="CP154" s="73">
        <f>IF(AS154="",0,VLOOKUP(G154,Tables!$B$3:$D$36,3,FALSE())*AC$1)</f>
        <v>0.12</v>
      </c>
      <c r="CQ154" s="73">
        <f>IF(AT154="",0,VLOOKUP(H154,Tables!$B$3:$D$36,3,FALSE())*AD$1)</f>
        <v>0.30000000000000004</v>
      </c>
      <c r="CR154" s="73">
        <f>IF(AU154="",0,VLOOKUP(I154,Tables!$B$3:$D$36,3,FALSE())*AE$1)</f>
        <v>0</v>
      </c>
      <c r="CS154" s="87">
        <f>IF(AV154="",0,VLOOKUP(J154,Tables!$B$3:$D$36,3,FALSE())*AF$1)</f>
        <v>0.72</v>
      </c>
      <c r="CT154" s="73">
        <f>IF(AW154="",0,VLOOKUP(K154,Tables!$B$3:$D$36,3,FALSE())*AG$1)</f>
        <v>0.72</v>
      </c>
      <c r="CU154" s="73">
        <f>IF(AX154="",0,VLOOKUP(L154,Tables!$B$3:$D$36,3,FALSE())*AH$1)</f>
        <v>0.60000000000000009</v>
      </c>
      <c r="CV154" s="87">
        <f>IF(AY154="",0,VLOOKUP(M154,Tables!$B$3:$D$36,3,FALSE())*AI$1)</f>
        <v>0.84000000000000008</v>
      </c>
      <c r="CW154" s="73">
        <f>IF(AZ154="",0,VLOOKUP(N154,Tables!$B$3:$D$36,3,FALSE())*AJ$1)</f>
        <v>0.18</v>
      </c>
      <c r="CX154" s="73">
        <f>IF(BA154="",0,VLOOKUP(O154,Tables!$B$3:$D$36,3,FALSE())*AK$1)</f>
        <v>0.72</v>
      </c>
      <c r="CY154" s="88">
        <f>IF(BB154="",0,VLOOKUP(P154,Tables!$B$3:$D$36,3,FALSE())*AL$1)</f>
        <v>0</v>
      </c>
      <c r="CZ154" s="89">
        <f t="shared" si="152"/>
        <v>0</v>
      </c>
      <c r="DA154" s="75">
        <f t="shared" si="153"/>
        <v>0</v>
      </c>
      <c r="DB154" s="75">
        <f t="shared" si="154"/>
        <v>0</v>
      </c>
      <c r="DC154" s="89">
        <f t="shared" si="155"/>
        <v>1</v>
      </c>
      <c r="DD154" s="75">
        <f t="shared" si="156"/>
        <v>1</v>
      </c>
      <c r="DE154" s="75">
        <f t="shared" si="157"/>
        <v>1</v>
      </c>
      <c r="DF154" s="75">
        <f t="shared" si="158"/>
        <v>1</v>
      </c>
      <c r="DG154" s="75">
        <f t="shared" si="159"/>
        <v>0</v>
      </c>
      <c r="DH154" s="89">
        <f t="shared" si="160"/>
        <v>1</v>
      </c>
      <c r="DI154" s="75">
        <f t="shared" si="161"/>
        <v>1</v>
      </c>
      <c r="DJ154" s="75">
        <f t="shared" si="162"/>
        <v>1</v>
      </c>
      <c r="DK154" s="89">
        <f t="shared" si="163"/>
        <v>1</v>
      </c>
      <c r="DL154" s="75">
        <f t="shared" si="164"/>
        <v>1</v>
      </c>
      <c r="DM154" s="75">
        <f t="shared" si="165"/>
        <v>1</v>
      </c>
      <c r="DN154" s="90">
        <f t="shared" si="166"/>
        <v>0</v>
      </c>
      <c r="DO154" s="91">
        <f>IF(AN154="",0,VLOOKUP(B154,Tables!$B$3:$M$36,11,FALSE())*X$1)</f>
        <v>0</v>
      </c>
      <c r="DP154" s="92">
        <f>IF(AO154="",0,VLOOKUP(C154,Tables!$B$3:$M$36,11,FALSE())*Y$1)</f>
        <v>0</v>
      </c>
      <c r="DQ154" s="92">
        <f>IF(AP154="",0,VLOOKUP(D154,Tables!$B$3:$M$36,11,FALSE())*Z$1)</f>
        <v>0</v>
      </c>
      <c r="DR154" s="91">
        <f>IF(AQ154="",0,VLOOKUP(E154,Tables!$B$3:$M$36,11,FALSE())*AA$1)</f>
        <v>0.6</v>
      </c>
      <c r="DS154" s="92">
        <f>IF(AR154="",0,VLOOKUP(F154,Tables!$B$3:$M$36,11,FALSE())*AB$1)</f>
        <v>1.2</v>
      </c>
      <c r="DT154" s="92">
        <f>IF(AS154="",0,VLOOKUP(G154,Tables!$B$3:$M$36,11,FALSE())*AC$1)</f>
        <v>0.4</v>
      </c>
      <c r="DU154" s="92">
        <f>IF(AT154="",0,VLOOKUP(H154,Tables!$B$3:$M$36,11,FALSE())*AD$1)</f>
        <v>1</v>
      </c>
      <c r="DV154" s="92">
        <f>IF(AU154="",0,VLOOKUP(I154,Tables!$B$3:$M$36,11,FALSE())*AE$1)</f>
        <v>0</v>
      </c>
      <c r="DW154" s="91">
        <f>IF(AV154="",0,VLOOKUP(J154,Tables!$B$3:$M$36,11,FALSE())*AF$1)</f>
        <v>2.4</v>
      </c>
      <c r="DX154" s="92">
        <f>IF(AW154="",0,VLOOKUP(K154,Tables!$B$3:$M$36,11,FALSE())*AG$1)</f>
        <v>2.4</v>
      </c>
      <c r="DY154" s="92">
        <f>IF(AX154="",0,VLOOKUP(L154,Tables!$B$3:$M$36,11,FALSE())*AH$1)</f>
        <v>2</v>
      </c>
      <c r="DZ154" s="91">
        <f>IF(AY154="",0,VLOOKUP(M154,Tables!$B$3:$M$36,11,FALSE())*AI$1)</f>
        <v>2.8000000000000003</v>
      </c>
      <c r="EA154" s="92">
        <f>IF(AZ154="",0,VLOOKUP(N154,Tables!$B$3:$M$36,11,FALSE())*AJ$1)</f>
        <v>0.6</v>
      </c>
      <c r="EB154" s="92">
        <f>IF(BA154="",0,VLOOKUP(O154,Tables!$B$3:$M$36,11,FALSE())*AK$1)</f>
        <v>2.4</v>
      </c>
      <c r="EC154" s="93">
        <f>IF(BB154="",0,VLOOKUP(P154,Tables!$B$3:$M$36,11,FALSE())*AL$1)</f>
        <v>0</v>
      </c>
      <c r="ED154" s="91">
        <f>IF(AN154="",0,VLOOKUP(B154,Tables!$B$3:$M$36,12,FALSE())*X$1)</f>
        <v>0</v>
      </c>
      <c r="EE154" s="92">
        <f>IF(AO154="",0,VLOOKUP(C154,Tables!$B$3:$M$36,12,FALSE())*Y$1)</f>
        <v>0</v>
      </c>
      <c r="EF154" s="92">
        <f>IF(AP154="",0,VLOOKUP(D154,Tables!$B$3:$M$36,12,FALSE())*Z$1)</f>
        <v>0</v>
      </c>
      <c r="EG154" s="91">
        <f>IF(AQ154="",0,VLOOKUP(E154,Tables!$B$3:$M$36,12,FALSE())*AA$1)</f>
        <v>14.399999999999999</v>
      </c>
      <c r="EH154" s="92">
        <f>IF(AR154="",0,VLOOKUP(F154,Tables!$B$3:$M$36,12,FALSE())*AB$1)</f>
        <v>28.799999999999997</v>
      </c>
      <c r="EI154" s="92">
        <f>IF(AS154="",0,VLOOKUP(G154,Tables!$B$3:$M$36,12,FALSE())*AC$1)</f>
        <v>9.6</v>
      </c>
      <c r="EJ154" s="92">
        <f>IF(AT154="",0,VLOOKUP(H154,Tables!$B$3:$M$36,12,FALSE())*AD$1)</f>
        <v>24</v>
      </c>
      <c r="EK154" s="92">
        <f>IF(AU154="",0,VLOOKUP(I154,Tables!$B$3:$M$36,12,FALSE())*AE$1)</f>
        <v>0</v>
      </c>
      <c r="EL154" s="91">
        <f>IF(AV154="",0,VLOOKUP(J154,Tables!$B$3:$M$36,12,FALSE())*AF$1)</f>
        <v>57.599999999999994</v>
      </c>
      <c r="EM154" s="92">
        <f>IF(AW154="",0,VLOOKUP(K154,Tables!$B$3:$M$36,12,FALSE())*AG$1)</f>
        <v>57.599999999999994</v>
      </c>
      <c r="EN154" s="92">
        <f>IF(AX154="",0,VLOOKUP(L154,Tables!$B$3:$M$36,12,FALSE())*AH$1)</f>
        <v>48</v>
      </c>
      <c r="EO154" s="91">
        <f>IF(AY154="",0,VLOOKUP(M154,Tables!$B$3:$M$36,12,FALSE())*AI$1)</f>
        <v>67.2</v>
      </c>
      <c r="EP154" s="92">
        <f>IF(AZ154="",0,VLOOKUP(N154,Tables!$B$3:$M$36,12,FALSE())*AJ$1)</f>
        <v>14.399999999999999</v>
      </c>
      <c r="EQ154" s="92">
        <f>IF(BA154="",0,VLOOKUP(O154,Tables!$B$3:$M$36,12,FALSE())*AK$1)</f>
        <v>57.599999999999994</v>
      </c>
      <c r="ER154" s="93">
        <f>IF(BB154="",0,VLOOKUP(P154,Tables!$B$3:$M$36,12,FALSE())*AL$1)</f>
        <v>0</v>
      </c>
      <c r="ES154" s="94">
        <f t="shared" si="167"/>
        <v>0</v>
      </c>
      <c r="ET154" s="95">
        <f>IF(AN154="",10,MIN(VLOOKUP(B154,MATERIAL,13,FALSE()),'Item Builder'!$W154))</f>
        <v>10</v>
      </c>
      <c r="EU154" s="95">
        <f>IF(AO154="",10,MIN(VLOOKUP(C154,MATERIAL,13,FALSE()),'Item Builder'!$W154))</f>
        <v>10</v>
      </c>
      <c r="EV154" s="95">
        <f>IF(AP154="",10,MIN(VLOOKUP(D154,MATERIAL,13,FALSE()),'Item Builder'!$W154))</f>
        <v>10</v>
      </c>
      <c r="EW154" s="95">
        <f>IF(AQ154="",10,MIN(VLOOKUP(E154,MATERIAL,13,FALSE()),'Item Builder'!$W154))</f>
        <v>0</v>
      </c>
      <c r="EX154" s="95">
        <f>IF(AR154="",10,MIN(VLOOKUP(F154,MATERIAL,13,FALSE()),'Item Builder'!$W154))</f>
        <v>0</v>
      </c>
      <c r="EY154" s="95">
        <f>IF(AS154="",10,MIN(VLOOKUP(G154,MATERIAL,13,FALSE()),'Item Builder'!$W154))</f>
        <v>0</v>
      </c>
      <c r="EZ154" s="95">
        <f>IF(AT154="",10,MIN(VLOOKUP(H154,MATERIAL,13,FALSE()),'Item Builder'!$W154))</f>
        <v>0</v>
      </c>
      <c r="FA154" s="95">
        <f>IF(AU154="",10,MIN(VLOOKUP(I154,MATERIAL,13,FALSE()),'Item Builder'!$W154))</f>
        <v>10</v>
      </c>
      <c r="FB154" s="95">
        <f>IF(AV154="",10,MIN(VLOOKUP(J154,MATERIAL,13,FALSE()),'Item Builder'!$W154))</f>
        <v>0</v>
      </c>
      <c r="FC154" s="95">
        <f>IF(AW154="",10,MIN(VLOOKUP(K154,MATERIAL,13,FALSE()),'Item Builder'!$W154))</f>
        <v>0</v>
      </c>
      <c r="FD154" s="95">
        <f>IF(AX154="",10,MIN(VLOOKUP(L154,MATERIAL,13,FALSE()),'Item Builder'!$W154))</f>
        <v>0</v>
      </c>
      <c r="FE154" s="95">
        <f>IF(AY154="",10,MIN(VLOOKUP(M154,MATERIAL,13,FALSE()),'Item Builder'!$W154))</f>
        <v>0</v>
      </c>
      <c r="FF154" s="95">
        <f>IF(AZ154="",10,MIN(VLOOKUP(N154,MATERIAL,13,FALSE()),'Item Builder'!$W154))</f>
        <v>0</v>
      </c>
      <c r="FG154" s="95">
        <f>IF(BA154="",10,MIN(VLOOKUP(O154,MATERIAL,13,FALSE()),'Item Builder'!$W154))</f>
        <v>0</v>
      </c>
      <c r="FH154" s="95">
        <f>IF(BB154="",10,MIN(VLOOKUP(P154,MATERIAL,13,FALSE()),'Item Builder'!$W154))</f>
        <v>10</v>
      </c>
    </row>
    <row r="155" spans="1:164" x14ac:dyDescent="0.25">
      <c r="A155" s="67" t="s">
        <v>295</v>
      </c>
      <c r="B155" s="68"/>
      <c r="C155" s="69"/>
      <c r="D155" s="70"/>
      <c r="E155" s="68"/>
      <c r="F155" s="69"/>
      <c r="G155" s="69"/>
      <c r="H155" s="69"/>
      <c r="I155" s="70"/>
      <c r="J155" s="68"/>
      <c r="K155" s="69"/>
      <c r="L155" s="70" t="s">
        <v>168</v>
      </c>
      <c r="M155" s="68" t="s">
        <v>168</v>
      </c>
      <c r="N155" s="69" t="s">
        <v>168</v>
      </c>
      <c r="O155" s="69"/>
      <c r="P155" s="71"/>
      <c r="Q155" s="72">
        <f>SUM(BV155:CJ155)*VLOOKUP(W155,Tables!$W$3:$Z$8,4)</f>
        <v>162</v>
      </c>
      <c r="R155" s="73">
        <f t="shared" si="112"/>
        <v>1.62</v>
      </c>
      <c r="S155" s="74">
        <f t="shared" si="113"/>
        <v>0</v>
      </c>
      <c r="T155" s="74">
        <f t="shared" si="114"/>
        <v>0</v>
      </c>
      <c r="U155" s="75">
        <f t="shared" si="115"/>
        <v>5.4</v>
      </c>
      <c r="V155" s="76">
        <f t="shared" si="116"/>
        <v>129.6</v>
      </c>
      <c r="W155" s="77">
        <v>0</v>
      </c>
      <c r="X155" s="78">
        <f t="shared" si="117"/>
        <v>0</v>
      </c>
      <c r="Y155" s="79">
        <f t="shared" si="118"/>
        <v>0</v>
      </c>
      <c r="Z155" s="79">
        <f t="shared" si="119"/>
        <v>0</v>
      </c>
      <c r="AA155" s="78">
        <f t="shared" si="120"/>
        <v>0</v>
      </c>
      <c r="AB155" s="79">
        <f t="shared" si="121"/>
        <v>0</v>
      </c>
      <c r="AC155" s="79">
        <f t="shared" si="122"/>
        <v>0</v>
      </c>
      <c r="AD155" s="79">
        <f t="shared" si="123"/>
        <v>0</v>
      </c>
      <c r="AE155" s="79">
        <f t="shared" si="124"/>
        <v>0</v>
      </c>
      <c r="AF155" s="78">
        <f t="shared" si="125"/>
        <v>0</v>
      </c>
      <c r="AG155" s="79">
        <f t="shared" si="126"/>
        <v>0</v>
      </c>
      <c r="AH155" s="79">
        <f t="shared" si="127"/>
        <v>1</v>
      </c>
      <c r="AI155" s="78">
        <f t="shared" si="128"/>
        <v>1</v>
      </c>
      <c r="AJ155" s="79">
        <f t="shared" si="129"/>
        <v>1</v>
      </c>
      <c r="AK155" s="79">
        <f t="shared" si="130"/>
        <v>0</v>
      </c>
      <c r="AL155" s="80">
        <f t="shared" si="131"/>
        <v>0</v>
      </c>
      <c r="AM155" s="81">
        <f t="shared" si="132"/>
        <v>0.27</v>
      </c>
      <c r="AN155" s="82" t="str">
        <f t="shared" si="133"/>
        <v/>
      </c>
      <c r="AO155" s="79" t="str">
        <f t="shared" si="134"/>
        <v/>
      </c>
      <c r="AP155" t="str">
        <f t="shared" si="135"/>
        <v/>
      </c>
      <c r="AQ155" s="82" t="str">
        <f t="shared" si="136"/>
        <v/>
      </c>
      <c r="AR155" t="str">
        <f t="shared" si="137"/>
        <v/>
      </c>
      <c r="AS155" t="str">
        <f t="shared" si="138"/>
        <v/>
      </c>
      <c r="AT155" t="str">
        <f t="shared" si="139"/>
        <v/>
      </c>
      <c r="AU155" t="str">
        <f t="shared" si="140"/>
        <v/>
      </c>
      <c r="AV155" s="82" t="str">
        <f t="shared" si="141"/>
        <v/>
      </c>
      <c r="AW155" t="str">
        <f t="shared" si="142"/>
        <v/>
      </c>
      <c r="AX155" t="str">
        <f t="shared" si="143"/>
        <v>C</v>
      </c>
      <c r="AY155" s="82" t="str">
        <f t="shared" si="144"/>
        <v>C</v>
      </c>
      <c r="AZ155" t="str">
        <f t="shared" si="145"/>
        <v>C</v>
      </c>
      <c r="BA155" t="str">
        <f t="shared" si="146"/>
        <v/>
      </c>
      <c r="BB155" s="83" t="str">
        <f t="shared" si="147"/>
        <v/>
      </c>
      <c r="BC155" s="84">
        <f t="shared" si="148"/>
        <v>0</v>
      </c>
      <c r="BD155" s="84">
        <f t="shared" si="149"/>
        <v>0</v>
      </c>
      <c r="BE155" s="84">
        <f t="shared" si="150"/>
        <v>0.29411764705882359</v>
      </c>
      <c r="BF155" s="84">
        <f t="shared" si="151"/>
        <v>0.47222222222222221</v>
      </c>
      <c r="BG155" s="78">
        <f>IF(AN155="",0,VLOOKUP(AN155,Tables!$AB$3:$AC$12,2))</f>
        <v>0</v>
      </c>
      <c r="BH155" s="79">
        <f>IF(AO155="",0,VLOOKUP(AO155,Tables!$AB$3:$AC$12,2))</f>
        <v>0</v>
      </c>
      <c r="BI155" s="79">
        <f>IF(AP155="",0,VLOOKUP(AP155,Tables!$AB$3:$AC$12,2))</f>
        <v>0</v>
      </c>
      <c r="BJ155" s="78">
        <f>IF(AQ155="",0,VLOOKUP(AQ155,Tables!$AB$3:$AC$12,2))</f>
        <v>0</v>
      </c>
      <c r="BK155" s="79">
        <f>IF(AR155="",0,VLOOKUP(AR155,Tables!$AB$3:$AC$12,2))</f>
        <v>0</v>
      </c>
      <c r="BL155" s="79">
        <f>IF(AS155="",0,VLOOKUP(AS155,Tables!$AB$3:$AC$12,2))</f>
        <v>0</v>
      </c>
      <c r="BM155" s="79">
        <f>IF(AT155="",0,VLOOKUP(AT155,Tables!$AB$3:$AC$12,2))</f>
        <v>0</v>
      </c>
      <c r="BN155" s="79">
        <f>IF(AU155="",0,VLOOKUP(AU155,Tables!$AB$3:$AC$12,2))</f>
        <v>0</v>
      </c>
      <c r="BO155" s="78">
        <f>IF(AV155="",0,VLOOKUP(AV155,Tables!$AB$3:$AC$12,2))</f>
        <v>0</v>
      </c>
      <c r="BP155" s="79">
        <f>IF(AW155="",0,VLOOKUP(AW155,Tables!$AB$3:$AC$12,2))</f>
        <v>0</v>
      </c>
      <c r="BQ155" s="79">
        <f>IF(AX155="",0,VLOOKUP(AX155,Tables!$AB$3:$AC$12,2))</f>
        <v>1</v>
      </c>
      <c r="BR155" s="78">
        <f>IF(AY155="",0,VLOOKUP(AY155,Tables!$AB$3:$AC$12,2))</f>
        <v>1</v>
      </c>
      <c r="BS155" s="79">
        <f>IF(AZ155="",0,VLOOKUP(AZ155,Tables!$AB$3:$AC$12,2))</f>
        <v>1</v>
      </c>
      <c r="BT155" s="79">
        <f>IF(BA155="",0,VLOOKUP(BA155,Tables!$AB$3:$AC$12,2))</f>
        <v>0</v>
      </c>
      <c r="BU155" s="80">
        <f>IF(BB155="",0,VLOOKUP(BB155,Tables!$AB$3:$AC$12,2))</f>
        <v>0</v>
      </c>
      <c r="BV155" s="85">
        <f>IF(AN155="",0,VLOOKUP(B155,Tables!$B$3:$D$36,2,FALSE())*X$1)</f>
        <v>0</v>
      </c>
      <c r="BW155" s="72">
        <f>IF(AO155="",0,VLOOKUP(C155,Tables!$B$3:$D$36,2,FALSE())*Y$1)</f>
        <v>0</v>
      </c>
      <c r="BX155" s="72">
        <f>IF(AP155="",0,VLOOKUP(D155,Tables!$B$3:$D$36,2,FALSE())*Z$1)</f>
        <v>0</v>
      </c>
      <c r="BY155" s="85">
        <f>IF(AQ155="",0,VLOOKUP(E155,Tables!$B$3:$D$36,2,FALSE())*AA$1)</f>
        <v>0</v>
      </c>
      <c r="BZ155" s="72">
        <f>IF(AR155="",0,VLOOKUP(F155,Tables!$B$3:$D$36,2,FALSE())*AB$1)</f>
        <v>0</v>
      </c>
      <c r="CA155" s="72">
        <f>IF(AS155="",0,VLOOKUP(G155,Tables!$B$3:$D$36,2,FALSE())*AC$1)</f>
        <v>0</v>
      </c>
      <c r="CB155" s="72">
        <f>IF(AT155="",0,VLOOKUP(H155,Tables!$B$3:$D$36,2,FALSE())*AD$1)</f>
        <v>0</v>
      </c>
      <c r="CC155" s="72">
        <f>IF(AU155="",0,VLOOKUP(I155,Tables!$B$3:$D$36,2,FALSE())*AE$1)</f>
        <v>0</v>
      </c>
      <c r="CD155" s="85">
        <f>IF(AV155="",0,VLOOKUP(J155,Tables!$B$3:$D$36,2,FALSE())*AF$1)</f>
        <v>0</v>
      </c>
      <c r="CE155" s="72">
        <f>IF(AW155="",0,VLOOKUP(K155,Tables!$B$3:$D$36,2,FALSE())*AG$1)</f>
        <v>0</v>
      </c>
      <c r="CF155" s="72">
        <f>IF(AX155="",0,VLOOKUP(L155,Tables!$B$3:$D$36,2,FALSE())*AH$1)</f>
        <v>60</v>
      </c>
      <c r="CG155" s="85">
        <f>IF(AY155="",0,VLOOKUP(M155,Tables!$B$3:$D$36,2,FALSE())*AI$1)</f>
        <v>84.000000000000014</v>
      </c>
      <c r="CH155" s="72">
        <f>IF(AZ155="",0,VLOOKUP(N155,Tables!$B$3:$D$36,2,FALSE())*AJ$1)</f>
        <v>18</v>
      </c>
      <c r="CI155" s="72">
        <f>IF(BA155="",0,VLOOKUP(O155,Tables!$B$3:$D$36,2,FALSE())*AK$1)</f>
        <v>0</v>
      </c>
      <c r="CJ155" s="86">
        <f>IF(BB155="",0,VLOOKUP(P155,Tables!$B$3:$D$36,2,FALSE())*AL$1)</f>
        <v>0</v>
      </c>
      <c r="CK155" s="87">
        <f>IF(AN155="",0,VLOOKUP(B155,Tables!$B$3:$D$36,3,FALSE())*X$1)*IF(OR(AN155="K",AN155="P"),2,1)</f>
        <v>0</v>
      </c>
      <c r="CL155" s="73">
        <f>IF(AO155="",0,VLOOKUP(C155,Tables!$B$3:$D$36,3,FALSE())*Y$1)*IF(OR(AO155="K",AO155="P"),2,1)</f>
        <v>0</v>
      </c>
      <c r="CM155" s="73">
        <f>IF(AP155="",0,VLOOKUP(D155,Tables!$B$3:$D$36,3,FALSE())*Z$1)*IF(OR(AP155="K",AP155="P"),2,1)</f>
        <v>0</v>
      </c>
      <c r="CN155" s="87">
        <f>IF(AQ155="",0,VLOOKUP(E155,Tables!$B$3:$D$36,3,FALSE())*AA$1)</f>
        <v>0</v>
      </c>
      <c r="CO155" s="73">
        <f>IF(AR155="",0,VLOOKUP(F155,Tables!$B$3:$D$36,3,FALSE())*AB$1)</f>
        <v>0</v>
      </c>
      <c r="CP155" s="73">
        <f>IF(AS155="",0,VLOOKUP(G155,Tables!$B$3:$D$36,3,FALSE())*AC$1)</f>
        <v>0</v>
      </c>
      <c r="CQ155" s="73">
        <f>IF(AT155="",0,VLOOKUP(H155,Tables!$B$3:$D$36,3,FALSE())*AD$1)</f>
        <v>0</v>
      </c>
      <c r="CR155" s="73">
        <f>IF(AU155="",0,VLOOKUP(I155,Tables!$B$3:$D$36,3,FALSE())*AE$1)</f>
        <v>0</v>
      </c>
      <c r="CS155" s="87">
        <f>IF(AV155="",0,VLOOKUP(J155,Tables!$B$3:$D$36,3,FALSE())*AF$1)</f>
        <v>0</v>
      </c>
      <c r="CT155" s="73">
        <f>IF(AW155="",0,VLOOKUP(K155,Tables!$B$3:$D$36,3,FALSE())*AG$1)</f>
        <v>0</v>
      </c>
      <c r="CU155" s="73">
        <f>IF(AX155="",0,VLOOKUP(L155,Tables!$B$3:$D$36,3,FALSE())*AH$1)</f>
        <v>0.60000000000000009</v>
      </c>
      <c r="CV155" s="87">
        <f>IF(AY155="",0,VLOOKUP(M155,Tables!$B$3:$D$36,3,FALSE())*AI$1)</f>
        <v>0.84000000000000008</v>
      </c>
      <c r="CW155" s="73">
        <f>IF(AZ155="",0,VLOOKUP(N155,Tables!$B$3:$D$36,3,FALSE())*AJ$1)</f>
        <v>0.18</v>
      </c>
      <c r="CX155" s="73">
        <f>IF(BA155="",0,VLOOKUP(O155,Tables!$B$3:$D$36,3,FALSE())*AK$1)</f>
        <v>0</v>
      </c>
      <c r="CY155" s="88">
        <f>IF(BB155="",0,VLOOKUP(P155,Tables!$B$3:$D$36,3,FALSE())*AL$1)</f>
        <v>0</v>
      </c>
      <c r="CZ155" s="89">
        <f t="shared" si="152"/>
        <v>0</v>
      </c>
      <c r="DA155" s="75">
        <f t="shared" si="153"/>
        <v>0</v>
      </c>
      <c r="DB155" s="75">
        <f t="shared" si="154"/>
        <v>0</v>
      </c>
      <c r="DC155" s="89">
        <f t="shared" si="155"/>
        <v>0</v>
      </c>
      <c r="DD155" s="75">
        <f t="shared" si="156"/>
        <v>0</v>
      </c>
      <c r="DE155" s="75">
        <f t="shared" si="157"/>
        <v>0</v>
      </c>
      <c r="DF155" s="75">
        <f t="shared" si="158"/>
        <v>0</v>
      </c>
      <c r="DG155" s="75">
        <f t="shared" si="159"/>
        <v>0</v>
      </c>
      <c r="DH155" s="89">
        <f t="shared" si="160"/>
        <v>0</v>
      </c>
      <c r="DI155" s="75">
        <f t="shared" si="161"/>
        <v>0</v>
      </c>
      <c r="DJ155" s="75">
        <f t="shared" si="162"/>
        <v>1</v>
      </c>
      <c r="DK155" s="89">
        <f t="shared" si="163"/>
        <v>1</v>
      </c>
      <c r="DL155" s="75">
        <f t="shared" si="164"/>
        <v>1</v>
      </c>
      <c r="DM155" s="75">
        <f t="shared" si="165"/>
        <v>0</v>
      </c>
      <c r="DN155" s="90">
        <f t="shared" si="166"/>
        <v>0</v>
      </c>
      <c r="DO155" s="91">
        <f>IF(AN155="",0,VLOOKUP(B155,Tables!$B$3:$M$36,11,FALSE())*X$1)</f>
        <v>0</v>
      </c>
      <c r="DP155" s="92">
        <f>IF(AO155="",0,VLOOKUP(C155,Tables!$B$3:$M$36,11,FALSE())*Y$1)</f>
        <v>0</v>
      </c>
      <c r="DQ155" s="92">
        <f>IF(AP155="",0,VLOOKUP(D155,Tables!$B$3:$M$36,11,FALSE())*Z$1)</f>
        <v>0</v>
      </c>
      <c r="DR155" s="91">
        <f>IF(AQ155="",0,VLOOKUP(E155,Tables!$B$3:$M$36,11,FALSE())*AA$1)</f>
        <v>0</v>
      </c>
      <c r="DS155" s="92">
        <f>IF(AR155="",0,VLOOKUP(F155,Tables!$B$3:$M$36,11,FALSE())*AB$1)</f>
        <v>0</v>
      </c>
      <c r="DT155" s="92">
        <f>IF(AS155="",0,VLOOKUP(G155,Tables!$B$3:$M$36,11,FALSE())*AC$1)</f>
        <v>0</v>
      </c>
      <c r="DU155" s="92">
        <f>IF(AT155="",0,VLOOKUP(H155,Tables!$B$3:$M$36,11,FALSE())*AD$1)</f>
        <v>0</v>
      </c>
      <c r="DV155" s="92">
        <f>IF(AU155="",0,VLOOKUP(I155,Tables!$B$3:$M$36,11,FALSE())*AE$1)</f>
        <v>0</v>
      </c>
      <c r="DW155" s="91">
        <f>IF(AV155="",0,VLOOKUP(J155,Tables!$B$3:$M$36,11,FALSE())*AF$1)</f>
        <v>0</v>
      </c>
      <c r="DX155" s="92">
        <f>IF(AW155="",0,VLOOKUP(K155,Tables!$B$3:$M$36,11,FALSE())*AG$1)</f>
        <v>0</v>
      </c>
      <c r="DY155" s="92">
        <f>IF(AX155="",0,VLOOKUP(L155,Tables!$B$3:$M$36,11,FALSE())*AH$1)</f>
        <v>2</v>
      </c>
      <c r="DZ155" s="91">
        <f>IF(AY155="",0,VLOOKUP(M155,Tables!$B$3:$M$36,11,FALSE())*AI$1)</f>
        <v>2.8000000000000003</v>
      </c>
      <c r="EA155" s="92">
        <f>IF(AZ155="",0,VLOOKUP(N155,Tables!$B$3:$M$36,11,FALSE())*AJ$1)</f>
        <v>0.6</v>
      </c>
      <c r="EB155" s="92">
        <f>IF(BA155="",0,VLOOKUP(O155,Tables!$B$3:$M$36,11,FALSE())*AK$1)</f>
        <v>0</v>
      </c>
      <c r="EC155" s="93">
        <f>IF(BB155="",0,VLOOKUP(P155,Tables!$B$3:$M$36,11,FALSE())*AL$1)</f>
        <v>0</v>
      </c>
      <c r="ED155" s="91">
        <f>IF(AN155="",0,VLOOKUP(B155,Tables!$B$3:$M$36,12,FALSE())*X$1)</f>
        <v>0</v>
      </c>
      <c r="EE155" s="92">
        <f>IF(AO155="",0,VLOOKUP(C155,Tables!$B$3:$M$36,12,FALSE())*Y$1)</f>
        <v>0</v>
      </c>
      <c r="EF155" s="92">
        <f>IF(AP155="",0,VLOOKUP(D155,Tables!$B$3:$M$36,12,FALSE())*Z$1)</f>
        <v>0</v>
      </c>
      <c r="EG155" s="91">
        <f>IF(AQ155="",0,VLOOKUP(E155,Tables!$B$3:$M$36,12,FALSE())*AA$1)</f>
        <v>0</v>
      </c>
      <c r="EH155" s="92">
        <f>IF(AR155="",0,VLOOKUP(F155,Tables!$B$3:$M$36,12,FALSE())*AB$1)</f>
        <v>0</v>
      </c>
      <c r="EI155" s="92">
        <f>IF(AS155="",0,VLOOKUP(G155,Tables!$B$3:$M$36,12,FALSE())*AC$1)</f>
        <v>0</v>
      </c>
      <c r="EJ155" s="92">
        <f>IF(AT155="",0,VLOOKUP(H155,Tables!$B$3:$M$36,12,FALSE())*AD$1)</f>
        <v>0</v>
      </c>
      <c r="EK155" s="92">
        <f>IF(AU155="",0,VLOOKUP(I155,Tables!$B$3:$M$36,12,FALSE())*AE$1)</f>
        <v>0</v>
      </c>
      <c r="EL155" s="91">
        <f>IF(AV155="",0,VLOOKUP(J155,Tables!$B$3:$M$36,12,FALSE())*AF$1)</f>
        <v>0</v>
      </c>
      <c r="EM155" s="92">
        <f>IF(AW155="",0,VLOOKUP(K155,Tables!$B$3:$M$36,12,FALSE())*AG$1)</f>
        <v>0</v>
      </c>
      <c r="EN155" s="92">
        <f>IF(AX155="",0,VLOOKUP(L155,Tables!$B$3:$M$36,12,FALSE())*AH$1)</f>
        <v>48</v>
      </c>
      <c r="EO155" s="91">
        <f>IF(AY155="",0,VLOOKUP(M155,Tables!$B$3:$M$36,12,FALSE())*AI$1)</f>
        <v>67.2</v>
      </c>
      <c r="EP155" s="92">
        <f>IF(AZ155="",0,VLOOKUP(N155,Tables!$B$3:$M$36,12,FALSE())*AJ$1)</f>
        <v>14.399999999999999</v>
      </c>
      <c r="EQ155" s="92">
        <f>IF(BA155="",0,VLOOKUP(O155,Tables!$B$3:$M$36,12,FALSE())*AK$1)</f>
        <v>0</v>
      </c>
      <c r="ER155" s="93">
        <f>IF(BB155="",0,VLOOKUP(P155,Tables!$B$3:$M$36,12,FALSE())*AL$1)</f>
        <v>0</v>
      </c>
      <c r="ES155" s="94">
        <f t="shared" si="167"/>
        <v>0</v>
      </c>
      <c r="ET155" s="95">
        <f>IF(AN155="",10,MIN(VLOOKUP(B155,MATERIAL,13,FALSE()),'Item Builder'!$W155))</f>
        <v>10</v>
      </c>
      <c r="EU155" s="95">
        <f>IF(AO155="",10,MIN(VLOOKUP(C155,MATERIAL,13,FALSE()),'Item Builder'!$W155))</f>
        <v>10</v>
      </c>
      <c r="EV155" s="95">
        <f>IF(AP155="",10,MIN(VLOOKUP(D155,MATERIAL,13,FALSE()),'Item Builder'!$W155))</f>
        <v>10</v>
      </c>
      <c r="EW155" s="95">
        <f>IF(AQ155="",10,MIN(VLOOKUP(E155,MATERIAL,13,FALSE()),'Item Builder'!$W155))</f>
        <v>10</v>
      </c>
      <c r="EX155" s="95">
        <f>IF(AR155="",10,MIN(VLOOKUP(F155,MATERIAL,13,FALSE()),'Item Builder'!$W155))</f>
        <v>10</v>
      </c>
      <c r="EY155" s="95">
        <f>IF(AS155="",10,MIN(VLOOKUP(G155,MATERIAL,13,FALSE()),'Item Builder'!$W155))</f>
        <v>10</v>
      </c>
      <c r="EZ155" s="95">
        <f>IF(AT155="",10,MIN(VLOOKUP(H155,MATERIAL,13,FALSE()),'Item Builder'!$W155))</f>
        <v>10</v>
      </c>
      <c r="FA155" s="95">
        <f>IF(AU155="",10,MIN(VLOOKUP(I155,MATERIAL,13,FALSE()),'Item Builder'!$W155))</f>
        <v>10</v>
      </c>
      <c r="FB155" s="95">
        <f>IF(AV155="",10,MIN(VLOOKUP(J155,MATERIAL,13,FALSE()),'Item Builder'!$W155))</f>
        <v>10</v>
      </c>
      <c r="FC155" s="95">
        <f>IF(AW155="",10,MIN(VLOOKUP(K155,MATERIAL,13,FALSE()),'Item Builder'!$W155))</f>
        <v>10</v>
      </c>
      <c r="FD155" s="95">
        <f>IF(AX155="",10,MIN(VLOOKUP(L155,MATERIAL,13,FALSE()),'Item Builder'!$W155))</f>
        <v>0</v>
      </c>
      <c r="FE155" s="95">
        <f>IF(AY155="",10,MIN(VLOOKUP(M155,MATERIAL,13,FALSE()),'Item Builder'!$W155))</f>
        <v>0</v>
      </c>
      <c r="FF155" s="95">
        <f>IF(AZ155="",10,MIN(VLOOKUP(N155,MATERIAL,13,FALSE()),'Item Builder'!$W155))</f>
        <v>0</v>
      </c>
      <c r="FG155" s="95">
        <f>IF(BA155="",10,MIN(VLOOKUP(O155,MATERIAL,13,FALSE()),'Item Builder'!$W155))</f>
        <v>10</v>
      </c>
      <c r="FH155" s="95">
        <f>IF(BB155="",10,MIN(VLOOKUP(P155,MATERIAL,13,FALSE()),'Item Builder'!$W155))</f>
        <v>10</v>
      </c>
    </row>
    <row r="156" spans="1:164" x14ac:dyDescent="0.25">
      <c r="A156" s="67" t="s">
        <v>296</v>
      </c>
      <c r="B156" s="68"/>
      <c r="C156" s="69"/>
      <c r="D156" s="70"/>
      <c r="E156" s="68"/>
      <c r="F156" s="69"/>
      <c r="G156" s="69"/>
      <c r="H156" s="69"/>
      <c r="I156" s="70"/>
      <c r="J156" s="68"/>
      <c r="K156" s="69"/>
      <c r="L156" s="70" t="s">
        <v>168</v>
      </c>
      <c r="M156" s="68" t="s">
        <v>168</v>
      </c>
      <c r="N156" s="69" t="s">
        <v>168</v>
      </c>
      <c r="O156" s="69" t="s">
        <v>168</v>
      </c>
      <c r="P156" s="71"/>
      <c r="Q156" s="72">
        <f>SUM(BV156:CJ156)*VLOOKUP(W156,Tables!$W$3:$Z$8,4)</f>
        <v>234</v>
      </c>
      <c r="R156" s="73">
        <f t="shared" si="112"/>
        <v>2.34</v>
      </c>
      <c r="S156" s="74">
        <f t="shared" si="113"/>
        <v>0</v>
      </c>
      <c r="T156" s="74">
        <f t="shared" si="114"/>
        <v>0</v>
      </c>
      <c r="U156" s="75">
        <f t="shared" si="115"/>
        <v>7.8000000000000007</v>
      </c>
      <c r="V156" s="76">
        <f t="shared" si="116"/>
        <v>187.2</v>
      </c>
      <c r="W156" s="77">
        <v>0</v>
      </c>
      <c r="X156" s="78">
        <f t="shared" si="117"/>
        <v>0</v>
      </c>
      <c r="Y156" s="79">
        <f t="shared" si="118"/>
        <v>0</v>
      </c>
      <c r="Z156" s="79">
        <f t="shared" si="119"/>
        <v>0</v>
      </c>
      <c r="AA156" s="78">
        <f t="shared" si="120"/>
        <v>0</v>
      </c>
      <c r="AB156" s="79">
        <f t="shared" si="121"/>
        <v>0</v>
      </c>
      <c r="AC156" s="79">
        <f t="shared" si="122"/>
        <v>0</v>
      </c>
      <c r="AD156" s="79">
        <f t="shared" si="123"/>
        <v>0</v>
      </c>
      <c r="AE156" s="79">
        <f t="shared" si="124"/>
        <v>0</v>
      </c>
      <c r="AF156" s="78">
        <f t="shared" si="125"/>
        <v>0</v>
      </c>
      <c r="AG156" s="79">
        <f t="shared" si="126"/>
        <v>0</v>
      </c>
      <c r="AH156" s="79">
        <f t="shared" si="127"/>
        <v>1</v>
      </c>
      <c r="AI156" s="78">
        <f t="shared" si="128"/>
        <v>1</v>
      </c>
      <c r="AJ156" s="79">
        <f t="shared" si="129"/>
        <v>1</v>
      </c>
      <c r="AK156" s="79">
        <f t="shared" si="130"/>
        <v>1</v>
      </c>
      <c r="AL156" s="80">
        <f t="shared" si="131"/>
        <v>0</v>
      </c>
      <c r="AM156" s="81">
        <f t="shared" si="132"/>
        <v>0.39</v>
      </c>
      <c r="AN156" s="82" t="str">
        <f t="shared" si="133"/>
        <v/>
      </c>
      <c r="AO156" s="79" t="str">
        <f t="shared" si="134"/>
        <v/>
      </c>
      <c r="AP156" t="str">
        <f t="shared" si="135"/>
        <v/>
      </c>
      <c r="AQ156" s="82" t="str">
        <f t="shared" si="136"/>
        <v/>
      </c>
      <c r="AR156" t="str">
        <f t="shared" si="137"/>
        <v/>
      </c>
      <c r="AS156" t="str">
        <f t="shared" si="138"/>
        <v/>
      </c>
      <c r="AT156" t="str">
        <f t="shared" si="139"/>
        <v/>
      </c>
      <c r="AU156" t="str">
        <f t="shared" si="140"/>
        <v/>
      </c>
      <c r="AV156" s="82" t="str">
        <f t="shared" si="141"/>
        <v/>
      </c>
      <c r="AW156" t="str">
        <f t="shared" si="142"/>
        <v/>
      </c>
      <c r="AX156" t="str">
        <f t="shared" si="143"/>
        <v>C</v>
      </c>
      <c r="AY156" s="82" t="str">
        <f t="shared" si="144"/>
        <v>C</v>
      </c>
      <c r="AZ156" t="str">
        <f t="shared" si="145"/>
        <v>C</v>
      </c>
      <c r="BA156" t="str">
        <f t="shared" si="146"/>
        <v>C</v>
      </c>
      <c r="BB156" s="83" t="str">
        <f t="shared" si="147"/>
        <v/>
      </c>
      <c r="BC156" s="84">
        <f t="shared" si="148"/>
        <v>0</v>
      </c>
      <c r="BD156" s="84">
        <f t="shared" si="149"/>
        <v>0</v>
      </c>
      <c r="BE156" s="84">
        <f t="shared" si="150"/>
        <v>0.29411764705882359</v>
      </c>
      <c r="BF156" s="84">
        <f t="shared" si="151"/>
        <v>0.80555555555555558</v>
      </c>
      <c r="BG156" s="78">
        <f>IF(AN156="",0,VLOOKUP(AN156,Tables!$AB$3:$AC$12,2))</f>
        <v>0</v>
      </c>
      <c r="BH156" s="79">
        <f>IF(AO156="",0,VLOOKUP(AO156,Tables!$AB$3:$AC$12,2))</f>
        <v>0</v>
      </c>
      <c r="BI156" s="79">
        <f>IF(AP156="",0,VLOOKUP(AP156,Tables!$AB$3:$AC$12,2))</f>
        <v>0</v>
      </c>
      <c r="BJ156" s="78">
        <f>IF(AQ156="",0,VLOOKUP(AQ156,Tables!$AB$3:$AC$12,2))</f>
        <v>0</v>
      </c>
      <c r="BK156" s="79">
        <f>IF(AR156="",0,VLOOKUP(AR156,Tables!$AB$3:$AC$12,2))</f>
        <v>0</v>
      </c>
      <c r="BL156" s="79">
        <f>IF(AS156="",0,VLOOKUP(AS156,Tables!$AB$3:$AC$12,2))</f>
        <v>0</v>
      </c>
      <c r="BM156" s="79">
        <f>IF(AT156="",0,VLOOKUP(AT156,Tables!$AB$3:$AC$12,2))</f>
        <v>0</v>
      </c>
      <c r="BN156" s="79">
        <f>IF(AU156="",0,VLOOKUP(AU156,Tables!$AB$3:$AC$12,2))</f>
        <v>0</v>
      </c>
      <c r="BO156" s="78">
        <f>IF(AV156="",0,VLOOKUP(AV156,Tables!$AB$3:$AC$12,2))</f>
        <v>0</v>
      </c>
      <c r="BP156" s="79">
        <f>IF(AW156="",0,VLOOKUP(AW156,Tables!$AB$3:$AC$12,2))</f>
        <v>0</v>
      </c>
      <c r="BQ156" s="79">
        <f>IF(AX156="",0,VLOOKUP(AX156,Tables!$AB$3:$AC$12,2))</f>
        <v>1</v>
      </c>
      <c r="BR156" s="78">
        <f>IF(AY156="",0,VLOOKUP(AY156,Tables!$AB$3:$AC$12,2))</f>
        <v>1</v>
      </c>
      <c r="BS156" s="79">
        <f>IF(AZ156="",0,VLOOKUP(AZ156,Tables!$AB$3:$AC$12,2))</f>
        <v>1</v>
      </c>
      <c r="BT156" s="79">
        <f>IF(BA156="",0,VLOOKUP(BA156,Tables!$AB$3:$AC$12,2))</f>
        <v>1</v>
      </c>
      <c r="BU156" s="80">
        <f>IF(BB156="",0,VLOOKUP(BB156,Tables!$AB$3:$AC$12,2))</f>
        <v>0</v>
      </c>
      <c r="BV156" s="85">
        <f>IF(AN156="",0,VLOOKUP(B156,Tables!$B$3:$D$36,2,FALSE())*X$1)</f>
        <v>0</v>
      </c>
      <c r="BW156" s="72">
        <f>IF(AO156="",0,VLOOKUP(C156,Tables!$B$3:$D$36,2,FALSE())*Y$1)</f>
        <v>0</v>
      </c>
      <c r="BX156" s="72">
        <f>IF(AP156="",0,VLOOKUP(D156,Tables!$B$3:$D$36,2,FALSE())*Z$1)</f>
        <v>0</v>
      </c>
      <c r="BY156" s="85">
        <f>IF(AQ156="",0,VLOOKUP(E156,Tables!$B$3:$D$36,2,FALSE())*AA$1)</f>
        <v>0</v>
      </c>
      <c r="BZ156" s="72">
        <f>IF(AR156="",0,VLOOKUP(F156,Tables!$B$3:$D$36,2,FALSE())*AB$1)</f>
        <v>0</v>
      </c>
      <c r="CA156" s="72">
        <f>IF(AS156="",0,VLOOKUP(G156,Tables!$B$3:$D$36,2,FALSE())*AC$1)</f>
        <v>0</v>
      </c>
      <c r="CB156" s="72">
        <f>IF(AT156="",0,VLOOKUP(H156,Tables!$B$3:$D$36,2,FALSE())*AD$1)</f>
        <v>0</v>
      </c>
      <c r="CC156" s="72">
        <f>IF(AU156="",0,VLOOKUP(I156,Tables!$B$3:$D$36,2,FALSE())*AE$1)</f>
        <v>0</v>
      </c>
      <c r="CD156" s="85">
        <f>IF(AV156="",0,VLOOKUP(J156,Tables!$B$3:$D$36,2,FALSE())*AF$1)</f>
        <v>0</v>
      </c>
      <c r="CE156" s="72">
        <f>IF(AW156="",0,VLOOKUP(K156,Tables!$B$3:$D$36,2,FALSE())*AG$1)</f>
        <v>0</v>
      </c>
      <c r="CF156" s="72">
        <f>IF(AX156="",0,VLOOKUP(L156,Tables!$B$3:$D$36,2,FALSE())*AH$1)</f>
        <v>60</v>
      </c>
      <c r="CG156" s="85">
        <f>IF(AY156="",0,VLOOKUP(M156,Tables!$B$3:$D$36,2,FALSE())*AI$1)</f>
        <v>84.000000000000014</v>
      </c>
      <c r="CH156" s="72">
        <f>IF(AZ156="",0,VLOOKUP(N156,Tables!$B$3:$D$36,2,FALSE())*AJ$1)</f>
        <v>18</v>
      </c>
      <c r="CI156" s="72">
        <f>IF(BA156="",0,VLOOKUP(O156,Tables!$B$3:$D$36,2,FALSE())*AK$1)</f>
        <v>72</v>
      </c>
      <c r="CJ156" s="86">
        <f>IF(BB156="",0,VLOOKUP(P156,Tables!$B$3:$D$36,2,FALSE())*AL$1)</f>
        <v>0</v>
      </c>
      <c r="CK156" s="87">
        <f>IF(AN156="",0,VLOOKUP(B156,Tables!$B$3:$D$36,3,FALSE())*X$1)*IF(OR(AN156="K",AN156="P"),2,1)</f>
        <v>0</v>
      </c>
      <c r="CL156" s="73">
        <f>IF(AO156="",0,VLOOKUP(C156,Tables!$B$3:$D$36,3,FALSE())*Y$1)*IF(OR(AO156="K",AO156="P"),2,1)</f>
        <v>0</v>
      </c>
      <c r="CM156" s="73">
        <f>IF(AP156="",0,VLOOKUP(D156,Tables!$B$3:$D$36,3,FALSE())*Z$1)*IF(OR(AP156="K",AP156="P"),2,1)</f>
        <v>0</v>
      </c>
      <c r="CN156" s="87">
        <f>IF(AQ156="",0,VLOOKUP(E156,Tables!$B$3:$D$36,3,FALSE())*AA$1)</f>
        <v>0</v>
      </c>
      <c r="CO156" s="73">
        <f>IF(AR156="",0,VLOOKUP(F156,Tables!$B$3:$D$36,3,FALSE())*AB$1)</f>
        <v>0</v>
      </c>
      <c r="CP156" s="73">
        <f>IF(AS156="",0,VLOOKUP(G156,Tables!$B$3:$D$36,3,FALSE())*AC$1)</f>
        <v>0</v>
      </c>
      <c r="CQ156" s="73">
        <f>IF(AT156="",0,VLOOKUP(H156,Tables!$B$3:$D$36,3,FALSE())*AD$1)</f>
        <v>0</v>
      </c>
      <c r="CR156" s="73">
        <f>IF(AU156="",0,VLOOKUP(I156,Tables!$B$3:$D$36,3,FALSE())*AE$1)</f>
        <v>0</v>
      </c>
      <c r="CS156" s="87">
        <f>IF(AV156="",0,VLOOKUP(J156,Tables!$B$3:$D$36,3,FALSE())*AF$1)</f>
        <v>0</v>
      </c>
      <c r="CT156" s="73">
        <f>IF(AW156="",0,VLOOKUP(K156,Tables!$B$3:$D$36,3,FALSE())*AG$1)</f>
        <v>0</v>
      </c>
      <c r="CU156" s="73">
        <f>IF(AX156="",0,VLOOKUP(L156,Tables!$B$3:$D$36,3,FALSE())*AH$1)</f>
        <v>0.60000000000000009</v>
      </c>
      <c r="CV156" s="87">
        <f>IF(AY156="",0,VLOOKUP(M156,Tables!$B$3:$D$36,3,FALSE())*AI$1)</f>
        <v>0.84000000000000008</v>
      </c>
      <c r="CW156" s="73">
        <f>IF(AZ156="",0,VLOOKUP(N156,Tables!$B$3:$D$36,3,FALSE())*AJ$1)</f>
        <v>0.18</v>
      </c>
      <c r="CX156" s="73">
        <f>IF(BA156="",0,VLOOKUP(O156,Tables!$B$3:$D$36,3,FALSE())*AK$1)</f>
        <v>0.72</v>
      </c>
      <c r="CY156" s="88">
        <f>IF(BB156="",0,VLOOKUP(P156,Tables!$B$3:$D$36,3,FALSE())*AL$1)</f>
        <v>0</v>
      </c>
      <c r="CZ156" s="89">
        <f t="shared" si="152"/>
        <v>0</v>
      </c>
      <c r="DA156" s="75">
        <f t="shared" si="153"/>
        <v>0</v>
      </c>
      <c r="DB156" s="75">
        <f t="shared" si="154"/>
        <v>0</v>
      </c>
      <c r="DC156" s="89">
        <f t="shared" si="155"/>
        <v>0</v>
      </c>
      <c r="DD156" s="75">
        <f t="shared" si="156"/>
        <v>0</v>
      </c>
      <c r="DE156" s="75">
        <f t="shared" si="157"/>
        <v>0</v>
      </c>
      <c r="DF156" s="75">
        <f t="shared" si="158"/>
        <v>0</v>
      </c>
      <c r="DG156" s="75">
        <f t="shared" si="159"/>
        <v>0</v>
      </c>
      <c r="DH156" s="89">
        <f t="shared" si="160"/>
        <v>0</v>
      </c>
      <c r="DI156" s="75">
        <f t="shared" si="161"/>
        <v>0</v>
      </c>
      <c r="DJ156" s="75">
        <f t="shared" si="162"/>
        <v>1</v>
      </c>
      <c r="DK156" s="89">
        <f t="shared" si="163"/>
        <v>1</v>
      </c>
      <c r="DL156" s="75">
        <f t="shared" si="164"/>
        <v>1</v>
      </c>
      <c r="DM156" s="75">
        <f t="shared" si="165"/>
        <v>1</v>
      </c>
      <c r="DN156" s="90">
        <f t="shared" si="166"/>
        <v>0</v>
      </c>
      <c r="DO156" s="91">
        <f>IF(AN156="",0,VLOOKUP(B156,Tables!$B$3:$M$36,11,FALSE())*X$1)</f>
        <v>0</v>
      </c>
      <c r="DP156" s="92">
        <f>IF(AO156="",0,VLOOKUP(C156,Tables!$B$3:$M$36,11,FALSE())*Y$1)</f>
        <v>0</v>
      </c>
      <c r="DQ156" s="92">
        <f>IF(AP156="",0,VLOOKUP(D156,Tables!$B$3:$M$36,11,FALSE())*Z$1)</f>
        <v>0</v>
      </c>
      <c r="DR156" s="91">
        <f>IF(AQ156="",0,VLOOKUP(E156,Tables!$B$3:$M$36,11,FALSE())*AA$1)</f>
        <v>0</v>
      </c>
      <c r="DS156" s="92">
        <f>IF(AR156="",0,VLOOKUP(F156,Tables!$B$3:$M$36,11,FALSE())*AB$1)</f>
        <v>0</v>
      </c>
      <c r="DT156" s="92">
        <f>IF(AS156="",0,VLOOKUP(G156,Tables!$B$3:$M$36,11,FALSE())*AC$1)</f>
        <v>0</v>
      </c>
      <c r="DU156" s="92">
        <f>IF(AT156="",0,VLOOKUP(H156,Tables!$B$3:$M$36,11,FALSE())*AD$1)</f>
        <v>0</v>
      </c>
      <c r="DV156" s="92">
        <f>IF(AU156="",0,VLOOKUP(I156,Tables!$B$3:$M$36,11,FALSE())*AE$1)</f>
        <v>0</v>
      </c>
      <c r="DW156" s="91">
        <f>IF(AV156="",0,VLOOKUP(J156,Tables!$B$3:$M$36,11,FALSE())*AF$1)</f>
        <v>0</v>
      </c>
      <c r="DX156" s="92">
        <f>IF(AW156="",0,VLOOKUP(K156,Tables!$B$3:$M$36,11,FALSE())*AG$1)</f>
        <v>0</v>
      </c>
      <c r="DY156" s="92">
        <f>IF(AX156="",0,VLOOKUP(L156,Tables!$B$3:$M$36,11,FALSE())*AH$1)</f>
        <v>2</v>
      </c>
      <c r="DZ156" s="91">
        <f>IF(AY156="",0,VLOOKUP(M156,Tables!$B$3:$M$36,11,FALSE())*AI$1)</f>
        <v>2.8000000000000003</v>
      </c>
      <c r="EA156" s="92">
        <f>IF(AZ156="",0,VLOOKUP(N156,Tables!$B$3:$M$36,11,FALSE())*AJ$1)</f>
        <v>0.6</v>
      </c>
      <c r="EB156" s="92">
        <f>IF(BA156="",0,VLOOKUP(O156,Tables!$B$3:$M$36,11,FALSE())*AK$1)</f>
        <v>2.4</v>
      </c>
      <c r="EC156" s="93">
        <f>IF(BB156="",0,VLOOKUP(P156,Tables!$B$3:$M$36,11,FALSE())*AL$1)</f>
        <v>0</v>
      </c>
      <c r="ED156" s="91">
        <f>IF(AN156="",0,VLOOKUP(B156,Tables!$B$3:$M$36,12,FALSE())*X$1)</f>
        <v>0</v>
      </c>
      <c r="EE156" s="92">
        <f>IF(AO156="",0,VLOOKUP(C156,Tables!$B$3:$M$36,12,FALSE())*Y$1)</f>
        <v>0</v>
      </c>
      <c r="EF156" s="92">
        <f>IF(AP156="",0,VLOOKUP(D156,Tables!$B$3:$M$36,12,FALSE())*Z$1)</f>
        <v>0</v>
      </c>
      <c r="EG156" s="91">
        <f>IF(AQ156="",0,VLOOKUP(E156,Tables!$B$3:$M$36,12,FALSE())*AA$1)</f>
        <v>0</v>
      </c>
      <c r="EH156" s="92">
        <f>IF(AR156="",0,VLOOKUP(F156,Tables!$B$3:$M$36,12,FALSE())*AB$1)</f>
        <v>0</v>
      </c>
      <c r="EI156" s="92">
        <f>IF(AS156="",0,VLOOKUP(G156,Tables!$B$3:$M$36,12,FALSE())*AC$1)</f>
        <v>0</v>
      </c>
      <c r="EJ156" s="92">
        <f>IF(AT156="",0,VLOOKUP(H156,Tables!$B$3:$M$36,12,FALSE())*AD$1)</f>
        <v>0</v>
      </c>
      <c r="EK156" s="92">
        <f>IF(AU156="",0,VLOOKUP(I156,Tables!$B$3:$M$36,12,FALSE())*AE$1)</f>
        <v>0</v>
      </c>
      <c r="EL156" s="91">
        <f>IF(AV156="",0,VLOOKUP(J156,Tables!$B$3:$M$36,12,FALSE())*AF$1)</f>
        <v>0</v>
      </c>
      <c r="EM156" s="92">
        <f>IF(AW156="",0,VLOOKUP(K156,Tables!$B$3:$M$36,12,FALSE())*AG$1)</f>
        <v>0</v>
      </c>
      <c r="EN156" s="92">
        <f>IF(AX156="",0,VLOOKUP(L156,Tables!$B$3:$M$36,12,FALSE())*AH$1)</f>
        <v>48</v>
      </c>
      <c r="EO156" s="91">
        <f>IF(AY156="",0,VLOOKUP(M156,Tables!$B$3:$M$36,12,FALSE())*AI$1)</f>
        <v>67.2</v>
      </c>
      <c r="EP156" s="92">
        <f>IF(AZ156="",0,VLOOKUP(N156,Tables!$B$3:$M$36,12,FALSE())*AJ$1)</f>
        <v>14.399999999999999</v>
      </c>
      <c r="EQ156" s="92">
        <f>IF(BA156="",0,VLOOKUP(O156,Tables!$B$3:$M$36,12,FALSE())*AK$1)</f>
        <v>57.599999999999994</v>
      </c>
      <c r="ER156" s="93">
        <f>IF(BB156="",0,VLOOKUP(P156,Tables!$B$3:$M$36,12,FALSE())*AL$1)</f>
        <v>0</v>
      </c>
      <c r="ES156" s="94">
        <f t="shared" si="167"/>
        <v>0</v>
      </c>
      <c r="ET156" s="95">
        <f>IF(AN156="",10,MIN(VLOOKUP(B156,MATERIAL,13,FALSE()),'Item Builder'!$W156))</f>
        <v>10</v>
      </c>
      <c r="EU156" s="95">
        <f>IF(AO156="",10,MIN(VLOOKUP(C156,MATERIAL,13,FALSE()),'Item Builder'!$W156))</f>
        <v>10</v>
      </c>
      <c r="EV156" s="95">
        <f>IF(AP156="",10,MIN(VLOOKUP(D156,MATERIAL,13,FALSE()),'Item Builder'!$W156))</f>
        <v>10</v>
      </c>
      <c r="EW156" s="95">
        <f>IF(AQ156="",10,MIN(VLOOKUP(E156,MATERIAL,13,FALSE()),'Item Builder'!$W156))</f>
        <v>10</v>
      </c>
      <c r="EX156" s="95">
        <f>IF(AR156="",10,MIN(VLOOKUP(F156,MATERIAL,13,FALSE()),'Item Builder'!$W156))</f>
        <v>10</v>
      </c>
      <c r="EY156" s="95">
        <f>IF(AS156="",10,MIN(VLOOKUP(G156,MATERIAL,13,FALSE()),'Item Builder'!$W156))</f>
        <v>10</v>
      </c>
      <c r="EZ156" s="95">
        <f>IF(AT156="",10,MIN(VLOOKUP(H156,MATERIAL,13,FALSE()),'Item Builder'!$W156))</f>
        <v>10</v>
      </c>
      <c r="FA156" s="95">
        <f>IF(AU156="",10,MIN(VLOOKUP(I156,MATERIAL,13,FALSE()),'Item Builder'!$W156))</f>
        <v>10</v>
      </c>
      <c r="FB156" s="95">
        <f>IF(AV156="",10,MIN(VLOOKUP(J156,MATERIAL,13,FALSE()),'Item Builder'!$W156))</f>
        <v>10</v>
      </c>
      <c r="FC156" s="95">
        <f>IF(AW156="",10,MIN(VLOOKUP(K156,MATERIAL,13,FALSE()),'Item Builder'!$W156))</f>
        <v>10</v>
      </c>
      <c r="FD156" s="95">
        <f>IF(AX156="",10,MIN(VLOOKUP(L156,MATERIAL,13,FALSE()),'Item Builder'!$W156))</f>
        <v>0</v>
      </c>
      <c r="FE156" s="95">
        <f>IF(AY156="",10,MIN(VLOOKUP(M156,MATERIAL,13,FALSE()),'Item Builder'!$W156))</f>
        <v>0</v>
      </c>
      <c r="FF156" s="95">
        <f>IF(AZ156="",10,MIN(VLOOKUP(N156,MATERIAL,13,FALSE()),'Item Builder'!$W156))</f>
        <v>0</v>
      </c>
      <c r="FG156" s="95">
        <f>IF(BA156="",10,MIN(VLOOKUP(O156,MATERIAL,13,FALSE()),'Item Builder'!$W156))</f>
        <v>0</v>
      </c>
      <c r="FH156" s="95">
        <f>IF(BB156="",10,MIN(VLOOKUP(P156,MATERIAL,13,FALSE()),'Item Builder'!$W156))</f>
        <v>10</v>
      </c>
    </row>
    <row r="157" spans="1:164" x14ac:dyDescent="0.25">
      <c r="A157" s="67" t="s">
        <v>297</v>
      </c>
      <c r="B157" s="68"/>
      <c r="C157" s="69"/>
      <c r="D157" s="70"/>
      <c r="E157" s="68"/>
      <c r="F157" s="69"/>
      <c r="G157" s="69"/>
      <c r="H157" s="69"/>
      <c r="I157" s="70"/>
      <c r="J157" s="68"/>
      <c r="K157" s="69"/>
      <c r="L157" s="70"/>
      <c r="M157" s="68" t="s">
        <v>168</v>
      </c>
      <c r="N157" s="69" t="s">
        <v>168</v>
      </c>
      <c r="O157" s="69" t="s">
        <v>168</v>
      </c>
      <c r="P157" s="71" t="s">
        <v>168</v>
      </c>
      <c r="Q157" s="72">
        <f>SUM(BV157:CJ157)*VLOOKUP(W157,Tables!$W$3:$Z$8,4)</f>
        <v>216</v>
      </c>
      <c r="R157" s="73">
        <f t="shared" si="112"/>
        <v>2.16</v>
      </c>
      <c r="S157" s="74">
        <f t="shared" si="113"/>
        <v>0</v>
      </c>
      <c r="T157" s="74">
        <f t="shared" si="114"/>
        <v>0</v>
      </c>
      <c r="U157" s="75">
        <f t="shared" si="115"/>
        <v>7.2000000000000011</v>
      </c>
      <c r="V157" s="76">
        <f t="shared" si="116"/>
        <v>172.79999999999998</v>
      </c>
      <c r="W157" s="77">
        <v>0</v>
      </c>
      <c r="X157" s="78">
        <f t="shared" si="117"/>
        <v>0</v>
      </c>
      <c r="Y157" s="79">
        <f t="shared" si="118"/>
        <v>0</v>
      </c>
      <c r="Z157" s="79">
        <f t="shared" si="119"/>
        <v>0</v>
      </c>
      <c r="AA157" s="78">
        <f t="shared" si="120"/>
        <v>0</v>
      </c>
      <c r="AB157" s="79">
        <f t="shared" si="121"/>
        <v>0</v>
      </c>
      <c r="AC157" s="79">
        <f t="shared" si="122"/>
        <v>0</v>
      </c>
      <c r="AD157" s="79">
        <f t="shared" si="123"/>
        <v>0</v>
      </c>
      <c r="AE157" s="79">
        <f t="shared" si="124"/>
        <v>0</v>
      </c>
      <c r="AF157" s="78">
        <f t="shared" si="125"/>
        <v>0</v>
      </c>
      <c r="AG157" s="79">
        <f t="shared" si="126"/>
        <v>0</v>
      </c>
      <c r="AH157" s="79">
        <f t="shared" si="127"/>
        <v>0</v>
      </c>
      <c r="AI157" s="78">
        <f t="shared" si="128"/>
        <v>1</v>
      </c>
      <c r="AJ157" s="79">
        <f t="shared" si="129"/>
        <v>1</v>
      </c>
      <c r="AK157" s="79">
        <f t="shared" si="130"/>
        <v>1</v>
      </c>
      <c r="AL157" s="80">
        <f t="shared" si="131"/>
        <v>1</v>
      </c>
      <c r="AM157" s="81">
        <f t="shared" si="132"/>
        <v>0.36000000000000004</v>
      </c>
      <c r="AN157" s="82" t="str">
        <f t="shared" si="133"/>
        <v/>
      </c>
      <c r="AO157" s="79" t="str">
        <f t="shared" si="134"/>
        <v/>
      </c>
      <c r="AP157" t="str">
        <f t="shared" si="135"/>
        <v/>
      </c>
      <c r="AQ157" s="82" t="str">
        <f t="shared" si="136"/>
        <v/>
      </c>
      <c r="AR157" t="str">
        <f t="shared" si="137"/>
        <v/>
      </c>
      <c r="AS157" t="str">
        <f t="shared" si="138"/>
        <v/>
      </c>
      <c r="AT157" t="str">
        <f t="shared" si="139"/>
        <v/>
      </c>
      <c r="AU157" t="str">
        <f t="shared" si="140"/>
        <v/>
      </c>
      <c r="AV157" s="82" t="str">
        <f t="shared" si="141"/>
        <v/>
      </c>
      <c r="AW157" t="str">
        <f t="shared" si="142"/>
        <v/>
      </c>
      <c r="AX157" t="str">
        <f t="shared" si="143"/>
        <v/>
      </c>
      <c r="AY157" s="82" t="str">
        <f t="shared" si="144"/>
        <v>C</v>
      </c>
      <c r="AZ157" t="str">
        <f t="shared" si="145"/>
        <v>C</v>
      </c>
      <c r="BA157" t="str">
        <f t="shared" si="146"/>
        <v>C</v>
      </c>
      <c r="BB157" s="83" t="str">
        <f t="shared" si="147"/>
        <v>C</v>
      </c>
      <c r="BC157" s="84">
        <f t="shared" si="148"/>
        <v>0</v>
      </c>
      <c r="BD157" s="84">
        <f t="shared" si="149"/>
        <v>0</v>
      </c>
      <c r="BE157" s="84">
        <f t="shared" si="150"/>
        <v>0</v>
      </c>
      <c r="BF157" s="84">
        <f t="shared" si="151"/>
        <v>1</v>
      </c>
      <c r="BG157" s="78">
        <f>IF(AN157="",0,VLOOKUP(AN157,Tables!$AB$3:$AC$12,2))</f>
        <v>0</v>
      </c>
      <c r="BH157" s="79">
        <f>IF(AO157="",0,VLOOKUP(AO157,Tables!$AB$3:$AC$12,2))</f>
        <v>0</v>
      </c>
      <c r="BI157" s="79">
        <f>IF(AP157="",0,VLOOKUP(AP157,Tables!$AB$3:$AC$12,2))</f>
        <v>0</v>
      </c>
      <c r="BJ157" s="78">
        <f>IF(AQ157="",0,VLOOKUP(AQ157,Tables!$AB$3:$AC$12,2))</f>
        <v>0</v>
      </c>
      <c r="BK157" s="79">
        <f>IF(AR157="",0,VLOOKUP(AR157,Tables!$AB$3:$AC$12,2))</f>
        <v>0</v>
      </c>
      <c r="BL157" s="79">
        <f>IF(AS157="",0,VLOOKUP(AS157,Tables!$AB$3:$AC$12,2))</f>
        <v>0</v>
      </c>
      <c r="BM157" s="79">
        <f>IF(AT157="",0,VLOOKUP(AT157,Tables!$AB$3:$AC$12,2))</f>
        <v>0</v>
      </c>
      <c r="BN157" s="79">
        <f>IF(AU157="",0,VLOOKUP(AU157,Tables!$AB$3:$AC$12,2))</f>
        <v>0</v>
      </c>
      <c r="BO157" s="78">
        <f>IF(AV157="",0,VLOOKUP(AV157,Tables!$AB$3:$AC$12,2))</f>
        <v>0</v>
      </c>
      <c r="BP157" s="79">
        <f>IF(AW157="",0,VLOOKUP(AW157,Tables!$AB$3:$AC$12,2))</f>
        <v>0</v>
      </c>
      <c r="BQ157" s="79">
        <f>IF(AX157="",0,VLOOKUP(AX157,Tables!$AB$3:$AC$12,2))</f>
        <v>0</v>
      </c>
      <c r="BR157" s="78">
        <f>IF(AY157="",0,VLOOKUP(AY157,Tables!$AB$3:$AC$12,2))</f>
        <v>1</v>
      </c>
      <c r="BS157" s="79">
        <f>IF(AZ157="",0,VLOOKUP(AZ157,Tables!$AB$3:$AC$12,2))</f>
        <v>1</v>
      </c>
      <c r="BT157" s="79">
        <f>IF(BA157="",0,VLOOKUP(BA157,Tables!$AB$3:$AC$12,2))</f>
        <v>1</v>
      </c>
      <c r="BU157" s="80">
        <f>IF(BB157="",0,VLOOKUP(BB157,Tables!$AB$3:$AC$12,2))</f>
        <v>1</v>
      </c>
      <c r="BV157" s="85">
        <f>IF(AN157="",0,VLOOKUP(B157,Tables!$B$3:$D$36,2,FALSE())*X$1)</f>
        <v>0</v>
      </c>
      <c r="BW157" s="72">
        <f>IF(AO157="",0,VLOOKUP(C157,Tables!$B$3:$D$36,2,FALSE())*Y$1)</f>
        <v>0</v>
      </c>
      <c r="BX157" s="72">
        <f>IF(AP157="",0,VLOOKUP(D157,Tables!$B$3:$D$36,2,FALSE())*Z$1)</f>
        <v>0</v>
      </c>
      <c r="BY157" s="85">
        <f>IF(AQ157="",0,VLOOKUP(E157,Tables!$B$3:$D$36,2,FALSE())*AA$1)</f>
        <v>0</v>
      </c>
      <c r="BZ157" s="72">
        <f>IF(AR157="",0,VLOOKUP(F157,Tables!$B$3:$D$36,2,FALSE())*AB$1)</f>
        <v>0</v>
      </c>
      <c r="CA157" s="72">
        <f>IF(AS157="",0,VLOOKUP(G157,Tables!$B$3:$D$36,2,FALSE())*AC$1)</f>
        <v>0</v>
      </c>
      <c r="CB157" s="72">
        <f>IF(AT157="",0,VLOOKUP(H157,Tables!$B$3:$D$36,2,FALSE())*AD$1)</f>
        <v>0</v>
      </c>
      <c r="CC157" s="72">
        <f>IF(AU157="",0,VLOOKUP(I157,Tables!$B$3:$D$36,2,FALSE())*AE$1)</f>
        <v>0</v>
      </c>
      <c r="CD157" s="85">
        <f>IF(AV157="",0,VLOOKUP(J157,Tables!$B$3:$D$36,2,FALSE())*AF$1)</f>
        <v>0</v>
      </c>
      <c r="CE157" s="72">
        <f>IF(AW157="",0,VLOOKUP(K157,Tables!$B$3:$D$36,2,FALSE())*AG$1)</f>
        <v>0</v>
      </c>
      <c r="CF157" s="72">
        <f>IF(AX157="",0,VLOOKUP(L157,Tables!$B$3:$D$36,2,FALSE())*AH$1)</f>
        <v>0</v>
      </c>
      <c r="CG157" s="85">
        <f>IF(AY157="",0,VLOOKUP(M157,Tables!$B$3:$D$36,2,FALSE())*AI$1)</f>
        <v>84.000000000000014</v>
      </c>
      <c r="CH157" s="72">
        <f>IF(AZ157="",0,VLOOKUP(N157,Tables!$B$3:$D$36,2,FALSE())*AJ$1)</f>
        <v>18</v>
      </c>
      <c r="CI157" s="72">
        <f>IF(BA157="",0,VLOOKUP(O157,Tables!$B$3:$D$36,2,FALSE())*AK$1)</f>
        <v>72</v>
      </c>
      <c r="CJ157" s="86">
        <f>IF(BB157="",0,VLOOKUP(P157,Tables!$B$3:$D$36,2,FALSE())*AL$1)</f>
        <v>42.000000000000007</v>
      </c>
      <c r="CK157" s="87">
        <f>IF(AN157="",0,VLOOKUP(B157,Tables!$B$3:$D$36,3,FALSE())*X$1)*IF(OR(AN157="K",AN157="P"),2,1)</f>
        <v>0</v>
      </c>
      <c r="CL157" s="73">
        <f>IF(AO157="",0,VLOOKUP(C157,Tables!$B$3:$D$36,3,FALSE())*Y$1)*IF(OR(AO157="K",AO157="P"),2,1)</f>
        <v>0</v>
      </c>
      <c r="CM157" s="73">
        <f>IF(AP157="",0,VLOOKUP(D157,Tables!$B$3:$D$36,3,FALSE())*Z$1)*IF(OR(AP157="K",AP157="P"),2,1)</f>
        <v>0</v>
      </c>
      <c r="CN157" s="87">
        <f>IF(AQ157="",0,VLOOKUP(E157,Tables!$B$3:$D$36,3,FALSE())*AA$1)</f>
        <v>0</v>
      </c>
      <c r="CO157" s="73">
        <f>IF(AR157="",0,VLOOKUP(F157,Tables!$B$3:$D$36,3,FALSE())*AB$1)</f>
        <v>0</v>
      </c>
      <c r="CP157" s="73">
        <f>IF(AS157="",0,VLOOKUP(G157,Tables!$B$3:$D$36,3,FALSE())*AC$1)</f>
        <v>0</v>
      </c>
      <c r="CQ157" s="73">
        <f>IF(AT157="",0,VLOOKUP(H157,Tables!$B$3:$D$36,3,FALSE())*AD$1)</f>
        <v>0</v>
      </c>
      <c r="CR157" s="73">
        <f>IF(AU157="",0,VLOOKUP(I157,Tables!$B$3:$D$36,3,FALSE())*AE$1)</f>
        <v>0</v>
      </c>
      <c r="CS157" s="87">
        <f>IF(AV157="",0,VLOOKUP(J157,Tables!$B$3:$D$36,3,FALSE())*AF$1)</f>
        <v>0</v>
      </c>
      <c r="CT157" s="73">
        <f>IF(AW157="",0,VLOOKUP(K157,Tables!$B$3:$D$36,3,FALSE())*AG$1)</f>
        <v>0</v>
      </c>
      <c r="CU157" s="73">
        <f>IF(AX157="",0,VLOOKUP(L157,Tables!$B$3:$D$36,3,FALSE())*AH$1)</f>
        <v>0</v>
      </c>
      <c r="CV157" s="87">
        <f>IF(AY157="",0,VLOOKUP(M157,Tables!$B$3:$D$36,3,FALSE())*AI$1)</f>
        <v>0.84000000000000008</v>
      </c>
      <c r="CW157" s="73">
        <f>IF(AZ157="",0,VLOOKUP(N157,Tables!$B$3:$D$36,3,FALSE())*AJ$1)</f>
        <v>0.18</v>
      </c>
      <c r="CX157" s="73">
        <f>IF(BA157="",0,VLOOKUP(O157,Tables!$B$3:$D$36,3,FALSE())*AK$1)</f>
        <v>0.72</v>
      </c>
      <c r="CY157" s="88">
        <f>IF(BB157="",0,VLOOKUP(P157,Tables!$B$3:$D$36,3,FALSE())*AL$1)</f>
        <v>0.42000000000000004</v>
      </c>
      <c r="CZ157" s="89">
        <f t="shared" si="152"/>
        <v>0</v>
      </c>
      <c r="DA157" s="75">
        <f t="shared" si="153"/>
        <v>0</v>
      </c>
      <c r="DB157" s="75">
        <f t="shared" si="154"/>
        <v>0</v>
      </c>
      <c r="DC157" s="89">
        <f t="shared" si="155"/>
        <v>0</v>
      </c>
      <c r="DD157" s="75">
        <f t="shared" si="156"/>
        <v>0</v>
      </c>
      <c r="DE157" s="75">
        <f t="shared" si="157"/>
        <v>0</v>
      </c>
      <c r="DF157" s="75">
        <f t="shared" si="158"/>
        <v>0</v>
      </c>
      <c r="DG157" s="75">
        <f t="shared" si="159"/>
        <v>0</v>
      </c>
      <c r="DH157" s="89">
        <f t="shared" si="160"/>
        <v>0</v>
      </c>
      <c r="DI157" s="75">
        <f t="shared" si="161"/>
        <v>0</v>
      </c>
      <c r="DJ157" s="75">
        <f t="shared" si="162"/>
        <v>0</v>
      </c>
      <c r="DK157" s="89">
        <f t="shared" si="163"/>
        <v>1</v>
      </c>
      <c r="DL157" s="75">
        <f t="shared" si="164"/>
        <v>1</v>
      </c>
      <c r="DM157" s="75">
        <f t="shared" si="165"/>
        <v>1</v>
      </c>
      <c r="DN157" s="90">
        <f t="shared" si="166"/>
        <v>1</v>
      </c>
      <c r="DO157" s="91">
        <f>IF(AN157="",0,VLOOKUP(B157,Tables!$B$3:$M$36,11,FALSE())*X$1)</f>
        <v>0</v>
      </c>
      <c r="DP157" s="92">
        <f>IF(AO157="",0,VLOOKUP(C157,Tables!$B$3:$M$36,11,FALSE())*Y$1)</f>
        <v>0</v>
      </c>
      <c r="DQ157" s="92">
        <f>IF(AP157="",0,VLOOKUP(D157,Tables!$B$3:$M$36,11,FALSE())*Z$1)</f>
        <v>0</v>
      </c>
      <c r="DR157" s="91">
        <f>IF(AQ157="",0,VLOOKUP(E157,Tables!$B$3:$M$36,11,FALSE())*AA$1)</f>
        <v>0</v>
      </c>
      <c r="DS157" s="92">
        <f>IF(AR157="",0,VLOOKUP(F157,Tables!$B$3:$M$36,11,FALSE())*AB$1)</f>
        <v>0</v>
      </c>
      <c r="DT157" s="92">
        <f>IF(AS157="",0,VLOOKUP(G157,Tables!$B$3:$M$36,11,FALSE())*AC$1)</f>
        <v>0</v>
      </c>
      <c r="DU157" s="92">
        <f>IF(AT157="",0,VLOOKUP(H157,Tables!$B$3:$M$36,11,FALSE())*AD$1)</f>
        <v>0</v>
      </c>
      <c r="DV157" s="92">
        <f>IF(AU157="",0,VLOOKUP(I157,Tables!$B$3:$M$36,11,FALSE())*AE$1)</f>
        <v>0</v>
      </c>
      <c r="DW157" s="91">
        <f>IF(AV157="",0,VLOOKUP(J157,Tables!$B$3:$M$36,11,FALSE())*AF$1)</f>
        <v>0</v>
      </c>
      <c r="DX157" s="92">
        <f>IF(AW157="",0,VLOOKUP(K157,Tables!$B$3:$M$36,11,FALSE())*AG$1)</f>
        <v>0</v>
      </c>
      <c r="DY157" s="92">
        <f>IF(AX157="",0,VLOOKUP(L157,Tables!$B$3:$M$36,11,FALSE())*AH$1)</f>
        <v>0</v>
      </c>
      <c r="DZ157" s="91">
        <f>IF(AY157="",0,VLOOKUP(M157,Tables!$B$3:$M$36,11,FALSE())*AI$1)</f>
        <v>2.8000000000000003</v>
      </c>
      <c r="EA157" s="92">
        <f>IF(AZ157="",0,VLOOKUP(N157,Tables!$B$3:$M$36,11,FALSE())*AJ$1)</f>
        <v>0.6</v>
      </c>
      <c r="EB157" s="92">
        <f>IF(BA157="",0,VLOOKUP(O157,Tables!$B$3:$M$36,11,FALSE())*AK$1)</f>
        <v>2.4</v>
      </c>
      <c r="EC157" s="93">
        <f>IF(BB157="",0,VLOOKUP(P157,Tables!$B$3:$M$36,11,FALSE())*AL$1)</f>
        <v>1.4000000000000001</v>
      </c>
      <c r="ED157" s="91">
        <f>IF(AN157="",0,VLOOKUP(B157,Tables!$B$3:$M$36,12,FALSE())*X$1)</f>
        <v>0</v>
      </c>
      <c r="EE157" s="92">
        <f>IF(AO157="",0,VLOOKUP(C157,Tables!$B$3:$M$36,12,FALSE())*Y$1)</f>
        <v>0</v>
      </c>
      <c r="EF157" s="92">
        <f>IF(AP157="",0,VLOOKUP(D157,Tables!$B$3:$M$36,12,FALSE())*Z$1)</f>
        <v>0</v>
      </c>
      <c r="EG157" s="91">
        <f>IF(AQ157="",0,VLOOKUP(E157,Tables!$B$3:$M$36,12,FALSE())*AA$1)</f>
        <v>0</v>
      </c>
      <c r="EH157" s="92">
        <f>IF(AR157="",0,VLOOKUP(F157,Tables!$B$3:$M$36,12,FALSE())*AB$1)</f>
        <v>0</v>
      </c>
      <c r="EI157" s="92">
        <f>IF(AS157="",0,VLOOKUP(G157,Tables!$B$3:$M$36,12,FALSE())*AC$1)</f>
        <v>0</v>
      </c>
      <c r="EJ157" s="92">
        <f>IF(AT157="",0,VLOOKUP(H157,Tables!$B$3:$M$36,12,FALSE())*AD$1)</f>
        <v>0</v>
      </c>
      <c r="EK157" s="92">
        <f>IF(AU157="",0,VLOOKUP(I157,Tables!$B$3:$M$36,12,FALSE())*AE$1)</f>
        <v>0</v>
      </c>
      <c r="EL157" s="91">
        <f>IF(AV157="",0,VLOOKUP(J157,Tables!$B$3:$M$36,12,FALSE())*AF$1)</f>
        <v>0</v>
      </c>
      <c r="EM157" s="92">
        <f>IF(AW157="",0,VLOOKUP(K157,Tables!$B$3:$M$36,12,FALSE())*AG$1)</f>
        <v>0</v>
      </c>
      <c r="EN157" s="92">
        <f>IF(AX157="",0,VLOOKUP(L157,Tables!$B$3:$M$36,12,FALSE())*AH$1)</f>
        <v>0</v>
      </c>
      <c r="EO157" s="91">
        <f>IF(AY157="",0,VLOOKUP(M157,Tables!$B$3:$M$36,12,FALSE())*AI$1)</f>
        <v>67.2</v>
      </c>
      <c r="EP157" s="92">
        <f>IF(AZ157="",0,VLOOKUP(N157,Tables!$B$3:$M$36,12,FALSE())*AJ$1)</f>
        <v>14.399999999999999</v>
      </c>
      <c r="EQ157" s="92">
        <f>IF(BA157="",0,VLOOKUP(O157,Tables!$B$3:$M$36,12,FALSE())*AK$1)</f>
        <v>57.599999999999994</v>
      </c>
      <c r="ER157" s="93">
        <f>IF(BB157="",0,VLOOKUP(P157,Tables!$B$3:$M$36,12,FALSE())*AL$1)</f>
        <v>33.6</v>
      </c>
      <c r="ES157" s="94">
        <f t="shared" si="167"/>
        <v>0</v>
      </c>
      <c r="ET157" s="95">
        <f>IF(AN157="",10,MIN(VLOOKUP(B157,MATERIAL,13,FALSE()),'Item Builder'!$W157))</f>
        <v>10</v>
      </c>
      <c r="EU157" s="95">
        <f>IF(AO157="",10,MIN(VLOOKUP(C157,MATERIAL,13,FALSE()),'Item Builder'!$W157))</f>
        <v>10</v>
      </c>
      <c r="EV157" s="95">
        <f>IF(AP157="",10,MIN(VLOOKUP(D157,MATERIAL,13,FALSE()),'Item Builder'!$W157))</f>
        <v>10</v>
      </c>
      <c r="EW157" s="95">
        <f>IF(AQ157="",10,MIN(VLOOKUP(E157,MATERIAL,13,FALSE()),'Item Builder'!$W157))</f>
        <v>10</v>
      </c>
      <c r="EX157" s="95">
        <f>IF(AR157="",10,MIN(VLOOKUP(F157,MATERIAL,13,FALSE()),'Item Builder'!$W157))</f>
        <v>10</v>
      </c>
      <c r="EY157" s="95">
        <f>IF(AS157="",10,MIN(VLOOKUP(G157,MATERIAL,13,FALSE()),'Item Builder'!$W157))</f>
        <v>10</v>
      </c>
      <c r="EZ157" s="95">
        <f>IF(AT157="",10,MIN(VLOOKUP(H157,MATERIAL,13,FALSE()),'Item Builder'!$W157))</f>
        <v>10</v>
      </c>
      <c r="FA157" s="95">
        <f>IF(AU157="",10,MIN(VLOOKUP(I157,MATERIAL,13,FALSE()),'Item Builder'!$W157))</f>
        <v>10</v>
      </c>
      <c r="FB157" s="95">
        <f>IF(AV157="",10,MIN(VLOOKUP(J157,MATERIAL,13,FALSE()),'Item Builder'!$W157))</f>
        <v>10</v>
      </c>
      <c r="FC157" s="95">
        <f>IF(AW157="",10,MIN(VLOOKUP(K157,MATERIAL,13,FALSE()),'Item Builder'!$W157))</f>
        <v>10</v>
      </c>
      <c r="FD157" s="95">
        <f>IF(AX157="",10,MIN(VLOOKUP(L157,MATERIAL,13,FALSE()),'Item Builder'!$W157))</f>
        <v>10</v>
      </c>
      <c r="FE157" s="95">
        <f>IF(AY157="",10,MIN(VLOOKUP(M157,MATERIAL,13,FALSE()),'Item Builder'!$W157))</f>
        <v>0</v>
      </c>
      <c r="FF157" s="95">
        <f>IF(AZ157="",10,MIN(VLOOKUP(N157,MATERIAL,13,FALSE()),'Item Builder'!$W157))</f>
        <v>0</v>
      </c>
      <c r="FG157" s="95">
        <f>IF(BA157="",10,MIN(VLOOKUP(O157,MATERIAL,13,FALSE()),'Item Builder'!$W157))</f>
        <v>0</v>
      </c>
      <c r="FH157" s="95">
        <f>IF(BB157="",10,MIN(VLOOKUP(P157,MATERIAL,13,FALSE()),'Item Builder'!$W157))</f>
        <v>0</v>
      </c>
    </row>
    <row r="158" spans="1:164" x14ac:dyDescent="0.25">
      <c r="A158" s="67" t="s">
        <v>298</v>
      </c>
      <c r="B158" s="68" t="s">
        <v>171</v>
      </c>
      <c r="C158" s="69"/>
      <c r="D158" s="70"/>
      <c r="E158" s="68"/>
      <c r="F158" s="69"/>
      <c r="G158" s="69"/>
      <c r="H158" s="69"/>
      <c r="I158" s="70"/>
      <c r="J158" s="68"/>
      <c r="K158" s="69"/>
      <c r="L158" s="70"/>
      <c r="M158" s="68"/>
      <c r="N158" s="69"/>
      <c r="O158" s="69"/>
      <c r="P158" s="71"/>
      <c r="Q158" s="72">
        <f>SUM(BV158:CJ158)*VLOOKUP(W158,Tables!$W$3:$Z$8,4)</f>
        <v>4.8</v>
      </c>
      <c r="R158" s="73">
        <f t="shared" si="112"/>
        <v>0.1</v>
      </c>
      <c r="S158" s="74">
        <f t="shared" si="113"/>
        <v>0</v>
      </c>
      <c r="T158" s="74">
        <f t="shared" si="114"/>
        <v>0</v>
      </c>
      <c r="U158" s="75">
        <f t="shared" si="115"/>
        <v>0.8</v>
      </c>
      <c r="V158" s="76">
        <f t="shared" si="116"/>
        <v>3.6</v>
      </c>
      <c r="W158" s="77">
        <v>0</v>
      </c>
      <c r="X158" s="78">
        <f t="shared" si="117"/>
        <v>1</v>
      </c>
      <c r="Y158" s="79">
        <f t="shared" si="118"/>
        <v>0</v>
      </c>
      <c r="Z158" s="79">
        <f t="shared" si="119"/>
        <v>0</v>
      </c>
      <c r="AA158" s="78">
        <f t="shared" si="120"/>
        <v>0</v>
      </c>
      <c r="AB158" s="79">
        <f t="shared" si="121"/>
        <v>0</v>
      </c>
      <c r="AC158" s="79">
        <f t="shared" si="122"/>
        <v>0</v>
      </c>
      <c r="AD158" s="79">
        <f t="shared" si="123"/>
        <v>0</v>
      </c>
      <c r="AE158" s="79">
        <f t="shared" si="124"/>
        <v>0</v>
      </c>
      <c r="AF158" s="78">
        <f t="shared" si="125"/>
        <v>0</v>
      </c>
      <c r="AG158" s="79">
        <f t="shared" si="126"/>
        <v>0</v>
      </c>
      <c r="AH158" s="79">
        <f t="shared" si="127"/>
        <v>0</v>
      </c>
      <c r="AI158" s="78">
        <f t="shared" si="128"/>
        <v>0</v>
      </c>
      <c r="AJ158" s="79">
        <f t="shared" si="129"/>
        <v>0</v>
      </c>
      <c r="AK158" s="79">
        <f t="shared" si="130"/>
        <v>0</v>
      </c>
      <c r="AL158" s="80">
        <f t="shared" si="131"/>
        <v>0</v>
      </c>
      <c r="AM158" s="81">
        <f t="shared" si="132"/>
        <v>0.04</v>
      </c>
      <c r="AN158" s="82" t="str">
        <f t="shared" si="133"/>
        <v>X</v>
      </c>
      <c r="AO158" s="79" t="str">
        <f t="shared" si="134"/>
        <v/>
      </c>
      <c r="AP158" t="str">
        <f t="shared" si="135"/>
        <v/>
      </c>
      <c r="AQ158" s="82" t="str">
        <f t="shared" si="136"/>
        <v/>
      </c>
      <c r="AR158" t="str">
        <f t="shared" si="137"/>
        <v/>
      </c>
      <c r="AS158" t="str">
        <f t="shared" si="138"/>
        <v/>
      </c>
      <c r="AT158" t="str">
        <f t="shared" si="139"/>
        <v/>
      </c>
      <c r="AU158" t="str">
        <f t="shared" si="140"/>
        <v/>
      </c>
      <c r="AV158" s="82" t="str">
        <f t="shared" si="141"/>
        <v/>
      </c>
      <c r="AW158" t="str">
        <f t="shared" si="142"/>
        <v/>
      </c>
      <c r="AX158" t="str">
        <f t="shared" si="143"/>
        <v/>
      </c>
      <c r="AY158" s="82" t="str">
        <f t="shared" si="144"/>
        <v/>
      </c>
      <c r="AZ158" t="str">
        <f t="shared" si="145"/>
        <v/>
      </c>
      <c r="BA158" t="str">
        <f t="shared" si="146"/>
        <v/>
      </c>
      <c r="BB158" s="83" t="str">
        <f t="shared" si="147"/>
        <v/>
      </c>
      <c r="BC158" s="84">
        <f t="shared" si="148"/>
        <v>0.44444444444444442</v>
      </c>
      <c r="BD158" s="84">
        <f t="shared" si="149"/>
        <v>0</v>
      </c>
      <c r="BE158" s="84">
        <f t="shared" si="150"/>
        <v>0</v>
      </c>
      <c r="BF158" s="84">
        <f t="shared" si="151"/>
        <v>0</v>
      </c>
      <c r="BG158" s="78">
        <f>IF(AN158="",0,VLOOKUP(AN158,Tables!$AB$3:$AC$12,2))</f>
        <v>1</v>
      </c>
      <c r="BH158" s="79">
        <f>IF(AO158="",0,VLOOKUP(AO158,Tables!$AB$3:$AC$12,2))</f>
        <v>0</v>
      </c>
      <c r="BI158" s="79">
        <f>IF(AP158="",0,VLOOKUP(AP158,Tables!$AB$3:$AC$12,2))</f>
        <v>0</v>
      </c>
      <c r="BJ158" s="78">
        <f>IF(AQ158="",0,VLOOKUP(AQ158,Tables!$AB$3:$AC$12,2))</f>
        <v>0</v>
      </c>
      <c r="BK158" s="79">
        <f>IF(AR158="",0,VLOOKUP(AR158,Tables!$AB$3:$AC$12,2))</f>
        <v>0</v>
      </c>
      <c r="BL158" s="79">
        <f>IF(AS158="",0,VLOOKUP(AS158,Tables!$AB$3:$AC$12,2))</f>
        <v>0</v>
      </c>
      <c r="BM158" s="79">
        <f>IF(AT158="",0,VLOOKUP(AT158,Tables!$AB$3:$AC$12,2))</f>
        <v>0</v>
      </c>
      <c r="BN158" s="79">
        <f>IF(AU158="",0,VLOOKUP(AU158,Tables!$AB$3:$AC$12,2))</f>
        <v>0</v>
      </c>
      <c r="BO158" s="78">
        <f>IF(AV158="",0,VLOOKUP(AV158,Tables!$AB$3:$AC$12,2))</f>
        <v>0</v>
      </c>
      <c r="BP158" s="79">
        <f>IF(AW158="",0,VLOOKUP(AW158,Tables!$AB$3:$AC$12,2))</f>
        <v>0</v>
      </c>
      <c r="BQ158" s="79">
        <f>IF(AX158="",0,VLOOKUP(AX158,Tables!$AB$3:$AC$12,2))</f>
        <v>0</v>
      </c>
      <c r="BR158" s="78">
        <f>IF(AY158="",0,VLOOKUP(AY158,Tables!$AB$3:$AC$12,2))</f>
        <v>0</v>
      </c>
      <c r="BS158" s="79">
        <f>IF(AZ158="",0,VLOOKUP(AZ158,Tables!$AB$3:$AC$12,2))</f>
        <v>0</v>
      </c>
      <c r="BT158" s="79">
        <f>IF(BA158="",0,VLOOKUP(BA158,Tables!$AB$3:$AC$12,2))</f>
        <v>0</v>
      </c>
      <c r="BU158" s="80">
        <f>IF(BB158="",0,VLOOKUP(BB158,Tables!$AB$3:$AC$12,2))</f>
        <v>0</v>
      </c>
      <c r="BV158" s="85">
        <f>IF(AN158="",0,VLOOKUP(B158,Tables!$B$3:$D$36,2,FALSE())*X$1)</f>
        <v>4.8</v>
      </c>
      <c r="BW158" s="72">
        <f>IF(AO158="",0,VLOOKUP(C158,Tables!$B$3:$D$36,2,FALSE())*Y$1)</f>
        <v>0</v>
      </c>
      <c r="BX158" s="72">
        <f>IF(AP158="",0,VLOOKUP(D158,Tables!$B$3:$D$36,2,FALSE())*Z$1)</f>
        <v>0</v>
      </c>
      <c r="BY158" s="85">
        <f>IF(AQ158="",0,VLOOKUP(E158,Tables!$B$3:$D$36,2,FALSE())*AA$1)</f>
        <v>0</v>
      </c>
      <c r="BZ158" s="72">
        <f>IF(AR158="",0,VLOOKUP(F158,Tables!$B$3:$D$36,2,FALSE())*AB$1)</f>
        <v>0</v>
      </c>
      <c r="CA158" s="72">
        <f>IF(AS158="",0,VLOOKUP(G158,Tables!$B$3:$D$36,2,FALSE())*AC$1)</f>
        <v>0</v>
      </c>
      <c r="CB158" s="72">
        <f>IF(AT158="",0,VLOOKUP(H158,Tables!$B$3:$D$36,2,FALSE())*AD$1)</f>
        <v>0</v>
      </c>
      <c r="CC158" s="72">
        <f>IF(AU158="",0,VLOOKUP(I158,Tables!$B$3:$D$36,2,FALSE())*AE$1)</f>
        <v>0</v>
      </c>
      <c r="CD158" s="85">
        <f>IF(AV158="",0,VLOOKUP(J158,Tables!$B$3:$D$36,2,FALSE())*AF$1)</f>
        <v>0</v>
      </c>
      <c r="CE158" s="72">
        <f>IF(AW158="",0,VLOOKUP(K158,Tables!$B$3:$D$36,2,FALSE())*AG$1)</f>
        <v>0</v>
      </c>
      <c r="CF158" s="72">
        <f>IF(AX158="",0,VLOOKUP(L158,Tables!$B$3:$D$36,2,FALSE())*AH$1)</f>
        <v>0</v>
      </c>
      <c r="CG158" s="85">
        <f>IF(AY158="",0,VLOOKUP(M158,Tables!$B$3:$D$36,2,FALSE())*AI$1)</f>
        <v>0</v>
      </c>
      <c r="CH158" s="72">
        <f>IF(AZ158="",0,VLOOKUP(N158,Tables!$B$3:$D$36,2,FALSE())*AJ$1)</f>
        <v>0</v>
      </c>
      <c r="CI158" s="72">
        <f>IF(BA158="",0,VLOOKUP(O158,Tables!$B$3:$D$36,2,FALSE())*AK$1)</f>
        <v>0</v>
      </c>
      <c r="CJ158" s="86">
        <f>IF(BB158="",0,VLOOKUP(P158,Tables!$B$3:$D$36,2,FALSE())*AL$1)</f>
        <v>0</v>
      </c>
      <c r="CK158" s="87">
        <f>IF(AN158="",0,VLOOKUP(B158,Tables!$B$3:$D$36,3,FALSE())*X$1)*IF(OR(AN158="K",AN158="P"),2,1)</f>
        <v>0.1</v>
      </c>
      <c r="CL158" s="73">
        <f>IF(AO158="",0,VLOOKUP(C158,Tables!$B$3:$D$36,3,FALSE())*Y$1)*IF(OR(AO158="K",AO158="P"),2,1)</f>
        <v>0</v>
      </c>
      <c r="CM158" s="73">
        <f>IF(AP158="",0,VLOOKUP(D158,Tables!$B$3:$D$36,3,FALSE())*Z$1)*IF(OR(AP158="K",AP158="P"),2,1)</f>
        <v>0</v>
      </c>
      <c r="CN158" s="87">
        <f>IF(AQ158="",0,VLOOKUP(E158,Tables!$B$3:$D$36,3,FALSE())*AA$1)</f>
        <v>0</v>
      </c>
      <c r="CO158" s="73">
        <f>IF(AR158="",0,VLOOKUP(F158,Tables!$B$3:$D$36,3,FALSE())*AB$1)</f>
        <v>0</v>
      </c>
      <c r="CP158" s="73">
        <f>IF(AS158="",0,VLOOKUP(G158,Tables!$B$3:$D$36,3,FALSE())*AC$1)</f>
        <v>0</v>
      </c>
      <c r="CQ158" s="73">
        <f>IF(AT158="",0,VLOOKUP(H158,Tables!$B$3:$D$36,3,FALSE())*AD$1)</f>
        <v>0</v>
      </c>
      <c r="CR158" s="73">
        <f>IF(AU158="",0,VLOOKUP(I158,Tables!$B$3:$D$36,3,FALSE())*AE$1)</f>
        <v>0</v>
      </c>
      <c r="CS158" s="87">
        <f>IF(AV158="",0,VLOOKUP(J158,Tables!$B$3:$D$36,3,FALSE())*AF$1)</f>
        <v>0</v>
      </c>
      <c r="CT158" s="73">
        <f>IF(AW158="",0,VLOOKUP(K158,Tables!$B$3:$D$36,3,FALSE())*AG$1)</f>
        <v>0</v>
      </c>
      <c r="CU158" s="73">
        <f>IF(AX158="",0,VLOOKUP(L158,Tables!$B$3:$D$36,3,FALSE())*AH$1)</f>
        <v>0</v>
      </c>
      <c r="CV158" s="87">
        <f>IF(AY158="",0,VLOOKUP(M158,Tables!$B$3:$D$36,3,FALSE())*AI$1)</f>
        <v>0</v>
      </c>
      <c r="CW158" s="73">
        <f>IF(AZ158="",0,VLOOKUP(N158,Tables!$B$3:$D$36,3,FALSE())*AJ$1)</f>
        <v>0</v>
      </c>
      <c r="CX158" s="73">
        <f>IF(BA158="",0,VLOOKUP(O158,Tables!$B$3:$D$36,3,FALSE())*AK$1)</f>
        <v>0</v>
      </c>
      <c r="CY158" s="88">
        <f>IF(BB158="",0,VLOOKUP(P158,Tables!$B$3:$D$36,3,FALSE())*AL$1)</f>
        <v>0</v>
      </c>
      <c r="CZ158" s="89">
        <f t="shared" si="152"/>
        <v>1</v>
      </c>
      <c r="DA158" s="75">
        <f t="shared" si="153"/>
        <v>0</v>
      </c>
      <c r="DB158" s="75">
        <f t="shared" si="154"/>
        <v>0</v>
      </c>
      <c r="DC158" s="89">
        <f t="shared" si="155"/>
        <v>0</v>
      </c>
      <c r="DD158" s="75">
        <f t="shared" si="156"/>
        <v>0</v>
      </c>
      <c r="DE158" s="75">
        <f t="shared" si="157"/>
        <v>0</v>
      </c>
      <c r="DF158" s="75">
        <f t="shared" si="158"/>
        <v>0</v>
      </c>
      <c r="DG158" s="75">
        <f t="shared" si="159"/>
        <v>0</v>
      </c>
      <c r="DH158" s="89">
        <f t="shared" si="160"/>
        <v>0</v>
      </c>
      <c r="DI158" s="75">
        <f t="shared" si="161"/>
        <v>0</v>
      </c>
      <c r="DJ158" s="75">
        <f t="shared" si="162"/>
        <v>0</v>
      </c>
      <c r="DK158" s="89">
        <f t="shared" si="163"/>
        <v>0</v>
      </c>
      <c r="DL158" s="75">
        <f t="shared" si="164"/>
        <v>0</v>
      </c>
      <c r="DM158" s="75">
        <f t="shared" si="165"/>
        <v>0</v>
      </c>
      <c r="DN158" s="90">
        <f t="shared" si="166"/>
        <v>0</v>
      </c>
      <c r="DO158" s="91">
        <f>IF(AN158="",0,VLOOKUP(B158,Tables!$B$3:$M$36,11,FALSE())*X$1)</f>
        <v>0.8</v>
      </c>
      <c r="DP158" s="92">
        <f>IF(AO158="",0,VLOOKUP(C158,Tables!$B$3:$M$36,11,FALSE())*Y$1)</f>
        <v>0</v>
      </c>
      <c r="DQ158" s="92">
        <f>IF(AP158="",0,VLOOKUP(D158,Tables!$B$3:$M$36,11,FALSE())*Z$1)</f>
        <v>0</v>
      </c>
      <c r="DR158" s="91">
        <f>IF(AQ158="",0,VLOOKUP(E158,Tables!$B$3:$M$36,11,FALSE())*AA$1)</f>
        <v>0</v>
      </c>
      <c r="DS158" s="92">
        <f>IF(AR158="",0,VLOOKUP(F158,Tables!$B$3:$M$36,11,FALSE())*AB$1)</f>
        <v>0</v>
      </c>
      <c r="DT158" s="92">
        <f>IF(AS158="",0,VLOOKUP(G158,Tables!$B$3:$M$36,11,FALSE())*AC$1)</f>
        <v>0</v>
      </c>
      <c r="DU158" s="92">
        <f>IF(AT158="",0,VLOOKUP(H158,Tables!$B$3:$M$36,11,FALSE())*AD$1)</f>
        <v>0</v>
      </c>
      <c r="DV158" s="92">
        <f>IF(AU158="",0,VLOOKUP(I158,Tables!$B$3:$M$36,11,FALSE())*AE$1)</f>
        <v>0</v>
      </c>
      <c r="DW158" s="91">
        <f>IF(AV158="",0,VLOOKUP(J158,Tables!$B$3:$M$36,11,FALSE())*AF$1)</f>
        <v>0</v>
      </c>
      <c r="DX158" s="92">
        <f>IF(AW158="",0,VLOOKUP(K158,Tables!$B$3:$M$36,11,FALSE())*AG$1)</f>
        <v>0</v>
      </c>
      <c r="DY158" s="92">
        <f>IF(AX158="",0,VLOOKUP(L158,Tables!$B$3:$M$36,11,FALSE())*AH$1)</f>
        <v>0</v>
      </c>
      <c r="DZ158" s="91">
        <f>IF(AY158="",0,VLOOKUP(M158,Tables!$B$3:$M$36,11,FALSE())*AI$1)</f>
        <v>0</v>
      </c>
      <c r="EA158" s="92">
        <f>IF(AZ158="",0,VLOOKUP(N158,Tables!$B$3:$M$36,11,FALSE())*AJ$1)</f>
        <v>0</v>
      </c>
      <c r="EB158" s="92">
        <f>IF(BA158="",0,VLOOKUP(O158,Tables!$B$3:$M$36,11,FALSE())*AK$1)</f>
        <v>0</v>
      </c>
      <c r="EC158" s="93">
        <f>IF(BB158="",0,VLOOKUP(P158,Tables!$B$3:$M$36,11,FALSE())*AL$1)</f>
        <v>0</v>
      </c>
      <c r="ED158" s="91">
        <f>IF(AN158="",0,VLOOKUP(B158,Tables!$B$3:$M$36,12,FALSE())*X$1)</f>
        <v>3.6</v>
      </c>
      <c r="EE158" s="92">
        <f>IF(AO158="",0,VLOOKUP(C158,Tables!$B$3:$M$36,12,FALSE())*Y$1)</f>
        <v>0</v>
      </c>
      <c r="EF158" s="92">
        <f>IF(AP158="",0,VLOOKUP(D158,Tables!$B$3:$M$36,12,FALSE())*Z$1)</f>
        <v>0</v>
      </c>
      <c r="EG158" s="91">
        <f>IF(AQ158="",0,VLOOKUP(E158,Tables!$B$3:$M$36,12,FALSE())*AA$1)</f>
        <v>0</v>
      </c>
      <c r="EH158" s="92">
        <f>IF(AR158="",0,VLOOKUP(F158,Tables!$B$3:$M$36,12,FALSE())*AB$1)</f>
        <v>0</v>
      </c>
      <c r="EI158" s="92">
        <f>IF(AS158="",0,VLOOKUP(G158,Tables!$B$3:$M$36,12,FALSE())*AC$1)</f>
        <v>0</v>
      </c>
      <c r="EJ158" s="92">
        <f>IF(AT158="",0,VLOOKUP(H158,Tables!$B$3:$M$36,12,FALSE())*AD$1)</f>
        <v>0</v>
      </c>
      <c r="EK158" s="92">
        <f>IF(AU158="",0,VLOOKUP(I158,Tables!$B$3:$M$36,12,FALSE())*AE$1)</f>
        <v>0</v>
      </c>
      <c r="EL158" s="91">
        <f>IF(AV158="",0,VLOOKUP(J158,Tables!$B$3:$M$36,12,FALSE())*AF$1)</f>
        <v>0</v>
      </c>
      <c r="EM158" s="92">
        <f>IF(AW158="",0,VLOOKUP(K158,Tables!$B$3:$M$36,12,FALSE())*AG$1)</f>
        <v>0</v>
      </c>
      <c r="EN158" s="92">
        <f>IF(AX158="",0,VLOOKUP(L158,Tables!$B$3:$M$36,12,FALSE())*AH$1)</f>
        <v>0</v>
      </c>
      <c r="EO158" s="91">
        <f>IF(AY158="",0,VLOOKUP(M158,Tables!$B$3:$M$36,12,FALSE())*AI$1)</f>
        <v>0</v>
      </c>
      <c r="EP158" s="92">
        <f>IF(AZ158="",0,VLOOKUP(N158,Tables!$B$3:$M$36,12,FALSE())*AJ$1)</f>
        <v>0</v>
      </c>
      <c r="EQ158" s="92">
        <f>IF(BA158="",0,VLOOKUP(O158,Tables!$B$3:$M$36,12,FALSE())*AK$1)</f>
        <v>0</v>
      </c>
      <c r="ER158" s="93">
        <f>IF(BB158="",0,VLOOKUP(P158,Tables!$B$3:$M$36,12,FALSE())*AL$1)</f>
        <v>0</v>
      </c>
      <c r="ES158" s="94">
        <f t="shared" si="167"/>
        <v>0</v>
      </c>
      <c r="ET158" s="95">
        <f>IF(AN158="",10,MIN(VLOOKUP(B158,MATERIAL,13,FALSE()),'Item Builder'!$W158))</f>
        <v>0</v>
      </c>
      <c r="EU158" s="95">
        <f>IF(AO158="",10,MIN(VLOOKUP(C158,MATERIAL,13,FALSE()),'Item Builder'!$W158))</f>
        <v>10</v>
      </c>
      <c r="EV158" s="95">
        <f>IF(AP158="",10,MIN(VLOOKUP(D158,MATERIAL,13,FALSE()),'Item Builder'!$W158))</f>
        <v>10</v>
      </c>
      <c r="EW158" s="95">
        <f>IF(AQ158="",10,MIN(VLOOKUP(E158,MATERIAL,13,FALSE()),'Item Builder'!$W158))</f>
        <v>10</v>
      </c>
      <c r="EX158" s="95">
        <f>IF(AR158="",10,MIN(VLOOKUP(F158,MATERIAL,13,FALSE()),'Item Builder'!$W158))</f>
        <v>10</v>
      </c>
      <c r="EY158" s="95">
        <f>IF(AS158="",10,MIN(VLOOKUP(G158,MATERIAL,13,FALSE()),'Item Builder'!$W158))</f>
        <v>10</v>
      </c>
      <c r="EZ158" s="95">
        <f>IF(AT158="",10,MIN(VLOOKUP(H158,MATERIAL,13,FALSE()),'Item Builder'!$W158))</f>
        <v>10</v>
      </c>
      <c r="FA158" s="95">
        <f>IF(AU158="",10,MIN(VLOOKUP(I158,MATERIAL,13,FALSE()),'Item Builder'!$W158))</f>
        <v>10</v>
      </c>
      <c r="FB158" s="95">
        <f>IF(AV158="",10,MIN(VLOOKUP(J158,MATERIAL,13,FALSE()),'Item Builder'!$W158))</f>
        <v>10</v>
      </c>
      <c r="FC158" s="95">
        <f>IF(AW158="",10,MIN(VLOOKUP(K158,MATERIAL,13,FALSE()),'Item Builder'!$W158))</f>
        <v>10</v>
      </c>
      <c r="FD158" s="95">
        <f>IF(AX158="",10,MIN(VLOOKUP(L158,MATERIAL,13,FALSE()),'Item Builder'!$W158))</f>
        <v>10</v>
      </c>
      <c r="FE158" s="95">
        <f>IF(AY158="",10,MIN(VLOOKUP(M158,MATERIAL,13,FALSE()),'Item Builder'!$W158))</f>
        <v>10</v>
      </c>
      <c r="FF158" s="95">
        <f>IF(AZ158="",10,MIN(VLOOKUP(N158,MATERIAL,13,FALSE()),'Item Builder'!$W158))</f>
        <v>10</v>
      </c>
      <c r="FG158" s="95">
        <f>IF(BA158="",10,MIN(VLOOKUP(O158,MATERIAL,13,FALSE()),'Item Builder'!$W158))</f>
        <v>10</v>
      </c>
      <c r="FH158" s="95">
        <f>IF(BB158="",10,MIN(VLOOKUP(P158,MATERIAL,13,FALSE()),'Item Builder'!$W158))</f>
        <v>10</v>
      </c>
    </row>
    <row r="159" spans="1:164" x14ac:dyDescent="0.25">
      <c r="A159" s="67" t="s">
        <v>299</v>
      </c>
      <c r="B159" s="68" t="s">
        <v>171</v>
      </c>
      <c r="C159" s="69"/>
      <c r="D159" s="70" t="s">
        <v>171</v>
      </c>
      <c r="E159" s="68"/>
      <c r="F159" s="69"/>
      <c r="G159" s="69"/>
      <c r="H159" s="69"/>
      <c r="I159" s="70"/>
      <c r="J159" s="68"/>
      <c r="K159" s="69"/>
      <c r="L159" s="70"/>
      <c r="M159" s="68"/>
      <c r="N159" s="69"/>
      <c r="O159" s="69"/>
      <c r="P159" s="71"/>
      <c r="Q159" s="72">
        <f>SUM(BV159:CJ159)*VLOOKUP(W159,Tables!$W$3:$Z$8,4)</f>
        <v>7.1999999999999993</v>
      </c>
      <c r="R159" s="73">
        <f t="shared" si="112"/>
        <v>0.15000000000000002</v>
      </c>
      <c r="S159" s="74">
        <f t="shared" si="113"/>
        <v>0</v>
      </c>
      <c r="T159" s="74">
        <f t="shared" si="114"/>
        <v>5</v>
      </c>
      <c r="U159" s="75">
        <f t="shared" si="115"/>
        <v>1.2000000000000002</v>
      </c>
      <c r="V159" s="76">
        <f t="shared" si="116"/>
        <v>5.4</v>
      </c>
      <c r="W159" s="77">
        <v>0</v>
      </c>
      <c r="X159" s="78">
        <f t="shared" si="117"/>
        <v>1</v>
      </c>
      <c r="Y159" s="79">
        <f t="shared" si="118"/>
        <v>0</v>
      </c>
      <c r="Z159" s="79">
        <f t="shared" si="119"/>
        <v>1</v>
      </c>
      <c r="AA159" s="78">
        <f t="shared" si="120"/>
        <v>0</v>
      </c>
      <c r="AB159" s="79">
        <f t="shared" si="121"/>
        <v>0</v>
      </c>
      <c r="AC159" s="79">
        <f t="shared" si="122"/>
        <v>0</v>
      </c>
      <c r="AD159" s="79">
        <f t="shared" si="123"/>
        <v>0</v>
      </c>
      <c r="AE159" s="79">
        <f t="shared" si="124"/>
        <v>0</v>
      </c>
      <c r="AF159" s="78">
        <f t="shared" si="125"/>
        <v>0</v>
      </c>
      <c r="AG159" s="79">
        <f t="shared" si="126"/>
        <v>0</v>
      </c>
      <c r="AH159" s="79">
        <f t="shared" si="127"/>
        <v>0</v>
      </c>
      <c r="AI159" s="78">
        <f t="shared" si="128"/>
        <v>0</v>
      </c>
      <c r="AJ159" s="79">
        <f t="shared" si="129"/>
        <v>0</v>
      </c>
      <c r="AK159" s="79">
        <f t="shared" si="130"/>
        <v>0</v>
      </c>
      <c r="AL159" s="80">
        <f t="shared" si="131"/>
        <v>0</v>
      </c>
      <c r="AM159" s="81">
        <f t="shared" si="132"/>
        <v>0.06</v>
      </c>
      <c r="AN159" s="82" t="str">
        <f t="shared" si="133"/>
        <v>X</v>
      </c>
      <c r="AO159" s="79" t="str">
        <f t="shared" si="134"/>
        <v/>
      </c>
      <c r="AP159" t="str">
        <f t="shared" si="135"/>
        <v>X</v>
      </c>
      <c r="AQ159" s="82" t="str">
        <f t="shared" si="136"/>
        <v/>
      </c>
      <c r="AR159" t="str">
        <f t="shared" si="137"/>
        <v/>
      </c>
      <c r="AS159" t="str">
        <f t="shared" si="138"/>
        <v/>
      </c>
      <c r="AT159" t="str">
        <f t="shared" si="139"/>
        <v/>
      </c>
      <c r="AU159" t="str">
        <f t="shared" si="140"/>
        <v/>
      </c>
      <c r="AV159" s="82" t="str">
        <f t="shared" si="141"/>
        <v/>
      </c>
      <c r="AW159" t="str">
        <f t="shared" si="142"/>
        <v/>
      </c>
      <c r="AX159" t="str">
        <f t="shared" si="143"/>
        <v/>
      </c>
      <c r="AY159" s="82" t="str">
        <f t="shared" si="144"/>
        <v/>
      </c>
      <c r="AZ159" t="str">
        <f t="shared" si="145"/>
        <v/>
      </c>
      <c r="BA159" t="str">
        <f t="shared" si="146"/>
        <v/>
      </c>
      <c r="BB159" s="83" t="str">
        <f t="shared" si="147"/>
        <v/>
      </c>
      <c r="BC159" s="84">
        <f t="shared" si="148"/>
        <v>0.66666666666666652</v>
      </c>
      <c r="BD159" s="84">
        <f t="shared" si="149"/>
        <v>0</v>
      </c>
      <c r="BE159" s="84">
        <f t="shared" si="150"/>
        <v>0</v>
      </c>
      <c r="BF159" s="84">
        <f t="shared" si="151"/>
        <v>0</v>
      </c>
      <c r="BG159" s="78">
        <f>IF(AN159="",0,VLOOKUP(AN159,Tables!$AB$3:$AC$12,2))</f>
        <v>1</v>
      </c>
      <c r="BH159" s="79">
        <f>IF(AO159="",0,VLOOKUP(AO159,Tables!$AB$3:$AC$12,2))</f>
        <v>0</v>
      </c>
      <c r="BI159" s="79">
        <f>IF(AP159="",0,VLOOKUP(AP159,Tables!$AB$3:$AC$12,2))</f>
        <v>1</v>
      </c>
      <c r="BJ159" s="78">
        <f>IF(AQ159="",0,VLOOKUP(AQ159,Tables!$AB$3:$AC$12,2))</f>
        <v>0</v>
      </c>
      <c r="BK159" s="79">
        <f>IF(AR159="",0,VLOOKUP(AR159,Tables!$AB$3:$AC$12,2))</f>
        <v>0</v>
      </c>
      <c r="BL159" s="79">
        <f>IF(AS159="",0,VLOOKUP(AS159,Tables!$AB$3:$AC$12,2))</f>
        <v>0</v>
      </c>
      <c r="BM159" s="79">
        <f>IF(AT159="",0,VLOOKUP(AT159,Tables!$AB$3:$AC$12,2))</f>
        <v>0</v>
      </c>
      <c r="BN159" s="79">
        <f>IF(AU159="",0,VLOOKUP(AU159,Tables!$AB$3:$AC$12,2))</f>
        <v>0</v>
      </c>
      <c r="BO159" s="78">
        <f>IF(AV159="",0,VLOOKUP(AV159,Tables!$AB$3:$AC$12,2))</f>
        <v>0</v>
      </c>
      <c r="BP159" s="79">
        <f>IF(AW159="",0,VLOOKUP(AW159,Tables!$AB$3:$AC$12,2))</f>
        <v>0</v>
      </c>
      <c r="BQ159" s="79">
        <f>IF(AX159="",0,VLOOKUP(AX159,Tables!$AB$3:$AC$12,2))</f>
        <v>0</v>
      </c>
      <c r="BR159" s="78">
        <f>IF(AY159="",0,VLOOKUP(AY159,Tables!$AB$3:$AC$12,2))</f>
        <v>0</v>
      </c>
      <c r="BS159" s="79">
        <f>IF(AZ159="",0,VLOOKUP(AZ159,Tables!$AB$3:$AC$12,2))</f>
        <v>0</v>
      </c>
      <c r="BT159" s="79">
        <f>IF(BA159="",0,VLOOKUP(BA159,Tables!$AB$3:$AC$12,2))</f>
        <v>0</v>
      </c>
      <c r="BU159" s="80">
        <f>IF(BB159="",0,VLOOKUP(BB159,Tables!$AB$3:$AC$12,2))</f>
        <v>0</v>
      </c>
      <c r="BV159" s="85">
        <f>IF(AN159="",0,VLOOKUP(B159,Tables!$B$3:$D$36,2,FALSE())*X$1)</f>
        <v>4.8</v>
      </c>
      <c r="BW159" s="72">
        <f>IF(AO159="",0,VLOOKUP(C159,Tables!$B$3:$D$36,2,FALSE())*Y$1)</f>
        <v>0</v>
      </c>
      <c r="BX159" s="72">
        <f>IF(AP159="",0,VLOOKUP(D159,Tables!$B$3:$D$36,2,FALSE())*Z$1)</f>
        <v>2.4</v>
      </c>
      <c r="BY159" s="85">
        <f>IF(AQ159="",0,VLOOKUP(E159,Tables!$B$3:$D$36,2,FALSE())*AA$1)</f>
        <v>0</v>
      </c>
      <c r="BZ159" s="72">
        <f>IF(AR159="",0,VLOOKUP(F159,Tables!$B$3:$D$36,2,FALSE())*AB$1)</f>
        <v>0</v>
      </c>
      <c r="CA159" s="72">
        <f>IF(AS159="",0,VLOOKUP(G159,Tables!$B$3:$D$36,2,FALSE())*AC$1)</f>
        <v>0</v>
      </c>
      <c r="CB159" s="72">
        <f>IF(AT159="",0,VLOOKUP(H159,Tables!$B$3:$D$36,2,FALSE())*AD$1)</f>
        <v>0</v>
      </c>
      <c r="CC159" s="72">
        <f>IF(AU159="",0,VLOOKUP(I159,Tables!$B$3:$D$36,2,FALSE())*AE$1)</f>
        <v>0</v>
      </c>
      <c r="CD159" s="85">
        <f>IF(AV159="",0,VLOOKUP(J159,Tables!$B$3:$D$36,2,FALSE())*AF$1)</f>
        <v>0</v>
      </c>
      <c r="CE159" s="72">
        <f>IF(AW159="",0,VLOOKUP(K159,Tables!$B$3:$D$36,2,FALSE())*AG$1)</f>
        <v>0</v>
      </c>
      <c r="CF159" s="72">
        <f>IF(AX159="",0,VLOOKUP(L159,Tables!$B$3:$D$36,2,FALSE())*AH$1)</f>
        <v>0</v>
      </c>
      <c r="CG159" s="85">
        <f>IF(AY159="",0,VLOOKUP(M159,Tables!$B$3:$D$36,2,FALSE())*AI$1)</f>
        <v>0</v>
      </c>
      <c r="CH159" s="72">
        <f>IF(AZ159="",0,VLOOKUP(N159,Tables!$B$3:$D$36,2,FALSE())*AJ$1)</f>
        <v>0</v>
      </c>
      <c r="CI159" s="72">
        <f>IF(BA159="",0,VLOOKUP(O159,Tables!$B$3:$D$36,2,FALSE())*AK$1)</f>
        <v>0</v>
      </c>
      <c r="CJ159" s="86">
        <f>IF(BB159="",0,VLOOKUP(P159,Tables!$B$3:$D$36,2,FALSE())*AL$1)</f>
        <v>0</v>
      </c>
      <c r="CK159" s="87">
        <f>IF(AN159="",0,VLOOKUP(B159,Tables!$B$3:$D$36,3,FALSE())*X$1)*IF(OR(AN159="K",AN159="P"),2,1)</f>
        <v>0.1</v>
      </c>
      <c r="CL159" s="73">
        <f>IF(AO159="",0,VLOOKUP(C159,Tables!$B$3:$D$36,3,FALSE())*Y$1)*IF(OR(AO159="K",AO159="P"),2,1)</f>
        <v>0</v>
      </c>
      <c r="CM159" s="73">
        <f>IF(AP159="",0,VLOOKUP(D159,Tables!$B$3:$D$36,3,FALSE())*Z$1)*IF(OR(AP159="K",AP159="P"),2,1)</f>
        <v>0.05</v>
      </c>
      <c r="CN159" s="87">
        <f>IF(AQ159="",0,VLOOKUP(E159,Tables!$B$3:$D$36,3,FALSE())*AA$1)</f>
        <v>0</v>
      </c>
      <c r="CO159" s="73">
        <f>IF(AR159="",0,VLOOKUP(F159,Tables!$B$3:$D$36,3,FALSE())*AB$1)</f>
        <v>0</v>
      </c>
      <c r="CP159" s="73">
        <f>IF(AS159="",0,VLOOKUP(G159,Tables!$B$3:$D$36,3,FALSE())*AC$1)</f>
        <v>0</v>
      </c>
      <c r="CQ159" s="73">
        <f>IF(AT159="",0,VLOOKUP(H159,Tables!$B$3:$D$36,3,FALSE())*AD$1)</f>
        <v>0</v>
      </c>
      <c r="CR159" s="73">
        <f>IF(AU159="",0,VLOOKUP(I159,Tables!$B$3:$D$36,3,FALSE())*AE$1)</f>
        <v>0</v>
      </c>
      <c r="CS159" s="87">
        <f>IF(AV159="",0,VLOOKUP(J159,Tables!$B$3:$D$36,3,FALSE())*AF$1)</f>
        <v>0</v>
      </c>
      <c r="CT159" s="73">
        <f>IF(AW159="",0,VLOOKUP(K159,Tables!$B$3:$D$36,3,FALSE())*AG$1)</f>
        <v>0</v>
      </c>
      <c r="CU159" s="73">
        <f>IF(AX159="",0,VLOOKUP(L159,Tables!$B$3:$D$36,3,FALSE())*AH$1)</f>
        <v>0</v>
      </c>
      <c r="CV159" s="87">
        <f>IF(AY159="",0,VLOOKUP(M159,Tables!$B$3:$D$36,3,FALSE())*AI$1)</f>
        <v>0</v>
      </c>
      <c r="CW159" s="73">
        <f>IF(AZ159="",0,VLOOKUP(N159,Tables!$B$3:$D$36,3,FALSE())*AJ$1)</f>
        <v>0</v>
      </c>
      <c r="CX159" s="73">
        <f>IF(BA159="",0,VLOOKUP(O159,Tables!$B$3:$D$36,3,FALSE())*AK$1)</f>
        <v>0</v>
      </c>
      <c r="CY159" s="88">
        <f>IF(BB159="",0,VLOOKUP(P159,Tables!$B$3:$D$36,3,FALSE())*AL$1)</f>
        <v>0</v>
      </c>
      <c r="CZ159" s="89">
        <f t="shared" si="152"/>
        <v>1</v>
      </c>
      <c r="DA159" s="75">
        <f t="shared" si="153"/>
        <v>0</v>
      </c>
      <c r="DB159" s="75">
        <f t="shared" si="154"/>
        <v>1</v>
      </c>
      <c r="DC159" s="89">
        <f t="shared" si="155"/>
        <v>0</v>
      </c>
      <c r="DD159" s="75">
        <f t="shared" si="156"/>
        <v>0</v>
      </c>
      <c r="DE159" s="75">
        <f t="shared" si="157"/>
        <v>0</v>
      </c>
      <c r="DF159" s="75">
        <f t="shared" si="158"/>
        <v>0</v>
      </c>
      <c r="DG159" s="75">
        <f t="shared" si="159"/>
        <v>0</v>
      </c>
      <c r="DH159" s="89">
        <f t="shared" si="160"/>
        <v>0</v>
      </c>
      <c r="DI159" s="75">
        <f t="shared" si="161"/>
        <v>0</v>
      </c>
      <c r="DJ159" s="75">
        <f t="shared" si="162"/>
        <v>0</v>
      </c>
      <c r="DK159" s="89">
        <f t="shared" si="163"/>
        <v>0</v>
      </c>
      <c r="DL159" s="75">
        <f t="shared" si="164"/>
        <v>0</v>
      </c>
      <c r="DM159" s="75">
        <f t="shared" si="165"/>
        <v>0</v>
      </c>
      <c r="DN159" s="90">
        <f t="shared" si="166"/>
        <v>0</v>
      </c>
      <c r="DO159" s="91">
        <f>IF(AN159="",0,VLOOKUP(B159,Tables!$B$3:$M$36,11,FALSE())*X$1)</f>
        <v>0.8</v>
      </c>
      <c r="DP159" s="92">
        <f>IF(AO159="",0,VLOOKUP(C159,Tables!$B$3:$M$36,11,FALSE())*Y$1)</f>
        <v>0</v>
      </c>
      <c r="DQ159" s="92">
        <f>IF(AP159="",0,VLOOKUP(D159,Tables!$B$3:$M$36,11,FALSE())*Z$1)</f>
        <v>0.4</v>
      </c>
      <c r="DR159" s="91">
        <f>IF(AQ159="",0,VLOOKUP(E159,Tables!$B$3:$M$36,11,FALSE())*AA$1)</f>
        <v>0</v>
      </c>
      <c r="DS159" s="92">
        <f>IF(AR159="",0,VLOOKUP(F159,Tables!$B$3:$M$36,11,FALSE())*AB$1)</f>
        <v>0</v>
      </c>
      <c r="DT159" s="92">
        <f>IF(AS159="",0,VLOOKUP(G159,Tables!$B$3:$M$36,11,FALSE())*AC$1)</f>
        <v>0</v>
      </c>
      <c r="DU159" s="92">
        <f>IF(AT159="",0,VLOOKUP(H159,Tables!$B$3:$M$36,11,FALSE())*AD$1)</f>
        <v>0</v>
      </c>
      <c r="DV159" s="92">
        <f>IF(AU159="",0,VLOOKUP(I159,Tables!$B$3:$M$36,11,FALSE())*AE$1)</f>
        <v>0</v>
      </c>
      <c r="DW159" s="91">
        <f>IF(AV159="",0,VLOOKUP(J159,Tables!$B$3:$M$36,11,FALSE())*AF$1)</f>
        <v>0</v>
      </c>
      <c r="DX159" s="92">
        <f>IF(AW159="",0,VLOOKUP(K159,Tables!$B$3:$M$36,11,FALSE())*AG$1)</f>
        <v>0</v>
      </c>
      <c r="DY159" s="92">
        <f>IF(AX159="",0,VLOOKUP(L159,Tables!$B$3:$M$36,11,FALSE())*AH$1)</f>
        <v>0</v>
      </c>
      <c r="DZ159" s="91">
        <f>IF(AY159="",0,VLOOKUP(M159,Tables!$B$3:$M$36,11,FALSE())*AI$1)</f>
        <v>0</v>
      </c>
      <c r="EA159" s="92">
        <f>IF(AZ159="",0,VLOOKUP(N159,Tables!$B$3:$M$36,11,FALSE())*AJ$1)</f>
        <v>0</v>
      </c>
      <c r="EB159" s="92">
        <f>IF(BA159="",0,VLOOKUP(O159,Tables!$B$3:$M$36,11,FALSE())*AK$1)</f>
        <v>0</v>
      </c>
      <c r="EC159" s="93">
        <f>IF(BB159="",0,VLOOKUP(P159,Tables!$B$3:$M$36,11,FALSE())*AL$1)</f>
        <v>0</v>
      </c>
      <c r="ED159" s="91">
        <f>IF(AN159="",0,VLOOKUP(B159,Tables!$B$3:$M$36,12,FALSE())*X$1)</f>
        <v>3.6</v>
      </c>
      <c r="EE159" s="92">
        <f>IF(AO159="",0,VLOOKUP(C159,Tables!$B$3:$M$36,12,FALSE())*Y$1)</f>
        <v>0</v>
      </c>
      <c r="EF159" s="92">
        <f>IF(AP159="",0,VLOOKUP(D159,Tables!$B$3:$M$36,12,FALSE())*Z$1)</f>
        <v>1.8</v>
      </c>
      <c r="EG159" s="91">
        <f>IF(AQ159="",0,VLOOKUP(E159,Tables!$B$3:$M$36,12,FALSE())*AA$1)</f>
        <v>0</v>
      </c>
      <c r="EH159" s="92">
        <f>IF(AR159="",0,VLOOKUP(F159,Tables!$B$3:$M$36,12,FALSE())*AB$1)</f>
        <v>0</v>
      </c>
      <c r="EI159" s="92">
        <f>IF(AS159="",0,VLOOKUP(G159,Tables!$B$3:$M$36,12,FALSE())*AC$1)</f>
        <v>0</v>
      </c>
      <c r="EJ159" s="92">
        <f>IF(AT159="",0,VLOOKUP(H159,Tables!$B$3:$M$36,12,FALSE())*AD$1)</f>
        <v>0</v>
      </c>
      <c r="EK159" s="92">
        <f>IF(AU159="",0,VLOOKUP(I159,Tables!$B$3:$M$36,12,FALSE())*AE$1)</f>
        <v>0</v>
      </c>
      <c r="EL159" s="91">
        <f>IF(AV159="",0,VLOOKUP(J159,Tables!$B$3:$M$36,12,FALSE())*AF$1)</f>
        <v>0</v>
      </c>
      <c r="EM159" s="92">
        <f>IF(AW159="",0,VLOOKUP(K159,Tables!$B$3:$M$36,12,FALSE())*AG$1)</f>
        <v>0</v>
      </c>
      <c r="EN159" s="92">
        <f>IF(AX159="",0,VLOOKUP(L159,Tables!$B$3:$M$36,12,FALSE())*AH$1)</f>
        <v>0</v>
      </c>
      <c r="EO159" s="91">
        <f>IF(AY159="",0,VLOOKUP(M159,Tables!$B$3:$M$36,12,FALSE())*AI$1)</f>
        <v>0</v>
      </c>
      <c r="EP159" s="92">
        <f>IF(AZ159="",0,VLOOKUP(N159,Tables!$B$3:$M$36,12,FALSE())*AJ$1)</f>
        <v>0</v>
      </c>
      <c r="EQ159" s="92">
        <f>IF(BA159="",0,VLOOKUP(O159,Tables!$B$3:$M$36,12,FALSE())*AK$1)</f>
        <v>0</v>
      </c>
      <c r="ER159" s="93">
        <f>IF(BB159="",0,VLOOKUP(P159,Tables!$B$3:$M$36,12,FALSE())*AL$1)</f>
        <v>0</v>
      </c>
      <c r="ES159" s="94">
        <f t="shared" si="167"/>
        <v>0</v>
      </c>
      <c r="ET159" s="95">
        <f>IF(AN159="",10,MIN(VLOOKUP(B159,MATERIAL,13,FALSE()),'Item Builder'!$W159))</f>
        <v>0</v>
      </c>
      <c r="EU159" s="95">
        <f>IF(AO159="",10,MIN(VLOOKUP(C159,MATERIAL,13,FALSE()),'Item Builder'!$W159))</f>
        <v>10</v>
      </c>
      <c r="EV159" s="95">
        <f>IF(AP159="",10,MIN(VLOOKUP(D159,MATERIAL,13,FALSE()),'Item Builder'!$W159))</f>
        <v>0</v>
      </c>
      <c r="EW159" s="95">
        <f>IF(AQ159="",10,MIN(VLOOKUP(E159,MATERIAL,13,FALSE()),'Item Builder'!$W159))</f>
        <v>10</v>
      </c>
      <c r="EX159" s="95">
        <f>IF(AR159="",10,MIN(VLOOKUP(F159,MATERIAL,13,FALSE()),'Item Builder'!$W159))</f>
        <v>10</v>
      </c>
      <c r="EY159" s="95">
        <f>IF(AS159="",10,MIN(VLOOKUP(G159,MATERIAL,13,FALSE()),'Item Builder'!$W159))</f>
        <v>10</v>
      </c>
      <c r="EZ159" s="95">
        <f>IF(AT159="",10,MIN(VLOOKUP(H159,MATERIAL,13,FALSE()),'Item Builder'!$W159))</f>
        <v>10</v>
      </c>
      <c r="FA159" s="95">
        <f>IF(AU159="",10,MIN(VLOOKUP(I159,MATERIAL,13,FALSE()),'Item Builder'!$W159))</f>
        <v>10</v>
      </c>
      <c r="FB159" s="95">
        <f>IF(AV159="",10,MIN(VLOOKUP(J159,MATERIAL,13,FALSE()),'Item Builder'!$W159))</f>
        <v>10</v>
      </c>
      <c r="FC159" s="95">
        <f>IF(AW159="",10,MIN(VLOOKUP(K159,MATERIAL,13,FALSE()),'Item Builder'!$W159))</f>
        <v>10</v>
      </c>
      <c r="FD159" s="95">
        <f>IF(AX159="",10,MIN(VLOOKUP(L159,MATERIAL,13,FALSE()),'Item Builder'!$W159))</f>
        <v>10</v>
      </c>
      <c r="FE159" s="95">
        <f>IF(AY159="",10,MIN(VLOOKUP(M159,MATERIAL,13,FALSE()),'Item Builder'!$W159))</f>
        <v>10</v>
      </c>
      <c r="FF159" s="95">
        <f>IF(AZ159="",10,MIN(VLOOKUP(N159,MATERIAL,13,FALSE()),'Item Builder'!$W159))</f>
        <v>10</v>
      </c>
      <c r="FG159" s="95">
        <f>IF(BA159="",10,MIN(VLOOKUP(O159,MATERIAL,13,FALSE()),'Item Builder'!$W159))</f>
        <v>10</v>
      </c>
      <c r="FH159" s="95">
        <f>IF(BB159="",10,MIN(VLOOKUP(P159,MATERIAL,13,FALSE()),'Item Builder'!$W159))</f>
        <v>10</v>
      </c>
    </row>
    <row r="160" spans="1:164" x14ac:dyDescent="0.25">
      <c r="A160" s="67" t="s">
        <v>300</v>
      </c>
      <c r="B160" s="68"/>
      <c r="C160" s="69"/>
      <c r="D160" s="70"/>
      <c r="E160" s="68" t="s">
        <v>171</v>
      </c>
      <c r="F160" s="69" t="s">
        <v>171</v>
      </c>
      <c r="G160" s="69"/>
      <c r="H160" s="69"/>
      <c r="I160" s="70"/>
      <c r="J160" s="68" t="s">
        <v>171</v>
      </c>
      <c r="K160" s="69"/>
      <c r="L160" s="70"/>
      <c r="M160" s="68"/>
      <c r="N160" s="69"/>
      <c r="O160" s="69"/>
      <c r="P160" s="71"/>
      <c r="Q160" s="72">
        <f>SUM(BV160:CJ160)*VLOOKUP(W160,Tables!$W$3:$Z$8,4)</f>
        <v>25.199999999999996</v>
      </c>
      <c r="R160" s="73">
        <f t="shared" si="112"/>
        <v>0.52499999999999991</v>
      </c>
      <c r="S160" s="74">
        <f t="shared" si="113"/>
        <v>0</v>
      </c>
      <c r="T160" s="74">
        <f t="shared" si="114"/>
        <v>0</v>
      </c>
      <c r="U160" s="75">
        <f t="shared" si="115"/>
        <v>4.1999999999999993</v>
      </c>
      <c r="V160" s="76">
        <f t="shared" si="116"/>
        <v>18.899999999999999</v>
      </c>
      <c r="W160" s="77">
        <v>0</v>
      </c>
      <c r="X160" s="78">
        <f t="shared" si="117"/>
        <v>0</v>
      </c>
      <c r="Y160" s="79">
        <f t="shared" si="118"/>
        <v>0</v>
      </c>
      <c r="Z160" s="79">
        <f t="shared" si="119"/>
        <v>0</v>
      </c>
      <c r="AA160" s="78">
        <f t="shared" si="120"/>
        <v>1</v>
      </c>
      <c r="AB160" s="79">
        <f t="shared" si="121"/>
        <v>1</v>
      </c>
      <c r="AC160" s="79">
        <f t="shared" si="122"/>
        <v>0</v>
      </c>
      <c r="AD160" s="79">
        <f t="shared" si="123"/>
        <v>0</v>
      </c>
      <c r="AE160" s="79">
        <f t="shared" si="124"/>
        <v>0</v>
      </c>
      <c r="AF160" s="78">
        <f t="shared" si="125"/>
        <v>1</v>
      </c>
      <c r="AG160" s="79">
        <f t="shared" si="126"/>
        <v>0</v>
      </c>
      <c r="AH160" s="79">
        <f t="shared" si="127"/>
        <v>0</v>
      </c>
      <c r="AI160" s="78">
        <f t="shared" si="128"/>
        <v>0</v>
      </c>
      <c r="AJ160" s="79">
        <f t="shared" si="129"/>
        <v>0</v>
      </c>
      <c r="AK160" s="79">
        <f t="shared" si="130"/>
        <v>0</v>
      </c>
      <c r="AL160" s="80">
        <f t="shared" si="131"/>
        <v>0</v>
      </c>
      <c r="AM160" s="81">
        <f t="shared" si="132"/>
        <v>0.21</v>
      </c>
      <c r="AN160" s="82" t="str">
        <f t="shared" si="133"/>
        <v/>
      </c>
      <c r="AO160" s="79" t="str">
        <f t="shared" si="134"/>
        <v/>
      </c>
      <c r="AP160" t="str">
        <f t="shared" si="135"/>
        <v/>
      </c>
      <c r="AQ160" s="82" t="str">
        <f t="shared" si="136"/>
        <v>X</v>
      </c>
      <c r="AR160" t="str">
        <f t="shared" si="137"/>
        <v>X</v>
      </c>
      <c r="AS160" t="str">
        <f t="shared" si="138"/>
        <v/>
      </c>
      <c r="AT160" t="str">
        <f t="shared" si="139"/>
        <v/>
      </c>
      <c r="AU160" t="str">
        <f t="shared" si="140"/>
        <v/>
      </c>
      <c r="AV160" s="82" t="str">
        <f t="shared" si="141"/>
        <v>X</v>
      </c>
      <c r="AW160" t="str">
        <f t="shared" si="142"/>
        <v/>
      </c>
      <c r="AX160" t="str">
        <f t="shared" si="143"/>
        <v/>
      </c>
      <c r="AY160" s="82" t="str">
        <f t="shared" si="144"/>
        <v/>
      </c>
      <c r="AZ160" t="str">
        <f t="shared" si="145"/>
        <v/>
      </c>
      <c r="BA160" t="str">
        <f t="shared" si="146"/>
        <v/>
      </c>
      <c r="BB160" s="83" t="str">
        <f t="shared" si="147"/>
        <v/>
      </c>
      <c r="BC160" s="84">
        <f t="shared" si="148"/>
        <v>0</v>
      </c>
      <c r="BD160" s="84">
        <f t="shared" si="149"/>
        <v>0.42857142857142849</v>
      </c>
      <c r="BE160" s="84">
        <f t="shared" si="150"/>
        <v>0.35294117647058826</v>
      </c>
      <c r="BF160" s="84">
        <f t="shared" si="151"/>
        <v>0</v>
      </c>
      <c r="BG160" s="78">
        <f>IF(AN160="",0,VLOOKUP(AN160,Tables!$AB$3:$AC$12,2))</f>
        <v>0</v>
      </c>
      <c r="BH160" s="79">
        <f>IF(AO160="",0,VLOOKUP(AO160,Tables!$AB$3:$AC$12,2))</f>
        <v>0</v>
      </c>
      <c r="BI160" s="79">
        <f>IF(AP160="",0,VLOOKUP(AP160,Tables!$AB$3:$AC$12,2))</f>
        <v>0</v>
      </c>
      <c r="BJ160" s="78">
        <f>IF(AQ160="",0,VLOOKUP(AQ160,Tables!$AB$3:$AC$12,2))</f>
        <v>1</v>
      </c>
      <c r="BK160" s="79">
        <f>IF(AR160="",0,VLOOKUP(AR160,Tables!$AB$3:$AC$12,2))</f>
        <v>1</v>
      </c>
      <c r="BL160" s="79">
        <f>IF(AS160="",0,VLOOKUP(AS160,Tables!$AB$3:$AC$12,2))</f>
        <v>0</v>
      </c>
      <c r="BM160" s="79">
        <f>IF(AT160="",0,VLOOKUP(AT160,Tables!$AB$3:$AC$12,2))</f>
        <v>0</v>
      </c>
      <c r="BN160" s="79">
        <f>IF(AU160="",0,VLOOKUP(AU160,Tables!$AB$3:$AC$12,2))</f>
        <v>0</v>
      </c>
      <c r="BO160" s="78">
        <f>IF(AV160="",0,VLOOKUP(AV160,Tables!$AB$3:$AC$12,2))</f>
        <v>1</v>
      </c>
      <c r="BP160" s="79">
        <f>IF(AW160="",0,VLOOKUP(AW160,Tables!$AB$3:$AC$12,2))</f>
        <v>0</v>
      </c>
      <c r="BQ160" s="79">
        <f>IF(AX160="",0,VLOOKUP(AX160,Tables!$AB$3:$AC$12,2))</f>
        <v>0</v>
      </c>
      <c r="BR160" s="78">
        <f>IF(AY160="",0,VLOOKUP(AY160,Tables!$AB$3:$AC$12,2))</f>
        <v>0</v>
      </c>
      <c r="BS160" s="79">
        <f>IF(AZ160="",0,VLOOKUP(AZ160,Tables!$AB$3:$AC$12,2))</f>
        <v>0</v>
      </c>
      <c r="BT160" s="79">
        <f>IF(BA160="",0,VLOOKUP(BA160,Tables!$AB$3:$AC$12,2))</f>
        <v>0</v>
      </c>
      <c r="BU160" s="80">
        <f>IF(BB160="",0,VLOOKUP(BB160,Tables!$AB$3:$AC$12,2))</f>
        <v>0</v>
      </c>
      <c r="BV160" s="85">
        <f>IF(AN160="",0,VLOOKUP(B160,Tables!$B$3:$D$36,2,FALSE())*X$1)</f>
        <v>0</v>
      </c>
      <c r="BW160" s="72">
        <f>IF(AO160="",0,VLOOKUP(C160,Tables!$B$3:$D$36,2,FALSE())*Y$1)</f>
        <v>0</v>
      </c>
      <c r="BX160" s="72">
        <f>IF(AP160="",0,VLOOKUP(D160,Tables!$B$3:$D$36,2,FALSE())*Z$1)</f>
        <v>0</v>
      </c>
      <c r="BY160" s="85">
        <f>IF(AQ160="",0,VLOOKUP(E160,Tables!$B$3:$D$36,2,FALSE())*AA$1)</f>
        <v>3.5999999999999996</v>
      </c>
      <c r="BZ160" s="72">
        <f>IF(AR160="",0,VLOOKUP(F160,Tables!$B$3:$D$36,2,FALSE())*AB$1)</f>
        <v>7.1999999999999993</v>
      </c>
      <c r="CA160" s="72">
        <f>IF(AS160="",0,VLOOKUP(G160,Tables!$B$3:$D$36,2,FALSE())*AC$1)</f>
        <v>0</v>
      </c>
      <c r="CB160" s="72">
        <f>IF(AT160="",0,VLOOKUP(H160,Tables!$B$3:$D$36,2,FALSE())*AD$1)</f>
        <v>0</v>
      </c>
      <c r="CC160" s="72">
        <f>IF(AU160="",0,VLOOKUP(I160,Tables!$B$3:$D$36,2,FALSE())*AE$1)</f>
        <v>0</v>
      </c>
      <c r="CD160" s="85">
        <f>IF(AV160="",0,VLOOKUP(J160,Tables!$B$3:$D$36,2,FALSE())*AF$1)</f>
        <v>14.399999999999999</v>
      </c>
      <c r="CE160" s="72">
        <f>IF(AW160="",0,VLOOKUP(K160,Tables!$B$3:$D$36,2,FALSE())*AG$1)</f>
        <v>0</v>
      </c>
      <c r="CF160" s="72">
        <f>IF(AX160="",0,VLOOKUP(L160,Tables!$B$3:$D$36,2,FALSE())*AH$1)</f>
        <v>0</v>
      </c>
      <c r="CG160" s="85">
        <f>IF(AY160="",0,VLOOKUP(M160,Tables!$B$3:$D$36,2,FALSE())*AI$1)</f>
        <v>0</v>
      </c>
      <c r="CH160" s="72">
        <f>IF(AZ160="",0,VLOOKUP(N160,Tables!$B$3:$D$36,2,FALSE())*AJ$1)</f>
        <v>0</v>
      </c>
      <c r="CI160" s="72">
        <f>IF(BA160="",0,VLOOKUP(O160,Tables!$B$3:$D$36,2,FALSE())*AK$1)</f>
        <v>0</v>
      </c>
      <c r="CJ160" s="86">
        <f>IF(BB160="",0,VLOOKUP(P160,Tables!$B$3:$D$36,2,FALSE())*AL$1)</f>
        <v>0</v>
      </c>
      <c r="CK160" s="87">
        <f>IF(AN160="",0,VLOOKUP(B160,Tables!$B$3:$D$36,3,FALSE())*X$1)*IF(OR(AN160="K",AN160="P"),2,1)</f>
        <v>0</v>
      </c>
      <c r="CL160" s="73">
        <f>IF(AO160="",0,VLOOKUP(C160,Tables!$B$3:$D$36,3,FALSE())*Y$1)*IF(OR(AO160="K",AO160="P"),2,1)</f>
        <v>0</v>
      </c>
      <c r="CM160" s="73">
        <f>IF(AP160="",0,VLOOKUP(D160,Tables!$B$3:$D$36,3,FALSE())*Z$1)*IF(OR(AP160="K",AP160="P"),2,1)</f>
        <v>0</v>
      </c>
      <c r="CN160" s="87">
        <f>IF(AQ160="",0,VLOOKUP(E160,Tables!$B$3:$D$36,3,FALSE())*AA$1)</f>
        <v>7.4999999999999997E-2</v>
      </c>
      <c r="CO160" s="73">
        <f>IF(AR160="",0,VLOOKUP(F160,Tables!$B$3:$D$36,3,FALSE())*AB$1)</f>
        <v>0.15</v>
      </c>
      <c r="CP160" s="73">
        <f>IF(AS160="",0,VLOOKUP(G160,Tables!$B$3:$D$36,3,FALSE())*AC$1)</f>
        <v>0</v>
      </c>
      <c r="CQ160" s="73">
        <f>IF(AT160="",0,VLOOKUP(H160,Tables!$B$3:$D$36,3,FALSE())*AD$1)</f>
        <v>0</v>
      </c>
      <c r="CR160" s="73">
        <f>IF(AU160="",0,VLOOKUP(I160,Tables!$B$3:$D$36,3,FALSE())*AE$1)</f>
        <v>0</v>
      </c>
      <c r="CS160" s="87">
        <f>IF(AV160="",0,VLOOKUP(J160,Tables!$B$3:$D$36,3,FALSE())*AF$1)</f>
        <v>0.3</v>
      </c>
      <c r="CT160" s="73">
        <f>IF(AW160="",0,VLOOKUP(K160,Tables!$B$3:$D$36,3,FALSE())*AG$1)</f>
        <v>0</v>
      </c>
      <c r="CU160" s="73">
        <f>IF(AX160="",0,VLOOKUP(L160,Tables!$B$3:$D$36,3,FALSE())*AH$1)</f>
        <v>0</v>
      </c>
      <c r="CV160" s="87">
        <f>IF(AY160="",0,VLOOKUP(M160,Tables!$B$3:$D$36,3,FALSE())*AI$1)</f>
        <v>0</v>
      </c>
      <c r="CW160" s="73">
        <f>IF(AZ160="",0,VLOOKUP(N160,Tables!$B$3:$D$36,3,FALSE())*AJ$1)</f>
        <v>0</v>
      </c>
      <c r="CX160" s="73">
        <f>IF(BA160="",0,VLOOKUP(O160,Tables!$B$3:$D$36,3,FALSE())*AK$1)</f>
        <v>0</v>
      </c>
      <c r="CY160" s="88">
        <f>IF(BB160="",0,VLOOKUP(P160,Tables!$B$3:$D$36,3,FALSE())*AL$1)</f>
        <v>0</v>
      </c>
      <c r="CZ160" s="89">
        <f t="shared" si="152"/>
        <v>0</v>
      </c>
      <c r="DA160" s="75">
        <f t="shared" si="153"/>
        <v>0</v>
      </c>
      <c r="DB160" s="75">
        <f t="shared" si="154"/>
        <v>0</v>
      </c>
      <c r="DC160" s="89">
        <f t="shared" si="155"/>
        <v>1</v>
      </c>
      <c r="DD160" s="75">
        <f t="shared" si="156"/>
        <v>1</v>
      </c>
      <c r="DE160" s="75">
        <f t="shared" si="157"/>
        <v>0</v>
      </c>
      <c r="DF160" s="75">
        <f t="shared" si="158"/>
        <v>0</v>
      </c>
      <c r="DG160" s="75">
        <f t="shared" si="159"/>
        <v>0</v>
      </c>
      <c r="DH160" s="89">
        <f t="shared" si="160"/>
        <v>1</v>
      </c>
      <c r="DI160" s="75">
        <f t="shared" si="161"/>
        <v>0</v>
      </c>
      <c r="DJ160" s="75">
        <f t="shared" si="162"/>
        <v>0</v>
      </c>
      <c r="DK160" s="89">
        <f t="shared" si="163"/>
        <v>0</v>
      </c>
      <c r="DL160" s="75">
        <f t="shared" si="164"/>
        <v>0</v>
      </c>
      <c r="DM160" s="75">
        <f t="shared" si="165"/>
        <v>0</v>
      </c>
      <c r="DN160" s="90">
        <f t="shared" si="166"/>
        <v>0</v>
      </c>
      <c r="DO160" s="91">
        <f>IF(AN160="",0,VLOOKUP(B160,Tables!$B$3:$M$36,11,FALSE())*X$1)</f>
        <v>0</v>
      </c>
      <c r="DP160" s="92">
        <f>IF(AO160="",0,VLOOKUP(C160,Tables!$B$3:$M$36,11,FALSE())*Y$1)</f>
        <v>0</v>
      </c>
      <c r="DQ160" s="92">
        <f>IF(AP160="",0,VLOOKUP(D160,Tables!$B$3:$M$36,11,FALSE())*Z$1)</f>
        <v>0</v>
      </c>
      <c r="DR160" s="91">
        <f>IF(AQ160="",0,VLOOKUP(E160,Tables!$B$3:$M$36,11,FALSE())*AA$1)</f>
        <v>0.6</v>
      </c>
      <c r="DS160" s="92">
        <f>IF(AR160="",0,VLOOKUP(F160,Tables!$B$3:$M$36,11,FALSE())*AB$1)</f>
        <v>1.2</v>
      </c>
      <c r="DT160" s="92">
        <f>IF(AS160="",0,VLOOKUP(G160,Tables!$B$3:$M$36,11,FALSE())*AC$1)</f>
        <v>0</v>
      </c>
      <c r="DU160" s="92">
        <f>IF(AT160="",0,VLOOKUP(H160,Tables!$B$3:$M$36,11,FALSE())*AD$1)</f>
        <v>0</v>
      </c>
      <c r="DV160" s="92">
        <f>IF(AU160="",0,VLOOKUP(I160,Tables!$B$3:$M$36,11,FALSE())*AE$1)</f>
        <v>0</v>
      </c>
      <c r="DW160" s="91">
        <f>IF(AV160="",0,VLOOKUP(J160,Tables!$B$3:$M$36,11,FALSE())*AF$1)</f>
        <v>2.4</v>
      </c>
      <c r="DX160" s="92">
        <f>IF(AW160="",0,VLOOKUP(K160,Tables!$B$3:$M$36,11,FALSE())*AG$1)</f>
        <v>0</v>
      </c>
      <c r="DY160" s="92">
        <f>IF(AX160="",0,VLOOKUP(L160,Tables!$B$3:$M$36,11,FALSE())*AH$1)</f>
        <v>0</v>
      </c>
      <c r="DZ160" s="91">
        <f>IF(AY160="",0,VLOOKUP(M160,Tables!$B$3:$M$36,11,FALSE())*AI$1)</f>
        <v>0</v>
      </c>
      <c r="EA160" s="92">
        <f>IF(AZ160="",0,VLOOKUP(N160,Tables!$B$3:$M$36,11,FALSE())*AJ$1)</f>
        <v>0</v>
      </c>
      <c r="EB160" s="92">
        <f>IF(BA160="",0,VLOOKUP(O160,Tables!$B$3:$M$36,11,FALSE())*AK$1)</f>
        <v>0</v>
      </c>
      <c r="EC160" s="93">
        <f>IF(BB160="",0,VLOOKUP(P160,Tables!$B$3:$M$36,11,FALSE())*AL$1)</f>
        <v>0</v>
      </c>
      <c r="ED160" s="91">
        <f>IF(AN160="",0,VLOOKUP(B160,Tables!$B$3:$M$36,12,FALSE())*X$1)</f>
        <v>0</v>
      </c>
      <c r="EE160" s="92">
        <f>IF(AO160="",0,VLOOKUP(C160,Tables!$B$3:$M$36,12,FALSE())*Y$1)</f>
        <v>0</v>
      </c>
      <c r="EF160" s="92">
        <f>IF(AP160="",0,VLOOKUP(D160,Tables!$B$3:$M$36,12,FALSE())*Z$1)</f>
        <v>0</v>
      </c>
      <c r="EG160" s="91">
        <f>IF(AQ160="",0,VLOOKUP(E160,Tables!$B$3:$M$36,12,FALSE())*AA$1)</f>
        <v>2.6999999999999997</v>
      </c>
      <c r="EH160" s="92">
        <f>IF(AR160="",0,VLOOKUP(F160,Tables!$B$3:$M$36,12,FALSE())*AB$1)</f>
        <v>5.3999999999999995</v>
      </c>
      <c r="EI160" s="92">
        <f>IF(AS160="",0,VLOOKUP(G160,Tables!$B$3:$M$36,12,FALSE())*AC$1)</f>
        <v>0</v>
      </c>
      <c r="EJ160" s="92">
        <f>IF(AT160="",0,VLOOKUP(H160,Tables!$B$3:$M$36,12,FALSE())*AD$1)</f>
        <v>0</v>
      </c>
      <c r="EK160" s="92">
        <f>IF(AU160="",0,VLOOKUP(I160,Tables!$B$3:$M$36,12,FALSE())*AE$1)</f>
        <v>0</v>
      </c>
      <c r="EL160" s="91">
        <f>IF(AV160="",0,VLOOKUP(J160,Tables!$B$3:$M$36,12,FALSE())*AF$1)</f>
        <v>10.799999999999999</v>
      </c>
      <c r="EM160" s="92">
        <f>IF(AW160="",0,VLOOKUP(K160,Tables!$B$3:$M$36,12,FALSE())*AG$1)</f>
        <v>0</v>
      </c>
      <c r="EN160" s="92">
        <f>IF(AX160="",0,VLOOKUP(L160,Tables!$B$3:$M$36,12,FALSE())*AH$1)</f>
        <v>0</v>
      </c>
      <c r="EO160" s="91">
        <f>IF(AY160="",0,VLOOKUP(M160,Tables!$B$3:$M$36,12,FALSE())*AI$1)</f>
        <v>0</v>
      </c>
      <c r="EP160" s="92">
        <f>IF(AZ160="",0,VLOOKUP(N160,Tables!$B$3:$M$36,12,FALSE())*AJ$1)</f>
        <v>0</v>
      </c>
      <c r="EQ160" s="92">
        <f>IF(BA160="",0,VLOOKUP(O160,Tables!$B$3:$M$36,12,FALSE())*AK$1)</f>
        <v>0</v>
      </c>
      <c r="ER160" s="93">
        <f>IF(BB160="",0,VLOOKUP(P160,Tables!$B$3:$M$36,12,FALSE())*AL$1)</f>
        <v>0</v>
      </c>
      <c r="ES160" s="94">
        <f t="shared" si="167"/>
        <v>0</v>
      </c>
      <c r="ET160" s="95">
        <f>IF(AN160="",10,MIN(VLOOKUP(B160,MATERIAL,13,FALSE()),'Item Builder'!$W160))</f>
        <v>10</v>
      </c>
      <c r="EU160" s="95">
        <f>IF(AO160="",10,MIN(VLOOKUP(C160,MATERIAL,13,FALSE()),'Item Builder'!$W160))</f>
        <v>10</v>
      </c>
      <c r="EV160" s="95">
        <f>IF(AP160="",10,MIN(VLOOKUP(D160,MATERIAL,13,FALSE()),'Item Builder'!$W160))</f>
        <v>10</v>
      </c>
      <c r="EW160" s="95">
        <f>IF(AQ160="",10,MIN(VLOOKUP(E160,MATERIAL,13,FALSE()),'Item Builder'!$W160))</f>
        <v>0</v>
      </c>
      <c r="EX160" s="95">
        <f>IF(AR160="",10,MIN(VLOOKUP(F160,MATERIAL,13,FALSE()),'Item Builder'!$W160))</f>
        <v>0</v>
      </c>
      <c r="EY160" s="95">
        <f>IF(AS160="",10,MIN(VLOOKUP(G160,MATERIAL,13,FALSE()),'Item Builder'!$W160))</f>
        <v>10</v>
      </c>
      <c r="EZ160" s="95">
        <f>IF(AT160="",10,MIN(VLOOKUP(H160,MATERIAL,13,FALSE()),'Item Builder'!$W160))</f>
        <v>10</v>
      </c>
      <c r="FA160" s="95">
        <f>IF(AU160="",10,MIN(VLOOKUP(I160,MATERIAL,13,FALSE()),'Item Builder'!$W160))</f>
        <v>10</v>
      </c>
      <c r="FB160" s="95">
        <f>IF(AV160="",10,MIN(VLOOKUP(J160,MATERIAL,13,FALSE()),'Item Builder'!$W160))</f>
        <v>0</v>
      </c>
      <c r="FC160" s="95">
        <f>IF(AW160="",10,MIN(VLOOKUP(K160,MATERIAL,13,FALSE()),'Item Builder'!$W160))</f>
        <v>10</v>
      </c>
      <c r="FD160" s="95">
        <f>IF(AX160="",10,MIN(VLOOKUP(L160,MATERIAL,13,FALSE()),'Item Builder'!$W160))</f>
        <v>10</v>
      </c>
      <c r="FE160" s="95">
        <f>IF(AY160="",10,MIN(VLOOKUP(M160,MATERIAL,13,FALSE()),'Item Builder'!$W160))</f>
        <v>10</v>
      </c>
      <c r="FF160" s="95">
        <f>IF(AZ160="",10,MIN(VLOOKUP(N160,MATERIAL,13,FALSE()),'Item Builder'!$W160))</f>
        <v>10</v>
      </c>
      <c r="FG160" s="95">
        <f>IF(BA160="",10,MIN(VLOOKUP(O160,MATERIAL,13,FALSE()),'Item Builder'!$W160))</f>
        <v>10</v>
      </c>
      <c r="FH160" s="95">
        <f>IF(BB160="",10,MIN(VLOOKUP(P160,MATERIAL,13,FALSE()),'Item Builder'!$W160))</f>
        <v>10</v>
      </c>
    </row>
    <row r="161" spans="1:164" x14ac:dyDescent="0.25">
      <c r="A161" s="67" t="s">
        <v>301</v>
      </c>
      <c r="B161" s="68"/>
      <c r="C161" s="69"/>
      <c r="D161" s="70"/>
      <c r="E161" s="68"/>
      <c r="F161" s="69"/>
      <c r="G161" s="69"/>
      <c r="H161" s="69"/>
      <c r="I161" s="70" t="s">
        <v>171</v>
      </c>
      <c r="J161" s="68"/>
      <c r="K161" s="69"/>
      <c r="L161" s="70"/>
      <c r="M161" s="68"/>
      <c r="N161" s="69"/>
      <c r="O161" s="69"/>
      <c r="P161" s="71"/>
      <c r="Q161" s="72">
        <f>SUM(BV161:CJ161)*VLOOKUP(W161,Tables!$W$3:$Z$8,4)</f>
        <v>6</v>
      </c>
      <c r="R161" s="73">
        <f t="shared" si="112"/>
        <v>0.125</v>
      </c>
      <c r="S161" s="74">
        <f t="shared" si="113"/>
        <v>0</v>
      </c>
      <c r="T161" s="74">
        <f t="shared" si="114"/>
        <v>0</v>
      </c>
      <c r="U161" s="75">
        <f t="shared" si="115"/>
        <v>1</v>
      </c>
      <c r="V161" s="76">
        <f t="shared" si="116"/>
        <v>4.5</v>
      </c>
      <c r="W161" s="77">
        <v>0</v>
      </c>
      <c r="X161" s="78">
        <f t="shared" si="117"/>
        <v>0</v>
      </c>
      <c r="Y161" s="79">
        <f t="shared" si="118"/>
        <v>0</v>
      </c>
      <c r="Z161" s="79">
        <f t="shared" si="119"/>
        <v>0</v>
      </c>
      <c r="AA161" s="78">
        <f t="shared" si="120"/>
        <v>0</v>
      </c>
      <c r="AB161" s="79">
        <f t="shared" si="121"/>
        <v>0</v>
      </c>
      <c r="AC161" s="79">
        <f t="shared" si="122"/>
        <v>0</v>
      </c>
      <c r="AD161" s="79">
        <f t="shared" si="123"/>
        <v>0</v>
      </c>
      <c r="AE161" s="79">
        <f t="shared" si="124"/>
        <v>1</v>
      </c>
      <c r="AF161" s="78">
        <f t="shared" si="125"/>
        <v>0</v>
      </c>
      <c r="AG161" s="79">
        <f t="shared" si="126"/>
        <v>0</v>
      </c>
      <c r="AH161" s="79">
        <f t="shared" si="127"/>
        <v>0</v>
      </c>
      <c r="AI161" s="78">
        <f t="shared" si="128"/>
        <v>0</v>
      </c>
      <c r="AJ161" s="79">
        <f t="shared" si="129"/>
        <v>0</v>
      </c>
      <c r="AK161" s="79">
        <f t="shared" si="130"/>
        <v>0</v>
      </c>
      <c r="AL161" s="80">
        <f t="shared" si="131"/>
        <v>0</v>
      </c>
      <c r="AM161" s="81">
        <f t="shared" si="132"/>
        <v>0.05</v>
      </c>
      <c r="AN161" s="82" t="str">
        <f t="shared" si="133"/>
        <v/>
      </c>
      <c r="AO161" s="79" t="str">
        <f t="shared" si="134"/>
        <v/>
      </c>
      <c r="AP161" t="str">
        <f t="shared" si="135"/>
        <v/>
      </c>
      <c r="AQ161" s="82" t="str">
        <f t="shared" si="136"/>
        <v/>
      </c>
      <c r="AR161" t="str">
        <f t="shared" si="137"/>
        <v/>
      </c>
      <c r="AS161" t="str">
        <f t="shared" si="138"/>
        <v/>
      </c>
      <c r="AT161" t="str">
        <f t="shared" si="139"/>
        <v/>
      </c>
      <c r="AU161" t="str">
        <f t="shared" si="140"/>
        <v>X</v>
      </c>
      <c r="AV161" s="82" t="str">
        <f t="shared" si="141"/>
        <v/>
      </c>
      <c r="AW161" t="str">
        <f t="shared" si="142"/>
        <v/>
      </c>
      <c r="AX161" t="str">
        <f t="shared" si="143"/>
        <v/>
      </c>
      <c r="AY161" s="82" t="str">
        <f t="shared" si="144"/>
        <v/>
      </c>
      <c r="AZ161" t="str">
        <f t="shared" si="145"/>
        <v/>
      </c>
      <c r="BA161" t="str">
        <f t="shared" si="146"/>
        <v/>
      </c>
      <c r="BB161" s="83" t="str">
        <f t="shared" si="147"/>
        <v/>
      </c>
      <c r="BC161" s="84">
        <f t="shared" si="148"/>
        <v>0</v>
      </c>
      <c r="BD161" s="84">
        <f t="shared" si="149"/>
        <v>0.23809523809523808</v>
      </c>
      <c r="BE161" s="84">
        <f t="shared" si="150"/>
        <v>0</v>
      </c>
      <c r="BF161" s="84">
        <f t="shared" si="151"/>
        <v>0</v>
      </c>
      <c r="BG161" s="78">
        <f>IF(AN161="",0,VLOOKUP(AN161,Tables!$AB$3:$AC$12,2))</f>
        <v>0</v>
      </c>
      <c r="BH161" s="79">
        <f>IF(AO161="",0,VLOOKUP(AO161,Tables!$AB$3:$AC$12,2))</f>
        <v>0</v>
      </c>
      <c r="BI161" s="79">
        <f>IF(AP161="",0,VLOOKUP(AP161,Tables!$AB$3:$AC$12,2))</f>
        <v>0</v>
      </c>
      <c r="BJ161" s="78">
        <f>IF(AQ161="",0,VLOOKUP(AQ161,Tables!$AB$3:$AC$12,2))</f>
        <v>0</v>
      </c>
      <c r="BK161" s="79">
        <f>IF(AR161="",0,VLOOKUP(AR161,Tables!$AB$3:$AC$12,2))</f>
        <v>0</v>
      </c>
      <c r="BL161" s="79">
        <f>IF(AS161="",0,VLOOKUP(AS161,Tables!$AB$3:$AC$12,2))</f>
        <v>0</v>
      </c>
      <c r="BM161" s="79">
        <f>IF(AT161="",0,VLOOKUP(AT161,Tables!$AB$3:$AC$12,2))</f>
        <v>0</v>
      </c>
      <c r="BN161" s="79">
        <f>IF(AU161="",0,VLOOKUP(AU161,Tables!$AB$3:$AC$12,2))</f>
        <v>1</v>
      </c>
      <c r="BO161" s="78">
        <f>IF(AV161="",0,VLOOKUP(AV161,Tables!$AB$3:$AC$12,2))</f>
        <v>0</v>
      </c>
      <c r="BP161" s="79">
        <f>IF(AW161="",0,VLOOKUP(AW161,Tables!$AB$3:$AC$12,2))</f>
        <v>0</v>
      </c>
      <c r="BQ161" s="79">
        <f>IF(AX161="",0,VLOOKUP(AX161,Tables!$AB$3:$AC$12,2))</f>
        <v>0</v>
      </c>
      <c r="BR161" s="78">
        <f>IF(AY161="",0,VLOOKUP(AY161,Tables!$AB$3:$AC$12,2))</f>
        <v>0</v>
      </c>
      <c r="BS161" s="79">
        <f>IF(AZ161="",0,VLOOKUP(AZ161,Tables!$AB$3:$AC$12,2))</f>
        <v>0</v>
      </c>
      <c r="BT161" s="79">
        <f>IF(BA161="",0,VLOOKUP(BA161,Tables!$AB$3:$AC$12,2))</f>
        <v>0</v>
      </c>
      <c r="BU161" s="80">
        <f>IF(BB161="",0,VLOOKUP(BB161,Tables!$AB$3:$AC$12,2))</f>
        <v>0</v>
      </c>
      <c r="BV161" s="85">
        <f>IF(AN161="",0,VLOOKUP(B161,Tables!$B$3:$D$36,2,FALSE())*X$1)</f>
        <v>0</v>
      </c>
      <c r="BW161" s="72">
        <f>IF(AO161="",0,VLOOKUP(C161,Tables!$B$3:$D$36,2,FALSE())*Y$1)</f>
        <v>0</v>
      </c>
      <c r="BX161" s="72">
        <f>IF(AP161="",0,VLOOKUP(D161,Tables!$B$3:$D$36,2,FALSE())*Z$1)</f>
        <v>0</v>
      </c>
      <c r="BY161" s="85">
        <f>IF(AQ161="",0,VLOOKUP(E161,Tables!$B$3:$D$36,2,FALSE())*AA$1)</f>
        <v>0</v>
      </c>
      <c r="BZ161" s="72">
        <f>IF(AR161="",0,VLOOKUP(F161,Tables!$B$3:$D$36,2,FALSE())*AB$1)</f>
        <v>0</v>
      </c>
      <c r="CA161" s="72">
        <f>IF(AS161="",0,VLOOKUP(G161,Tables!$B$3:$D$36,2,FALSE())*AC$1)</f>
        <v>0</v>
      </c>
      <c r="CB161" s="72">
        <f>IF(AT161="",0,VLOOKUP(H161,Tables!$B$3:$D$36,2,FALSE())*AD$1)</f>
        <v>0</v>
      </c>
      <c r="CC161" s="72">
        <f>IF(AU161="",0,VLOOKUP(I161,Tables!$B$3:$D$36,2,FALSE())*AE$1)</f>
        <v>6</v>
      </c>
      <c r="CD161" s="85">
        <f>IF(AV161="",0,VLOOKUP(J161,Tables!$B$3:$D$36,2,FALSE())*AF$1)</f>
        <v>0</v>
      </c>
      <c r="CE161" s="72">
        <f>IF(AW161="",0,VLOOKUP(K161,Tables!$B$3:$D$36,2,FALSE())*AG$1)</f>
        <v>0</v>
      </c>
      <c r="CF161" s="72">
        <f>IF(AX161="",0,VLOOKUP(L161,Tables!$B$3:$D$36,2,FALSE())*AH$1)</f>
        <v>0</v>
      </c>
      <c r="CG161" s="85">
        <f>IF(AY161="",0,VLOOKUP(M161,Tables!$B$3:$D$36,2,FALSE())*AI$1)</f>
        <v>0</v>
      </c>
      <c r="CH161" s="72">
        <f>IF(AZ161="",0,VLOOKUP(N161,Tables!$B$3:$D$36,2,FALSE())*AJ$1)</f>
        <v>0</v>
      </c>
      <c r="CI161" s="72">
        <f>IF(BA161="",0,VLOOKUP(O161,Tables!$B$3:$D$36,2,FALSE())*AK$1)</f>
        <v>0</v>
      </c>
      <c r="CJ161" s="86">
        <f>IF(BB161="",0,VLOOKUP(P161,Tables!$B$3:$D$36,2,FALSE())*AL$1)</f>
        <v>0</v>
      </c>
      <c r="CK161" s="87">
        <f>IF(AN161="",0,VLOOKUP(B161,Tables!$B$3:$D$36,3,FALSE())*X$1)*IF(OR(AN161="K",AN161="P"),2,1)</f>
        <v>0</v>
      </c>
      <c r="CL161" s="73">
        <f>IF(AO161="",0,VLOOKUP(C161,Tables!$B$3:$D$36,3,FALSE())*Y$1)*IF(OR(AO161="K",AO161="P"),2,1)</f>
        <v>0</v>
      </c>
      <c r="CM161" s="73">
        <f>IF(AP161="",0,VLOOKUP(D161,Tables!$B$3:$D$36,3,FALSE())*Z$1)*IF(OR(AP161="K",AP161="P"),2,1)</f>
        <v>0</v>
      </c>
      <c r="CN161" s="87">
        <f>IF(AQ161="",0,VLOOKUP(E161,Tables!$B$3:$D$36,3,FALSE())*AA$1)</f>
        <v>0</v>
      </c>
      <c r="CO161" s="73">
        <f>IF(AR161="",0,VLOOKUP(F161,Tables!$B$3:$D$36,3,FALSE())*AB$1)</f>
        <v>0</v>
      </c>
      <c r="CP161" s="73">
        <f>IF(AS161="",0,VLOOKUP(G161,Tables!$B$3:$D$36,3,FALSE())*AC$1)</f>
        <v>0</v>
      </c>
      <c r="CQ161" s="73">
        <f>IF(AT161="",0,VLOOKUP(H161,Tables!$B$3:$D$36,3,FALSE())*AD$1)</f>
        <v>0</v>
      </c>
      <c r="CR161" s="73">
        <f>IF(AU161="",0,VLOOKUP(I161,Tables!$B$3:$D$36,3,FALSE())*AE$1)</f>
        <v>0.125</v>
      </c>
      <c r="CS161" s="87">
        <f>IF(AV161="",0,VLOOKUP(J161,Tables!$B$3:$D$36,3,FALSE())*AF$1)</f>
        <v>0</v>
      </c>
      <c r="CT161" s="73">
        <f>IF(AW161="",0,VLOOKUP(K161,Tables!$B$3:$D$36,3,FALSE())*AG$1)</f>
        <v>0</v>
      </c>
      <c r="CU161" s="73">
        <f>IF(AX161="",0,VLOOKUP(L161,Tables!$B$3:$D$36,3,FALSE())*AH$1)</f>
        <v>0</v>
      </c>
      <c r="CV161" s="87">
        <f>IF(AY161="",0,VLOOKUP(M161,Tables!$B$3:$D$36,3,FALSE())*AI$1)</f>
        <v>0</v>
      </c>
      <c r="CW161" s="73">
        <f>IF(AZ161="",0,VLOOKUP(N161,Tables!$B$3:$D$36,3,FALSE())*AJ$1)</f>
        <v>0</v>
      </c>
      <c r="CX161" s="73">
        <f>IF(BA161="",0,VLOOKUP(O161,Tables!$B$3:$D$36,3,FALSE())*AK$1)</f>
        <v>0</v>
      </c>
      <c r="CY161" s="88">
        <f>IF(BB161="",0,VLOOKUP(P161,Tables!$B$3:$D$36,3,FALSE())*AL$1)</f>
        <v>0</v>
      </c>
      <c r="CZ161" s="89">
        <f t="shared" si="152"/>
        <v>0</v>
      </c>
      <c r="DA161" s="75">
        <f t="shared" si="153"/>
        <v>0</v>
      </c>
      <c r="DB161" s="75">
        <f t="shared" si="154"/>
        <v>0</v>
      </c>
      <c r="DC161" s="89">
        <f t="shared" si="155"/>
        <v>0</v>
      </c>
      <c r="DD161" s="75">
        <f t="shared" si="156"/>
        <v>0</v>
      </c>
      <c r="DE161" s="75">
        <f t="shared" si="157"/>
        <v>0</v>
      </c>
      <c r="DF161" s="75">
        <f t="shared" si="158"/>
        <v>0</v>
      </c>
      <c r="DG161" s="75">
        <f t="shared" si="159"/>
        <v>1</v>
      </c>
      <c r="DH161" s="89">
        <f t="shared" si="160"/>
        <v>0</v>
      </c>
      <c r="DI161" s="75">
        <f t="shared" si="161"/>
        <v>0</v>
      </c>
      <c r="DJ161" s="75">
        <f t="shared" si="162"/>
        <v>0</v>
      </c>
      <c r="DK161" s="89">
        <f t="shared" si="163"/>
        <v>0</v>
      </c>
      <c r="DL161" s="75">
        <f t="shared" si="164"/>
        <v>0</v>
      </c>
      <c r="DM161" s="75">
        <f t="shared" si="165"/>
        <v>0</v>
      </c>
      <c r="DN161" s="90">
        <f t="shared" si="166"/>
        <v>0</v>
      </c>
      <c r="DO161" s="91">
        <f>IF(AN161="",0,VLOOKUP(B161,Tables!$B$3:$M$36,11,FALSE())*X$1)</f>
        <v>0</v>
      </c>
      <c r="DP161" s="92">
        <f>IF(AO161="",0,VLOOKUP(C161,Tables!$B$3:$M$36,11,FALSE())*Y$1)</f>
        <v>0</v>
      </c>
      <c r="DQ161" s="92">
        <f>IF(AP161="",0,VLOOKUP(D161,Tables!$B$3:$M$36,11,FALSE())*Z$1)</f>
        <v>0</v>
      </c>
      <c r="DR161" s="91">
        <f>IF(AQ161="",0,VLOOKUP(E161,Tables!$B$3:$M$36,11,FALSE())*AA$1)</f>
        <v>0</v>
      </c>
      <c r="DS161" s="92">
        <f>IF(AR161="",0,VLOOKUP(F161,Tables!$B$3:$M$36,11,FALSE())*AB$1)</f>
        <v>0</v>
      </c>
      <c r="DT161" s="92">
        <f>IF(AS161="",0,VLOOKUP(G161,Tables!$B$3:$M$36,11,FALSE())*AC$1)</f>
        <v>0</v>
      </c>
      <c r="DU161" s="92">
        <f>IF(AT161="",0,VLOOKUP(H161,Tables!$B$3:$M$36,11,FALSE())*AD$1)</f>
        <v>0</v>
      </c>
      <c r="DV161" s="92">
        <f>IF(AU161="",0,VLOOKUP(I161,Tables!$B$3:$M$36,11,FALSE())*AE$1)</f>
        <v>1</v>
      </c>
      <c r="DW161" s="91">
        <f>IF(AV161="",0,VLOOKUP(J161,Tables!$B$3:$M$36,11,FALSE())*AF$1)</f>
        <v>0</v>
      </c>
      <c r="DX161" s="92">
        <f>IF(AW161="",0,VLOOKUP(K161,Tables!$B$3:$M$36,11,FALSE())*AG$1)</f>
        <v>0</v>
      </c>
      <c r="DY161" s="92">
        <f>IF(AX161="",0,VLOOKUP(L161,Tables!$B$3:$M$36,11,FALSE())*AH$1)</f>
        <v>0</v>
      </c>
      <c r="DZ161" s="91">
        <f>IF(AY161="",0,VLOOKUP(M161,Tables!$B$3:$M$36,11,FALSE())*AI$1)</f>
        <v>0</v>
      </c>
      <c r="EA161" s="92">
        <f>IF(AZ161="",0,VLOOKUP(N161,Tables!$B$3:$M$36,11,FALSE())*AJ$1)</f>
        <v>0</v>
      </c>
      <c r="EB161" s="92">
        <f>IF(BA161="",0,VLOOKUP(O161,Tables!$B$3:$M$36,11,FALSE())*AK$1)</f>
        <v>0</v>
      </c>
      <c r="EC161" s="93">
        <f>IF(BB161="",0,VLOOKUP(P161,Tables!$B$3:$M$36,11,FALSE())*AL$1)</f>
        <v>0</v>
      </c>
      <c r="ED161" s="91">
        <f>IF(AN161="",0,VLOOKUP(B161,Tables!$B$3:$M$36,12,FALSE())*X$1)</f>
        <v>0</v>
      </c>
      <c r="EE161" s="92">
        <f>IF(AO161="",0,VLOOKUP(C161,Tables!$B$3:$M$36,12,FALSE())*Y$1)</f>
        <v>0</v>
      </c>
      <c r="EF161" s="92">
        <f>IF(AP161="",0,VLOOKUP(D161,Tables!$B$3:$M$36,12,FALSE())*Z$1)</f>
        <v>0</v>
      </c>
      <c r="EG161" s="91">
        <f>IF(AQ161="",0,VLOOKUP(E161,Tables!$B$3:$M$36,12,FALSE())*AA$1)</f>
        <v>0</v>
      </c>
      <c r="EH161" s="92">
        <f>IF(AR161="",0,VLOOKUP(F161,Tables!$B$3:$M$36,12,FALSE())*AB$1)</f>
        <v>0</v>
      </c>
      <c r="EI161" s="92">
        <f>IF(AS161="",0,VLOOKUP(G161,Tables!$B$3:$M$36,12,FALSE())*AC$1)</f>
        <v>0</v>
      </c>
      <c r="EJ161" s="92">
        <f>IF(AT161="",0,VLOOKUP(H161,Tables!$B$3:$M$36,12,FALSE())*AD$1)</f>
        <v>0</v>
      </c>
      <c r="EK161" s="92">
        <f>IF(AU161="",0,VLOOKUP(I161,Tables!$B$3:$M$36,12,FALSE())*AE$1)</f>
        <v>4.5</v>
      </c>
      <c r="EL161" s="91">
        <f>IF(AV161="",0,VLOOKUP(J161,Tables!$B$3:$M$36,12,FALSE())*AF$1)</f>
        <v>0</v>
      </c>
      <c r="EM161" s="92">
        <f>IF(AW161="",0,VLOOKUP(K161,Tables!$B$3:$M$36,12,FALSE())*AG$1)</f>
        <v>0</v>
      </c>
      <c r="EN161" s="92">
        <f>IF(AX161="",0,VLOOKUP(L161,Tables!$B$3:$M$36,12,FALSE())*AH$1)</f>
        <v>0</v>
      </c>
      <c r="EO161" s="91">
        <f>IF(AY161="",0,VLOOKUP(M161,Tables!$B$3:$M$36,12,FALSE())*AI$1)</f>
        <v>0</v>
      </c>
      <c r="EP161" s="92">
        <f>IF(AZ161="",0,VLOOKUP(N161,Tables!$B$3:$M$36,12,FALSE())*AJ$1)</f>
        <v>0</v>
      </c>
      <c r="EQ161" s="92">
        <f>IF(BA161="",0,VLOOKUP(O161,Tables!$B$3:$M$36,12,FALSE())*AK$1)</f>
        <v>0</v>
      </c>
      <c r="ER161" s="93">
        <f>IF(BB161="",0,VLOOKUP(P161,Tables!$B$3:$M$36,12,FALSE())*AL$1)</f>
        <v>0</v>
      </c>
      <c r="ES161" s="94">
        <f t="shared" si="167"/>
        <v>0</v>
      </c>
      <c r="ET161" s="95">
        <f>IF(AN161="",10,MIN(VLOOKUP(B161,MATERIAL,13,FALSE()),'Item Builder'!$W161))</f>
        <v>10</v>
      </c>
      <c r="EU161" s="95">
        <f>IF(AO161="",10,MIN(VLOOKUP(C161,MATERIAL,13,FALSE()),'Item Builder'!$W161))</f>
        <v>10</v>
      </c>
      <c r="EV161" s="95">
        <f>IF(AP161="",10,MIN(VLOOKUP(D161,MATERIAL,13,FALSE()),'Item Builder'!$W161))</f>
        <v>10</v>
      </c>
      <c r="EW161" s="95">
        <f>IF(AQ161="",10,MIN(VLOOKUP(E161,MATERIAL,13,FALSE()),'Item Builder'!$W161))</f>
        <v>10</v>
      </c>
      <c r="EX161" s="95">
        <f>IF(AR161="",10,MIN(VLOOKUP(F161,MATERIAL,13,FALSE()),'Item Builder'!$W161))</f>
        <v>10</v>
      </c>
      <c r="EY161" s="95">
        <f>IF(AS161="",10,MIN(VLOOKUP(G161,MATERIAL,13,FALSE()),'Item Builder'!$W161))</f>
        <v>10</v>
      </c>
      <c r="EZ161" s="95">
        <f>IF(AT161="",10,MIN(VLOOKUP(H161,MATERIAL,13,FALSE()),'Item Builder'!$W161))</f>
        <v>10</v>
      </c>
      <c r="FA161" s="95">
        <f>IF(AU161="",10,MIN(VLOOKUP(I161,MATERIAL,13,FALSE()),'Item Builder'!$W161))</f>
        <v>0</v>
      </c>
      <c r="FB161" s="95">
        <f>IF(AV161="",10,MIN(VLOOKUP(J161,MATERIAL,13,FALSE()),'Item Builder'!$W161))</f>
        <v>10</v>
      </c>
      <c r="FC161" s="95">
        <f>IF(AW161="",10,MIN(VLOOKUP(K161,MATERIAL,13,FALSE()),'Item Builder'!$W161))</f>
        <v>10</v>
      </c>
      <c r="FD161" s="95">
        <f>IF(AX161="",10,MIN(VLOOKUP(L161,MATERIAL,13,FALSE()),'Item Builder'!$W161))</f>
        <v>10</v>
      </c>
      <c r="FE161" s="95">
        <f>IF(AY161="",10,MIN(VLOOKUP(M161,MATERIAL,13,FALSE()),'Item Builder'!$W161))</f>
        <v>10</v>
      </c>
      <c r="FF161" s="95">
        <f>IF(AZ161="",10,MIN(VLOOKUP(N161,MATERIAL,13,FALSE()),'Item Builder'!$W161))</f>
        <v>10</v>
      </c>
      <c r="FG161" s="95">
        <f>IF(BA161="",10,MIN(VLOOKUP(O161,MATERIAL,13,FALSE()),'Item Builder'!$W161))</f>
        <v>10</v>
      </c>
      <c r="FH161" s="95">
        <f>IF(BB161="",10,MIN(VLOOKUP(P161,MATERIAL,13,FALSE()),'Item Builder'!$W161))</f>
        <v>10</v>
      </c>
    </row>
    <row r="162" spans="1:164" x14ac:dyDescent="0.25">
      <c r="A162" s="67" t="s">
        <v>302</v>
      </c>
      <c r="B162" s="68"/>
      <c r="C162" s="69"/>
      <c r="D162" s="70"/>
      <c r="E162" s="68"/>
      <c r="F162" s="69"/>
      <c r="G162" s="69"/>
      <c r="H162" s="69"/>
      <c r="I162" s="70"/>
      <c r="J162" s="68" t="s">
        <v>171</v>
      </c>
      <c r="K162" s="69" t="s">
        <v>171</v>
      </c>
      <c r="L162" s="70"/>
      <c r="M162" s="68"/>
      <c r="N162" s="69"/>
      <c r="O162" s="69"/>
      <c r="P162" s="71"/>
      <c r="Q162" s="72">
        <f>SUM(BV162:CJ162)*VLOOKUP(W162,Tables!$W$3:$Z$8,4)</f>
        <v>28.799999999999997</v>
      </c>
      <c r="R162" s="73">
        <f t="shared" si="112"/>
        <v>0.6</v>
      </c>
      <c r="S162" s="74">
        <f t="shared" si="113"/>
        <v>0</v>
      </c>
      <c r="T162" s="74">
        <f t="shared" si="114"/>
        <v>0</v>
      </c>
      <c r="U162" s="75">
        <f t="shared" si="115"/>
        <v>4.8</v>
      </c>
      <c r="V162" s="76">
        <f t="shared" si="116"/>
        <v>21.599999999999998</v>
      </c>
      <c r="W162" s="77">
        <v>0</v>
      </c>
      <c r="X162" s="78">
        <f t="shared" si="117"/>
        <v>0</v>
      </c>
      <c r="Y162" s="79">
        <f t="shared" si="118"/>
        <v>0</v>
      </c>
      <c r="Z162" s="79">
        <f t="shared" si="119"/>
        <v>0</v>
      </c>
      <c r="AA162" s="78">
        <f t="shared" si="120"/>
        <v>0</v>
      </c>
      <c r="AB162" s="79">
        <f t="shared" si="121"/>
        <v>0</v>
      </c>
      <c r="AC162" s="79">
        <f t="shared" si="122"/>
        <v>0</v>
      </c>
      <c r="AD162" s="79">
        <f t="shared" si="123"/>
        <v>0</v>
      </c>
      <c r="AE162" s="79">
        <f t="shared" si="124"/>
        <v>0</v>
      </c>
      <c r="AF162" s="78">
        <f t="shared" si="125"/>
        <v>1</v>
      </c>
      <c r="AG162" s="79">
        <f t="shared" si="126"/>
        <v>1</v>
      </c>
      <c r="AH162" s="79">
        <f t="shared" si="127"/>
        <v>0</v>
      </c>
      <c r="AI162" s="78">
        <f t="shared" si="128"/>
        <v>0</v>
      </c>
      <c r="AJ162" s="79">
        <f t="shared" si="129"/>
        <v>0</v>
      </c>
      <c r="AK162" s="79">
        <f t="shared" si="130"/>
        <v>0</v>
      </c>
      <c r="AL162" s="80">
        <f t="shared" si="131"/>
        <v>0</v>
      </c>
      <c r="AM162" s="81">
        <f t="shared" si="132"/>
        <v>0.24</v>
      </c>
      <c r="AN162" s="82" t="str">
        <f t="shared" si="133"/>
        <v/>
      </c>
      <c r="AO162" s="79" t="str">
        <f t="shared" si="134"/>
        <v/>
      </c>
      <c r="AP162" t="str">
        <f t="shared" si="135"/>
        <v/>
      </c>
      <c r="AQ162" s="82" t="str">
        <f t="shared" si="136"/>
        <v/>
      </c>
      <c r="AR162" t="str">
        <f t="shared" si="137"/>
        <v/>
      </c>
      <c r="AS162" t="str">
        <f t="shared" si="138"/>
        <v/>
      </c>
      <c r="AT162" t="str">
        <f t="shared" si="139"/>
        <v/>
      </c>
      <c r="AU162" t="str">
        <f t="shared" si="140"/>
        <v/>
      </c>
      <c r="AV162" s="82" t="str">
        <f t="shared" si="141"/>
        <v>X</v>
      </c>
      <c r="AW162" t="str">
        <f t="shared" si="142"/>
        <v>X</v>
      </c>
      <c r="AX162" t="str">
        <f t="shared" si="143"/>
        <v/>
      </c>
      <c r="AY162" s="82" t="str">
        <f t="shared" si="144"/>
        <v/>
      </c>
      <c r="AZ162" t="str">
        <f t="shared" si="145"/>
        <v/>
      </c>
      <c r="BA162" t="str">
        <f t="shared" si="146"/>
        <v/>
      </c>
      <c r="BB162" s="83" t="str">
        <f t="shared" si="147"/>
        <v/>
      </c>
      <c r="BC162" s="84">
        <f t="shared" si="148"/>
        <v>0</v>
      </c>
      <c r="BD162" s="84">
        <f t="shared" si="149"/>
        <v>0</v>
      </c>
      <c r="BE162" s="84">
        <f t="shared" si="150"/>
        <v>0.70588235294117652</v>
      </c>
      <c r="BF162" s="84">
        <f t="shared" si="151"/>
        <v>0</v>
      </c>
      <c r="BG162" s="78">
        <f>IF(AN162="",0,VLOOKUP(AN162,Tables!$AB$3:$AC$12,2))</f>
        <v>0</v>
      </c>
      <c r="BH162" s="79">
        <f>IF(AO162="",0,VLOOKUP(AO162,Tables!$AB$3:$AC$12,2))</f>
        <v>0</v>
      </c>
      <c r="BI162" s="79">
        <f>IF(AP162="",0,VLOOKUP(AP162,Tables!$AB$3:$AC$12,2))</f>
        <v>0</v>
      </c>
      <c r="BJ162" s="78">
        <f>IF(AQ162="",0,VLOOKUP(AQ162,Tables!$AB$3:$AC$12,2))</f>
        <v>0</v>
      </c>
      <c r="BK162" s="79">
        <f>IF(AR162="",0,VLOOKUP(AR162,Tables!$AB$3:$AC$12,2))</f>
        <v>0</v>
      </c>
      <c r="BL162" s="79">
        <f>IF(AS162="",0,VLOOKUP(AS162,Tables!$AB$3:$AC$12,2))</f>
        <v>0</v>
      </c>
      <c r="BM162" s="79">
        <f>IF(AT162="",0,VLOOKUP(AT162,Tables!$AB$3:$AC$12,2))</f>
        <v>0</v>
      </c>
      <c r="BN162" s="79">
        <f>IF(AU162="",0,VLOOKUP(AU162,Tables!$AB$3:$AC$12,2))</f>
        <v>0</v>
      </c>
      <c r="BO162" s="78">
        <f>IF(AV162="",0,VLOOKUP(AV162,Tables!$AB$3:$AC$12,2))</f>
        <v>1</v>
      </c>
      <c r="BP162" s="79">
        <f>IF(AW162="",0,VLOOKUP(AW162,Tables!$AB$3:$AC$12,2))</f>
        <v>1</v>
      </c>
      <c r="BQ162" s="79">
        <f>IF(AX162="",0,VLOOKUP(AX162,Tables!$AB$3:$AC$12,2))</f>
        <v>0</v>
      </c>
      <c r="BR162" s="78">
        <f>IF(AY162="",0,VLOOKUP(AY162,Tables!$AB$3:$AC$12,2))</f>
        <v>0</v>
      </c>
      <c r="BS162" s="79">
        <f>IF(AZ162="",0,VLOOKUP(AZ162,Tables!$AB$3:$AC$12,2))</f>
        <v>0</v>
      </c>
      <c r="BT162" s="79">
        <f>IF(BA162="",0,VLOOKUP(BA162,Tables!$AB$3:$AC$12,2))</f>
        <v>0</v>
      </c>
      <c r="BU162" s="80">
        <f>IF(BB162="",0,VLOOKUP(BB162,Tables!$AB$3:$AC$12,2))</f>
        <v>0</v>
      </c>
      <c r="BV162" s="85">
        <f>IF(AN162="",0,VLOOKUP(B162,Tables!$B$3:$D$36,2,FALSE())*X$1)</f>
        <v>0</v>
      </c>
      <c r="BW162" s="72">
        <f>IF(AO162="",0,VLOOKUP(C162,Tables!$B$3:$D$36,2,FALSE())*Y$1)</f>
        <v>0</v>
      </c>
      <c r="BX162" s="72">
        <f>IF(AP162="",0,VLOOKUP(D162,Tables!$B$3:$D$36,2,FALSE())*Z$1)</f>
        <v>0</v>
      </c>
      <c r="BY162" s="85">
        <f>IF(AQ162="",0,VLOOKUP(E162,Tables!$B$3:$D$36,2,FALSE())*AA$1)</f>
        <v>0</v>
      </c>
      <c r="BZ162" s="72">
        <f>IF(AR162="",0,VLOOKUP(F162,Tables!$B$3:$D$36,2,FALSE())*AB$1)</f>
        <v>0</v>
      </c>
      <c r="CA162" s="72">
        <f>IF(AS162="",0,VLOOKUP(G162,Tables!$B$3:$D$36,2,FALSE())*AC$1)</f>
        <v>0</v>
      </c>
      <c r="CB162" s="72">
        <f>IF(AT162="",0,VLOOKUP(H162,Tables!$B$3:$D$36,2,FALSE())*AD$1)</f>
        <v>0</v>
      </c>
      <c r="CC162" s="72">
        <f>IF(AU162="",0,VLOOKUP(I162,Tables!$B$3:$D$36,2,FALSE())*AE$1)</f>
        <v>0</v>
      </c>
      <c r="CD162" s="85">
        <f>IF(AV162="",0,VLOOKUP(J162,Tables!$B$3:$D$36,2,FALSE())*AF$1)</f>
        <v>14.399999999999999</v>
      </c>
      <c r="CE162" s="72">
        <f>IF(AW162="",0,VLOOKUP(K162,Tables!$B$3:$D$36,2,FALSE())*AG$1)</f>
        <v>14.399999999999999</v>
      </c>
      <c r="CF162" s="72">
        <f>IF(AX162="",0,VLOOKUP(L162,Tables!$B$3:$D$36,2,FALSE())*AH$1)</f>
        <v>0</v>
      </c>
      <c r="CG162" s="85">
        <f>IF(AY162="",0,VLOOKUP(M162,Tables!$B$3:$D$36,2,FALSE())*AI$1)</f>
        <v>0</v>
      </c>
      <c r="CH162" s="72">
        <f>IF(AZ162="",0,VLOOKUP(N162,Tables!$B$3:$D$36,2,FALSE())*AJ$1)</f>
        <v>0</v>
      </c>
      <c r="CI162" s="72">
        <f>IF(BA162="",0,VLOOKUP(O162,Tables!$B$3:$D$36,2,FALSE())*AK$1)</f>
        <v>0</v>
      </c>
      <c r="CJ162" s="86">
        <f>IF(BB162="",0,VLOOKUP(P162,Tables!$B$3:$D$36,2,FALSE())*AL$1)</f>
        <v>0</v>
      </c>
      <c r="CK162" s="87">
        <f>IF(AN162="",0,VLOOKUP(B162,Tables!$B$3:$D$36,3,FALSE())*X$1)*IF(OR(AN162="K",AN162="P"),2,1)</f>
        <v>0</v>
      </c>
      <c r="CL162" s="73">
        <f>IF(AO162="",0,VLOOKUP(C162,Tables!$B$3:$D$36,3,FALSE())*Y$1)*IF(OR(AO162="K",AO162="P"),2,1)</f>
        <v>0</v>
      </c>
      <c r="CM162" s="73">
        <f>IF(AP162="",0,VLOOKUP(D162,Tables!$B$3:$D$36,3,FALSE())*Z$1)*IF(OR(AP162="K",AP162="P"),2,1)</f>
        <v>0</v>
      </c>
      <c r="CN162" s="87">
        <f>IF(AQ162="",0,VLOOKUP(E162,Tables!$B$3:$D$36,3,FALSE())*AA$1)</f>
        <v>0</v>
      </c>
      <c r="CO162" s="73">
        <f>IF(AR162="",0,VLOOKUP(F162,Tables!$B$3:$D$36,3,FALSE())*AB$1)</f>
        <v>0</v>
      </c>
      <c r="CP162" s="73">
        <f>IF(AS162="",0,VLOOKUP(G162,Tables!$B$3:$D$36,3,FALSE())*AC$1)</f>
        <v>0</v>
      </c>
      <c r="CQ162" s="73">
        <f>IF(AT162="",0,VLOOKUP(H162,Tables!$B$3:$D$36,3,FALSE())*AD$1)</f>
        <v>0</v>
      </c>
      <c r="CR162" s="73">
        <f>IF(AU162="",0,VLOOKUP(I162,Tables!$B$3:$D$36,3,FALSE())*AE$1)</f>
        <v>0</v>
      </c>
      <c r="CS162" s="87">
        <f>IF(AV162="",0,VLOOKUP(J162,Tables!$B$3:$D$36,3,FALSE())*AF$1)</f>
        <v>0.3</v>
      </c>
      <c r="CT162" s="73">
        <f>IF(AW162="",0,VLOOKUP(K162,Tables!$B$3:$D$36,3,FALSE())*AG$1)</f>
        <v>0.3</v>
      </c>
      <c r="CU162" s="73">
        <f>IF(AX162="",0,VLOOKUP(L162,Tables!$B$3:$D$36,3,FALSE())*AH$1)</f>
        <v>0</v>
      </c>
      <c r="CV162" s="87">
        <f>IF(AY162="",0,VLOOKUP(M162,Tables!$B$3:$D$36,3,FALSE())*AI$1)</f>
        <v>0</v>
      </c>
      <c r="CW162" s="73">
        <f>IF(AZ162="",0,VLOOKUP(N162,Tables!$B$3:$D$36,3,FALSE())*AJ$1)</f>
        <v>0</v>
      </c>
      <c r="CX162" s="73">
        <f>IF(BA162="",0,VLOOKUP(O162,Tables!$B$3:$D$36,3,FALSE())*AK$1)</f>
        <v>0</v>
      </c>
      <c r="CY162" s="88">
        <f>IF(BB162="",0,VLOOKUP(P162,Tables!$B$3:$D$36,3,FALSE())*AL$1)</f>
        <v>0</v>
      </c>
      <c r="CZ162" s="89">
        <f t="shared" si="152"/>
        <v>0</v>
      </c>
      <c r="DA162" s="75">
        <f t="shared" si="153"/>
        <v>0</v>
      </c>
      <c r="DB162" s="75">
        <f t="shared" si="154"/>
        <v>0</v>
      </c>
      <c r="DC162" s="89">
        <f t="shared" si="155"/>
        <v>0</v>
      </c>
      <c r="DD162" s="75">
        <f t="shared" si="156"/>
        <v>0</v>
      </c>
      <c r="DE162" s="75">
        <f t="shared" si="157"/>
        <v>0</v>
      </c>
      <c r="DF162" s="75">
        <f t="shared" si="158"/>
        <v>0</v>
      </c>
      <c r="DG162" s="75">
        <f t="shared" si="159"/>
        <v>0</v>
      </c>
      <c r="DH162" s="89">
        <f t="shared" si="160"/>
        <v>1</v>
      </c>
      <c r="DI162" s="75">
        <f t="shared" si="161"/>
        <v>1</v>
      </c>
      <c r="DJ162" s="75">
        <f t="shared" si="162"/>
        <v>0</v>
      </c>
      <c r="DK162" s="89">
        <f t="shared" si="163"/>
        <v>0</v>
      </c>
      <c r="DL162" s="75">
        <f t="shared" si="164"/>
        <v>0</v>
      </c>
      <c r="DM162" s="75">
        <f t="shared" si="165"/>
        <v>0</v>
      </c>
      <c r="DN162" s="90">
        <f t="shared" si="166"/>
        <v>0</v>
      </c>
      <c r="DO162" s="91">
        <f>IF(AN162="",0,VLOOKUP(B162,Tables!$B$3:$M$36,11,FALSE())*X$1)</f>
        <v>0</v>
      </c>
      <c r="DP162" s="92">
        <f>IF(AO162="",0,VLOOKUP(C162,Tables!$B$3:$M$36,11,FALSE())*Y$1)</f>
        <v>0</v>
      </c>
      <c r="DQ162" s="92">
        <f>IF(AP162="",0,VLOOKUP(D162,Tables!$B$3:$M$36,11,FALSE())*Z$1)</f>
        <v>0</v>
      </c>
      <c r="DR162" s="91">
        <f>IF(AQ162="",0,VLOOKUP(E162,Tables!$B$3:$M$36,11,FALSE())*AA$1)</f>
        <v>0</v>
      </c>
      <c r="DS162" s="92">
        <f>IF(AR162="",0,VLOOKUP(F162,Tables!$B$3:$M$36,11,FALSE())*AB$1)</f>
        <v>0</v>
      </c>
      <c r="DT162" s="92">
        <f>IF(AS162="",0,VLOOKUP(G162,Tables!$B$3:$M$36,11,FALSE())*AC$1)</f>
        <v>0</v>
      </c>
      <c r="DU162" s="92">
        <f>IF(AT162="",0,VLOOKUP(H162,Tables!$B$3:$M$36,11,FALSE())*AD$1)</f>
        <v>0</v>
      </c>
      <c r="DV162" s="92">
        <f>IF(AU162="",0,VLOOKUP(I162,Tables!$B$3:$M$36,11,FALSE())*AE$1)</f>
        <v>0</v>
      </c>
      <c r="DW162" s="91">
        <f>IF(AV162="",0,VLOOKUP(J162,Tables!$B$3:$M$36,11,FALSE())*AF$1)</f>
        <v>2.4</v>
      </c>
      <c r="DX162" s="92">
        <f>IF(AW162="",0,VLOOKUP(K162,Tables!$B$3:$M$36,11,FALSE())*AG$1)</f>
        <v>2.4</v>
      </c>
      <c r="DY162" s="92">
        <f>IF(AX162="",0,VLOOKUP(L162,Tables!$B$3:$M$36,11,FALSE())*AH$1)</f>
        <v>0</v>
      </c>
      <c r="DZ162" s="91">
        <f>IF(AY162="",0,VLOOKUP(M162,Tables!$B$3:$M$36,11,FALSE())*AI$1)</f>
        <v>0</v>
      </c>
      <c r="EA162" s="92">
        <f>IF(AZ162="",0,VLOOKUP(N162,Tables!$B$3:$M$36,11,FALSE())*AJ$1)</f>
        <v>0</v>
      </c>
      <c r="EB162" s="92">
        <f>IF(BA162="",0,VLOOKUP(O162,Tables!$B$3:$M$36,11,FALSE())*AK$1)</f>
        <v>0</v>
      </c>
      <c r="EC162" s="93">
        <f>IF(BB162="",0,VLOOKUP(P162,Tables!$B$3:$M$36,11,FALSE())*AL$1)</f>
        <v>0</v>
      </c>
      <c r="ED162" s="91">
        <f>IF(AN162="",0,VLOOKUP(B162,Tables!$B$3:$M$36,12,FALSE())*X$1)</f>
        <v>0</v>
      </c>
      <c r="EE162" s="92">
        <f>IF(AO162="",0,VLOOKUP(C162,Tables!$B$3:$M$36,12,FALSE())*Y$1)</f>
        <v>0</v>
      </c>
      <c r="EF162" s="92">
        <f>IF(AP162="",0,VLOOKUP(D162,Tables!$B$3:$M$36,12,FALSE())*Z$1)</f>
        <v>0</v>
      </c>
      <c r="EG162" s="91">
        <f>IF(AQ162="",0,VLOOKUP(E162,Tables!$B$3:$M$36,12,FALSE())*AA$1)</f>
        <v>0</v>
      </c>
      <c r="EH162" s="92">
        <f>IF(AR162="",0,VLOOKUP(F162,Tables!$B$3:$M$36,12,FALSE())*AB$1)</f>
        <v>0</v>
      </c>
      <c r="EI162" s="92">
        <f>IF(AS162="",0,VLOOKUP(G162,Tables!$B$3:$M$36,12,FALSE())*AC$1)</f>
        <v>0</v>
      </c>
      <c r="EJ162" s="92">
        <f>IF(AT162="",0,VLOOKUP(H162,Tables!$B$3:$M$36,12,FALSE())*AD$1)</f>
        <v>0</v>
      </c>
      <c r="EK162" s="92">
        <f>IF(AU162="",0,VLOOKUP(I162,Tables!$B$3:$M$36,12,FALSE())*AE$1)</f>
        <v>0</v>
      </c>
      <c r="EL162" s="91">
        <f>IF(AV162="",0,VLOOKUP(J162,Tables!$B$3:$M$36,12,FALSE())*AF$1)</f>
        <v>10.799999999999999</v>
      </c>
      <c r="EM162" s="92">
        <f>IF(AW162="",0,VLOOKUP(K162,Tables!$B$3:$M$36,12,FALSE())*AG$1)</f>
        <v>10.799999999999999</v>
      </c>
      <c r="EN162" s="92">
        <f>IF(AX162="",0,VLOOKUP(L162,Tables!$B$3:$M$36,12,FALSE())*AH$1)</f>
        <v>0</v>
      </c>
      <c r="EO162" s="91">
        <f>IF(AY162="",0,VLOOKUP(M162,Tables!$B$3:$M$36,12,FALSE())*AI$1)</f>
        <v>0</v>
      </c>
      <c r="EP162" s="92">
        <f>IF(AZ162="",0,VLOOKUP(N162,Tables!$B$3:$M$36,12,FALSE())*AJ$1)</f>
        <v>0</v>
      </c>
      <c r="EQ162" s="92">
        <f>IF(BA162="",0,VLOOKUP(O162,Tables!$B$3:$M$36,12,FALSE())*AK$1)</f>
        <v>0</v>
      </c>
      <c r="ER162" s="93">
        <f>IF(BB162="",0,VLOOKUP(P162,Tables!$B$3:$M$36,12,FALSE())*AL$1)</f>
        <v>0</v>
      </c>
      <c r="ES162" s="94">
        <f t="shared" si="167"/>
        <v>0</v>
      </c>
      <c r="ET162" s="95">
        <f>IF(AN162="",10,MIN(VLOOKUP(B162,MATERIAL,13,FALSE()),'Item Builder'!$W162))</f>
        <v>10</v>
      </c>
      <c r="EU162" s="95">
        <f>IF(AO162="",10,MIN(VLOOKUP(C162,MATERIAL,13,FALSE()),'Item Builder'!$W162))</f>
        <v>10</v>
      </c>
      <c r="EV162" s="95">
        <f>IF(AP162="",10,MIN(VLOOKUP(D162,MATERIAL,13,FALSE()),'Item Builder'!$W162))</f>
        <v>10</v>
      </c>
      <c r="EW162" s="95">
        <f>IF(AQ162="",10,MIN(VLOOKUP(E162,MATERIAL,13,FALSE()),'Item Builder'!$W162))</f>
        <v>10</v>
      </c>
      <c r="EX162" s="95">
        <f>IF(AR162="",10,MIN(VLOOKUP(F162,MATERIAL,13,FALSE()),'Item Builder'!$W162))</f>
        <v>10</v>
      </c>
      <c r="EY162" s="95">
        <f>IF(AS162="",10,MIN(VLOOKUP(G162,MATERIAL,13,FALSE()),'Item Builder'!$W162))</f>
        <v>10</v>
      </c>
      <c r="EZ162" s="95">
        <f>IF(AT162="",10,MIN(VLOOKUP(H162,MATERIAL,13,FALSE()),'Item Builder'!$W162))</f>
        <v>10</v>
      </c>
      <c r="FA162" s="95">
        <f>IF(AU162="",10,MIN(VLOOKUP(I162,MATERIAL,13,FALSE()),'Item Builder'!$W162))</f>
        <v>10</v>
      </c>
      <c r="FB162" s="95">
        <f>IF(AV162="",10,MIN(VLOOKUP(J162,MATERIAL,13,FALSE()),'Item Builder'!$W162))</f>
        <v>0</v>
      </c>
      <c r="FC162" s="95">
        <f>IF(AW162="",10,MIN(VLOOKUP(K162,MATERIAL,13,FALSE()),'Item Builder'!$W162))</f>
        <v>0</v>
      </c>
      <c r="FD162" s="95">
        <f>IF(AX162="",10,MIN(VLOOKUP(L162,MATERIAL,13,FALSE()),'Item Builder'!$W162))</f>
        <v>10</v>
      </c>
      <c r="FE162" s="95">
        <f>IF(AY162="",10,MIN(VLOOKUP(M162,MATERIAL,13,FALSE()),'Item Builder'!$W162))</f>
        <v>10</v>
      </c>
      <c r="FF162" s="95">
        <f>IF(AZ162="",10,MIN(VLOOKUP(N162,MATERIAL,13,FALSE()),'Item Builder'!$W162))</f>
        <v>10</v>
      </c>
      <c r="FG162" s="95">
        <f>IF(BA162="",10,MIN(VLOOKUP(O162,MATERIAL,13,FALSE()),'Item Builder'!$W162))</f>
        <v>10</v>
      </c>
      <c r="FH162" s="95">
        <f>IF(BB162="",10,MIN(VLOOKUP(P162,MATERIAL,13,FALSE()),'Item Builder'!$W162))</f>
        <v>10</v>
      </c>
    </row>
    <row r="163" spans="1:164" x14ac:dyDescent="0.25">
      <c r="A163" s="67" t="s">
        <v>303</v>
      </c>
      <c r="B163" s="68"/>
      <c r="C163" s="69"/>
      <c r="D163" s="70"/>
      <c r="E163" s="68" t="s">
        <v>171</v>
      </c>
      <c r="F163" s="69" t="s">
        <v>171</v>
      </c>
      <c r="G163" s="69"/>
      <c r="H163" s="69"/>
      <c r="I163" s="70"/>
      <c r="J163" s="68" t="s">
        <v>171</v>
      </c>
      <c r="K163" s="69" t="s">
        <v>171</v>
      </c>
      <c r="L163" s="70"/>
      <c r="M163" s="68"/>
      <c r="N163" s="69"/>
      <c r="O163" s="69"/>
      <c r="P163" s="71"/>
      <c r="Q163" s="72">
        <f>SUM(BV163:CJ163)*VLOOKUP(W163,Tables!$W$3:$Z$8,4)</f>
        <v>39.599999999999994</v>
      </c>
      <c r="R163" s="73">
        <f t="shared" si="112"/>
        <v>0.82499999999999996</v>
      </c>
      <c r="S163" s="74">
        <f t="shared" si="113"/>
        <v>0</v>
      </c>
      <c r="T163" s="74">
        <f t="shared" si="114"/>
        <v>0</v>
      </c>
      <c r="U163" s="75">
        <f t="shared" si="115"/>
        <v>6.6</v>
      </c>
      <c r="V163" s="76">
        <f t="shared" si="116"/>
        <v>29.699999999999996</v>
      </c>
      <c r="W163" s="77">
        <v>0</v>
      </c>
      <c r="X163" s="78">
        <f t="shared" si="117"/>
        <v>0</v>
      </c>
      <c r="Y163" s="79">
        <f t="shared" si="118"/>
        <v>0</v>
      </c>
      <c r="Z163" s="79">
        <f t="shared" si="119"/>
        <v>0</v>
      </c>
      <c r="AA163" s="78">
        <f t="shared" si="120"/>
        <v>1</v>
      </c>
      <c r="AB163" s="79">
        <f t="shared" si="121"/>
        <v>1</v>
      </c>
      <c r="AC163" s="79">
        <f t="shared" si="122"/>
        <v>0</v>
      </c>
      <c r="AD163" s="79">
        <f t="shared" si="123"/>
        <v>0</v>
      </c>
      <c r="AE163" s="79">
        <f t="shared" si="124"/>
        <v>0</v>
      </c>
      <c r="AF163" s="78">
        <f t="shared" si="125"/>
        <v>1</v>
      </c>
      <c r="AG163" s="79">
        <f t="shared" si="126"/>
        <v>1</v>
      </c>
      <c r="AH163" s="79">
        <f t="shared" si="127"/>
        <v>0</v>
      </c>
      <c r="AI163" s="78">
        <f t="shared" si="128"/>
        <v>0</v>
      </c>
      <c r="AJ163" s="79">
        <f t="shared" si="129"/>
        <v>0</v>
      </c>
      <c r="AK163" s="79">
        <f t="shared" si="130"/>
        <v>0</v>
      </c>
      <c r="AL163" s="80">
        <f t="shared" si="131"/>
        <v>0</v>
      </c>
      <c r="AM163" s="81">
        <f t="shared" si="132"/>
        <v>0.32999999999999996</v>
      </c>
      <c r="AN163" s="82" t="str">
        <f t="shared" si="133"/>
        <v/>
      </c>
      <c r="AO163" s="79" t="str">
        <f t="shared" si="134"/>
        <v/>
      </c>
      <c r="AP163" t="str">
        <f t="shared" si="135"/>
        <v/>
      </c>
      <c r="AQ163" s="82" t="str">
        <f t="shared" si="136"/>
        <v>X</v>
      </c>
      <c r="AR163" t="str">
        <f t="shared" si="137"/>
        <v>X</v>
      </c>
      <c r="AS163" t="str">
        <f t="shared" si="138"/>
        <v/>
      </c>
      <c r="AT163" t="str">
        <f t="shared" si="139"/>
        <v/>
      </c>
      <c r="AU163" t="str">
        <f t="shared" si="140"/>
        <v/>
      </c>
      <c r="AV163" s="82" t="str">
        <f t="shared" si="141"/>
        <v>X</v>
      </c>
      <c r="AW163" t="str">
        <f t="shared" si="142"/>
        <v>X</v>
      </c>
      <c r="AX163" t="str">
        <f t="shared" si="143"/>
        <v/>
      </c>
      <c r="AY163" s="82" t="str">
        <f t="shared" si="144"/>
        <v/>
      </c>
      <c r="AZ163" t="str">
        <f t="shared" si="145"/>
        <v/>
      </c>
      <c r="BA163" t="str">
        <f t="shared" si="146"/>
        <v/>
      </c>
      <c r="BB163" s="83" t="str">
        <f t="shared" si="147"/>
        <v/>
      </c>
      <c r="BC163" s="84">
        <f t="shared" si="148"/>
        <v>0</v>
      </c>
      <c r="BD163" s="84">
        <f t="shared" si="149"/>
        <v>0.42857142857142849</v>
      </c>
      <c r="BE163" s="84">
        <f t="shared" si="150"/>
        <v>0.70588235294117652</v>
      </c>
      <c r="BF163" s="84">
        <f t="shared" si="151"/>
        <v>0</v>
      </c>
      <c r="BG163" s="78">
        <f>IF(AN163="",0,VLOOKUP(AN163,Tables!$AB$3:$AC$12,2))</f>
        <v>0</v>
      </c>
      <c r="BH163" s="79">
        <f>IF(AO163="",0,VLOOKUP(AO163,Tables!$AB$3:$AC$12,2))</f>
        <v>0</v>
      </c>
      <c r="BI163" s="79">
        <f>IF(AP163="",0,VLOOKUP(AP163,Tables!$AB$3:$AC$12,2))</f>
        <v>0</v>
      </c>
      <c r="BJ163" s="78">
        <f>IF(AQ163="",0,VLOOKUP(AQ163,Tables!$AB$3:$AC$12,2))</f>
        <v>1</v>
      </c>
      <c r="BK163" s="79">
        <f>IF(AR163="",0,VLOOKUP(AR163,Tables!$AB$3:$AC$12,2))</f>
        <v>1</v>
      </c>
      <c r="BL163" s="79">
        <f>IF(AS163="",0,VLOOKUP(AS163,Tables!$AB$3:$AC$12,2))</f>
        <v>0</v>
      </c>
      <c r="BM163" s="79">
        <f>IF(AT163="",0,VLOOKUP(AT163,Tables!$AB$3:$AC$12,2))</f>
        <v>0</v>
      </c>
      <c r="BN163" s="79">
        <f>IF(AU163="",0,VLOOKUP(AU163,Tables!$AB$3:$AC$12,2))</f>
        <v>0</v>
      </c>
      <c r="BO163" s="78">
        <f>IF(AV163="",0,VLOOKUP(AV163,Tables!$AB$3:$AC$12,2))</f>
        <v>1</v>
      </c>
      <c r="BP163" s="79">
        <f>IF(AW163="",0,VLOOKUP(AW163,Tables!$AB$3:$AC$12,2))</f>
        <v>1</v>
      </c>
      <c r="BQ163" s="79">
        <f>IF(AX163="",0,VLOOKUP(AX163,Tables!$AB$3:$AC$12,2))</f>
        <v>0</v>
      </c>
      <c r="BR163" s="78">
        <f>IF(AY163="",0,VLOOKUP(AY163,Tables!$AB$3:$AC$12,2))</f>
        <v>0</v>
      </c>
      <c r="BS163" s="79">
        <f>IF(AZ163="",0,VLOOKUP(AZ163,Tables!$AB$3:$AC$12,2))</f>
        <v>0</v>
      </c>
      <c r="BT163" s="79">
        <f>IF(BA163="",0,VLOOKUP(BA163,Tables!$AB$3:$AC$12,2))</f>
        <v>0</v>
      </c>
      <c r="BU163" s="80">
        <f>IF(BB163="",0,VLOOKUP(BB163,Tables!$AB$3:$AC$12,2))</f>
        <v>0</v>
      </c>
      <c r="BV163" s="85">
        <f>IF(AN163="",0,VLOOKUP(B163,Tables!$B$3:$D$36,2,FALSE())*X$1)</f>
        <v>0</v>
      </c>
      <c r="BW163" s="72">
        <f>IF(AO163="",0,VLOOKUP(C163,Tables!$B$3:$D$36,2,FALSE())*Y$1)</f>
        <v>0</v>
      </c>
      <c r="BX163" s="72">
        <f>IF(AP163="",0,VLOOKUP(D163,Tables!$B$3:$D$36,2,FALSE())*Z$1)</f>
        <v>0</v>
      </c>
      <c r="BY163" s="85">
        <f>IF(AQ163="",0,VLOOKUP(E163,Tables!$B$3:$D$36,2,FALSE())*AA$1)</f>
        <v>3.5999999999999996</v>
      </c>
      <c r="BZ163" s="72">
        <f>IF(AR163="",0,VLOOKUP(F163,Tables!$B$3:$D$36,2,FALSE())*AB$1)</f>
        <v>7.1999999999999993</v>
      </c>
      <c r="CA163" s="72">
        <f>IF(AS163="",0,VLOOKUP(G163,Tables!$B$3:$D$36,2,FALSE())*AC$1)</f>
        <v>0</v>
      </c>
      <c r="CB163" s="72">
        <f>IF(AT163="",0,VLOOKUP(H163,Tables!$B$3:$D$36,2,FALSE())*AD$1)</f>
        <v>0</v>
      </c>
      <c r="CC163" s="72">
        <f>IF(AU163="",0,VLOOKUP(I163,Tables!$B$3:$D$36,2,FALSE())*AE$1)</f>
        <v>0</v>
      </c>
      <c r="CD163" s="85">
        <f>IF(AV163="",0,VLOOKUP(J163,Tables!$B$3:$D$36,2,FALSE())*AF$1)</f>
        <v>14.399999999999999</v>
      </c>
      <c r="CE163" s="72">
        <f>IF(AW163="",0,VLOOKUP(K163,Tables!$B$3:$D$36,2,FALSE())*AG$1)</f>
        <v>14.399999999999999</v>
      </c>
      <c r="CF163" s="72">
        <f>IF(AX163="",0,VLOOKUP(L163,Tables!$B$3:$D$36,2,FALSE())*AH$1)</f>
        <v>0</v>
      </c>
      <c r="CG163" s="85">
        <f>IF(AY163="",0,VLOOKUP(M163,Tables!$B$3:$D$36,2,FALSE())*AI$1)</f>
        <v>0</v>
      </c>
      <c r="CH163" s="72">
        <f>IF(AZ163="",0,VLOOKUP(N163,Tables!$B$3:$D$36,2,FALSE())*AJ$1)</f>
        <v>0</v>
      </c>
      <c r="CI163" s="72">
        <f>IF(BA163="",0,VLOOKUP(O163,Tables!$B$3:$D$36,2,FALSE())*AK$1)</f>
        <v>0</v>
      </c>
      <c r="CJ163" s="86">
        <f>IF(BB163="",0,VLOOKUP(P163,Tables!$B$3:$D$36,2,FALSE())*AL$1)</f>
        <v>0</v>
      </c>
      <c r="CK163" s="87">
        <f>IF(AN163="",0,VLOOKUP(B163,Tables!$B$3:$D$36,3,FALSE())*X$1)*IF(OR(AN163="K",AN163="P"),2,1)</f>
        <v>0</v>
      </c>
      <c r="CL163" s="73">
        <f>IF(AO163="",0,VLOOKUP(C163,Tables!$B$3:$D$36,3,FALSE())*Y$1)*IF(OR(AO163="K",AO163="P"),2,1)</f>
        <v>0</v>
      </c>
      <c r="CM163" s="73">
        <f>IF(AP163="",0,VLOOKUP(D163,Tables!$B$3:$D$36,3,FALSE())*Z$1)*IF(OR(AP163="K",AP163="P"),2,1)</f>
        <v>0</v>
      </c>
      <c r="CN163" s="87">
        <f>IF(AQ163="",0,VLOOKUP(E163,Tables!$B$3:$D$36,3,FALSE())*AA$1)</f>
        <v>7.4999999999999997E-2</v>
      </c>
      <c r="CO163" s="73">
        <f>IF(AR163="",0,VLOOKUP(F163,Tables!$B$3:$D$36,3,FALSE())*AB$1)</f>
        <v>0.15</v>
      </c>
      <c r="CP163" s="73">
        <f>IF(AS163="",0,VLOOKUP(G163,Tables!$B$3:$D$36,3,FALSE())*AC$1)</f>
        <v>0</v>
      </c>
      <c r="CQ163" s="73">
        <f>IF(AT163="",0,VLOOKUP(H163,Tables!$B$3:$D$36,3,FALSE())*AD$1)</f>
        <v>0</v>
      </c>
      <c r="CR163" s="73">
        <f>IF(AU163="",0,VLOOKUP(I163,Tables!$B$3:$D$36,3,FALSE())*AE$1)</f>
        <v>0</v>
      </c>
      <c r="CS163" s="87">
        <f>IF(AV163="",0,VLOOKUP(J163,Tables!$B$3:$D$36,3,FALSE())*AF$1)</f>
        <v>0.3</v>
      </c>
      <c r="CT163" s="73">
        <f>IF(AW163="",0,VLOOKUP(K163,Tables!$B$3:$D$36,3,FALSE())*AG$1)</f>
        <v>0.3</v>
      </c>
      <c r="CU163" s="73">
        <f>IF(AX163="",0,VLOOKUP(L163,Tables!$B$3:$D$36,3,FALSE())*AH$1)</f>
        <v>0</v>
      </c>
      <c r="CV163" s="87">
        <f>IF(AY163="",0,VLOOKUP(M163,Tables!$B$3:$D$36,3,FALSE())*AI$1)</f>
        <v>0</v>
      </c>
      <c r="CW163" s="73">
        <f>IF(AZ163="",0,VLOOKUP(N163,Tables!$B$3:$D$36,3,FALSE())*AJ$1)</f>
        <v>0</v>
      </c>
      <c r="CX163" s="73">
        <f>IF(BA163="",0,VLOOKUP(O163,Tables!$B$3:$D$36,3,FALSE())*AK$1)</f>
        <v>0</v>
      </c>
      <c r="CY163" s="88">
        <f>IF(BB163="",0,VLOOKUP(P163,Tables!$B$3:$D$36,3,FALSE())*AL$1)</f>
        <v>0</v>
      </c>
      <c r="CZ163" s="89">
        <f t="shared" si="152"/>
        <v>0</v>
      </c>
      <c r="DA163" s="75">
        <f t="shared" si="153"/>
        <v>0</v>
      </c>
      <c r="DB163" s="75">
        <f t="shared" si="154"/>
        <v>0</v>
      </c>
      <c r="DC163" s="89">
        <f t="shared" si="155"/>
        <v>1</v>
      </c>
      <c r="DD163" s="75">
        <f t="shared" si="156"/>
        <v>1</v>
      </c>
      <c r="DE163" s="75">
        <f t="shared" si="157"/>
        <v>0</v>
      </c>
      <c r="DF163" s="75">
        <f t="shared" si="158"/>
        <v>0</v>
      </c>
      <c r="DG163" s="75">
        <f t="shared" si="159"/>
        <v>0</v>
      </c>
      <c r="DH163" s="89">
        <f t="shared" si="160"/>
        <v>1</v>
      </c>
      <c r="DI163" s="75">
        <f t="shared" si="161"/>
        <v>1</v>
      </c>
      <c r="DJ163" s="75">
        <f t="shared" si="162"/>
        <v>0</v>
      </c>
      <c r="DK163" s="89">
        <f t="shared" si="163"/>
        <v>0</v>
      </c>
      <c r="DL163" s="75">
        <f t="shared" si="164"/>
        <v>0</v>
      </c>
      <c r="DM163" s="75">
        <f t="shared" si="165"/>
        <v>0</v>
      </c>
      <c r="DN163" s="90">
        <f t="shared" si="166"/>
        <v>0</v>
      </c>
      <c r="DO163" s="91">
        <f>IF(AN163="",0,VLOOKUP(B163,Tables!$B$3:$M$36,11,FALSE())*X$1)</f>
        <v>0</v>
      </c>
      <c r="DP163" s="92">
        <f>IF(AO163="",0,VLOOKUP(C163,Tables!$B$3:$M$36,11,FALSE())*Y$1)</f>
        <v>0</v>
      </c>
      <c r="DQ163" s="92">
        <f>IF(AP163="",0,VLOOKUP(D163,Tables!$B$3:$M$36,11,FALSE())*Z$1)</f>
        <v>0</v>
      </c>
      <c r="DR163" s="91">
        <f>IF(AQ163="",0,VLOOKUP(E163,Tables!$B$3:$M$36,11,FALSE())*AA$1)</f>
        <v>0.6</v>
      </c>
      <c r="DS163" s="92">
        <f>IF(AR163="",0,VLOOKUP(F163,Tables!$B$3:$M$36,11,FALSE())*AB$1)</f>
        <v>1.2</v>
      </c>
      <c r="DT163" s="92">
        <f>IF(AS163="",0,VLOOKUP(G163,Tables!$B$3:$M$36,11,FALSE())*AC$1)</f>
        <v>0</v>
      </c>
      <c r="DU163" s="92">
        <f>IF(AT163="",0,VLOOKUP(H163,Tables!$B$3:$M$36,11,FALSE())*AD$1)</f>
        <v>0</v>
      </c>
      <c r="DV163" s="92">
        <f>IF(AU163="",0,VLOOKUP(I163,Tables!$B$3:$M$36,11,FALSE())*AE$1)</f>
        <v>0</v>
      </c>
      <c r="DW163" s="91">
        <f>IF(AV163="",0,VLOOKUP(J163,Tables!$B$3:$M$36,11,FALSE())*AF$1)</f>
        <v>2.4</v>
      </c>
      <c r="DX163" s="92">
        <f>IF(AW163="",0,VLOOKUP(K163,Tables!$B$3:$M$36,11,FALSE())*AG$1)</f>
        <v>2.4</v>
      </c>
      <c r="DY163" s="92">
        <f>IF(AX163="",0,VLOOKUP(L163,Tables!$B$3:$M$36,11,FALSE())*AH$1)</f>
        <v>0</v>
      </c>
      <c r="DZ163" s="91">
        <f>IF(AY163="",0,VLOOKUP(M163,Tables!$B$3:$M$36,11,FALSE())*AI$1)</f>
        <v>0</v>
      </c>
      <c r="EA163" s="92">
        <f>IF(AZ163="",0,VLOOKUP(N163,Tables!$B$3:$M$36,11,FALSE())*AJ$1)</f>
        <v>0</v>
      </c>
      <c r="EB163" s="92">
        <f>IF(BA163="",0,VLOOKUP(O163,Tables!$B$3:$M$36,11,FALSE())*AK$1)</f>
        <v>0</v>
      </c>
      <c r="EC163" s="93">
        <f>IF(BB163="",0,VLOOKUP(P163,Tables!$B$3:$M$36,11,FALSE())*AL$1)</f>
        <v>0</v>
      </c>
      <c r="ED163" s="91">
        <f>IF(AN163="",0,VLOOKUP(B163,Tables!$B$3:$M$36,12,FALSE())*X$1)</f>
        <v>0</v>
      </c>
      <c r="EE163" s="92">
        <f>IF(AO163="",0,VLOOKUP(C163,Tables!$B$3:$M$36,12,FALSE())*Y$1)</f>
        <v>0</v>
      </c>
      <c r="EF163" s="92">
        <f>IF(AP163="",0,VLOOKUP(D163,Tables!$B$3:$M$36,12,FALSE())*Z$1)</f>
        <v>0</v>
      </c>
      <c r="EG163" s="91">
        <f>IF(AQ163="",0,VLOOKUP(E163,Tables!$B$3:$M$36,12,FALSE())*AA$1)</f>
        <v>2.6999999999999997</v>
      </c>
      <c r="EH163" s="92">
        <f>IF(AR163="",0,VLOOKUP(F163,Tables!$B$3:$M$36,12,FALSE())*AB$1)</f>
        <v>5.3999999999999995</v>
      </c>
      <c r="EI163" s="92">
        <f>IF(AS163="",0,VLOOKUP(G163,Tables!$B$3:$M$36,12,FALSE())*AC$1)</f>
        <v>0</v>
      </c>
      <c r="EJ163" s="92">
        <f>IF(AT163="",0,VLOOKUP(H163,Tables!$B$3:$M$36,12,FALSE())*AD$1)</f>
        <v>0</v>
      </c>
      <c r="EK163" s="92">
        <f>IF(AU163="",0,VLOOKUP(I163,Tables!$B$3:$M$36,12,FALSE())*AE$1)</f>
        <v>0</v>
      </c>
      <c r="EL163" s="91">
        <f>IF(AV163="",0,VLOOKUP(J163,Tables!$B$3:$M$36,12,FALSE())*AF$1)</f>
        <v>10.799999999999999</v>
      </c>
      <c r="EM163" s="92">
        <f>IF(AW163="",0,VLOOKUP(K163,Tables!$B$3:$M$36,12,FALSE())*AG$1)</f>
        <v>10.799999999999999</v>
      </c>
      <c r="EN163" s="92">
        <f>IF(AX163="",0,VLOOKUP(L163,Tables!$B$3:$M$36,12,FALSE())*AH$1)</f>
        <v>0</v>
      </c>
      <c r="EO163" s="91">
        <f>IF(AY163="",0,VLOOKUP(M163,Tables!$B$3:$M$36,12,FALSE())*AI$1)</f>
        <v>0</v>
      </c>
      <c r="EP163" s="92">
        <f>IF(AZ163="",0,VLOOKUP(N163,Tables!$B$3:$M$36,12,FALSE())*AJ$1)</f>
        <v>0</v>
      </c>
      <c r="EQ163" s="92">
        <f>IF(BA163="",0,VLOOKUP(O163,Tables!$B$3:$M$36,12,FALSE())*AK$1)</f>
        <v>0</v>
      </c>
      <c r="ER163" s="93">
        <f>IF(BB163="",0,VLOOKUP(P163,Tables!$B$3:$M$36,12,FALSE())*AL$1)</f>
        <v>0</v>
      </c>
      <c r="ES163" s="94">
        <f t="shared" si="167"/>
        <v>0</v>
      </c>
      <c r="ET163" s="95">
        <f>IF(AN163="",10,MIN(VLOOKUP(B163,MATERIAL,13,FALSE()),'Item Builder'!$W163))</f>
        <v>10</v>
      </c>
      <c r="EU163" s="95">
        <f>IF(AO163="",10,MIN(VLOOKUP(C163,MATERIAL,13,FALSE()),'Item Builder'!$W163))</f>
        <v>10</v>
      </c>
      <c r="EV163" s="95">
        <f>IF(AP163="",10,MIN(VLOOKUP(D163,MATERIAL,13,FALSE()),'Item Builder'!$W163))</f>
        <v>10</v>
      </c>
      <c r="EW163" s="95">
        <f>IF(AQ163="",10,MIN(VLOOKUP(E163,MATERIAL,13,FALSE()),'Item Builder'!$W163))</f>
        <v>0</v>
      </c>
      <c r="EX163" s="95">
        <f>IF(AR163="",10,MIN(VLOOKUP(F163,MATERIAL,13,FALSE()),'Item Builder'!$W163))</f>
        <v>0</v>
      </c>
      <c r="EY163" s="95">
        <f>IF(AS163="",10,MIN(VLOOKUP(G163,MATERIAL,13,FALSE()),'Item Builder'!$W163))</f>
        <v>10</v>
      </c>
      <c r="EZ163" s="95">
        <f>IF(AT163="",10,MIN(VLOOKUP(H163,MATERIAL,13,FALSE()),'Item Builder'!$W163))</f>
        <v>10</v>
      </c>
      <c r="FA163" s="95">
        <f>IF(AU163="",10,MIN(VLOOKUP(I163,MATERIAL,13,FALSE()),'Item Builder'!$W163))</f>
        <v>10</v>
      </c>
      <c r="FB163" s="95">
        <f>IF(AV163="",10,MIN(VLOOKUP(J163,MATERIAL,13,FALSE()),'Item Builder'!$W163))</f>
        <v>0</v>
      </c>
      <c r="FC163" s="95">
        <f>IF(AW163="",10,MIN(VLOOKUP(K163,MATERIAL,13,FALSE()),'Item Builder'!$W163))</f>
        <v>0</v>
      </c>
      <c r="FD163" s="95">
        <f>IF(AX163="",10,MIN(VLOOKUP(L163,MATERIAL,13,FALSE()),'Item Builder'!$W163))</f>
        <v>10</v>
      </c>
      <c r="FE163" s="95">
        <f>IF(AY163="",10,MIN(VLOOKUP(M163,MATERIAL,13,FALSE()),'Item Builder'!$W163))</f>
        <v>10</v>
      </c>
      <c r="FF163" s="95">
        <f>IF(AZ163="",10,MIN(VLOOKUP(N163,MATERIAL,13,FALSE()),'Item Builder'!$W163))</f>
        <v>10</v>
      </c>
      <c r="FG163" s="95">
        <f>IF(BA163="",10,MIN(VLOOKUP(O163,MATERIAL,13,FALSE()),'Item Builder'!$W163))</f>
        <v>10</v>
      </c>
      <c r="FH163" s="95">
        <f>IF(BB163="",10,MIN(VLOOKUP(P163,MATERIAL,13,FALSE()),'Item Builder'!$W163))</f>
        <v>10</v>
      </c>
    </row>
    <row r="164" spans="1:164" x14ac:dyDescent="0.25">
      <c r="A164" s="67" t="s">
        <v>304</v>
      </c>
      <c r="B164" s="68"/>
      <c r="C164" s="69"/>
      <c r="D164" s="70"/>
      <c r="E164" s="68" t="s">
        <v>171</v>
      </c>
      <c r="F164" s="69" t="s">
        <v>171</v>
      </c>
      <c r="G164" s="69" t="s">
        <v>171</v>
      </c>
      <c r="H164" s="69"/>
      <c r="I164" s="70"/>
      <c r="J164" s="68" t="s">
        <v>171</v>
      </c>
      <c r="K164" s="69" t="s">
        <v>171</v>
      </c>
      <c r="L164" s="70" t="s">
        <v>171</v>
      </c>
      <c r="M164" s="68"/>
      <c r="N164" s="69"/>
      <c r="O164" s="69"/>
      <c r="P164" s="71"/>
      <c r="Q164" s="72">
        <f>SUM(BV164:CJ164)*VLOOKUP(W164,Tables!$W$3:$Z$8,4)</f>
        <v>54</v>
      </c>
      <c r="R164" s="73">
        <f t="shared" si="112"/>
        <v>1.125</v>
      </c>
      <c r="S164" s="74">
        <f t="shared" si="113"/>
        <v>0</v>
      </c>
      <c r="T164" s="74">
        <f t="shared" si="114"/>
        <v>0</v>
      </c>
      <c r="U164" s="75">
        <f t="shared" si="115"/>
        <v>9</v>
      </c>
      <c r="V164" s="76">
        <f t="shared" si="116"/>
        <v>40.5</v>
      </c>
      <c r="W164" s="77">
        <v>0</v>
      </c>
      <c r="X164" s="78">
        <f t="shared" si="117"/>
        <v>0</v>
      </c>
      <c r="Y164" s="79">
        <f t="shared" si="118"/>
        <v>0</v>
      </c>
      <c r="Z164" s="79">
        <f t="shared" si="119"/>
        <v>0</v>
      </c>
      <c r="AA164" s="78">
        <f t="shared" si="120"/>
        <v>1</v>
      </c>
      <c r="AB164" s="79">
        <f t="shared" si="121"/>
        <v>1</v>
      </c>
      <c r="AC164" s="79">
        <f t="shared" si="122"/>
        <v>1</v>
      </c>
      <c r="AD164" s="79">
        <f t="shared" si="123"/>
        <v>0</v>
      </c>
      <c r="AE164" s="79">
        <f t="shared" si="124"/>
        <v>0</v>
      </c>
      <c r="AF164" s="78">
        <f t="shared" si="125"/>
        <v>1</v>
      </c>
      <c r="AG164" s="79">
        <f t="shared" si="126"/>
        <v>1</v>
      </c>
      <c r="AH164" s="79">
        <f t="shared" si="127"/>
        <v>1</v>
      </c>
      <c r="AI164" s="78">
        <f t="shared" si="128"/>
        <v>0</v>
      </c>
      <c r="AJ164" s="79">
        <f t="shared" si="129"/>
        <v>0</v>
      </c>
      <c r="AK164" s="79">
        <f t="shared" si="130"/>
        <v>0</v>
      </c>
      <c r="AL164" s="80">
        <f t="shared" si="131"/>
        <v>0</v>
      </c>
      <c r="AM164" s="81">
        <f t="shared" si="132"/>
        <v>0.44999999999999996</v>
      </c>
      <c r="AN164" s="82" t="str">
        <f t="shared" si="133"/>
        <v/>
      </c>
      <c r="AO164" s="79" t="str">
        <f t="shared" si="134"/>
        <v/>
      </c>
      <c r="AP164" t="str">
        <f t="shared" si="135"/>
        <v/>
      </c>
      <c r="AQ164" s="82" t="str">
        <f t="shared" si="136"/>
        <v>X</v>
      </c>
      <c r="AR164" t="str">
        <f t="shared" si="137"/>
        <v>X</v>
      </c>
      <c r="AS164" t="str">
        <f t="shared" si="138"/>
        <v>X</v>
      </c>
      <c r="AT164" t="str">
        <f t="shared" si="139"/>
        <v/>
      </c>
      <c r="AU164" t="str">
        <f t="shared" si="140"/>
        <v/>
      </c>
      <c r="AV164" s="82" t="str">
        <f t="shared" si="141"/>
        <v>X</v>
      </c>
      <c r="AW164" t="str">
        <f t="shared" si="142"/>
        <v>X</v>
      </c>
      <c r="AX164" t="str">
        <f t="shared" si="143"/>
        <v>X</v>
      </c>
      <c r="AY164" s="82" t="str">
        <f t="shared" si="144"/>
        <v/>
      </c>
      <c r="AZ164" t="str">
        <f t="shared" si="145"/>
        <v/>
      </c>
      <c r="BA164" t="str">
        <f t="shared" si="146"/>
        <v/>
      </c>
      <c r="BB164" s="83" t="str">
        <f t="shared" si="147"/>
        <v/>
      </c>
      <c r="BC164" s="84">
        <f t="shared" si="148"/>
        <v>0</v>
      </c>
      <c r="BD164" s="84">
        <f t="shared" si="149"/>
        <v>0.52380952380952372</v>
      </c>
      <c r="BE164" s="84">
        <f t="shared" si="150"/>
        <v>1</v>
      </c>
      <c r="BF164" s="84">
        <f t="shared" si="151"/>
        <v>0</v>
      </c>
      <c r="BG164" s="78">
        <f>IF(AN164="",0,VLOOKUP(AN164,Tables!$AB$3:$AC$12,2))</f>
        <v>0</v>
      </c>
      <c r="BH164" s="79">
        <f>IF(AO164="",0,VLOOKUP(AO164,Tables!$AB$3:$AC$12,2))</f>
        <v>0</v>
      </c>
      <c r="BI164" s="79">
        <f>IF(AP164="",0,VLOOKUP(AP164,Tables!$AB$3:$AC$12,2))</f>
        <v>0</v>
      </c>
      <c r="BJ164" s="78">
        <f>IF(AQ164="",0,VLOOKUP(AQ164,Tables!$AB$3:$AC$12,2))</f>
        <v>1</v>
      </c>
      <c r="BK164" s="79">
        <f>IF(AR164="",0,VLOOKUP(AR164,Tables!$AB$3:$AC$12,2))</f>
        <v>1</v>
      </c>
      <c r="BL164" s="79">
        <f>IF(AS164="",0,VLOOKUP(AS164,Tables!$AB$3:$AC$12,2))</f>
        <v>1</v>
      </c>
      <c r="BM164" s="79">
        <f>IF(AT164="",0,VLOOKUP(AT164,Tables!$AB$3:$AC$12,2))</f>
        <v>0</v>
      </c>
      <c r="BN164" s="79">
        <f>IF(AU164="",0,VLOOKUP(AU164,Tables!$AB$3:$AC$12,2))</f>
        <v>0</v>
      </c>
      <c r="BO164" s="78">
        <f>IF(AV164="",0,VLOOKUP(AV164,Tables!$AB$3:$AC$12,2))</f>
        <v>1</v>
      </c>
      <c r="BP164" s="79">
        <f>IF(AW164="",0,VLOOKUP(AW164,Tables!$AB$3:$AC$12,2))</f>
        <v>1</v>
      </c>
      <c r="BQ164" s="79">
        <f>IF(AX164="",0,VLOOKUP(AX164,Tables!$AB$3:$AC$12,2))</f>
        <v>1</v>
      </c>
      <c r="BR164" s="78">
        <f>IF(AY164="",0,VLOOKUP(AY164,Tables!$AB$3:$AC$12,2))</f>
        <v>0</v>
      </c>
      <c r="BS164" s="79">
        <f>IF(AZ164="",0,VLOOKUP(AZ164,Tables!$AB$3:$AC$12,2))</f>
        <v>0</v>
      </c>
      <c r="BT164" s="79">
        <f>IF(BA164="",0,VLOOKUP(BA164,Tables!$AB$3:$AC$12,2))</f>
        <v>0</v>
      </c>
      <c r="BU164" s="80">
        <f>IF(BB164="",0,VLOOKUP(BB164,Tables!$AB$3:$AC$12,2))</f>
        <v>0</v>
      </c>
      <c r="BV164" s="85">
        <f>IF(AN164="",0,VLOOKUP(B164,Tables!$B$3:$D$36,2,FALSE())*X$1)</f>
        <v>0</v>
      </c>
      <c r="BW164" s="72">
        <f>IF(AO164="",0,VLOOKUP(C164,Tables!$B$3:$D$36,2,FALSE())*Y$1)</f>
        <v>0</v>
      </c>
      <c r="BX164" s="72">
        <f>IF(AP164="",0,VLOOKUP(D164,Tables!$B$3:$D$36,2,FALSE())*Z$1)</f>
        <v>0</v>
      </c>
      <c r="BY164" s="85">
        <f>IF(AQ164="",0,VLOOKUP(E164,Tables!$B$3:$D$36,2,FALSE())*AA$1)</f>
        <v>3.5999999999999996</v>
      </c>
      <c r="BZ164" s="72">
        <f>IF(AR164="",0,VLOOKUP(F164,Tables!$B$3:$D$36,2,FALSE())*AB$1)</f>
        <v>7.1999999999999993</v>
      </c>
      <c r="CA164" s="72">
        <f>IF(AS164="",0,VLOOKUP(G164,Tables!$B$3:$D$36,2,FALSE())*AC$1)</f>
        <v>2.4</v>
      </c>
      <c r="CB164" s="72">
        <f>IF(AT164="",0,VLOOKUP(H164,Tables!$B$3:$D$36,2,FALSE())*AD$1)</f>
        <v>0</v>
      </c>
      <c r="CC164" s="72">
        <f>IF(AU164="",0,VLOOKUP(I164,Tables!$B$3:$D$36,2,FALSE())*AE$1)</f>
        <v>0</v>
      </c>
      <c r="CD164" s="85">
        <f>IF(AV164="",0,VLOOKUP(J164,Tables!$B$3:$D$36,2,FALSE())*AF$1)</f>
        <v>14.399999999999999</v>
      </c>
      <c r="CE164" s="72">
        <f>IF(AW164="",0,VLOOKUP(K164,Tables!$B$3:$D$36,2,FALSE())*AG$1)</f>
        <v>14.399999999999999</v>
      </c>
      <c r="CF164" s="72">
        <f>IF(AX164="",0,VLOOKUP(L164,Tables!$B$3:$D$36,2,FALSE())*AH$1)</f>
        <v>12</v>
      </c>
      <c r="CG164" s="85">
        <f>IF(AY164="",0,VLOOKUP(M164,Tables!$B$3:$D$36,2,FALSE())*AI$1)</f>
        <v>0</v>
      </c>
      <c r="CH164" s="72">
        <f>IF(AZ164="",0,VLOOKUP(N164,Tables!$B$3:$D$36,2,FALSE())*AJ$1)</f>
        <v>0</v>
      </c>
      <c r="CI164" s="72">
        <f>IF(BA164="",0,VLOOKUP(O164,Tables!$B$3:$D$36,2,FALSE())*AK$1)</f>
        <v>0</v>
      </c>
      <c r="CJ164" s="86">
        <f>IF(BB164="",0,VLOOKUP(P164,Tables!$B$3:$D$36,2,FALSE())*AL$1)</f>
        <v>0</v>
      </c>
      <c r="CK164" s="87">
        <f>IF(AN164="",0,VLOOKUP(B164,Tables!$B$3:$D$36,3,FALSE())*X$1)*IF(OR(AN164="K",AN164="P"),2,1)</f>
        <v>0</v>
      </c>
      <c r="CL164" s="73">
        <f>IF(AO164="",0,VLOOKUP(C164,Tables!$B$3:$D$36,3,FALSE())*Y$1)*IF(OR(AO164="K",AO164="P"),2,1)</f>
        <v>0</v>
      </c>
      <c r="CM164" s="73">
        <f>IF(AP164="",0,VLOOKUP(D164,Tables!$B$3:$D$36,3,FALSE())*Z$1)*IF(OR(AP164="K",AP164="P"),2,1)</f>
        <v>0</v>
      </c>
      <c r="CN164" s="87">
        <f>IF(AQ164="",0,VLOOKUP(E164,Tables!$B$3:$D$36,3,FALSE())*AA$1)</f>
        <v>7.4999999999999997E-2</v>
      </c>
      <c r="CO164" s="73">
        <f>IF(AR164="",0,VLOOKUP(F164,Tables!$B$3:$D$36,3,FALSE())*AB$1)</f>
        <v>0.15</v>
      </c>
      <c r="CP164" s="73">
        <f>IF(AS164="",0,VLOOKUP(G164,Tables!$B$3:$D$36,3,FALSE())*AC$1)</f>
        <v>0.05</v>
      </c>
      <c r="CQ164" s="73">
        <f>IF(AT164="",0,VLOOKUP(H164,Tables!$B$3:$D$36,3,FALSE())*AD$1)</f>
        <v>0</v>
      </c>
      <c r="CR164" s="73">
        <f>IF(AU164="",0,VLOOKUP(I164,Tables!$B$3:$D$36,3,FALSE())*AE$1)</f>
        <v>0</v>
      </c>
      <c r="CS164" s="87">
        <f>IF(AV164="",0,VLOOKUP(J164,Tables!$B$3:$D$36,3,FALSE())*AF$1)</f>
        <v>0.3</v>
      </c>
      <c r="CT164" s="73">
        <f>IF(AW164="",0,VLOOKUP(K164,Tables!$B$3:$D$36,3,FALSE())*AG$1)</f>
        <v>0.3</v>
      </c>
      <c r="CU164" s="73">
        <f>IF(AX164="",0,VLOOKUP(L164,Tables!$B$3:$D$36,3,FALSE())*AH$1)</f>
        <v>0.25</v>
      </c>
      <c r="CV164" s="87">
        <f>IF(AY164="",0,VLOOKUP(M164,Tables!$B$3:$D$36,3,FALSE())*AI$1)</f>
        <v>0</v>
      </c>
      <c r="CW164" s="73">
        <f>IF(AZ164="",0,VLOOKUP(N164,Tables!$B$3:$D$36,3,FALSE())*AJ$1)</f>
        <v>0</v>
      </c>
      <c r="CX164" s="73">
        <f>IF(BA164="",0,VLOOKUP(O164,Tables!$B$3:$D$36,3,FALSE())*AK$1)</f>
        <v>0</v>
      </c>
      <c r="CY164" s="88">
        <f>IF(BB164="",0,VLOOKUP(P164,Tables!$B$3:$D$36,3,FALSE())*AL$1)</f>
        <v>0</v>
      </c>
      <c r="CZ164" s="89">
        <f t="shared" si="152"/>
        <v>0</v>
      </c>
      <c r="DA164" s="75">
        <f t="shared" si="153"/>
        <v>0</v>
      </c>
      <c r="DB164" s="75">
        <f t="shared" si="154"/>
        <v>0</v>
      </c>
      <c r="DC164" s="89">
        <f t="shared" si="155"/>
        <v>1</v>
      </c>
      <c r="DD164" s="75">
        <f t="shared" si="156"/>
        <v>1</v>
      </c>
      <c r="DE164" s="75">
        <f t="shared" si="157"/>
        <v>1</v>
      </c>
      <c r="DF164" s="75">
        <f t="shared" si="158"/>
        <v>0</v>
      </c>
      <c r="DG164" s="75">
        <f t="shared" si="159"/>
        <v>0</v>
      </c>
      <c r="DH164" s="89">
        <f t="shared" si="160"/>
        <v>1</v>
      </c>
      <c r="DI164" s="75">
        <f t="shared" si="161"/>
        <v>1</v>
      </c>
      <c r="DJ164" s="75">
        <f t="shared" si="162"/>
        <v>1</v>
      </c>
      <c r="DK164" s="89">
        <f t="shared" si="163"/>
        <v>0</v>
      </c>
      <c r="DL164" s="75">
        <f t="shared" si="164"/>
        <v>0</v>
      </c>
      <c r="DM164" s="75">
        <f t="shared" si="165"/>
        <v>0</v>
      </c>
      <c r="DN164" s="90">
        <f t="shared" si="166"/>
        <v>0</v>
      </c>
      <c r="DO164" s="91">
        <f>IF(AN164="",0,VLOOKUP(B164,Tables!$B$3:$M$36,11,FALSE())*X$1)</f>
        <v>0</v>
      </c>
      <c r="DP164" s="92">
        <f>IF(AO164="",0,VLOOKUP(C164,Tables!$B$3:$M$36,11,FALSE())*Y$1)</f>
        <v>0</v>
      </c>
      <c r="DQ164" s="92">
        <f>IF(AP164="",0,VLOOKUP(D164,Tables!$B$3:$M$36,11,FALSE())*Z$1)</f>
        <v>0</v>
      </c>
      <c r="DR164" s="91">
        <f>IF(AQ164="",0,VLOOKUP(E164,Tables!$B$3:$M$36,11,FALSE())*AA$1)</f>
        <v>0.6</v>
      </c>
      <c r="DS164" s="92">
        <f>IF(AR164="",0,VLOOKUP(F164,Tables!$B$3:$M$36,11,FALSE())*AB$1)</f>
        <v>1.2</v>
      </c>
      <c r="DT164" s="92">
        <f>IF(AS164="",0,VLOOKUP(G164,Tables!$B$3:$M$36,11,FALSE())*AC$1)</f>
        <v>0.4</v>
      </c>
      <c r="DU164" s="92">
        <f>IF(AT164="",0,VLOOKUP(H164,Tables!$B$3:$M$36,11,FALSE())*AD$1)</f>
        <v>0</v>
      </c>
      <c r="DV164" s="92">
        <f>IF(AU164="",0,VLOOKUP(I164,Tables!$B$3:$M$36,11,FALSE())*AE$1)</f>
        <v>0</v>
      </c>
      <c r="DW164" s="91">
        <f>IF(AV164="",0,VLOOKUP(J164,Tables!$B$3:$M$36,11,FALSE())*AF$1)</f>
        <v>2.4</v>
      </c>
      <c r="DX164" s="92">
        <f>IF(AW164="",0,VLOOKUP(K164,Tables!$B$3:$M$36,11,FALSE())*AG$1)</f>
        <v>2.4</v>
      </c>
      <c r="DY164" s="92">
        <f>IF(AX164="",0,VLOOKUP(L164,Tables!$B$3:$M$36,11,FALSE())*AH$1)</f>
        <v>2</v>
      </c>
      <c r="DZ164" s="91">
        <f>IF(AY164="",0,VLOOKUP(M164,Tables!$B$3:$M$36,11,FALSE())*AI$1)</f>
        <v>0</v>
      </c>
      <c r="EA164" s="92">
        <f>IF(AZ164="",0,VLOOKUP(N164,Tables!$B$3:$M$36,11,FALSE())*AJ$1)</f>
        <v>0</v>
      </c>
      <c r="EB164" s="92">
        <f>IF(BA164="",0,VLOOKUP(O164,Tables!$B$3:$M$36,11,FALSE())*AK$1)</f>
        <v>0</v>
      </c>
      <c r="EC164" s="93">
        <f>IF(BB164="",0,VLOOKUP(P164,Tables!$B$3:$M$36,11,FALSE())*AL$1)</f>
        <v>0</v>
      </c>
      <c r="ED164" s="91">
        <f>IF(AN164="",0,VLOOKUP(B164,Tables!$B$3:$M$36,12,FALSE())*X$1)</f>
        <v>0</v>
      </c>
      <c r="EE164" s="92">
        <f>IF(AO164="",0,VLOOKUP(C164,Tables!$B$3:$M$36,12,FALSE())*Y$1)</f>
        <v>0</v>
      </c>
      <c r="EF164" s="92">
        <f>IF(AP164="",0,VLOOKUP(D164,Tables!$B$3:$M$36,12,FALSE())*Z$1)</f>
        <v>0</v>
      </c>
      <c r="EG164" s="91">
        <f>IF(AQ164="",0,VLOOKUP(E164,Tables!$B$3:$M$36,12,FALSE())*AA$1)</f>
        <v>2.6999999999999997</v>
      </c>
      <c r="EH164" s="92">
        <f>IF(AR164="",0,VLOOKUP(F164,Tables!$B$3:$M$36,12,FALSE())*AB$1)</f>
        <v>5.3999999999999995</v>
      </c>
      <c r="EI164" s="92">
        <f>IF(AS164="",0,VLOOKUP(G164,Tables!$B$3:$M$36,12,FALSE())*AC$1)</f>
        <v>1.8</v>
      </c>
      <c r="EJ164" s="92">
        <f>IF(AT164="",0,VLOOKUP(H164,Tables!$B$3:$M$36,12,FALSE())*AD$1)</f>
        <v>0</v>
      </c>
      <c r="EK164" s="92">
        <f>IF(AU164="",0,VLOOKUP(I164,Tables!$B$3:$M$36,12,FALSE())*AE$1)</f>
        <v>0</v>
      </c>
      <c r="EL164" s="91">
        <f>IF(AV164="",0,VLOOKUP(J164,Tables!$B$3:$M$36,12,FALSE())*AF$1)</f>
        <v>10.799999999999999</v>
      </c>
      <c r="EM164" s="92">
        <f>IF(AW164="",0,VLOOKUP(K164,Tables!$B$3:$M$36,12,FALSE())*AG$1)</f>
        <v>10.799999999999999</v>
      </c>
      <c r="EN164" s="92">
        <f>IF(AX164="",0,VLOOKUP(L164,Tables!$B$3:$M$36,12,FALSE())*AH$1)</f>
        <v>9</v>
      </c>
      <c r="EO164" s="91">
        <f>IF(AY164="",0,VLOOKUP(M164,Tables!$B$3:$M$36,12,FALSE())*AI$1)</f>
        <v>0</v>
      </c>
      <c r="EP164" s="92">
        <f>IF(AZ164="",0,VLOOKUP(N164,Tables!$B$3:$M$36,12,FALSE())*AJ$1)</f>
        <v>0</v>
      </c>
      <c r="EQ164" s="92">
        <f>IF(BA164="",0,VLOOKUP(O164,Tables!$B$3:$M$36,12,FALSE())*AK$1)</f>
        <v>0</v>
      </c>
      <c r="ER164" s="93">
        <f>IF(BB164="",0,VLOOKUP(P164,Tables!$B$3:$M$36,12,FALSE())*AL$1)</f>
        <v>0</v>
      </c>
      <c r="ES164" s="94">
        <f t="shared" si="167"/>
        <v>0</v>
      </c>
      <c r="ET164" s="95">
        <f>IF(AN164="",10,MIN(VLOOKUP(B164,MATERIAL,13,FALSE()),'Item Builder'!$W164))</f>
        <v>10</v>
      </c>
      <c r="EU164" s="95">
        <f>IF(AO164="",10,MIN(VLOOKUP(C164,MATERIAL,13,FALSE()),'Item Builder'!$W164))</f>
        <v>10</v>
      </c>
      <c r="EV164" s="95">
        <f>IF(AP164="",10,MIN(VLOOKUP(D164,MATERIAL,13,FALSE()),'Item Builder'!$W164))</f>
        <v>10</v>
      </c>
      <c r="EW164" s="95">
        <f>IF(AQ164="",10,MIN(VLOOKUP(E164,MATERIAL,13,FALSE()),'Item Builder'!$W164))</f>
        <v>0</v>
      </c>
      <c r="EX164" s="95">
        <f>IF(AR164="",10,MIN(VLOOKUP(F164,MATERIAL,13,FALSE()),'Item Builder'!$W164))</f>
        <v>0</v>
      </c>
      <c r="EY164" s="95">
        <f>IF(AS164="",10,MIN(VLOOKUP(G164,MATERIAL,13,FALSE()),'Item Builder'!$W164))</f>
        <v>0</v>
      </c>
      <c r="EZ164" s="95">
        <f>IF(AT164="",10,MIN(VLOOKUP(H164,MATERIAL,13,FALSE()),'Item Builder'!$W164))</f>
        <v>10</v>
      </c>
      <c r="FA164" s="95">
        <f>IF(AU164="",10,MIN(VLOOKUP(I164,MATERIAL,13,FALSE()),'Item Builder'!$W164))</f>
        <v>10</v>
      </c>
      <c r="FB164" s="95">
        <f>IF(AV164="",10,MIN(VLOOKUP(J164,MATERIAL,13,FALSE()),'Item Builder'!$W164))</f>
        <v>0</v>
      </c>
      <c r="FC164" s="95">
        <f>IF(AW164="",10,MIN(VLOOKUP(K164,MATERIAL,13,FALSE()),'Item Builder'!$W164))</f>
        <v>0</v>
      </c>
      <c r="FD164" s="95">
        <f>IF(AX164="",10,MIN(VLOOKUP(L164,MATERIAL,13,FALSE()),'Item Builder'!$W164))</f>
        <v>0</v>
      </c>
      <c r="FE164" s="95">
        <f>IF(AY164="",10,MIN(VLOOKUP(M164,MATERIAL,13,FALSE()),'Item Builder'!$W164))</f>
        <v>10</v>
      </c>
      <c r="FF164" s="95">
        <f>IF(AZ164="",10,MIN(VLOOKUP(N164,MATERIAL,13,FALSE()),'Item Builder'!$W164))</f>
        <v>10</v>
      </c>
      <c r="FG164" s="95">
        <f>IF(BA164="",10,MIN(VLOOKUP(O164,MATERIAL,13,FALSE()),'Item Builder'!$W164))</f>
        <v>10</v>
      </c>
      <c r="FH164" s="95">
        <f>IF(BB164="",10,MIN(VLOOKUP(P164,MATERIAL,13,FALSE()),'Item Builder'!$W164))</f>
        <v>10</v>
      </c>
    </row>
    <row r="165" spans="1:164" x14ac:dyDescent="0.25">
      <c r="A165" s="67" t="s">
        <v>305</v>
      </c>
      <c r="B165" s="68"/>
      <c r="C165" s="69"/>
      <c r="D165" s="70"/>
      <c r="E165" s="68" t="s">
        <v>171</v>
      </c>
      <c r="F165" s="69" t="s">
        <v>171</v>
      </c>
      <c r="G165" s="69" t="s">
        <v>171</v>
      </c>
      <c r="H165" s="69" t="s">
        <v>171</v>
      </c>
      <c r="I165" s="70"/>
      <c r="J165" s="68" t="s">
        <v>171</v>
      </c>
      <c r="K165" s="69" t="s">
        <v>171</v>
      </c>
      <c r="L165" s="70" t="s">
        <v>171</v>
      </c>
      <c r="M165" s="68"/>
      <c r="N165" s="69"/>
      <c r="O165" s="69"/>
      <c r="P165" s="71"/>
      <c r="Q165" s="72">
        <f>SUM(BV165:CJ165)*VLOOKUP(W165,Tables!$W$3:$Z$8,4)</f>
        <v>59.999999999999993</v>
      </c>
      <c r="R165" s="73">
        <f t="shared" si="112"/>
        <v>1.25</v>
      </c>
      <c r="S165" s="74">
        <f t="shared" si="113"/>
        <v>0</v>
      </c>
      <c r="T165" s="74">
        <f t="shared" si="114"/>
        <v>0</v>
      </c>
      <c r="U165" s="75">
        <f t="shared" si="115"/>
        <v>10</v>
      </c>
      <c r="V165" s="76">
        <f t="shared" si="116"/>
        <v>45</v>
      </c>
      <c r="W165" s="77">
        <v>0</v>
      </c>
      <c r="X165" s="78">
        <f t="shared" si="117"/>
        <v>0</v>
      </c>
      <c r="Y165" s="79">
        <f t="shared" si="118"/>
        <v>0</v>
      </c>
      <c r="Z165" s="79">
        <f t="shared" si="119"/>
        <v>0</v>
      </c>
      <c r="AA165" s="78">
        <f t="shared" si="120"/>
        <v>1</v>
      </c>
      <c r="AB165" s="79">
        <f t="shared" si="121"/>
        <v>1</v>
      </c>
      <c r="AC165" s="79">
        <f t="shared" si="122"/>
        <v>1</v>
      </c>
      <c r="AD165" s="79">
        <f t="shared" si="123"/>
        <v>1</v>
      </c>
      <c r="AE165" s="79">
        <f t="shared" si="124"/>
        <v>0</v>
      </c>
      <c r="AF165" s="78">
        <f t="shared" si="125"/>
        <v>1</v>
      </c>
      <c r="AG165" s="79">
        <f t="shared" si="126"/>
        <v>1</v>
      </c>
      <c r="AH165" s="79">
        <f t="shared" si="127"/>
        <v>1</v>
      </c>
      <c r="AI165" s="78">
        <f t="shared" si="128"/>
        <v>0</v>
      </c>
      <c r="AJ165" s="79">
        <f t="shared" si="129"/>
        <v>0</v>
      </c>
      <c r="AK165" s="79">
        <f t="shared" si="130"/>
        <v>0</v>
      </c>
      <c r="AL165" s="80">
        <f t="shared" si="131"/>
        <v>0</v>
      </c>
      <c r="AM165" s="81">
        <f t="shared" si="132"/>
        <v>0.5</v>
      </c>
      <c r="AN165" s="82" t="str">
        <f t="shared" si="133"/>
        <v/>
      </c>
      <c r="AO165" s="79" t="str">
        <f t="shared" si="134"/>
        <v/>
      </c>
      <c r="AP165" t="str">
        <f t="shared" si="135"/>
        <v/>
      </c>
      <c r="AQ165" s="82" t="str">
        <f t="shared" si="136"/>
        <v>X</v>
      </c>
      <c r="AR165" t="str">
        <f t="shared" si="137"/>
        <v>X</v>
      </c>
      <c r="AS165" t="str">
        <f t="shared" si="138"/>
        <v>X</v>
      </c>
      <c r="AT165" t="str">
        <f t="shared" si="139"/>
        <v>X</v>
      </c>
      <c r="AU165" t="str">
        <f t="shared" si="140"/>
        <v/>
      </c>
      <c r="AV165" s="82" t="str">
        <f t="shared" si="141"/>
        <v>X</v>
      </c>
      <c r="AW165" t="str">
        <f t="shared" si="142"/>
        <v>X</v>
      </c>
      <c r="AX165" t="str">
        <f t="shared" si="143"/>
        <v>X</v>
      </c>
      <c r="AY165" s="82" t="str">
        <f t="shared" si="144"/>
        <v/>
      </c>
      <c r="AZ165" t="str">
        <f t="shared" si="145"/>
        <v/>
      </c>
      <c r="BA165" t="str">
        <f t="shared" si="146"/>
        <v/>
      </c>
      <c r="BB165" s="83" t="str">
        <f t="shared" si="147"/>
        <v/>
      </c>
      <c r="BC165" s="84">
        <f t="shared" si="148"/>
        <v>0</v>
      </c>
      <c r="BD165" s="84">
        <f t="shared" si="149"/>
        <v>0.76190476190476186</v>
      </c>
      <c r="BE165" s="84">
        <f t="shared" si="150"/>
        <v>1</v>
      </c>
      <c r="BF165" s="84">
        <f t="shared" si="151"/>
        <v>0</v>
      </c>
      <c r="BG165" s="78">
        <f>IF(AN165="",0,VLOOKUP(AN165,Tables!$AB$3:$AC$12,2))</f>
        <v>0</v>
      </c>
      <c r="BH165" s="79">
        <f>IF(AO165="",0,VLOOKUP(AO165,Tables!$AB$3:$AC$12,2))</f>
        <v>0</v>
      </c>
      <c r="BI165" s="79">
        <f>IF(AP165="",0,VLOOKUP(AP165,Tables!$AB$3:$AC$12,2))</f>
        <v>0</v>
      </c>
      <c r="BJ165" s="78">
        <f>IF(AQ165="",0,VLOOKUP(AQ165,Tables!$AB$3:$AC$12,2))</f>
        <v>1</v>
      </c>
      <c r="BK165" s="79">
        <f>IF(AR165="",0,VLOOKUP(AR165,Tables!$AB$3:$AC$12,2))</f>
        <v>1</v>
      </c>
      <c r="BL165" s="79">
        <f>IF(AS165="",0,VLOOKUP(AS165,Tables!$AB$3:$AC$12,2))</f>
        <v>1</v>
      </c>
      <c r="BM165" s="79">
        <f>IF(AT165="",0,VLOOKUP(AT165,Tables!$AB$3:$AC$12,2))</f>
        <v>1</v>
      </c>
      <c r="BN165" s="79">
        <f>IF(AU165="",0,VLOOKUP(AU165,Tables!$AB$3:$AC$12,2))</f>
        <v>0</v>
      </c>
      <c r="BO165" s="78">
        <f>IF(AV165="",0,VLOOKUP(AV165,Tables!$AB$3:$AC$12,2))</f>
        <v>1</v>
      </c>
      <c r="BP165" s="79">
        <f>IF(AW165="",0,VLOOKUP(AW165,Tables!$AB$3:$AC$12,2))</f>
        <v>1</v>
      </c>
      <c r="BQ165" s="79">
        <f>IF(AX165="",0,VLOOKUP(AX165,Tables!$AB$3:$AC$12,2))</f>
        <v>1</v>
      </c>
      <c r="BR165" s="78">
        <f>IF(AY165="",0,VLOOKUP(AY165,Tables!$AB$3:$AC$12,2))</f>
        <v>0</v>
      </c>
      <c r="BS165" s="79">
        <f>IF(AZ165="",0,VLOOKUP(AZ165,Tables!$AB$3:$AC$12,2))</f>
        <v>0</v>
      </c>
      <c r="BT165" s="79">
        <f>IF(BA165="",0,VLOOKUP(BA165,Tables!$AB$3:$AC$12,2))</f>
        <v>0</v>
      </c>
      <c r="BU165" s="80">
        <f>IF(BB165="",0,VLOOKUP(BB165,Tables!$AB$3:$AC$12,2))</f>
        <v>0</v>
      </c>
      <c r="BV165" s="85">
        <f>IF(AN165="",0,VLOOKUP(B165,Tables!$B$3:$D$36,2,FALSE())*X$1)</f>
        <v>0</v>
      </c>
      <c r="BW165" s="72">
        <f>IF(AO165="",0,VLOOKUP(C165,Tables!$B$3:$D$36,2,FALSE())*Y$1)</f>
        <v>0</v>
      </c>
      <c r="BX165" s="72">
        <f>IF(AP165="",0,VLOOKUP(D165,Tables!$B$3:$D$36,2,FALSE())*Z$1)</f>
        <v>0</v>
      </c>
      <c r="BY165" s="85">
        <f>IF(AQ165="",0,VLOOKUP(E165,Tables!$B$3:$D$36,2,FALSE())*AA$1)</f>
        <v>3.5999999999999996</v>
      </c>
      <c r="BZ165" s="72">
        <f>IF(AR165="",0,VLOOKUP(F165,Tables!$B$3:$D$36,2,FALSE())*AB$1)</f>
        <v>7.1999999999999993</v>
      </c>
      <c r="CA165" s="72">
        <f>IF(AS165="",0,VLOOKUP(G165,Tables!$B$3:$D$36,2,FALSE())*AC$1)</f>
        <v>2.4</v>
      </c>
      <c r="CB165" s="72">
        <f>IF(AT165="",0,VLOOKUP(H165,Tables!$B$3:$D$36,2,FALSE())*AD$1)</f>
        <v>6</v>
      </c>
      <c r="CC165" s="72">
        <f>IF(AU165="",0,VLOOKUP(I165,Tables!$B$3:$D$36,2,FALSE())*AE$1)</f>
        <v>0</v>
      </c>
      <c r="CD165" s="85">
        <f>IF(AV165="",0,VLOOKUP(J165,Tables!$B$3:$D$36,2,FALSE())*AF$1)</f>
        <v>14.399999999999999</v>
      </c>
      <c r="CE165" s="72">
        <f>IF(AW165="",0,VLOOKUP(K165,Tables!$B$3:$D$36,2,FALSE())*AG$1)</f>
        <v>14.399999999999999</v>
      </c>
      <c r="CF165" s="72">
        <f>IF(AX165="",0,VLOOKUP(L165,Tables!$B$3:$D$36,2,FALSE())*AH$1)</f>
        <v>12</v>
      </c>
      <c r="CG165" s="85">
        <f>IF(AY165="",0,VLOOKUP(M165,Tables!$B$3:$D$36,2,FALSE())*AI$1)</f>
        <v>0</v>
      </c>
      <c r="CH165" s="72">
        <f>IF(AZ165="",0,VLOOKUP(N165,Tables!$B$3:$D$36,2,FALSE())*AJ$1)</f>
        <v>0</v>
      </c>
      <c r="CI165" s="72">
        <f>IF(BA165="",0,VLOOKUP(O165,Tables!$B$3:$D$36,2,FALSE())*AK$1)</f>
        <v>0</v>
      </c>
      <c r="CJ165" s="86">
        <f>IF(BB165="",0,VLOOKUP(P165,Tables!$B$3:$D$36,2,FALSE())*AL$1)</f>
        <v>0</v>
      </c>
      <c r="CK165" s="87">
        <f>IF(AN165="",0,VLOOKUP(B165,Tables!$B$3:$D$36,3,FALSE())*X$1)*IF(OR(AN165="K",AN165="P"),2,1)</f>
        <v>0</v>
      </c>
      <c r="CL165" s="73">
        <f>IF(AO165="",0,VLOOKUP(C165,Tables!$B$3:$D$36,3,FALSE())*Y$1)*IF(OR(AO165="K",AO165="P"),2,1)</f>
        <v>0</v>
      </c>
      <c r="CM165" s="73">
        <f>IF(AP165="",0,VLOOKUP(D165,Tables!$B$3:$D$36,3,FALSE())*Z$1)*IF(OR(AP165="K",AP165="P"),2,1)</f>
        <v>0</v>
      </c>
      <c r="CN165" s="87">
        <f>IF(AQ165="",0,VLOOKUP(E165,Tables!$B$3:$D$36,3,FALSE())*AA$1)</f>
        <v>7.4999999999999997E-2</v>
      </c>
      <c r="CO165" s="73">
        <f>IF(AR165="",0,VLOOKUP(F165,Tables!$B$3:$D$36,3,FALSE())*AB$1)</f>
        <v>0.15</v>
      </c>
      <c r="CP165" s="73">
        <f>IF(AS165="",0,VLOOKUP(G165,Tables!$B$3:$D$36,3,FALSE())*AC$1)</f>
        <v>0.05</v>
      </c>
      <c r="CQ165" s="73">
        <f>IF(AT165="",0,VLOOKUP(H165,Tables!$B$3:$D$36,3,FALSE())*AD$1)</f>
        <v>0.125</v>
      </c>
      <c r="CR165" s="73">
        <f>IF(AU165="",0,VLOOKUP(I165,Tables!$B$3:$D$36,3,FALSE())*AE$1)</f>
        <v>0</v>
      </c>
      <c r="CS165" s="87">
        <f>IF(AV165="",0,VLOOKUP(J165,Tables!$B$3:$D$36,3,FALSE())*AF$1)</f>
        <v>0.3</v>
      </c>
      <c r="CT165" s="73">
        <f>IF(AW165="",0,VLOOKUP(K165,Tables!$B$3:$D$36,3,FALSE())*AG$1)</f>
        <v>0.3</v>
      </c>
      <c r="CU165" s="73">
        <f>IF(AX165="",0,VLOOKUP(L165,Tables!$B$3:$D$36,3,FALSE())*AH$1)</f>
        <v>0.25</v>
      </c>
      <c r="CV165" s="87">
        <f>IF(AY165="",0,VLOOKUP(M165,Tables!$B$3:$D$36,3,FALSE())*AI$1)</f>
        <v>0</v>
      </c>
      <c r="CW165" s="73">
        <f>IF(AZ165="",0,VLOOKUP(N165,Tables!$B$3:$D$36,3,FALSE())*AJ$1)</f>
        <v>0</v>
      </c>
      <c r="CX165" s="73">
        <f>IF(BA165="",0,VLOOKUP(O165,Tables!$B$3:$D$36,3,FALSE())*AK$1)</f>
        <v>0</v>
      </c>
      <c r="CY165" s="88">
        <f>IF(BB165="",0,VLOOKUP(P165,Tables!$B$3:$D$36,3,FALSE())*AL$1)</f>
        <v>0</v>
      </c>
      <c r="CZ165" s="89">
        <f t="shared" si="152"/>
        <v>0</v>
      </c>
      <c r="DA165" s="75">
        <f t="shared" si="153"/>
        <v>0</v>
      </c>
      <c r="DB165" s="75">
        <f t="shared" si="154"/>
        <v>0</v>
      </c>
      <c r="DC165" s="89">
        <f t="shared" si="155"/>
        <v>1</v>
      </c>
      <c r="DD165" s="75">
        <f t="shared" si="156"/>
        <v>1</v>
      </c>
      <c r="DE165" s="75">
        <f t="shared" si="157"/>
        <v>1</v>
      </c>
      <c r="DF165" s="75">
        <f t="shared" si="158"/>
        <v>1</v>
      </c>
      <c r="DG165" s="75">
        <f t="shared" si="159"/>
        <v>0</v>
      </c>
      <c r="DH165" s="89">
        <f t="shared" si="160"/>
        <v>1</v>
      </c>
      <c r="DI165" s="75">
        <f t="shared" si="161"/>
        <v>1</v>
      </c>
      <c r="DJ165" s="75">
        <f t="shared" si="162"/>
        <v>1</v>
      </c>
      <c r="DK165" s="89">
        <f t="shared" si="163"/>
        <v>0</v>
      </c>
      <c r="DL165" s="75">
        <f t="shared" si="164"/>
        <v>0</v>
      </c>
      <c r="DM165" s="75">
        <f t="shared" si="165"/>
        <v>0</v>
      </c>
      <c r="DN165" s="90">
        <f t="shared" si="166"/>
        <v>0</v>
      </c>
      <c r="DO165" s="91">
        <f>IF(AN165="",0,VLOOKUP(B165,Tables!$B$3:$M$36,11,FALSE())*X$1)</f>
        <v>0</v>
      </c>
      <c r="DP165" s="92">
        <f>IF(AO165="",0,VLOOKUP(C165,Tables!$B$3:$M$36,11,FALSE())*Y$1)</f>
        <v>0</v>
      </c>
      <c r="DQ165" s="92">
        <f>IF(AP165="",0,VLOOKUP(D165,Tables!$B$3:$M$36,11,FALSE())*Z$1)</f>
        <v>0</v>
      </c>
      <c r="DR165" s="91">
        <f>IF(AQ165="",0,VLOOKUP(E165,Tables!$B$3:$M$36,11,FALSE())*AA$1)</f>
        <v>0.6</v>
      </c>
      <c r="DS165" s="92">
        <f>IF(AR165="",0,VLOOKUP(F165,Tables!$B$3:$M$36,11,FALSE())*AB$1)</f>
        <v>1.2</v>
      </c>
      <c r="DT165" s="92">
        <f>IF(AS165="",0,VLOOKUP(G165,Tables!$B$3:$M$36,11,FALSE())*AC$1)</f>
        <v>0.4</v>
      </c>
      <c r="DU165" s="92">
        <f>IF(AT165="",0,VLOOKUP(H165,Tables!$B$3:$M$36,11,FALSE())*AD$1)</f>
        <v>1</v>
      </c>
      <c r="DV165" s="92">
        <f>IF(AU165="",0,VLOOKUP(I165,Tables!$B$3:$M$36,11,FALSE())*AE$1)</f>
        <v>0</v>
      </c>
      <c r="DW165" s="91">
        <f>IF(AV165="",0,VLOOKUP(J165,Tables!$B$3:$M$36,11,FALSE())*AF$1)</f>
        <v>2.4</v>
      </c>
      <c r="DX165" s="92">
        <f>IF(AW165="",0,VLOOKUP(K165,Tables!$B$3:$M$36,11,FALSE())*AG$1)</f>
        <v>2.4</v>
      </c>
      <c r="DY165" s="92">
        <f>IF(AX165="",0,VLOOKUP(L165,Tables!$B$3:$M$36,11,FALSE())*AH$1)</f>
        <v>2</v>
      </c>
      <c r="DZ165" s="91">
        <f>IF(AY165="",0,VLOOKUP(M165,Tables!$B$3:$M$36,11,FALSE())*AI$1)</f>
        <v>0</v>
      </c>
      <c r="EA165" s="92">
        <f>IF(AZ165="",0,VLOOKUP(N165,Tables!$B$3:$M$36,11,FALSE())*AJ$1)</f>
        <v>0</v>
      </c>
      <c r="EB165" s="92">
        <f>IF(BA165="",0,VLOOKUP(O165,Tables!$B$3:$M$36,11,FALSE())*AK$1)</f>
        <v>0</v>
      </c>
      <c r="EC165" s="93">
        <f>IF(BB165="",0,VLOOKUP(P165,Tables!$B$3:$M$36,11,FALSE())*AL$1)</f>
        <v>0</v>
      </c>
      <c r="ED165" s="91">
        <f>IF(AN165="",0,VLOOKUP(B165,Tables!$B$3:$M$36,12,FALSE())*X$1)</f>
        <v>0</v>
      </c>
      <c r="EE165" s="92">
        <f>IF(AO165="",0,VLOOKUP(C165,Tables!$B$3:$M$36,12,FALSE())*Y$1)</f>
        <v>0</v>
      </c>
      <c r="EF165" s="92">
        <f>IF(AP165="",0,VLOOKUP(D165,Tables!$B$3:$M$36,12,FALSE())*Z$1)</f>
        <v>0</v>
      </c>
      <c r="EG165" s="91">
        <f>IF(AQ165="",0,VLOOKUP(E165,Tables!$B$3:$M$36,12,FALSE())*AA$1)</f>
        <v>2.6999999999999997</v>
      </c>
      <c r="EH165" s="92">
        <f>IF(AR165="",0,VLOOKUP(F165,Tables!$B$3:$M$36,12,FALSE())*AB$1)</f>
        <v>5.3999999999999995</v>
      </c>
      <c r="EI165" s="92">
        <f>IF(AS165="",0,VLOOKUP(G165,Tables!$B$3:$M$36,12,FALSE())*AC$1)</f>
        <v>1.8</v>
      </c>
      <c r="EJ165" s="92">
        <f>IF(AT165="",0,VLOOKUP(H165,Tables!$B$3:$M$36,12,FALSE())*AD$1)</f>
        <v>4.5</v>
      </c>
      <c r="EK165" s="92">
        <f>IF(AU165="",0,VLOOKUP(I165,Tables!$B$3:$M$36,12,FALSE())*AE$1)</f>
        <v>0</v>
      </c>
      <c r="EL165" s="91">
        <f>IF(AV165="",0,VLOOKUP(J165,Tables!$B$3:$M$36,12,FALSE())*AF$1)</f>
        <v>10.799999999999999</v>
      </c>
      <c r="EM165" s="92">
        <f>IF(AW165="",0,VLOOKUP(K165,Tables!$B$3:$M$36,12,FALSE())*AG$1)</f>
        <v>10.799999999999999</v>
      </c>
      <c r="EN165" s="92">
        <f>IF(AX165="",0,VLOOKUP(L165,Tables!$B$3:$M$36,12,FALSE())*AH$1)</f>
        <v>9</v>
      </c>
      <c r="EO165" s="91">
        <f>IF(AY165="",0,VLOOKUP(M165,Tables!$B$3:$M$36,12,FALSE())*AI$1)</f>
        <v>0</v>
      </c>
      <c r="EP165" s="92">
        <f>IF(AZ165="",0,VLOOKUP(N165,Tables!$B$3:$M$36,12,FALSE())*AJ$1)</f>
        <v>0</v>
      </c>
      <c r="EQ165" s="92">
        <f>IF(BA165="",0,VLOOKUP(O165,Tables!$B$3:$M$36,12,FALSE())*AK$1)</f>
        <v>0</v>
      </c>
      <c r="ER165" s="93">
        <f>IF(BB165="",0,VLOOKUP(P165,Tables!$B$3:$M$36,12,FALSE())*AL$1)</f>
        <v>0</v>
      </c>
      <c r="ES165" s="94">
        <f t="shared" si="167"/>
        <v>0</v>
      </c>
      <c r="ET165" s="95">
        <f>IF(AN165="",10,MIN(VLOOKUP(B165,MATERIAL,13,FALSE()),'Item Builder'!$W165))</f>
        <v>10</v>
      </c>
      <c r="EU165" s="95">
        <f>IF(AO165="",10,MIN(VLOOKUP(C165,MATERIAL,13,FALSE()),'Item Builder'!$W165))</f>
        <v>10</v>
      </c>
      <c r="EV165" s="95">
        <f>IF(AP165="",10,MIN(VLOOKUP(D165,MATERIAL,13,FALSE()),'Item Builder'!$W165))</f>
        <v>10</v>
      </c>
      <c r="EW165" s="95">
        <f>IF(AQ165="",10,MIN(VLOOKUP(E165,MATERIAL,13,FALSE()),'Item Builder'!$W165))</f>
        <v>0</v>
      </c>
      <c r="EX165" s="95">
        <f>IF(AR165="",10,MIN(VLOOKUP(F165,MATERIAL,13,FALSE()),'Item Builder'!$W165))</f>
        <v>0</v>
      </c>
      <c r="EY165" s="95">
        <f>IF(AS165="",10,MIN(VLOOKUP(G165,MATERIAL,13,FALSE()),'Item Builder'!$W165))</f>
        <v>0</v>
      </c>
      <c r="EZ165" s="95">
        <f>IF(AT165="",10,MIN(VLOOKUP(H165,MATERIAL,13,FALSE()),'Item Builder'!$W165))</f>
        <v>0</v>
      </c>
      <c r="FA165" s="95">
        <f>IF(AU165="",10,MIN(VLOOKUP(I165,MATERIAL,13,FALSE()),'Item Builder'!$W165))</f>
        <v>10</v>
      </c>
      <c r="FB165" s="95">
        <f>IF(AV165="",10,MIN(VLOOKUP(J165,MATERIAL,13,FALSE()),'Item Builder'!$W165))</f>
        <v>0</v>
      </c>
      <c r="FC165" s="95">
        <f>IF(AW165="",10,MIN(VLOOKUP(K165,MATERIAL,13,FALSE()),'Item Builder'!$W165))</f>
        <v>0</v>
      </c>
      <c r="FD165" s="95">
        <f>IF(AX165="",10,MIN(VLOOKUP(L165,MATERIAL,13,FALSE()),'Item Builder'!$W165))</f>
        <v>0</v>
      </c>
      <c r="FE165" s="95">
        <f>IF(AY165="",10,MIN(VLOOKUP(M165,MATERIAL,13,FALSE()),'Item Builder'!$W165))</f>
        <v>10</v>
      </c>
      <c r="FF165" s="95">
        <f>IF(AZ165="",10,MIN(VLOOKUP(N165,MATERIAL,13,FALSE()),'Item Builder'!$W165))</f>
        <v>10</v>
      </c>
      <c r="FG165" s="95">
        <f>IF(BA165="",10,MIN(VLOOKUP(O165,MATERIAL,13,FALSE()),'Item Builder'!$W165))</f>
        <v>10</v>
      </c>
      <c r="FH165" s="95">
        <f>IF(BB165="",10,MIN(VLOOKUP(P165,MATERIAL,13,FALSE()),'Item Builder'!$W165))</f>
        <v>10</v>
      </c>
    </row>
    <row r="166" spans="1:164" x14ac:dyDescent="0.25">
      <c r="A166" s="67" t="s">
        <v>306</v>
      </c>
      <c r="B166" s="68"/>
      <c r="C166" s="69"/>
      <c r="D166" s="70"/>
      <c r="E166" s="68" t="s">
        <v>171</v>
      </c>
      <c r="F166" s="69" t="s">
        <v>171</v>
      </c>
      <c r="G166" s="69" t="s">
        <v>171</v>
      </c>
      <c r="H166" s="69" t="s">
        <v>171</v>
      </c>
      <c r="I166" s="70"/>
      <c r="J166" s="68" t="s">
        <v>171</v>
      </c>
      <c r="K166" s="69" t="s">
        <v>171</v>
      </c>
      <c r="L166" s="70" t="s">
        <v>171</v>
      </c>
      <c r="M166" s="68" t="s">
        <v>171</v>
      </c>
      <c r="N166" s="69"/>
      <c r="O166" s="69"/>
      <c r="P166" s="71"/>
      <c r="Q166" s="72">
        <f>SUM(BV166:CJ166)*VLOOKUP(W166,Tables!$W$3:$Z$8,4)</f>
        <v>76.8</v>
      </c>
      <c r="R166" s="73">
        <f t="shared" si="112"/>
        <v>1.6</v>
      </c>
      <c r="S166" s="74">
        <f t="shared" si="113"/>
        <v>0</v>
      </c>
      <c r="T166" s="74">
        <f t="shared" si="114"/>
        <v>0</v>
      </c>
      <c r="U166" s="75">
        <f t="shared" si="115"/>
        <v>12.8</v>
      </c>
      <c r="V166" s="76">
        <f t="shared" si="116"/>
        <v>57.6</v>
      </c>
      <c r="W166" s="77">
        <v>0</v>
      </c>
      <c r="X166" s="78">
        <f t="shared" si="117"/>
        <v>0</v>
      </c>
      <c r="Y166" s="79">
        <f t="shared" si="118"/>
        <v>0</v>
      </c>
      <c r="Z166" s="79">
        <f t="shared" si="119"/>
        <v>0</v>
      </c>
      <c r="AA166" s="78">
        <f t="shared" si="120"/>
        <v>1</v>
      </c>
      <c r="AB166" s="79">
        <f t="shared" si="121"/>
        <v>1</v>
      </c>
      <c r="AC166" s="79">
        <f t="shared" si="122"/>
        <v>1</v>
      </c>
      <c r="AD166" s="79">
        <f t="shared" si="123"/>
        <v>1</v>
      </c>
      <c r="AE166" s="79">
        <f t="shared" si="124"/>
        <v>0</v>
      </c>
      <c r="AF166" s="78">
        <f t="shared" si="125"/>
        <v>1</v>
      </c>
      <c r="AG166" s="79">
        <f t="shared" si="126"/>
        <v>1</v>
      </c>
      <c r="AH166" s="79">
        <f t="shared" si="127"/>
        <v>1</v>
      </c>
      <c r="AI166" s="78">
        <f t="shared" si="128"/>
        <v>1</v>
      </c>
      <c r="AJ166" s="79">
        <f t="shared" si="129"/>
        <v>0</v>
      </c>
      <c r="AK166" s="79">
        <f t="shared" si="130"/>
        <v>0</v>
      </c>
      <c r="AL166" s="80">
        <f t="shared" si="131"/>
        <v>0</v>
      </c>
      <c r="AM166" s="81">
        <f t="shared" si="132"/>
        <v>0.64</v>
      </c>
      <c r="AN166" s="82" t="str">
        <f t="shared" si="133"/>
        <v/>
      </c>
      <c r="AO166" s="79" t="str">
        <f t="shared" si="134"/>
        <v/>
      </c>
      <c r="AP166" t="str">
        <f t="shared" si="135"/>
        <v/>
      </c>
      <c r="AQ166" s="82" t="str">
        <f t="shared" si="136"/>
        <v>X</v>
      </c>
      <c r="AR166" t="str">
        <f t="shared" si="137"/>
        <v>X</v>
      </c>
      <c r="AS166" t="str">
        <f t="shared" si="138"/>
        <v>X</v>
      </c>
      <c r="AT166" t="str">
        <f t="shared" si="139"/>
        <v>X</v>
      </c>
      <c r="AU166" t="str">
        <f t="shared" si="140"/>
        <v/>
      </c>
      <c r="AV166" s="82" t="str">
        <f t="shared" si="141"/>
        <v>X</v>
      </c>
      <c r="AW166" t="str">
        <f t="shared" si="142"/>
        <v>X</v>
      </c>
      <c r="AX166" t="str">
        <f t="shared" si="143"/>
        <v>X</v>
      </c>
      <c r="AY166" s="82" t="str">
        <f t="shared" si="144"/>
        <v>X</v>
      </c>
      <c r="AZ166" t="str">
        <f t="shared" si="145"/>
        <v/>
      </c>
      <c r="BA166" t="str">
        <f t="shared" si="146"/>
        <v/>
      </c>
      <c r="BB166" s="83" t="str">
        <f t="shared" si="147"/>
        <v/>
      </c>
      <c r="BC166" s="84">
        <f t="shared" si="148"/>
        <v>0</v>
      </c>
      <c r="BD166" s="84">
        <f t="shared" si="149"/>
        <v>0.76190476190476186</v>
      </c>
      <c r="BE166" s="84">
        <f t="shared" si="150"/>
        <v>1</v>
      </c>
      <c r="BF166" s="84">
        <f t="shared" si="151"/>
        <v>0.3888888888888889</v>
      </c>
      <c r="BG166" s="78">
        <f>IF(AN166="",0,VLOOKUP(AN166,Tables!$AB$3:$AC$12,2))</f>
        <v>0</v>
      </c>
      <c r="BH166" s="79">
        <f>IF(AO166="",0,VLOOKUP(AO166,Tables!$AB$3:$AC$12,2))</f>
        <v>0</v>
      </c>
      <c r="BI166" s="79">
        <f>IF(AP166="",0,VLOOKUP(AP166,Tables!$AB$3:$AC$12,2))</f>
        <v>0</v>
      </c>
      <c r="BJ166" s="78">
        <f>IF(AQ166="",0,VLOOKUP(AQ166,Tables!$AB$3:$AC$12,2))</f>
        <v>1</v>
      </c>
      <c r="BK166" s="79">
        <f>IF(AR166="",0,VLOOKUP(AR166,Tables!$AB$3:$AC$12,2))</f>
        <v>1</v>
      </c>
      <c r="BL166" s="79">
        <f>IF(AS166="",0,VLOOKUP(AS166,Tables!$AB$3:$AC$12,2))</f>
        <v>1</v>
      </c>
      <c r="BM166" s="79">
        <f>IF(AT166="",0,VLOOKUP(AT166,Tables!$AB$3:$AC$12,2))</f>
        <v>1</v>
      </c>
      <c r="BN166" s="79">
        <f>IF(AU166="",0,VLOOKUP(AU166,Tables!$AB$3:$AC$12,2))</f>
        <v>0</v>
      </c>
      <c r="BO166" s="78">
        <f>IF(AV166="",0,VLOOKUP(AV166,Tables!$AB$3:$AC$12,2))</f>
        <v>1</v>
      </c>
      <c r="BP166" s="79">
        <f>IF(AW166="",0,VLOOKUP(AW166,Tables!$AB$3:$AC$12,2))</f>
        <v>1</v>
      </c>
      <c r="BQ166" s="79">
        <f>IF(AX166="",0,VLOOKUP(AX166,Tables!$AB$3:$AC$12,2))</f>
        <v>1</v>
      </c>
      <c r="BR166" s="78">
        <f>IF(AY166="",0,VLOOKUP(AY166,Tables!$AB$3:$AC$12,2))</f>
        <v>1</v>
      </c>
      <c r="BS166" s="79">
        <f>IF(AZ166="",0,VLOOKUP(AZ166,Tables!$AB$3:$AC$12,2))</f>
        <v>0</v>
      </c>
      <c r="BT166" s="79">
        <f>IF(BA166="",0,VLOOKUP(BA166,Tables!$AB$3:$AC$12,2))</f>
        <v>0</v>
      </c>
      <c r="BU166" s="80">
        <f>IF(BB166="",0,VLOOKUP(BB166,Tables!$AB$3:$AC$12,2))</f>
        <v>0</v>
      </c>
      <c r="BV166" s="85">
        <f>IF(AN166="",0,VLOOKUP(B166,Tables!$B$3:$D$36,2,FALSE())*X$1)</f>
        <v>0</v>
      </c>
      <c r="BW166" s="72">
        <f>IF(AO166="",0,VLOOKUP(C166,Tables!$B$3:$D$36,2,FALSE())*Y$1)</f>
        <v>0</v>
      </c>
      <c r="BX166" s="72">
        <f>IF(AP166="",0,VLOOKUP(D166,Tables!$B$3:$D$36,2,FALSE())*Z$1)</f>
        <v>0</v>
      </c>
      <c r="BY166" s="85">
        <f>IF(AQ166="",0,VLOOKUP(E166,Tables!$B$3:$D$36,2,FALSE())*AA$1)</f>
        <v>3.5999999999999996</v>
      </c>
      <c r="BZ166" s="72">
        <f>IF(AR166="",0,VLOOKUP(F166,Tables!$B$3:$D$36,2,FALSE())*AB$1)</f>
        <v>7.1999999999999993</v>
      </c>
      <c r="CA166" s="72">
        <f>IF(AS166="",0,VLOOKUP(G166,Tables!$B$3:$D$36,2,FALSE())*AC$1)</f>
        <v>2.4</v>
      </c>
      <c r="CB166" s="72">
        <f>IF(AT166="",0,VLOOKUP(H166,Tables!$B$3:$D$36,2,FALSE())*AD$1)</f>
        <v>6</v>
      </c>
      <c r="CC166" s="72">
        <f>IF(AU166="",0,VLOOKUP(I166,Tables!$B$3:$D$36,2,FALSE())*AE$1)</f>
        <v>0</v>
      </c>
      <c r="CD166" s="85">
        <f>IF(AV166="",0,VLOOKUP(J166,Tables!$B$3:$D$36,2,FALSE())*AF$1)</f>
        <v>14.399999999999999</v>
      </c>
      <c r="CE166" s="72">
        <f>IF(AW166="",0,VLOOKUP(K166,Tables!$B$3:$D$36,2,FALSE())*AG$1)</f>
        <v>14.399999999999999</v>
      </c>
      <c r="CF166" s="72">
        <f>IF(AX166="",0,VLOOKUP(L166,Tables!$B$3:$D$36,2,FALSE())*AH$1)</f>
        <v>12</v>
      </c>
      <c r="CG166" s="85">
        <f>IF(AY166="",0,VLOOKUP(M166,Tables!$B$3:$D$36,2,FALSE())*AI$1)</f>
        <v>16.8</v>
      </c>
      <c r="CH166" s="72">
        <f>IF(AZ166="",0,VLOOKUP(N166,Tables!$B$3:$D$36,2,FALSE())*AJ$1)</f>
        <v>0</v>
      </c>
      <c r="CI166" s="72">
        <f>IF(BA166="",0,VLOOKUP(O166,Tables!$B$3:$D$36,2,FALSE())*AK$1)</f>
        <v>0</v>
      </c>
      <c r="CJ166" s="86">
        <f>IF(BB166="",0,VLOOKUP(P166,Tables!$B$3:$D$36,2,FALSE())*AL$1)</f>
        <v>0</v>
      </c>
      <c r="CK166" s="87">
        <f>IF(AN166="",0,VLOOKUP(B166,Tables!$B$3:$D$36,3,FALSE())*X$1)*IF(OR(AN166="K",AN166="P"),2,1)</f>
        <v>0</v>
      </c>
      <c r="CL166" s="73">
        <f>IF(AO166="",0,VLOOKUP(C166,Tables!$B$3:$D$36,3,FALSE())*Y$1)*IF(OR(AO166="K",AO166="P"),2,1)</f>
        <v>0</v>
      </c>
      <c r="CM166" s="73">
        <f>IF(AP166="",0,VLOOKUP(D166,Tables!$B$3:$D$36,3,FALSE())*Z$1)*IF(OR(AP166="K",AP166="P"),2,1)</f>
        <v>0</v>
      </c>
      <c r="CN166" s="87">
        <f>IF(AQ166="",0,VLOOKUP(E166,Tables!$B$3:$D$36,3,FALSE())*AA$1)</f>
        <v>7.4999999999999997E-2</v>
      </c>
      <c r="CO166" s="73">
        <f>IF(AR166="",0,VLOOKUP(F166,Tables!$B$3:$D$36,3,FALSE())*AB$1)</f>
        <v>0.15</v>
      </c>
      <c r="CP166" s="73">
        <f>IF(AS166="",0,VLOOKUP(G166,Tables!$B$3:$D$36,3,FALSE())*AC$1)</f>
        <v>0.05</v>
      </c>
      <c r="CQ166" s="73">
        <f>IF(AT166="",0,VLOOKUP(H166,Tables!$B$3:$D$36,3,FALSE())*AD$1)</f>
        <v>0.125</v>
      </c>
      <c r="CR166" s="73">
        <f>IF(AU166="",0,VLOOKUP(I166,Tables!$B$3:$D$36,3,FALSE())*AE$1)</f>
        <v>0</v>
      </c>
      <c r="CS166" s="87">
        <f>IF(AV166="",0,VLOOKUP(J166,Tables!$B$3:$D$36,3,FALSE())*AF$1)</f>
        <v>0.3</v>
      </c>
      <c r="CT166" s="73">
        <f>IF(AW166="",0,VLOOKUP(K166,Tables!$B$3:$D$36,3,FALSE())*AG$1)</f>
        <v>0.3</v>
      </c>
      <c r="CU166" s="73">
        <f>IF(AX166="",0,VLOOKUP(L166,Tables!$B$3:$D$36,3,FALSE())*AH$1)</f>
        <v>0.25</v>
      </c>
      <c r="CV166" s="87">
        <f>IF(AY166="",0,VLOOKUP(M166,Tables!$B$3:$D$36,3,FALSE())*AI$1)</f>
        <v>0.35000000000000003</v>
      </c>
      <c r="CW166" s="73">
        <f>IF(AZ166="",0,VLOOKUP(N166,Tables!$B$3:$D$36,3,FALSE())*AJ$1)</f>
        <v>0</v>
      </c>
      <c r="CX166" s="73">
        <f>IF(BA166="",0,VLOOKUP(O166,Tables!$B$3:$D$36,3,FALSE())*AK$1)</f>
        <v>0</v>
      </c>
      <c r="CY166" s="88">
        <f>IF(BB166="",0,VLOOKUP(P166,Tables!$B$3:$D$36,3,FALSE())*AL$1)</f>
        <v>0</v>
      </c>
      <c r="CZ166" s="89">
        <f t="shared" si="152"/>
        <v>0</v>
      </c>
      <c r="DA166" s="75">
        <f t="shared" si="153"/>
        <v>0</v>
      </c>
      <c r="DB166" s="75">
        <f t="shared" si="154"/>
        <v>0</v>
      </c>
      <c r="DC166" s="89">
        <f t="shared" si="155"/>
        <v>1</v>
      </c>
      <c r="DD166" s="75">
        <f t="shared" si="156"/>
        <v>1</v>
      </c>
      <c r="DE166" s="75">
        <f t="shared" si="157"/>
        <v>1</v>
      </c>
      <c r="DF166" s="75">
        <f t="shared" si="158"/>
        <v>1</v>
      </c>
      <c r="DG166" s="75">
        <f t="shared" si="159"/>
        <v>0</v>
      </c>
      <c r="DH166" s="89">
        <f t="shared" si="160"/>
        <v>1</v>
      </c>
      <c r="DI166" s="75">
        <f t="shared" si="161"/>
        <v>1</v>
      </c>
      <c r="DJ166" s="75">
        <f t="shared" si="162"/>
        <v>1</v>
      </c>
      <c r="DK166" s="89">
        <f t="shared" si="163"/>
        <v>1</v>
      </c>
      <c r="DL166" s="75">
        <f t="shared" si="164"/>
        <v>0</v>
      </c>
      <c r="DM166" s="75">
        <f t="shared" si="165"/>
        <v>0</v>
      </c>
      <c r="DN166" s="90">
        <f t="shared" si="166"/>
        <v>0</v>
      </c>
      <c r="DO166" s="91">
        <f>IF(AN166="",0,VLOOKUP(B166,Tables!$B$3:$M$36,11,FALSE())*X$1)</f>
        <v>0</v>
      </c>
      <c r="DP166" s="92">
        <f>IF(AO166="",0,VLOOKUP(C166,Tables!$B$3:$M$36,11,FALSE())*Y$1)</f>
        <v>0</v>
      </c>
      <c r="DQ166" s="92">
        <f>IF(AP166="",0,VLOOKUP(D166,Tables!$B$3:$M$36,11,FALSE())*Z$1)</f>
        <v>0</v>
      </c>
      <c r="DR166" s="91">
        <f>IF(AQ166="",0,VLOOKUP(E166,Tables!$B$3:$M$36,11,FALSE())*AA$1)</f>
        <v>0.6</v>
      </c>
      <c r="DS166" s="92">
        <f>IF(AR166="",0,VLOOKUP(F166,Tables!$B$3:$M$36,11,FALSE())*AB$1)</f>
        <v>1.2</v>
      </c>
      <c r="DT166" s="92">
        <f>IF(AS166="",0,VLOOKUP(G166,Tables!$B$3:$M$36,11,FALSE())*AC$1)</f>
        <v>0.4</v>
      </c>
      <c r="DU166" s="92">
        <f>IF(AT166="",0,VLOOKUP(H166,Tables!$B$3:$M$36,11,FALSE())*AD$1)</f>
        <v>1</v>
      </c>
      <c r="DV166" s="92">
        <f>IF(AU166="",0,VLOOKUP(I166,Tables!$B$3:$M$36,11,FALSE())*AE$1)</f>
        <v>0</v>
      </c>
      <c r="DW166" s="91">
        <f>IF(AV166="",0,VLOOKUP(J166,Tables!$B$3:$M$36,11,FALSE())*AF$1)</f>
        <v>2.4</v>
      </c>
      <c r="DX166" s="92">
        <f>IF(AW166="",0,VLOOKUP(K166,Tables!$B$3:$M$36,11,FALSE())*AG$1)</f>
        <v>2.4</v>
      </c>
      <c r="DY166" s="92">
        <f>IF(AX166="",0,VLOOKUP(L166,Tables!$B$3:$M$36,11,FALSE())*AH$1)</f>
        <v>2</v>
      </c>
      <c r="DZ166" s="91">
        <f>IF(AY166="",0,VLOOKUP(M166,Tables!$B$3:$M$36,11,FALSE())*AI$1)</f>
        <v>2.8000000000000003</v>
      </c>
      <c r="EA166" s="92">
        <f>IF(AZ166="",0,VLOOKUP(N166,Tables!$B$3:$M$36,11,FALSE())*AJ$1)</f>
        <v>0</v>
      </c>
      <c r="EB166" s="92">
        <f>IF(BA166="",0,VLOOKUP(O166,Tables!$B$3:$M$36,11,FALSE())*AK$1)</f>
        <v>0</v>
      </c>
      <c r="EC166" s="93">
        <f>IF(BB166="",0,VLOOKUP(P166,Tables!$B$3:$M$36,11,FALSE())*AL$1)</f>
        <v>0</v>
      </c>
      <c r="ED166" s="91">
        <f>IF(AN166="",0,VLOOKUP(B166,Tables!$B$3:$M$36,12,FALSE())*X$1)</f>
        <v>0</v>
      </c>
      <c r="EE166" s="92">
        <f>IF(AO166="",0,VLOOKUP(C166,Tables!$B$3:$M$36,12,FALSE())*Y$1)</f>
        <v>0</v>
      </c>
      <c r="EF166" s="92">
        <f>IF(AP166="",0,VLOOKUP(D166,Tables!$B$3:$M$36,12,FALSE())*Z$1)</f>
        <v>0</v>
      </c>
      <c r="EG166" s="91">
        <f>IF(AQ166="",0,VLOOKUP(E166,Tables!$B$3:$M$36,12,FALSE())*AA$1)</f>
        <v>2.6999999999999997</v>
      </c>
      <c r="EH166" s="92">
        <f>IF(AR166="",0,VLOOKUP(F166,Tables!$B$3:$M$36,12,FALSE())*AB$1)</f>
        <v>5.3999999999999995</v>
      </c>
      <c r="EI166" s="92">
        <f>IF(AS166="",0,VLOOKUP(G166,Tables!$B$3:$M$36,12,FALSE())*AC$1)</f>
        <v>1.8</v>
      </c>
      <c r="EJ166" s="92">
        <f>IF(AT166="",0,VLOOKUP(H166,Tables!$B$3:$M$36,12,FALSE())*AD$1)</f>
        <v>4.5</v>
      </c>
      <c r="EK166" s="92">
        <f>IF(AU166="",0,VLOOKUP(I166,Tables!$B$3:$M$36,12,FALSE())*AE$1)</f>
        <v>0</v>
      </c>
      <c r="EL166" s="91">
        <f>IF(AV166="",0,VLOOKUP(J166,Tables!$B$3:$M$36,12,FALSE())*AF$1)</f>
        <v>10.799999999999999</v>
      </c>
      <c r="EM166" s="92">
        <f>IF(AW166="",0,VLOOKUP(K166,Tables!$B$3:$M$36,12,FALSE())*AG$1)</f>
        <v>10.799999999999999</v>
      </c>
      <c r="EN166" s="92">
        <f>IF(AX166="",0,VLOOKUP(L166,Tables!$B$3:$M$36,12,FALSE())*AH$1)</f>
        <v>9</v>
      </c>
      <c r="EO166" s="91">
        <f>IF(AY166="",0,VLOOKUP(M166,Tables!$B$3:$M$36,12,FALSE())*AI$1)</f>
        <v>12.600000000000001</v>
      </c>
      <c r="EP166" s="92">
        <f>IF(AZ166="",0,VLOOKUP(N166,Tables!$B$3:$M$36,12,FALSE())*AJ$1)</f>
        <v>0</v>
      </c>
      <c r="EQ166" s="92">
        <f>IF(BA166="",0,VLOOKUP(O166,Tables!$B$3:$M$36,12,FALSE())*AK$1)</f>
        <v>0</v>
      </c>
      <c r="ER166" s="93">
        <f>IF(BB166="",0,VLOOKUP(P166,Tables!$B$3:$M$36,12,FALSE())*AL$1)</f>
        <v>0</v>
      </c>
      <c r="ES166" s="94">
        <f t="shared" si="167"/>
        <v>0</v>
      </c>
      <c r="ET166" s="95">
        <f>IF(AN166="",10,MIN(VLOOKUP(B166,MATERIAL,13,FALSE()),'Item Builder'!$W166))</f>
        <v>10</v>
      </c>
      <c r="EU166" s="95">
        <f>IF(AO166="",10,MIN(VLOOKUP(C166,MATERIAL,13,FALSE()),'Item Builder'!$W166))</f>
        <v>10</v>
      </c>
      <c r="EV166" s="95">
        <f>IF(AP166="",10,MIN(VLOOKUP(D166,MATERIAL,13,FALSE()),'Item Builder'!$W166))</f>
        <v>10</v>
      </c>
      <c r="EW166" s="95">
        <f>IF(AQ166="",10,MIN(VLOOKUP(E166,MATERIAL,13,FALSE()),'Item Builder'!$W166))</f>
        <v>0</v>
      </c>
      <c r="EX166" s="95">
        <f>IF(AR166="",10,MIN(VLOOKUP(F166,MATERIAL,13,FALSE()),'Item Builder'!$W166))</f>
        <v>0</v>
      </c>
      <c r="EY166" s="95">
        <f>IF(AS166="",10,MIN(VLOOKUP(G166,MATERIAL,13,FALSE()),'Item Builder'!$W166))</f>
        <v>0</v>
      </c>
      <c r="EZ166" s="95">
        <f>IF(AT166="",10,MIN(VLOOKUP(H166,MATERIAL,13,FALSE()),'Item Builder'!$W166))</f>
        <v>0</v>
      </c>
      <c r="FA166" s="95">
        <f>IF(AU166="",10,MIN(VLOOKUP(I166,MATERIAL,13,FALSE()),'Item Builder'!$W166))</f>
        <v>10</v>
      </c>
      <c r="FB166" s="95">
        <f>IF(AV166="",10,MIN(VLOOKUP(J166,MATERIAL,13,FALSE()),'Item Builder'!$W166))</f>
        <v>0</v>
      </c>
      <c r="FC166" s="95">
        <f>IF(AW166="",10,MIN(VLOOKUP(K166,MATERIAL,13,FALSE()),'Item Builder'!$W166))</f>
        <v>0</v>
      </c>
      <c r="FD166" s="95">
        <f>IF(AX166="",10,MIN(VLOOKUP(L166,MATERIAL,13,FALSE()),'Item Builder'!$W166))</f>
        <v>0</v>
      </c>
      <c r="FE166" s="95">
        <f>IF(AY166="",10,MIN(VLOOKUP(M166,MATERIAL,13,FALSE()),'Item Builder'!$W166))</f>
        <v>0</v>
      </c>
      <c r="FF166" s="95">
        <f>IF(AZ166="",10,MIN(VLOOKUP(N166,MATERIAL,13,FALSE()),'Item Builder'!$W166))</f>
        <v>10</v>
      </c>
      <c r="FG166" s="95">
        <f>IF(BA166="",10,MIN(VLOOKUP(O166,MATERIAL,13,FALSE()),'Item Builder'!$W166))</f>
        <v>10</v>
      </c>
      <c r="FH166" s="95">
        <f>IF(BB166="",10,MIN(VLOOKUP(P166,MATERIAL,13,FALSE()),'Item Builder'!$W166))</f>
        <v>10</v>
      </c>
    </row>
    <row r="167" spans="1:164" x14ac:dyDescent="0.25">
      <c r="A167" s="67" t="s">
        <v>307</v>
      </c>
      <c r="B167" s="68"/>
      <c r="C167" s="69"/>
      <c r="D167" s="70"/>
      <c r="E167" s="68" t="s">
        <v>171</v>
      </c>
      <c r="F167" s="69"/>
      <c r="G167" s="69"/>
      <c r="H167" s="69"/>
      <c r="I167" s="70"/>
      <c r="J167" s="68" t="s">
        <v>171</v>
      </c>
      <c r="K167" s="69" t="s">
        <v>171</v>
      </c>
      <c r="L167" s="70" t="s">
        <v>171</v>
      </c>
      <c r="M167" s="68" t="s">
        <v>171</v>
      </c>
      <c r="N167" s="69" t="s">
        <v>171</v>
      </c>
      <c r="O167" s="69"/>
      <c r="P167" s="71"/>
      <c r="Q167" s="72">
        <f>SUM(BV167:CJ167)*VLOOKUP(W167,Tables!$W$3:$Z$8,4)</f>
        <v>64.8</v>
      </c>
      <c r="R167" s="73">
        <f t="shared" si="112"/>
        <v>1.35</v>
      </c>
      <c r="S167" s="74">
        <f t="shared" si="113"/>
        <v>0</v>
      </c>
      <c r="T167" s="74">
        <f t="shared" si="114"/>
        <v>0</v>
      </c>
      <c r="U167" s="75">
        <f t="shared" si="115"/>
        <v>10.8</v>
      </c>
      <c r="V167" s="76">
        <f t="shared" si="116"/>
        <v>48.6</v>
      </c>
      <c r="W167" s="77">
        <v>0</v>
      </c>
      <c r="X167" s="78">
        <f t="shared" si="117"/>
        <v>0</v>
      </c>
      <c r="Y167" s="79">
        <f t="shared" si="118"/>
        <v>0</v>
      </c>
      <c r="Z167" s="79">
        <f t="shared" si="119"/>
        <v>0</v>
      </c>
      <c r="AA167" s="78">
        <f t="shared" si="120"/>
        <v>1</v>
      </c>
      <c r="AB167" s="79">
        <f t="shared" si="121"/>
        <v>0</v>
      </c>
      <c r="AC167" s="79">
        <f t="shared" si="122"/>
        <v>0</v>
      </c>
      <c r="AD167" s="79">
        <f t="shared" si="123"/>
        <v>0</v>
      </c>
      <c r="AE167" s="79">
        <f t="shared" si="124"/>
        <v>0</v>
      </c>
      <c r="AF167" s="78">
        <f t="shared" si="125"/>
        <v>1</v>
      </c>
      <c r="AG167" s="79">
        <f t="shared" si="126"/>
        <v>1</v>
      </c>
      <c r="AH167" s="79">
        <f t="shared" si="127"/>
        <v>1</v>
      </c>
      <c r="AI167" s="78">
        <f t="shared" si="128"/>
        <v>1</v>
      </c>
      <c r="AJ167" s="79">
        <f t="shared" si="129"/>
        <v>1</v>
      </c>
      <c r="AK167" s="79">
        <f t="shared" si="130"/>
        <v>0</v>
      </c>
      <c r="AL167" s="80">
        <f t="shared" si="131"/>
        <v>0</v>
      </c>
      <c r="AM167" s="81">
        <f t="shared" si="132"/>
        <v>0.54</v>
      </c>
      <c r="AN167" s="82" t="str">
        <f t="shared" si="133"/>
        <v/>
      </c>
      <c r="AO167" s="79" t="str">
        <f t="shared" si="134"/>
        <v/>
      </c>
      <c r="AP167" t="str">
        <f t="shared" si="135"/>
        <v/>
      </c>
      <c r="AQ167" s="82" t="str">
        <f t="shared" si="136"/>
        <v>X</v>
      </c>
      <c r="AR167" t="str">
        <f t="shared" si="137"/>
        <v/>
      </c>
      <c r="AS167" t="str">
        <f t="shared" si="138"/>
        <v/>
      </c>
      <c r="AT167" t="str">
        <f t="shared" si="139"/>
        <v/>
      </c>
      <c r="AU167" t="str">
        <f t="shared" si="140"/>
        <v/>
      </c>
      <c r="AV167" s="82" t="str">
        <f t="shared" si="141"/>
        <v>X</v>
      </c>
      <c r="AW167" t="str">
        <f t="shared" si="142"/>
        <v>X</v>
      </c>
      <c r="AX167" t="str">
        <f t="shared" si="143"/>
        <v>X</v>
      </c>
      <c r="AY167" s="82" t="str">
        <f t="shared" si="144"/>
        <v>X</v>
      </c>
      <c r="AZ167" t="str">
        <f t="shared" si="145"/>
        <v>X</v>
      </c>
      <c r="BA167" t="str">
        <f t="shared" si="146"/>
        <v/>
      </c>
      <c r="BB167" s="83" t="str">
        <f t="shared" si="147"/>
        <v/>
      </c>
      <c r="BC167" s="84">
        <f t="shared" si="148"/>
        <v>0</v>
      </c>
      <c r="BD167" s="84">
        <f t="shared" si="149"/>
        <v>0.14285714285714285</v>
      </c>
      <c r="BE167" s="84">
        <f t="shared" si="150"/>
        <v>1</v>
      </c>
      <c r="BF167" s="84">
        <f t="shared" si="151"/>
        <v>0.47222222222222221</v>
      </c>
      <c r="BG167" s="78">
        <f>IF(AN167="",0,VLOOKUP(AN167,Tables!$AB$3:$AC$12,2))</f>
        <v>0</v>
      </c>
      <c r="BH167" s="79">
        <f>IF(AO167="",0,VLOOKUP(AO167,Tables!$AB$3:$AC$12,2))</f>
        <v>0</v>
      </c>
      <c r="BI167" s="79">
        <f>IF(AP167="",0,VLOOKUP(AP167,Tables!$AB$3:$AC$12,2))</f>
        <v>0</v>
      </c>
      <c r="BJ167" s="78">
        <f>IF(AQ167="",0,VLOOKUP(AQ167,Tables!$AB$3:$AC$12,2))</f>
        <v>1</v>
      </c>
      <c r="BK167" s="79">
        <f>IF(AR167="",0,VLOOKUP(AR167,Tables!$AB$3:$AC$12,2))</f>
        <v>0</v>
      </c>
      <c r="BL167" s="79">
        <f>IF(AS167="",0,VLOOKUP(AS167,Tables!$AB$3:$AC$12,2))</f>
        <v>0</v>
      </c>
      <c r="BM167" s="79">
        <f>IF(AT167="",0,VLOOKUP(AT167,Tables!$AB$3:$AC$12,2))</f>
        <v>0</v>
      </c>
      <c r="BN167" s="79">
        <f>IF(AU167="",0,VLOOKUP(AU167,Tables!$AB$3:$AC$12,2))</f>
        <v>0</v>
      </c>
      <c r="BO167" s="78">
        <f>IF(AV167="",0,VLOOKUP(AV167,Tables!$AB$3:$AC$12,2))</f>
        <v>1</v>
      </c>
      <c r="BP167" s="79">
        <f>IF(AW167="",0,VLOOKUP(AW167,Tables!$AB$3:$AC$12,2))</f>
        <v>1</v>
      </c>
      <c r="BQ167" s="79">
        <f>IF(AX167="",0,VLOOKUP(AX167,Tables!$AB$3:$AC$12,2))</f>
        <v>1</v>
      </c>
      <c r="BR167" s="78">
        <f>IF(AY167="",0,VLOOKUP(AY167,Tables!$AB$3:$AC$12,2))</f>
        <v>1</v>
      </c>
      <c r="BS167" s="79">
        <f>IF(AZ167="",0,VLOOKUP(AZ167,Tables!$AB$3:$AC$12,2))</f>
        <v>1</v>
      </c>
      <c r="BT167" s="79">
        <f>IF(BA167="",0,VLOOKUP(BA167,Tables!$AB$3:$AC$12,2))</f>
        <v>0</v>
      </c>
      <c r="BU167" s="80">
        <f>IF(BB167="",0,VLOOKUP(BB167,Tables!$AB$3:$AC$12,2))</f>
        <v>0</v>
      </c>
      <c r="BV167" s="85">
        <f>IF(AN167="",0,VLOOKUP(B167,Tables!$B$3:$D$36,2,FALSE())*X$1)</f>
        <v>0</v>
      </c>
      <c r="BW167" s="72">
        <f>IF(AO167="",0,VLOOKUP(C167,Tables!$B$3:$D$36,2,FALSE())*Y$1)</f>
        <v>0</v>
      </c>
      <c r="BX167" s="72">
        <f>IF(AP167="",0,VLOOKUP(D167,Tables!$B$3:$D$36,2,FALSE())*Z$1)</f>
        <v>0</v>
      </c>
      <c r="BY167" s="85">
        <f>IF(AQ167="",0,VLOOKUP(E167,Tables!$B$3:$D$36,2,FALSE())*AA$1)</f>
        <v>3.5999999999999996</v>
      </c>
      <c r="BZ167" s="72">
        <f>IF(AR167="",0,VLOOKUP(F167,Tables!$B$3:$D$36,2,FALSE())*AB$1)</f>
        <v>0</v>
      </c>
      <c r="CA167" s="72">
        <f>IF(AS167="",0,VLOOKUP(G167,Tables!$B$3:$D$36,2,FALSE())*AC$1)</f>
        <v>0</v>
      </c>
      <c r="CB167" s="72">
        <f>IF(AT167="",0,VLOOKUP(H167,Tables!$B$3:$D$36,2,FALSE())*AD$1)</f>
        <v>0</v>
      </c>
      <c r="CC167" s="72">
        <f>IF(AU167="",0,VLOOKUP(I167,Tables!$B$3:$D$36,2,FALSE())*AE$1)</f>
        <v>0</v>
      </c>
      <c r="CD167" s="85">
        <f>IF(AV167="",0,VLOOKUP(J167,Tables!$B$3:$D$36,2,FALSE())*AF$1)</f>
        <v>14.399999999999999</v>
      </c>
      <c r="CE167" s="72">
        <f>IF(AW167="",0,VLOOKUP(K167,Tables!$B$3:$D$36,2,FALSE())*AG$1)</f>
        <v>14.399999999999999</v>
      </c>
      <c r="CF167" s="72">
        <f>IF(AX167="",0,VLOOKUP(L167,Tables!$B$3:$D$36,2,FALSE())*AH$1)</f>
        <v>12</v>
      </c>
      <c r="CG167" s="85">
        <f>IF(AY167="",0,VLOOKUP(M167,Tables!$B$3:$D$36,2,FALSE())*AI$1)</f>
        <v>16.8</v>
      </c>
      <c r="CH167" s="72">
        <f>IF(AZ167="",0,VLOOKUP(N167,Tables!$B$3:$D$36,2,FALSE())*AJ$1)</f>
        <v>3.5999999999999996</v>
      </c>
      <c r="CI167" s="72">
        <f>IF(BA167="",0,VLOOKUP(O167,Tables!$B$3:$D$36,2,FALSE())*AK$1)</f>
        <v>0</v>
      </c>
      <c r="CJ167" s="86">
        <f>IF(BB167="",0,VLOOKUP(P167,Tables!$B$3:$D$36,2,FALSE())*AL$1)</f>
        <v>0</v>
      </c>
      <c r="CK167" s="87">
        <f>IF(AN167="",0,VLOOKUP(B167,Tables!$B$3:$D$36,3,FALSE())*X$1)*IF(OR(AN167="K",AN167="P"),2,1)</f>
        <v>0</v>
      </c>
      <c r="CL167" s="73">
        <f>IF(AO167="",0,VLOOKUP(C167,Tables!$B$3:$D$36,3,FALSE())*Y$1)*IF(OR(AO167="K",AO167="P"),2,1)</f>
        <v>0</v>
      </c>
      <c r="CM167" s="73">
        <f>IF(AP167="",0,VLOOKUP(D167,Tables!$B$3:$D$36,3,FALSE())*Z$1)*IF(OR(AP167="K",AP167="P"),2,1)</f>
        <v>0</v>
      </c>
      <c r="CN167" s="87">
        <f>IF(AQ167="",0,VLOOKUP(E167,Tables!$B$3:$D$36,3,FALSE())*AA$1)</f>
        <v>7.4999999999999997E-2</v>
      </c>
      <c r="CO167" s="73">
        <f>IF(AR167="",0,VLOOKUP(F167,Tables!$B$3:$D$36,3,FALSE())*AB$1)</f>
        <v>0</v>
      </c>
      <c r="CP167" s="73">
        <f>IF(AS167="",0,VLOOKUP(G167,Tables!$B$3:$D$36,3,FALSE())*AC$1)</f>
        <v>0</v>
      </c>
      <c r="CQ167" s="73">
        <f>IF(AT167="",0,VLOOKUP(H167,Tables!$B$3:$D$36,3,FALSE())*AD$1)</f>
        <v>0</v>
      </c>
      <c r="CR167" s="73">
        <f>IF(AU167="",0,VLOOKUP(I167,Tables!$B$3:$D$36,3,FALSE())*AE$1)</f>
        <v>0</v>
      </c>
      <c r="CS167" s="87">
        <f>IF(AV167="",0,VLOOKUP(J167,Tables!$B$3:$D$36,3,FALSE())*AF$1)</f>
        <v>0.3</v>
      </c>
      <c r="CT167" s="73">
        <f>IF(AW167="",0,VLOOKUP(K167,Tables!$B$3:$D$36,3,FALSE())*AG$1)</f>
        <v>0.3</v>
      </c>
      <c r="CU167" s="73">
        <f>IF(AX167="",0,VLOOKUP(L167,Tables!$B$3:$D$36,3,FALSE())*AH$1)</f>
        <v>0.25</v>
      </c>
      <c r="CV167" s="87">
        <f>IF(AY167="",0,VLOOKUP(M167,Tables!$B$3:$D$36,3,FALSE())*AI$1)</f>
        <v>0.35000000000000003</v>
      </c>
      <c r="CW167" s="73">
        <f>IF(AZ167="",0,VLOOKUP(N167,Tables!$B$3:$D$36,3,FALSE())*AJ$1)</f>
        <v>7.4999999999999997E-2</v>
      </c>
      <c r="CX167" s="73">
        <f>IF(BA167="",0,VLOOKUP(O167,Tables!$B$3:$D$36,3,FALSE())*AK$1)</f>
        <v>0</v>
      </c>
      <c r="CY167" s="88">
        <f>IF(BB167="",0,VLOOKUP(P167,Tables!$B$3:$D$36,3,FALSE())*AL$1)</f>
        <v>0</v>
      </c>
      <c r="CZ167" s="89">
        <f t="shared" si="152"/>
        <v>0</v>
      </c>
      <c r="DA167" s="75">
        <f t="shared" si="153"/>
        <v>0</v>
      </c>
      <c r="DB167" s="75">
        <f t="shared" si="154"/>
        <v>0</v>
      </c>
      <c r="DC167" s="89">
        <f t="shared" si="155"/>
        <v>1</v>
      </c>
      <c r="DD167" s="75">
        <f t="shared" si="156"/>
        <v>0</v>
      </c>
      <c r="DE167" s="75">
        <f t="shared" si="157"/>
        <v>0</v>
      </c>
      <c r="DF167" s="75">
        <f t="shared" si="158"/>
        <v>0</v>
      </c>
      <c r="DG167" s="75">
        <f t="shared" si="159"/>
        <v>0</v>
      </c>
      <c r="DH167" s="89">
        <f t="shared" si="160"/>
        <v>1</v>
      </c>
      <c r="DI167" s="75">
        <f t="shared" si="161"/>
        <v>1</v>
      </c>
      <c r="DJ167" s="75">
        <f t="shared" si="162"/>
        <v>1</v>
      </c>
      <c r="DK167" s="89">
        <f t="shared" si="163"/>
        <v>1</v>
      </c>
      <c r="DL167" s="75">
        <f t="shared" si="164"/>
        <v>1</v>
      </c>
      <c r="DM167" s="75">
        <f t="shared" si="165"/>
        <v>0</v>
      </c>
      <c r="DN167" s="90">
        <f t="shared" si="166"/>
        <v>0</v>
      </c>
      <c r="DO167" s="91">
        <f>IF(AN167="",0,VLOOKUP(B167,Tables!$B$3:$M$36,11,FALSE())*X$1)</f>
        <v>0</v>
      </c>
      <c r="DP167" s="92">
        <f>IF(AO167="",0,VLOOKUP(C167,Tables!$B$3:$M$36,11,FALSE())*Y$1)</f>
        <v>0</v>
      </c>
      <c r="DQ167" s="92">
        <f>IF(AP167="",0,VLOOKUP(D167,Tables!$B$3:$M$36,11,FALSE())*Z$1)</f>
        <v>0</v>
      </c>
      <c r="DR167" s="91">
        <f>IF(AQ167="",0,VLOOKUP(E167,Tables!$B$3:$M$36,11,FALSE())*AA$1)</f>
        <v>0.6</v>
      </c>
      <c r="DS167" s="92">
        <f>IF(AR167="",0,VLOOKUP(F167,Tables!$B$3:$M$36,11,FALSE())*AB$1)</f>
        <v>0</v>
      </c>
      <c r="DT167" s="92">
        <f>IF(AS167="",0,VLOOKUP(G167,Tables!$B$3:$M$36,11,FALSE())*AC$1)</f>
        <v>0</v>
      </c>
      <c r="DU167" s="92">
        <f>IF(AT167="",0,VLOOKUP(H167,Tables!$B$3:$M$36,11,FALSE())*AD$1)</f>
        <v>0</v>
      </c>
      <c r="DV167" s="92">
        <f>IF(AU167="",0,VLOOKUP(I167,Tables!$B$3:$M$36,11,FALSE())*AE$1)</f>
        <v>0</v>
      </c>
      <c r="DW167" s="91">
        <f>IF(AV167="",0,VLOOKUP(J167,Tables!$B$3:$M$36,11,FALSE())*AF$1)</f>
        <v>2.4</v>
      </c>
      <c r="DX167" s="92">
        <f>IF(AW167="",0,VLOOKUP(K167,Tables!$B$3:$M$36,11,FALSE())*AG$1)</f>
        <v>2.4</v>
      </c>
      <c r="DY167" s="92">
        <f>IF(AX167="",0,VLOOKUP(L167,Tables!$B$3:$M$36,11,FALSE())*AH$1)</f>
        <v>2</v>
      </c>
      <c r="DZ167" s="91">
        <f>IF(AY167="",0,VLOOKUP(M167,Tables!$B$3:$M$36,11,FALSE())*AI$1)</f>
        <v>2.8000000000000003</v>
      </c>
      <c r="EA167" s="92">
        <f>IF(AZ167="",0,VLOOKUP(N167,Tables!$B$3:$M$36,11,FALSE())*AJ$1)</f>
        <v>0.6</v>
      </c>
      <c r="EB167" s="92">
        <f>IF(BA167="",0,VLOOKUP(O167,Tables!$B$3:$M$36,11,FALSE())*AK$1)</f>
        <v>0</v>
      </c>
      <c r="EC167" s="93">
        <f>IF(BB167="",0,VLOOKUP(P167,Tables!$B$3:$M$36,11,FALSE())*AL$1)</f>
        <v>0</v>
      </c>
      <c r="ED167" s="91">
        <f>IF(AN167="",0,VLOOKUP(B167,Tables!$B$3:$M$36,12,FALSE())*X$1)</f>
        <v>0</v>
      </c>
      <c r="EE167" s="92">
        <f>IF(AO167="",0,VLOOKUP(C167,Tables!$B$3:$M$36,12,FALSE())*Y$1)</f>
        <v>0</v>
      </c>
      <c r="EF167" s="92">
        <f>IF(AP167="",0,VLOOKUP(D167,Tables!$B$3:$M$36,12,FALSE())*Z$1)</f>
        <v>0</v>
      </c>
      <c r="EG167" s="91">
        <f>IF(AQ167="",0,VLOOKUP(E167,Tables!$B$3:$M$36,12,FALSE())*AA$1)</f>
        <v>2.6999999999999997</v>
      </c>
      <c r="EH167" s="92">
        <f>IF(AR167="",0,VLOOKUP(F167,Tables!$B$3:$M$36,12,FALSE())*AB$1)</f>
        <v>0</v>
      </c>
      <c r="EI167" s="92">
        <f>IF(AS167="",0,VLOOKUP(G167,Tables!$B$3:$M$36,12,FALSE())*AC$1)</f>
        <v>0</v>
      </c>
      <c r="EJ167" s="92">
        <f>IF(AT167="",0,VLOOKUP(H167,Tables!$B$3:$M$36,12,FALSE())*AD$1)</f>
        <v>0</v>
      </c>
      <c r="EK167" s="92">
        <f>IF(AU167="",0,VLOOKUP(I167,Tables!$B$3:$M$36,12,FALSE())*AE$1)</f>
        <v>0</v>
      </c>
      <c r="EL167" s="91">
        <f>IF(AV167="",0,VLOOKUP(J167,Tables!$B$3:$M$36,12,FALSE())*AF$1)</f>
        <v>10.799999999999999</v>
      </c>
      <c r="EM167" s="92">
        <f>IF(AW167="",0,VLOOKUP(K167,Tables!$B$3:$M$36,12,FALSE())*AG$1)</f>
        <v>10.799999999999999</v>
      </c>
      <c r="EN167" s="92">
        <f>IF(AX167="",0,VLOOKUP(L167,Tables!$B$3:$M$36,12,FALSE())*AH$1)</f>
        <v>9</v>
      </c>
      <c r="EO167" s="91">
        <f>IF(AY167="",0,VLOOKUP(M167,Tables!$B$3:$M$36,12,FALSE())*AI$1)</f>
        <v>12.600000000000001</v>
      </c>
      <c r="EP167" s="92">
        <f>IF(AZ167="",0,VLOOKUP(N167,Tables!$B$3:$M$36,12,FALSE())*AJ$1)</f>
        <v>2.6999999999999997</v>
      </c>
      <c r="EQ167" s="92">
        <f>IF(BA167="",0,VLOOKUP(O167,Tables!$B$3:$M$36,12,FALSE())*AK$1)</f>
        <v>0</v>
      </c>
      <c r="ER167" s="93">
        <f>IF(BB167="",0,VLOOKUP(P167,Tables!$B$3:$M$36,12,FALSE())*AL$1)</f>
        <v>0</v>
      </c>
      <c r="ES167" s="94">
        <f t="shared" si="167"/>
        <v>0</v>
      </c>
      <c r="ET167" s="95">
        <f>IF(AN167="",10,MIN(VLOOKUP(B167,MATERIAL,13,FALSE()),'Item Builder'!$W167))</f>
        <v>10</v>
      </c>
      <c r="EU167" s="95">
        <f>IF(AO167="",10,MIN(VLOOKUP(C167,MATERIAL,13,FALSE()),'Item Builder'!$W167))</f>
        <v>10</v>
      </c>
      <c r="EV167" s="95">
        <f>IF(AP167="",10,MIN(VLOOKUP(D167,MATERIAL,13,FALSE()),'Item Builder'!$W167))</f>
        <v>10</v>
      </c>
      <c r="EW167" s="95">
        <f>IF(AQ167="",10,MIN(VLOOKUP(E167,MATERIAL,13,FALSE()),'Item Builder'!$W167))</f>
        <v>0</v>
      </c>
      <c r="EX167" s="95">
        <f>IF(AR167="",10,MIN(VLOOKUP(F167,MATERIAL,13,FALSE()),'Item Builder'!$W167))</f>
        <v>10</v>
      </c>
      <c r="EY167" s="95">
        <f>IF(AS167="",10,MIN(VLOOKUP(G167,MATERIAL,13,FALSE()),'Item Builder'!$W167))</f>
        <v>10</v>
      </c>
      <c r="EZ167" s="95">
        <f>IF(AT167="",10,MIN(VLOOKUP(H167,MATERIAL,13,FALSE()),'Item Builder'!$W167))</f>
        <v>10</v>
      </c>
      <c r="FA167" s="95">
        <f>IF(AU167="",10,MIN(VLOOKUP(I167,MATERIAL,13,FALSE()),'Item Builder'!$W167))</f>
        <v>10</v>
      </c>
      <c r="FB167" s="95">
        <f>IF(AV167="",10,MIN(VLOOKUP(J167,MATERIAL,13,FALSE()),'Item Builder'!$W167))</f>
        <v>0</v>
      </c>
      <c r="FC167" s="95">
        <f>IF(AW167="",10,MIN(VLOOKUP(K167,MATERIAL,13,FALSE()),'Item Builder'!$W167))</f>
        <v>0</v>
      </c>
      <c r="FD167" s="95">
        <f>IF(AX167="",10,MIN(VLOOKUP(L167,MATERIAL,13,FALSE()),'Item Builder'!$W167))</f>
        <v>0</v>
      </c>
      <c r="FE167" s="95">
        <f>IF(AY167="",10,MIN(VLOOKUP(M167,MATERIAL,13,FALSE()),'Item Builder'!$W167))</f>
        <v>0</v>
      </c>
      <c r="FF167" s="95">
        <f>IF(AZ167="",10,MIN(VLOOKUP(N167,MATERIAL,13,FALSE()),'Item Builder'!$W167))</f>
        <v>0</v>
      </c>
      <c r="FG167" s="95">
        <f>IF(BA167="",10,MIN(VLOOKUP(O167,MATERIAL,13,FALSE()),'Item Builder'!$W167))</f>
        <v>10</v>
      </c>
      <c r="FH167" s="95">
        <f>IF(BB167="",10,MIN(VLOOKUP(P167,MATERIAL,13,FALSE()),'Item Builder'!$W167))</f>
        <v>10</v>
      </c>
    </row>
    <row r="168" spans="1:164" x14ac:dyDescent="0.25">
      <c r="A168" s="67" t="s">
        <v>308</v>
      </c>
      <c r="B168" s="68"/>
      <c r="C168" s="69"/>
      <c r="D168" s="70"/>
      <c r="E168" s="68" t="s">
        <v>171</v>
      </c>
      <c r="F168" s="69"/>
      <c r="G168" s="69"/>
      <c r="H168" s="69"/>
      <c r="I168" s="70"/>
      <c r="J168" s="68" t="s">
        <v>171</v>
      </c>
      <c r="K168" s="69" t="s">
        <v>171</v>
      </c>
      <c r="L168" s="70" t="s">
        <v>171</v>
      </c>
      <c r="M168" s="68" t="s">
        <v>171</v>
      </c>
      <c r="N168" s="69" t="s">
        <v>171</v>
      </c>
      <c r="O168" s="69" t="s">
        <v>171</v>
      </c>
      <c r="P168" s="71"/>
      <c r="Q168" s="72">
        <f>SUM(BV168:CJ168)*VLOOKUP(W168,Tables!$W$3:$Z$8,4)</f>
        <v>79.199999999999989</v>
      </c>
      <c r="R168" s="73">
        <f t="shared" si="112"/>
        <v>1.6500000000000001</v>
      </c>
      <c r="S168" s="74">
        <f t="shared" si="113"/>
        <v>0</v>
      </c>
      <c r="T168" s="74">
        <f t="shared" si="114"/>
        <v>0</v>
      </c>
      <c r="U168" s="75">
        <f t="shared" si="115"/>
        <v>13.200000000000001</v>
      </c>
      <c r="V168" s="76">
        <f t="shared" si="116"/>
        <v>59.4</v>
      </c>
      <c r="W168" s="77">
        <v>0</v>
      </c>
      <c r="X168" s="78">
        <f t="shared" si="117"/>
        <v>0</v>
      </c>
      <c r="Y168" s="79">
        <f t="shared" si="118"/>
        <v>0</v>
      </c>
      <c r="Z168" s="79">
        <f t="shared" si="119"/>
        <v>0</v>
      </c>
      <c r="AA168" s="78">
        <f t="shared" si="120"/>
        <v>1</v>
      </c>
      <c r="AB168" s="79">
        <f t="shared" si="121"/>
        <v>0</v>
      </c>
      <c r="AC168" s="79">
        <f t="shared" si="122"/>
        <v>0</v>
      </c>
      <c r="AD168" s="79">
        <f t="shared" si="123"/>
        <v>0</v>
      </c>
      <c r="AE168" s="79">
        <f t="shared" si="124"/>
        <v>0</v>
      </c>
      <c r="AF168" s="78">
        <f t="shared" si="125"/>
        <v>1</v>
      </c>
      <c r="AG168" s="79">
        <f t="shared" si="126"/>
        <v>1</v>
      </c>
      <c r="AH168" s="79">
        <f t="shared" si="127"/>
        <v>1</v>
      </c>
      <c r="AI168" s="78">
        <f t="shared" si="128"/>
        <v>1</v>
      </c>
      <c r="AJ168" s="79">
        <f t="shared" si="129"/>
        <v>1</v>
      </c>
      <c r="AK168" s="79">
        <f t="shared" si="130"/>
        <v>1</v>
      </c>
      <c r="AL168" s="80">
        <f t="shared" si="131"/>
        <v>0</v>
      </c>
      <c r="AM168" s="81">
        <f t="shared" si="132"/>
        <v>0.66</v>
      </c>
      <c r="AN168" s="82" t="str">
        <f t="shared" si="133"/>
        <v/>
      </c>
      <c r="AO168" s="79" t="str">
        <f t="shared" si="134"/>
        <v/>
      </c>
      <c r="AP168" t="str">
        <f t="shared" si="135"/>
        <v/>
      </c>
      <c r="AQ168" s="82" t="str">
        <f t="shared" si="136"/>
        <v>X</v>
      </c>
      <c r="AR168" t="str">
        <f t="shared" si="137"/>
        <v/>
      </c>
      <c r="AS168" t="str">
        <f t="shared" si="138"/>
        <v/>
      </c>
      <c r="AT168" t="str">
        <f t="shared" si="139"/>
        <v/>
      </c>
      <c r="AU168" t="str">
        <f t="shared" si="140"/>
        <v/>
      </c>
      <c r="AV168" s="82" t="str">
        <f t="shared" si="141"/>
        <v>X</v>
      </c>
      <c r="AW168" t="str">
        <f t="shared" si="142"/>
        <v>X</v>
      </c>
      <c r="AX168" t="str">
        <f t="shared" si="143"/>
        <v>X</v>
      </c>
      <c r="AY168" s="82" t="str">
        <f t="shared" si="144"/>
        <v>X</v>
      </c>
      <c r="AZ168" t="str">
        <f t="shared" si="145"/>
        <v>X</v>
      </c>
      <c r="BA168" t="str">
        <f t="shared" si="146"/>
        <v>X</v>
      </c>
      <c r="BB168" s="83" t="str">
        <f t="shared" si="147"/>
        <v/>
      </c>
      <c r="BC168" s="84">
        <f t="shared" si="148"/>
        <v>0</v>
      </c>
      <c r="BD168" s="84">
        <f t="shared" si="149"/>
        <v>0.14285714285714285</v>
      </c>
      <c r="BE168" s="84">
        <f t="shared" si="150"/>
        <v>1</v>
      </c>
      <c r="BF168" s="84">
        <f t="shared" si="151"/>
        <v>0.80555555555555558</v>
      </c>
      <c r="BG168" s="78">
        <f>IF(AN168="",0,VLOOKUP(AN168,Tables!$AB$3:$AC$12,2))</f>
        <v>0</v>
      </c>
      <c r="BH168" s="79">
        <f>IF(AO168="",0,VLOOKUP(AO168,Tables!$AB$3:$AC$12,2))</f>
        <v>0</v>
      </c>
      <c r="BI168" s="79">
        <f>IF(AP168="",0,VLOOKUP(AP168,Tables!$AB$3:$AC$12,2))</f>
        <v>0</v>
      </c>
      <c r="BJ168" s="78">
        <f>IF(AQ168="",0,VLOOKUP(AQ168,Tables!$AB$3:$AC$12,2))</f>
        <v>1</v>
      </c>
      <c r="BK168" s="79">
        <f>IF(AR168="",0,VLOOKUP(AR168,Tables!$AB$3:$AC$12,2))</f>
        <v>0</v>
      </c>
      <c r="BL168" s="79">
        <f>IF(AS168="",0,VLOOKUP(AS168,Tables!$AB$3:$AC$12,2))</f>
        <v>0</v>
      </c>
      <c r="BM168" s="79">
        <f>IF(AT168="",0,VLOOKUP(AT168,Tables!$AB$3:$AC$12,2))</f>
        <v>0</v>
      </c>
      <c r="BN168" s="79">
        <f>IF(AU168="",0,VLOOKUP(AU168,Tables!$AB$3:$AC$12,2))</f>
        <v>0</v>
      </c>
      <c r="BO168" s="78">
        <f>IF(AV168="",0,VLOOKUP(AV168,Tables!$AB$3:$AC$12,2))</f>
        <v>1</v>
      </c>
      <c r="BP168" s="79">
        <f>IF(AW168="",0,VLOOKUP(AW168,Tables!$AB$3:$AC$12,2))</f>
        <v>1</v>
      </c>
      <c r="BQ168" s="79">
        <f>IF(AX168="",0,VLOOKUP(AX168,Tables!$AB$3:$AC$12,2))</f>
        <v>1</v>
      </c>
      <c r="BR168" s="78">
        <f>IF(AY168="",0,VLOOKUP(AY168,Tables!$AB$3:$AC$12,2))</f>
        <v>1</v>
      </c>
      <c r="BS168" s="79">
        <f>IF(AZ168="",0,VLOOKUP(AZ168,Tables!$AB$3:$AC$12,2))</f>
        <v>1</v>
      </c>
      <c r="BT168" s="79">
        <f>IF(BA168="",0,VLOOKUP(BA168,Tables!$AB$3:$AC$12,2))</f>
        <v>1</v>
      </c>
      <c r="BU168" s="80">
        <f>IF(BB168="",0,VLOOKUP(BB168,Tables!$AB$3:$AC$12,2))</f>
        <v>0</v>
      </c>
      <c r="BV168" s="85">
        <f>IF(AN168="",0,VLOOKUP(B168,Tables!$B$3:$D$36,2,FALSE())*X$1)</f>
        <v>0</v>
      </c>
      <c r="BW168" s="72">
        <f>IF(AO168="",0,VLOOKUP(C168,Tables!$B$3:$D$36,2,FALSE())*Y$1)</f>
        <v>0</v>
      </c>
      <c r="BX168" s="72">
        <f>IF(AP168="",0,VLOOKUP(D168,Tables!$B$3:$D$36,2,FALSE())*Z$1)</f>
        <v>0</v>
      </c>
      <c r="BY168" s="85">
        <f>IF(AQ168="",0,VLOOKUP(E168,Tables!$B$3:$D$36,2,FALSE())*AA$1)</f>
        <v>3.5999999999999996</v>
      </c>
      <c r="BZ168" s="72">
        <f>IF(AR168="",0,VLOOKUP(F168,Tables!$B$3:$D$36,2,FALSE())*AB$1)</f>
        <v>0</v>
      </c>
      <c r="CA168" s="72">
        <f>IF(AS168="",0,VLOOKUP(G168,Tables!$B$3:$D$36,2,FALSE())*AC$1)</f>
        <v>0</v>
      </c>
      <c r="CB168" s="72">
        <f>IF(AT168="",0,VLOOKUP(H168,Tables!$B$3:$D$36,2,FALSE())*AD$1)</f>
        <v>0</v>
      </c>
      <c r="CC168" s="72">
        <f>IF(AU168="",0,VLOOKUP(I168,Tables!$B$3:$D$36,2,FALSE())*AE$1)</f>
        <v>0</v>
      </c>
      <c r="CD168" s="85">
        <f>IF(AV168="",0,VLOOKUP(J168,Tables!$B$3:$D$36,2,FALSE())*AF$1)</f>
        <v>14.399999999999999</v>
      </c>
      <c r="CE168" s="72">
        <f>IF(AW168="",0,VLOOKUP(K168,Tables!$B$3:$D$36,2,FALSE())*AG$1)</f>
        <v>14.399999999999999</v>
      </c>
      <c r="CF168" s="72">
        <f>IF(AX168="",0,VLOOKUP(L168,Tables!$B$3:$D$36,2,FALSE())*AH$1)</f>
        <v>12</v>
      </c>
      <c r="CG168" s="85">
        <f>IF(AY168="",0,VLOOKUP(M168,Tables!$B$3:$D$36,2,FALSE())*AI$1)</f>
        <v>16.8</v>
      </c>
      <c r="CH168" s="72">
        <f>IF(AZ168="",0,VLOOKUP(N168,Tables!$B$3:$D$36,2,FALSE())*AJ$1)</f>
        <v>3.5999999999999996</v>
      </c>
      <c r="CI168" s="72">
        <f>IF(BA168="",0,VLOOKUP(O168,Tables!$B$3:$D$36,2,FALSE())*AK$1)</f>
        <v>14.399999999999999</v>
      </c>
      <c r="CJ168" s="86">
        <f>IF(BB168="",0,VLOOKUP(P168,Tables!$B$3:$D$36,2,FALSE())*AL$1)</f>
        <v>0</v>
      </c>
      <c r="CK168" s="87">
        <f>IF(AN168="",0,VLOOKUP(B168,Tables!$B$3:$D$36,3,FALSE())*X$1)*IF(OR(AN168="K",AN168="P"),2,1)</f>
        <v>0</v>
      </c>
      <c r="CL168" s="73">
        <f>IF(AO168="",0,VLOOKUP(C168,Tables!$B$3:$D$36,3,FALSE())*Y$1)*IF(OR(AO168="K",AO168="P"),2,1)</f>
        <v>0</v>
      </c>
      <c r="CM168" s="73">
        <f>IF(AP168="",0,VLOOKUP(D168,Tables!$B$3:$D$36,3,FALSE())*Z$1)*IF(OR(AP168="K",AP168="P"),2,1)</f>
        <v>0</v>
      </c>
      <c r="CN168" s="87">
        <f>IF(AQ168="",0,VLOOKUP(E168,Tables!$B$3:$D$36,3,FALSE())*AA$1)</f>
        <v>7.4999999999999997E-2</v>
      </c>
      <c r="CO168" s="73">
        <f>IF(AR168="",0,VLOOKUP(F168,Tables!$B$3:$D$36,3,FALSE())*AB$1)</f>
        <v>0</v>
      </c>
      <c r="CP168" s="73">
        <f>IF(AS168="",0,VLOOKUP(G168,Tables!$B$3:$D$36,3,FALSE())*AC$1)</f>
        <v>0</v>
      </c>
      <c r="CQ168" s="73">
        <f>IF(AT168="",0,VLOOKUP(H168,Tables!$B$3:$D$36,3,FALSE())*AD$1)</f>
        <v>0</v>
      </c>
      <c r="CR168" s="73">
        <f>IF(AU168="",0,VLOOKUP(I168,Tables!$B$3:$D$36,3,FALSE())*AE$1)</f>
        <v>0</v>
      </c>
      <c r="CS168" s="87">
        <f>IF(AV168="",0,VLOOKUP(J168,Tables!$B$3:$D$36,3,FALSE())*AF$1)</f>
        <v>0.3</v>
      </c>
      <c r="CT168" s="73">
        <f>IF(AW168="",0,VLOOKUP(K168,Tables!$B$3:$D$36,3,FALSE())*AG$1)</f>
        <v>0.3</v>
      </c>
      <c r="CU168" s="73">
        <f>IF(AX168="",0,VLOOKUP(L168,Tables!$B$3:$D$36,3,FALSE())*AH$1)</f>
        <v>0.25</v>
      </c>
      <c r="CV168" s="87">
        <f>IF(AY168="",0,VLOOKUP(M168,Tables!$B$3:$D$36,3,FALSE())*AI$1)</f>
        <v>0.35000000000000003</v>
      </c>
      <c r="CW168" s="73">
        <f>IF(AZ168="",0,VLOOKUP(N168,Tables!$B$3:$D$36,3,FALSE())*AJ$1)</f>
        <v>7.4999999999999997E-2</v>
      </c>
      <c r="CX168" s="73">
        <f>IF(BA168="",0,VLOOKUP(O168,Tables!$B$3:$D$36,3,FALSE())*AK$1)</f>
        <v>0.3</v>
      </c>
      <c r="CY168" s="88">
        <f>IF(BB168="",0,VLOOKUP(P168,Tables!$B$3:$D$36,3,FALSE())*AL$1)</f>
        <v>0</v>
      </c>
      <c r="CZ168" s="89">
        <f t="shared" si="152"/>
        <v>0</v>
      </c>
      <c r="DA168" s="75">
        <f t="shared" si="153"/>
        <v>0</v>
      </c>
      <c r="DB168" s="75">
        <f t="shared" si="154"/>
        <v>0</v>
      </c>
      <c r="DC168" s="89">
        <f t="shared" si="155"/>
        <v>1</v>
      </c>
      <c r="DD168" s="75">
        <f t="shared" si="156"/>
        <v>0</v>
      </c>
      <c r="DE168" s="75">
        <f t="shared" si="157"/>
        <v>0</v>
      </c>
      <c r="DF168" s="75">
        <f t="shared" si="158"/>
        <v>0</v>
      </c>
      <c r="DG168" s="75">
        <f t="shared" si="159"/>
        <v>0</v>
      </c>
      <c r="DH168" s="89">
        <f t="shared" si="160"/>
        <v>1</v>
      </c>
      <c r="DI168" s="75">
        <f t="shared" si="161"/>
        <v>1</v>
      </c>
      <c r="DJ168" s="75">
        <f t="shared" si="162"/>
        <v>1</v>
      </c>
      <c r="DK168" s="89">
        <f t="shared" si="163"/>
        <v>1</v>
      </c>
      <c r="DL168" s="75">
        <f t="shared" si="164"/>
        <v>1</v>
      </c>
      <c r="DM168" s="75">
        <f t="shared" si="165"/>
        <v>1</v>
      </c>
      <c r="DN168" s="90">
        <f t="shared" si="166"/>
        <v>0</v>
      </c>
      <c r="DO168" s="91">
        <f>IF(AN168="",0,VLOOKUP(B168,Tables!$B$3:$M$36,11,FALSE())*X$1)</f>
        <v>0</v>
      </c>
      <c r="DP168" s="92">
        <f>IF(AO168="",0,VLOOKUP(C168,Tables!$B$3:$M$36,11,FALSE())*Y$1)</f>
        <v>0</v>
      </c>
      <c r="DQ168" s="92">
        <f>IF(AP168="",0,VLOOKUP(D168,Tables!$B$3:$M$36,11,FALSE())*Z$1)</f>
        <v>0</v>
      </c>
      <c r="DR168" s="91">
        <f>IF(AQ168="",0,VLOOKUP(E168,Tables!$B$3:$M$36,11,FALSE())*AA$1)</f>
        <v>0.6</v>
      </c>
      <c r="DS168" s="92">
        <f>IF(AR168="",0,VLOOKUP(F168,Tables!$B$3:$M$36,11,FALSE())*AB$1)</f>
        <v>0</v>
      </c>
      <c r="DT168" s="92">
        <f>IF(AS168="",0,VLOOKUP(G168,Tables!$B$3:$M$36,11,FALSE())*AC$1)</f>
        <v>0</v>
      </c>
      <c r="DU168" s="92">
        <f>IF(AT168="",0,VLOOKUP(H168,Tables!$B$3:$M$36,11,FALSE())*AD$1)</f>
        <v>0</v>
      </c>
      <c r="DV168" s="92">
        <f>IF(AU168="",0,VLOOKUP(I168,Tables!$B$3:$M$36,11,FALSE())*AE$1)</f>
        <v>0</v>
      </c>
      <c r="DW168" s="91">
        <f>IF(AV168="",0,VLOOKUP(J168,Tables!$B$3:$M$36,11,FALSE())*AF$1)</f>
        <v>2.4</v>
      </c>
      <c r="DX168" s="92">
        <f>IF(AW168="",0,VLOOKUP(K168,Tables!$B$3:$M$36,11,FALSE())*AG$1)</f>
        <v>2.4</v>
      </c>
      <c r="DY168" s="92">
        <f>IF(AX168="",0,VLOOKUP(L168,Tables!$B$3:$M$36,11,FALSE())*AH$1)</f>
        <v>2</v>
      </c>
      <c r="DZ168" s="91">
        <f>IF(AY168="",0,VLOOKUP(M168,Tables!$B$3:$M$36,11,FALSE())*AI$1)</f>
        <v>2.8000000000000003</v>
      </c>
      <c r="EA168" s="92">
        <f>IF(AZ168="",0,VLOOKUP(N168,Tables!$B$3:$M$36,11,FALSE())*AJ$1)</f>
        <v>0.6</v>
      </c>
      <c r="EB168" s="92">
        <f>IF(BA168="",0,VLOOKUP(O168,Tables!$B$3:$M$36,11,FALSE())*AK$1)</f>
        <v>2.4</v>
      </c>
      <c r="EC168" s="93">
        <f>IF(BB168="",0,VLOOKUP(P168,Tables!$B$3:$M$36,11,FALSE())*AL$1)</f>
        <v>0</v>
      </c>
      <c r="ED168" s="91">
        <f>IF(AN168="",0,VLOOKUP(B168,Tables!$B$3:$M$36,12,FALSE())*X$1)</f>
        <v>0</v>
      </c>
      <c r="EE168" s="92">
        <f>IF(AO168="",0,VLOOKUP(C168,Tables!$B$3:$M$36,12,FALSE())*Y$1)</f>
        <v>0</v>
      </c>
      <c r="EF168" s="92">
        <f>IF(AP168="",0,VLOOKUP(D168,Tables!$B$3:$M$36,12,FALSE())*Z$1)</f>
        <v>0</v>
      </c>
      <c r="EG168" s="91">
        <f>IF(AQ168="",0,VLOOKUP(E168,Tables!$B$3:$M$36,12,FALSE())*AA$1)</f>
        <v>2.6999999999999997</v>
      </c>
      <c r="EH168" s="92">
        <f>IF(AR168="",0,VLOOKUP(F168,Tables!$B$3:$M$36,12,FALSE())*AB$1)</f>
        <v>0</v>
      </c>
      <c r="EI168" s="92">
        <f>IF(AS168="",0,VLOOKUP(G168,Tables!$B$3:$M$36,12,FALSE())*AC$1)</f>
        <v>0</v>
      </c>
      <c r="EJ168" s="92">
        <f>IF(AT168="",0,VLOOKUP(H168,Tables!$B$3:$M$36,12,FALSE())*AD$1)</f>
        <v>0</v>
      </c>
      <c r="EK168" s="92">
        <f>IF(AU168="",0,VLOOKUP(I168,Tables!$B$3:$M$36,12,FALSE())*AE$1)</f>
        <v>0</v>
      </c>
      <c r="EL168" s="91">
        <f>IF(AV168="",0,VLOOKUP(J168,Tables!$B$3:$M$36,12,FALSE())*AF$1)</f>
        <v>10.799999999999999</v>
      </c>
      <c r="EM168" s="92">
        <f>IF(AW168="",0,VLOOKUP(K168,Tables!$B$3:$M$36,12,FALSE())*AG$1)</f>
        <v>10.799999999999999</v>
      </c>
      <c r="EN168" s="92">
        <f>IF(AX168="",0,VLOOKUP(L168,Tables!$B$3:$M$36,12,FALSE())*AH$1)</f>
        <v>9</v>
      </c>
      <c r="EO168" s="91">
        <f>IF(AY168="",0,VLOOKUP(M168,Tables!$B$3:$M$36,12,FALSE())*AI$1)</f>
        <v>12.600000000000001</v>
      </c>
      <c r="EP168" s="92">
        <f>IF(AZ168="",0,VLOOKUP(N168,Tables!$B$3:$M$36,12,FALSE())*AJ$1)</f>
        <v>2.6999999999999997</v>
      </c>
      <c r="EQ168" s="92">
        <f>IF(BA168="",0,VLOOKUP(O168,Tables!$B$3:$M$36,12,FALSE())*AK$1)</f>
        <v>10.799999999999999</v>
      </c>
      <c r="ER168" s="93">
        <f>IF(BB168="",0,VLOOKUP(P168,Tables!$B$3:$M$36,12,FALSE())*AL$1)</f>
        <v>0</v>
      </c>
      <c r="ES168" s="94">
        <f t="shared" si="167"/>
        <v>0</v>
      </c>
      <c r="ET168" s="95">
        <f>IF(AN168="",10,MIN(VLOOKUP(B168,MATERIAL,13,FALSE()),'Item Builder'!$W168))</f>
        <v>10</v>
      </c>
      <c r="EU168" s="95">
        <f>IF(AO168="",10,MIN(VLOOKUP(C168,MATERIAL,13,FALSE()),'Item Builder'!$W168))</f>
        <v>10</v>
      </c>
      <c r="EV168" s="95">
        <f>IF(AP168="",10,MIN(VLOOKUP(D168,MATERIAL,13,FALSE()),'Item Builder'!$W168))</f>
        <v>10</v>
      </c>
      <c r="EW168" s="95">
        <f>IF(AQ168="",10,MIN(VLOOKUP(E168,MATERIAL,13,FALSE()),'Item Builder'!$W168))</f>
        <v>0</v>
      </c>
      <c r="EX168" s="95">
        <f>IF(AR168="",10,MIN(VLOOKUP(F168,MATERIAL,13,FALSE()),'Item Builder'!$W168))</f>
        <v>10</v>
      </c>
      <c r="EY168" s="95">
        <f>IF(AS168="",10,MIN(VLOOKUP(G168,MATERIAL,13,FALSE()),'Item Builder'!$W168))</f>
        <v>10</v>
      </c>
      <c r="EZ168" s="95">
        <f>IF(AT168="",10,MIN(VLOOKUP(H168,MATERIAL,13,FALSE()),'Item Builder'!$W168))</f>
        <v>10</v>
      </c>
      <c r="FA168" s="95">
        <f>IF(AU168="",10,MIN(VLOOKUP(I168,MATERIAL,13,FALSE()),'Item Builder'!$W168))</f>
        <v>10</v>
      </c>
      <c r="FB168" s="95">
        <f>IF(AV168="",10,MIN(VLOOKUP(J168,MATERIAL,13,FALSE()),'Item Builder'!$W168))</f>
        <v>0</v>
      </c>
      <c r="FC168" s="95">
        <f>IF(AW168="",10,MIN(VLOOKUP(K168,MATERIAL,13,FALSE()),'Item Builder'!$W168))</f>
        <v>0</v>
      </c>
      <c r="FD168" s="95">
        <f>IF(AX168="",10,MIN(VLOOKUP(L168,MATERIAL,13,FALSE()),'Item Builder'!$W168))</f>
        <v>0</v>
      </c>
      <c r="FE168" s="95">
        <f>IF(AY168="",10,MIN(VLOOKUP(M168,MATERIAL,13,FALSE()),'Item Builder'!$W168))</f>
        <v>0</v>
      </c>
      <c r="FF168" s="95">
        <f>IF(AZ168="",10,MIN(VLOOKUP(N168,MATERIAL,13,FALSE()),'Item Builder'!$W168))</f>
        <v>0</v>
      </c>
      <c r="FG168" s="95">
        <f>IF(BA168="",10,MIN(VLOOKUP(O168,MATERIAL,13,FALSE()),'Item Builder'!$W168))</f>
        <v>0</v>
      </c>
      <c r="FH168" s="95">
        <f>IF(BB168="",10,MIN(VLOOKUP(P168,MATERIAL,13,FALSE()),'Item Builder'!$W168))</f>
        <v>10</v>
      </c>
    </row>
    <row r="169" spans="1:164" x14ac:dyDescent="0.25">
      <c r="A169" s="67" t="s">
        <v>309</v>
      </c>
      <c r="B169" s="68"/>
      <c r="C169" s="69"/>
      <c r="D169" s="70"/>
      <c r="E169" s="68" t="s">
        <v>171</v>
      </c>
      <c r="F169" s="69" t="s">
        <v>171</v>
      </c>
      <c r="G169" s="69" t="s">
        <v>171</v>
      </c>
      <c r="H169" s="69" t="s">
        <v>171</v>
      </c>
      <c r="I169" s="70"/>
      <c r="J169" s="68" t="s">
        <v>171</v>
      </c>
      <c r="K169" s="69" t="s">
        <v>171</v>
      </c>
      <c r="L169" s="70" t="s">
        <v>171</v>
      </c>
      <c r="M169" s="68" t="s">
        <v>171</v>
      </c>
      <c r="N169" s="69" t="s">
        <v>171</v>
      </c>
      <c r="O169" s="69" t="s">
        <v>171</v>
      </c>
      <c r="P169" s="71"/>
      <c r="Q169" s="72">
        <f>SUM(BV169:CJ169)*VLOOKUP(W169,Tables!$W$3:$Z$8,4)</f>
        <v>94.799999999999983</v>
      </c>
      <c r="R169" s="73">
        <f t="shared" si="112"/>
        <v>1.9750000000000001</v>
      </c>
      <c r="S169" s="74">
        <f t="shared" si="113"/>
        <v>0</v>
      </c>
      <c r="T169" s="74">
        <f t="shared" si="114"/>
        <v>0</v>
      </c>
      <c r="U169" s="75">
        <f t="shared" si="115"/>
        <v>15.8</v>
      </c>
      <c r="V169" s="76">
        <f t="shared" si="116"/>
        <v>71.100000000000009</v>
      </c>
      <c r="W169" s="77">
        <v>0</v>
      </c>
      <c r="X169" s="78">
        <f t="shared" si="117"/>
        <v>0</v>
      </c>
      <c r="Y169" s="79">
        <f t="shared" si="118"/>
        <v>0</v>
      </c>
      <c r="Z169" s="79">
        <f t="shared" si="119"/>
        <v>0</v>
      </c>
      <c r="AA169" s="78">
        <f t="shared" si="120"/>
        <v>1</v>
      </c>
      <c r="AB169" s="79">
        <f t="shared" si="121"/>
        <v>1</v>
      </c>
      <c r="AC169" s="79">
        <f t="shared" si="122"/>
        <v>1</v>
      </c>
      <c r="AD169" s="79">
        <f t="shared" si="123"/>
        <v>1</v>
      </c>
      <c r="AE169" s="79">
        <f t="shared" si="124"/>
        <v>0</v>
      </c>
      <c r="AF169" s="78">
        <f t="shared" si="125"/>
        <v>1</v>
      </c>
      <c r="AG169" s="79">
        <f t="shared" si="126"/>
        <v>1</v>
      </c>
      <c r="AH169" s="79">
        <f t="shared" si="127"/>
        <v>1</v>
      </c>
      <c r="AI169" s="78">
        <f t="shared" si="128"/>
        <v>1</v>
      </c>
      <c r="AJ169" s="79">
        <f t="shared" si="129"/>
        <v>1</v>
      </c>
      <c r="AK169" s="79">
        <f t="shared" si="130"/>
        <v>1</v>
      </c>
      <c r="AL169" s="80">
        <f t="shared" si="131"/>
        <v>0</v>
      </c>
      <c r="AM169" s="81">
        <f t="shared" si="132"/>
        <v>0.79</v>
      </c>
      <c r="AN169" s="82" t="str">
        <f t="shared" si="133"/>
        <v/>
      </c>
      <c r="AO169" s="79" t="str">
        <f t="shared" si="134"/>
        <v/>
      </c>
      <c r="AP169" t="str">
        <f t="shared" si="135"/>
        <v/>
      </c>
      <c r="AQ169" s="82" t="str">
        <f t="shared" si="136"/>
        <v>X</v>
      </c>
      <c r="AR169" t="str">
        <f t="shared" si="137"/>
        <v>X</v>
      </c>
      <c r="AS169" t="str">
        <f t="shared" si="138"/>
        <v>X</v>
      </c>
      <c r="AT169" t="str">
        <f t="shared" si="139"/>
        <v>X</v>
      </c>
      <c r="AU169" t="str">
        <f t="shared" si="140"/>
        <v/>
      </c>
      <c r="AV169" s="82" t="str">
        <f t="shared" si="141"/>
        <v>X</v>
      </c>
      <c r="AW169" t="str">
        <f t="shared" si="142"/>
        <v>X</v>
      </c>
      <c r="AX169" t="str">
        <f t="shared" si="143"/>
        <v>X</v>
      </c>
      <c r="AY169" s="82" t="str">
        <f t="shared" si="144"/>
        <v>X</v>
      </c>
      <c r="AZ169" t="str">
        <f t="shared" si="145"/>
        <v>X</v>
      </c>
      <c r="BA169" t="str">
        <f t="shared" si="146"/>
        <v>X</v>
      </c>
      <c r="BB169" s="83" t="str">
        <f t="shared" si="147"/>
        <v/>
      </c>
      <c r="BC169" s="84">
        <f t="shared" si="148"/>
        <v>0</v>
      </c>
      <c r="BD169" s="84">
        <f t="shared" si="149"/>
        <v>0.76190476190476186</v>
      </c>
      <c r="BE169" s="84">
        <f t="shared" si="150"/>
        <v>1</v>
      </c>
      <c r="BF169" s="84">
        <f t="shared" si="151"/>
        <v>0.80555555555555558</v>
      </c>
      <c r="BG169" s="78">
        <f>IF(AN169="",0,VLOOKUP(AN169,Tables!$AB$3:$AC$12,2))</f>
        <v>0</v>
      </c>
      <c r="BH169" s="79">
        <f>IF(AO169="",0,VLOOKUP(AO169,Tables!$AB$3:$AC$12,2))</f>
        <v>0</v>
      </c>
      <c r="BI169" s="79">
        <f>IF(AP169="",0,VLOOKUP(AP169,Tables!$AB$3:$AC$12,2))</f>
        <v>0</v>
      </c>
      <c r="BJ169" s="78">
        <f>IF(AQ169="",0,VLOOKUP(AQ169,Tables!$AB$3:$AC$12,2))</f>
        <v>1</v>
      </c>
      <c r="BK169" s="79">
        <f>IF(AR169="",0,VLOOKUP(AR169,Tables!$AB$3:$AC$12,2))</f>
        <v>1</v>
      </c>
      <c r="BL169" s="79">
        <f>IF(AS169="",0,VLOOKUP(AS169,Tables!$AB$3:$AC$12,2))</f>
        <v>1</v>
      </c>
      <c r="BM169" s="79">
        <f>IF(AT169="",0,VLOOKUP(AT169,Tables!$AB$3:$AC$12,2))</f>
        <v>1</v>
      </c>
      <c r="BN169" s="79">
        <f>IF(AU169="",0,VLOOKUP(AU169,Tables!$AB$3:$AC$12,2))</f>
        <v>0</v>
      </c>
      <c r="BO169" s="78">
        <f>IF(AV169="",0,VLOOKUP(AV169,Tables!$AB$3:$AC$12,2))</f>
        <v>1</v>
      </c>
      <c r="BP169" s="79">
        <f>IF(AW169="",0,VLOOKUP(AW169,Tables!$AB$3:$AC$12,2))</f>
        <v>1</v>
      </c>
      <c r="BQ169" s="79">
        <f>IF(AX169="",0,VLOOKUP(AX169,Tables!$AB$3:$AC$12,2))</f>
        <v>1</v>
      </c>
      <c r="BR169" s="78">
        <f>IF(AY169="",0,VLOOKUP(AY169,Tables!$AB$3:$AC$12,2))</f>
        <v>1</v>
      </c>
      <c r="BS169" s="79">
        <f>IF(AZ169="",0,VLOOKUP(AZ169,Tables!$AB$3:$AC$12,2))</f>
        <v>1</v>
      </c>
      <c r="BT169" s="79">
        <f>IF(BA169="",0,VLOOKUP(BA169,Tables!$AB$3:$AC$12,2))</f>
        <v>1</v>
      </c>
      <c r="BU169" s="80">
        <f>IF(BB169="",0,VLOOKUP(BB169,Tables!$AB$3:$AC$12,2))</f>
        <v>0</v>
      </c>
      <c r="BV169" s="85">
        <f>IF(AN169="",0,VLOOKUP(B169,Tables!$B$3:$D$36,2,FALSE())*X$1)</f>
        <v>0</v>
      </c>
      <c r="BW169" s="72">
        <f>IF(AO169="",0,VLOOKUP(C169,Tables!$B$3:$D$36,2,FALSE())*Y$1)</f>
        <v>0</v>
      </c>
      <c r="BX169" s="72">
        <f>IF(AP169="",0,VLOOKUP(D169,Tables!$B$3:$D$36,2,FALSE())*Z$1)</f>
        <v>0</v>
      </c>
      <c r="BY169" s="85">
        <f>IF(AQ169="",0,VLOOKUP(E169,Tables!$B$3:$D$36,2,FALSE())*AA$1)</f>
        <v>3.5999999999999996</v>
      </c>
      <c r="BZ169" s="72">
        <f>IF(AR169="",0,VLOOKUP(F169,Tables!$B$3:$D$36,2,FALSE())*AB$1)</f>
        <v>7.1999999999999993</v>
      </c>
      <c r="CA169" s="72">
        <f>IF(AS169="",0,VLOOKUP(G169,Tables!$B$3:$D$36,2,FALSE())*AC$1)</f>
        <v>2.4</v>
      </c>
      <c r="CB169" s="72">
        <f>IF(AT169="",0,VLOOKUP(H169,Tables!$B$3:$D$36,2,FALSE())*AD$1)</f>
        <v>6</v>
      </c>
      <c r="CC169" s="72">
        <f>IF(AU169="",0,VLOOKUP(I169,Tables!$B$3:$D$36,2,FALSE())*AE$1)</f>
        <v>0</v>
      </c>
      <c r="CD169" s="85">
        <f>IF(AV169="",0,VLOOKUP(J169,Tables!$B$3:$D$36,2,FALSE())*AF$1)</f>
        <v>14.399999999999999</v>
      </c>
      <c r="CE169" s="72">
        <f>IF(AW169="",0,VLOOKUP(K169,Tables!$B$3:$D$36,2,FALSE())*AG$1)</f>
        <v>14.399999999999999</v>
      </c>
      <c r="CF169" s="72">
        <f>IF(AX169="",0,VLOOKUP(L169,Tables!$B$3:$D$36,2,FALSE())*AH$1)</f>
        <v>12</v>
      </c>
      <c r="CG169" s="85">
        <f>IF(AY169="",0,VLOOKUP(M169,Tables!$B$3:$D$36,2,FALSE())*AI$1)</f>
        <v>16.8</v>
      </c>
      <c r="CH169" s="72">
        <f>IF(AZ169="",0,VLOOKUP(N169,Tables!$B$3:$D$36,2,FALSE())*AJ$1)</f>
        <v>3.5999999999999996</v>
      </c>
      <c r="CI169" s="72">
        <f>IF(BA169="",0,VLOOKUP(O169,Tables!$B$3:$D$36,2,FALSE())*AK$1)</f>
        <v>14.399999999999999</v>
      </c>
      <c r="CJ169" s="86">
        <f>IF(BB169="",0,VLOOKUP(P169,Tables!$B$3:$D$36,2,FALSE())*AL$1)</f>
        <v>0</v>
      </c>
      <c r="CK169" s="87">
        <f>IF(AN169="",0,VLOOKUP(B169,Tables!$B$3:$D$36,3,FALSE())*X$1)*IF(OR(AN169="K",AN169="P"),2,1)</f>
        <v>0</v>
      </c>
      <c r="CL169" s="73">
        <f>IF(AO169="",0,VLOOKUP(C169,Tables!$B$3:$D$36,3,FALSE())*Y$1)*IF(OR(AO169="K",AO169="P"),2,1)</f>
        <v>0</v>
      </c>
      <c r="CM169" s="73">
        <f>IF(AP169="",0,VLOOKUP(D169,Tables!$B$3:$D$36,3,FALSE())*Z$1)*IF(OR(AP169="K",AP169="P"),2,1)</f>
        <v>0</v>
      </c>
      <c r="CN169" s="87">
        <f>IF(AQ169="",0,VLOOKUP(E169,Tables!$B$3:$D$36,3,FALSE())*AA$1)</f>
        <v>7.4999999999999997E-2</v>
      </c>
      <c r="CO169" s="73">
        <f>IF(AR169="",0,VLOOKUP(F169,Tables!$B$3:$D$36,3,FALSE())*AB$1)</f>
        <v>0.15</v>
      </c>
      <c r="CP169" s="73">
        <f>IF(AS169="",0,VLOOKUP(G169,Tables!$B$3:$D$36,3,FALSE())*AC$1)</f>
        <v>0.05</v>
      </c>
      <c r="CQ169" s="73">
        <f>IF(AT169="",0,VLOOKUP(H169,Tables!$B$3:$D$36,3,FALSE())*AD$1)</f>
        <v>0.125</v>
      </c>
      <c r="CR169" s="73">
        <f>IF(AU169="",0,VLOOKUP(I169,Tables!$B$3:$D$36,3,FALSE())*AE$1)</f>
        <v>0</v>
      </c>
      <c r="CS169" s="87">
        <f>IF(AV169="",0,VLOOKUP(J169,Tables!$B$3:$D$36,3,FALSE())*AF$1)</f>
        <v>0.3</v>
      </c>
      <c r="CT169" s="73">
        <f>IF(AW169="",0,VLOOKUP(K169,Tables!$B$3:$D$36,3,FALSE())*AG$1)</f>
        <v>0.3</v>
      </c>
      <c r="CU169" s="73">
        <f>IF(AX169="",0,VLOOKUP(L169,Tables!$B$3:$D$36,3,FALSE())*AH$1)</f>
        <v>0.25</v>
      </c>
      <c r="CV169" s="87">
        <f>IF(AY169="",0,VLOOKUP(M169,Tables!$B$3:$D$36,3,FALSE())*AI$1)</f>
        <v>0.35000000000000003</v>
      </c>
      <c r="CW169" s="73">
        <f>IF(AZ169="",0,VLOOKUP(N169,Tables!$B$3:$D$36,3,FALSE())*AJ$1)</f>
        <v>7.4999999999999997E-2</v>
      </c>
      <c r="CX169" s="73">
        <f>IF(BA169="",0,VLOOKUP(O169,Tables!$B$3:$D$36,3,FALSE())*AK$1)</f>
        <v>0.3</v>
      </c>
      <c r="CY169" s="88">
        <f>IF(BB169="",0,VLOOKUP(P169,Tables!$B$3:$D$36,3,FALSE())*AL$1)</f>
        <v>0</v>
      </c>
      <c r="CZ169" s="89">
        <f t="shared" si="152"/>
        <v>0</v>
      </c>
      <c r="DA169" s="75">
        <f t="shared" si="153"/>
        <v>0</v>
      </c>
      <c r="DB169" s="75">
        <f t="shared" si="154"/>
        <v>0</v>
      </c>
      <c r="DC169" s="89">
        <f t="shared" si="155"/>
        <v>1</v>
      </c>
      <c r="DD169" s="75">
        <f t="shared" si="156"/>
        <v>1</v>
      </c>
      <c r="DE169" s="75">
        <f t="shared" si="157"/>
        <v>1</v>
      </c>
      <c r="DF169" s="75">
        <f t="shared" si="158"/>
        <v>1</v>
      </c>
      <c r="DG169" s="75">
        <f t="shared" si="159"/>
        <v>0</v>
      </c>
      <c r="DH169" s="89">
        <f t="shared" si="160"/>
        <v>1</v>
      </c>
      <c r="DI169" s="75">
        <f t="shared" si="161"/>
        <v>1</v>
      </c>
      <c r="DJ169" s="75">
        <f t="shared" si="162"/>
        <v>1</v>
      </c>
      <c r="DK169" s="89">
        <f t="shared" si="163"/>
        <v>1</v>
      </c>
      <c r="DL169" s="75">
        <f t="shared" si="164"/>
        <v>1</v>
      </c>
      <c r="DM169" s="75">
        <f t="shared" si="165"/>
        <v>1</v>
      </c>
      <c r="DN169" s="90">
        <f t="shared" si="166"/>
        <v>0</v>
      </c>
      <c r="DO169" s="91">
        <f>IF(AN169="",0,VLOOKUP(B169,Tables!$B$3:$M$36,11,FALSE())*X$1)</f>
        <v>0</v>
      </c>
      <c r="DP169" s="92">
        <f>IF(AO169="",0,VLOOKUP(C169,Tables!$B$3:$M$36,11,FALSE())*Y$1)</f>
        <v>0</v>
      </c>
      <c r="DQ169" s="92">
        <f>IF(AP169="",0,VLOOKUP(D169,Tables!$B$3:$M$36,11,FALSE())*Z$1)</f>
        <v>0</v>
      </c>
      <c r="DR169" s="91">
        <f>IF(AQ169="",0,VLOOKUP(E169,Tables!$B$3:$M$36,11,FALSE())*AA$1)</f>
        <v>0.6</v>
      </c>
      <c r="DS169" s="92">
        <f>IF(AR169="",0,VLOOKUP(F169,Tables!$B$3:$M$36,11,FALSE())*AB$1)</f>
        <v>1.2</v>
      </c>
      <c r="DT169" s="92">
        <f>IF(AS169="",0,VLOOKUP(G169,Tables!$B$3:$M$36,11,FALSE())*AC$1)</f>
        <v>0.4</v>
      </c>
      <c r="DU169" s="92">
        <f>IF(AT169="",0,VLOOKUP(H169,Tables!$B$3:$M$36,11,FALSE())*AD$1)</f>
        <v>1</v>
      </c>
      <c r="DV169" s="92">
        <f>IF(AU169="",0,VLOOKUP(I169,Tables!$B$3:$M$36,11,FALSE())*AE$1)</f>
        <v>0</v>
      </c>
      <c r="DW169" s="91">
        <f>IF(AV169="",0,VLOOKUP(J169,Tables!$B$3:$M$36,11,FALSE())*AF$1)</f>
        <v>2.4</v>
      </c>
      <c r="DX169" s="92">
        <f>IF(AW169="",0,VLOOKUP(K169,Tables!$B$3:$M$36,11,FALSE())*AG$1)</f>
        <v>2.4</v>
      </c>
      <c r="DY169" s="92">
        <f>IF(AX169="",0,VLOOKUP(L169,Tables!$B$3:$M$36,11,FALSE())*AH$1)</f>
        <v>2</v>
      </c>
      <c r="DZ169" s="91">
        <f>IF(AY169="",0,VLOOKUP(M169,Tables!$B$3:$M$36,11,FALSE())*AI$1)</f>
        <v>2.8000000000000003</v>
      </c>
      <c r="EA169" s="92">
        <f>IF(AZ169="",0,VLOOKUP(N169,Tables!$B$3:$M$36,11,FALSE())*AJ$1)</f>
        <v>0.6</v>
      </c>
      <c r="EB169" s="92">
        <f>IF(BA169="",0,VLOOKUP(O169,Tables!$B$3:$M$36,11,FALSE())*AK$1)</f>
        <v>2.4</v>
      </c>
      <c r="EC169" s="93">
        <f>IF(BB169="",0,VLOOKUP(P169,Tables!$B$3:$M$36,11,FALSE())*AL$1)</f>
        <v>0</v>
      </c>
      <c r="ED169" s="91">
        <f>IF(AN169="",0,VLOOKUP(B169,Tables!$B$3:$M$36,12,FALSE())*X$1)</f>
        <v>0</v>
      </c>
      <c r="EE169" s="92">
        <f>IF(AO169="",0,VLOOKUP(C169,Tables!$B$3:$M$36,12,FALSE())*Y$1)</f>
        <v>0</v>
      </c>
      <c r="EF169" s="92">
        <f>IF(AP169="",0,VLOOKUP(D169,Tables!$B$3:$M$36,12,FALSE())*Z$1)</f>
        <v>0</v>
      </c>
      <c r="EG169" s="91">
        <f>IF(AQ169="",0,VLOOKUP(E169,Tables!$B$3:$M$36,12,FALSE())*AA$1)</f>
        <v>2.6999999999999997</v>
      </c>
      <c r="EH169" s="92">
        <f>IF(AR169="",0,VLOOKUP(F169,Tables!$B$3:$M$36,12,FALSE())*AB$1)</f>
        <v>5.3999999999999995</v>
      </c>
      <c r="EI169" s="92">
        <f>IF(AS169="",0,VLOOKUP(G169,Tables!$B$3:$M$36,12,FALSE())*AC$1)</f>
        <v>1.8</v>
      </c>
      <c r="EJ169" s="92">
        <f>IF(AT169="",0,VLOOKUP(H169,Tables!$B$3:$M$36,12,FALSE())*AD$1)</f>
        <v>4.5</v>
      </c>
      <c r="EK169" s="92">
        <f>IF(AU169="",0,VLOOKUP(I169,Tables!$B$3:$M$36,12,FALSE())*AE$1)</f>
        <v>0</v>
      </c>
      <c r="EL169" s="91">
        <f>IF(AV169="",0,VLOOKUP(J169,Tables!$B$3:$M$36,12,FALSE())*AF$1)</f>
        <v>10.799999999999999</v>
      </c>
      <c r="EM169" s="92">
        <f>IF(AW169="",0,VLOOKUP(K169,Tables!$B$3:$M$36,12,FALSE())*AG$1)</f>
        <v>10.799999999999999</v>
      </c>
      <c r="EN169" s="92">
        <f>IF(AX169="",0,VLOOKUP(L169,Tables!$B$3:$M$36,12,FALSE())*AH$1)</f>
        <v>9</v>
      </c>
      <c r="EO169" s="91">
        <f>IF(AY169="",0,VLOOKUP(M169,Tables!$B$3:$M$36,12,FALSE())*AI$1)</f>
        <v>12.600000000000001</v>
      </c>
      <c r="EP169" s="92">
        <f>IF(AZ169="",0,VLOOKUP(N169,Tables!$B$3:$M$36,12,FALSE())*AJ$1)</f>
        <v>2.6999999999999997</v>
      </c>
      <c r="EQ169" s="92">
        <f>IF(BA169="",0,VLOOKUP(O169,Tables!$B$3:$M$36,12,FALSE())*AK$1)</f>
        <v>10.799999999999999</v>
      </c>
      <c r="ER169" s="93">
        <f>IF(BB169="",0,VLOOKUP(P169,Tables!$B$3:$M$36,12,FALSE())*AL$1)</f>
        <v>0</v>
      </c>
      <c r="ES169" s="94">
        <f t="shared" si="167"/>
        <v>0</v>
      </c>
      <c r="ET169" s="95">
        <f>IF(AN169="",10,MIN(VLOOKUP(B169,MATERIAL,13,FALSE()),'Item Builder'!$W169))</f>
        <v>10</v>
      </c>
      <c r="EU169" s="95">
        <f>IF(AO169="",10,MIN(VLOOKUP(C169,MATERIAL,13,FALSE()),'Item Builder'!$W169))</f>
        <v>10</v>
      </c>
      <c r="EV169" s="95">
        <f>IF(AP169="",10,MIN(VLOOKUP(D169,MATERIAL,13,FALSE()),'Item Builder'!$W169))</f>
        <v>10</v>
      </c>
      <c r="EW169" s="95">
        <f>IF(AQ169="",10,MIN(VLOOKUP(E169,MATERIAL,13,FALSE()),'Item Builder'!$W169))</f>
        <v>0</v>
      </c>
      <c r="EX169" s="95">
        <f>IF(AR169="",10,MIN(VLOOKUP(F169,MATERIAL,13,FALSE()),'Item Builder'!$W169))</f>
        <v>0</v>
      </c>
      <c r="EY169" s="95">
        <f>IF(AS169="",10,MIN(VLOOKUP(G169,MATERIAL,13,FALSE()),'Item Builder'!$W169))</f>
        <v>0</v>
      </c>
      <c r="EZ169" s="95">
        <f>IF(AT169="",10,MIN(VLOOKUP(H169,MATERIAL,13,FALSE()),'Item Builder'!$W169))</f>
        <v>0</v>
      </c>
      <c r="FA169" s="95">
        <f>IF(AU169="",10,MIN(VLOOKUP(I169,MATERIAL,13,FALSE()),'Item Builder'!$W169))</f>
        <v>10</v>
      </c>
      <c r="FB169" s="95">
        <f>IF(AV169="",10,MIN(VLOOKUP(J169,MATERIAL,13,FALSE()),'Item Builder'!$W169))</f>
        <v>0</v>
      </c>
      <c r="FC169" s="95">
        <f>IF(AW169="",10,MIN(VLOOKUP(K169,MATERIAL,13,FALSE()),'Item Builder'!$W169))</f>
        <v>0</v>
      </c>
      <c r="FD169" s="95">
        <f>IF(AX169="",10,MIN(VLOOKUP(L169,MATERIAL,13,FALSE()),'Item Builder'!$W169))</f>
        <v>0</v>
      </c>
      <c r="FE169" s="95">
        <f>IF(AY169="",10,MIN(VLOOKUP(M169,MATERIAL,13,FALSE()),'Item Builder'!$W169))</f>
        <v>0</v>
      </c>
      <c r="FF169" s="95">
        <f>IF(AZ169="",10,MIN(VLOOKUP(N169,MATERIAL,13,FALSE()),'Item Builder'!$W169))</f>
        <v>0</v>
      </c>
      <c r="FG169" s="95">
        <f>IF(BA169="",10,MIN(VLOOKUP(O169,MATERIAL,13,FALSE()),'Item Builder'!$W169))</f>
        <v>0</v>
      </c>
      <c r="FH169" s="95">
        <f>IF(BB169="",10,MIN(VLOOKUP(P169,MATERIAL,13,FALSE()),'Item Builder'!$W169))</f>
        <v>10</v>
      </c>
    </row>
    <row r="170" spans="1:164" x14ac:dyDescent="0.25">
      <c r="A170" s="67" t="s">
        <v>310</v>
      </c>
      <c r="B170" s="68"/>
      <c r="C170" s="69"/>
      <c r="D170" s="70"/>
      <c r="E170" s="68"/>
      <c r="F170" s="69"/>
      <c r="G170" s="69"/>
      <c r="H170" s="69"/>
      <c r="I170" s="70"/>
      <c r="J170" s="68"/>
      <c r="K170" s="69"/>
      <c r="L170" s="70" t="s">
        <v>171</v>
      </c>
      <c r="M170" s="68" t="s">
        <v>171</v>
      </c>
      <c r="N170" s="69" t="s">
        <v>171</v>
      </c>
      <c r="O170" s="69"/>
      <c r="P170" s="71"/>
      <c r="Q170" s="72">
        <f>SUM(BV170:CJ170)*VLOOKUP(W170,Tables!$W$3:$Z$8,4)</f>
        <v>32.4</v>
      </c>
      <c r="R170" s="73">
        <f t="shared" si="112"/>
        <v>0.67500000000000004</v>
      </c>
      <c r="S170" s="74">
        <f t="shared" si="113"/>
        <v>0</v>
      </c>
      <c r="T170" s="74">
        <f t="shared" si="114"/>
        <v>0</v>
      </c>
      <c r="U170" s="75">
        <f t="shared" si="115"/>
        <v>5.4</v>
      </c>
      <c r="V170" s="76">
        <f t="shared" si="116"/>
        <v>24.3</v>
      </c>
      <c r="W170" s="77">
        <v>0</v>
      </c>
      <c r="X170" s="78">
        <f t="shared" si="117"/>
        <v>0</v>
      </c>
      <c r="Y170" s="79">
        <f t="shared" si="118"/>
        <v>0</v>
      </c>
      <c r="Z170" s="79">
        <f t="shared" si="119"/>
        <v>0</v>
      </c>
      <c r="AA170" s="78">
        <f t="shared" si="120"/>
        <v>0</v>
      </c>
      <c r="AB170" s="79">
        <f t="shared" si="121"/>
        <v>0</v>
      </c>
      <c r="AC170" s="79">
        <f t="shared" si="122"/>
        <v>0</v>
      </c>
      <c r="AD170" s="79">
        <f t="shared" si="123"/>
        <v>0</v>
      </c>
      <c r="AE170" s="79">
        <f t="shared" si="124"/>
        <v>0</v>
      </c>
      <c r="AF170" s="78">
        <f t="shared" si="125"/>
        <v>0</v>
      </c>
      <c r="AG170" s="79">
        <f t="shared" si="126"/>
        <v>0</v>
      </c>
      <c r="AH170" s="79">
        <f t="shared" si="127"/>
        <v>1</v>
      </c>
      <c r="AI170" s="78">
        <f t="shared" si="128"/>
        <v>1</v>
      </c>
      <c r="AJ170" s="79">
        <f t="shared" si="129"/>
        <v>1</v>
      </c>
      <c r="AK170" s="79">
        <f t="shared" si="130"/>
        <v>0</v>
      </c>
      <c r="AL170" s="80">
        <f t="shared" si="131"/>
        <v>0</v>
      </c>
      <c r="AM170" s="81">
        <f t="shared" si="132"/>
        <v>0.27</v>
      </c>
      <c r="AN170" s="82" t="str">
        <f t="shared" si="133"/>
        <v/>
      </c>
      <c r="AO170" s="79" t="str">
        <f t="shared" si="134"/>
        <v/>
      </c>
      <c r="AP170" t="str">
        <f t="shared" si="135"/>
        <v/>
      </c>
      <c r="AQ170" s="82" t="str">
        <f t="shared" si="136"/>
        <v/>
      </c>
      <c r="AR170" t="str">
        <f t="shared" si="137"/>
        <v/>
      </c>
      <c r="AS170" t="str">
        <f t="shared" si="138"/>
        <v/>
      </c>
      <c r="AT170" t="str">
        <f t="shared" si="139"/>
        <v/>
      </c>
      <c r="AU170" t="str">
        <f t="shared" si="140"/>
        <v/>
      </c>
      <c r="AV170" s="82" t="str">
        <f t="shared" si="141"/>
        <v/>
      </c>
      <c r="AW170" t="str">
        <f t="shared" si="142"/>
        <v/>
      </c>
      <c r="AX170" t="str">
        <f t="shared" si="143"/>
        <v>X</v>
      </c>
      <c r="AY170" s="82" t="str">
        <f t="shared" si="144"/>
        <v>X</v>
      </c>
      <c r="AZ170" t="str">
        <f t="shared" si="145"/>
        <v>X</v>
      </c>
      <c r="BA170" t="str">
        <f t="shared" si="146"/>
        <v/>
      </c>
      <c r="BB170" s="83" t="str">
        <f t="shared" si="147"/>
        <v/>
      </c>
      <c r="BC170" s="84">
        <f t="shared" si="148"/>
        <v>0</v>
      </c>
      <c r="BD170" s="84">
        <f t="shared" si="149"/>
        <v>0</v>
      </c>
      <c r="BE170" s="84">
        <f t="shared" si="150"/>
        <v>0.29411764705882359</v>
      </c>
      <c r="BF170" s="84">
        <f t="shared" si="151"/>
        <v>0.47222222222222221</v>
      </c>
      <c r="BG170" s="78">
        <f>IF(AN170="",0,VLOOKUP(AN170,Tables!$AB$3:$AC$12,2))</f>
        <v>0</v>
      </c>
      <c r="BH170" s="79">
        <f>IF(AO170="",0,VLOOKUP(AO170,Tables!$AB$3:$AC$12,2))</f>
        <v>0</v>
      </c>
      <c r="BI170" s="79">
        <f>IF(AP170="",0,VLOOKUP(AP170,Tables!$AB$3:$AC$12,2))</f>
        <v>0</v>
      </c>
      <c r="BJ170" s="78">
        <f>IF(AQ170="",0,VLOOKUP(AQ170,Tables!$AB$3:$AC$12,2))</f>
        <v>0</v>
      </c>
      <c r="BK170" s="79">
        <f>IF(AR170="",0,VLOOKUP(AR170,Tables!$AB$3:$AC$12,2))</f>
        <v>0</v>
      </c>
      <c r="BL170" s="79">
        <f>IF(AS170="",0,VLOOKUP(AS170,Tables!$AB$3:$AC$12,2))</f>
        <v>0</v>
      </c>
      <c r="BM170" s="79">
        <f>IF(AT170="",0,VLOOKUP(AT170,Tables!$AB$3:$AC$12,2))</f>
        <v>0</v>
      </c>
      <c r="BN170" s="79">
        <f>IF(AU170="",0,VLOOKUP(AU170,Tables!$AB$3:$AC$12,2))</f>
        <v>0</v>
      </c>
      <c r="BO170" s="78">
        <f>IF(AV170="",0,VLOOKUP(AV170,Tables!$AB$3:$AC$12,2))</f>
        <v>0</v>
      </c>
      <c r="BP170" s="79">
        <f>IF(AW170="",0,VLOOKUP(AW170,Tables!$AB$3:$AC$12,2))</f>
        <v>0</v>
      </c>
      <c r="BQ170" s="79">
        <f>IF(AX170="",0,VLOOKUP(AX170,Tables!$AB$3:$AC$12,2))</f>
        <v>1</v>
      </c>
      <c r="BR170" s="78">
        <f>IF(AY170="",0,VLOOKUP(AY170,Tables!$AB$3:$AC$12,2))</f>
        <v>1</v>
      </c>
      <c r="BS170" s="79">
        <f>IF(AZ170="",0,VLOOKUP(AZ170,Tables!$AB$3:$AC$12,2))</f>
        <v>1</v>
      </c>
      <c r="BT170" s="79">
        <f>IF(BA170="",0,VLOOKUP(BA170,Tables!$AB$3:$AC$12,2))</f>
        <v>0</v>
      </c>
      <c r="BU170" s="80">
        <f>IF(BB170="",0,VLOOKUP(BB170,Tables!$AB$3:$AC$12,2))</f>
        <v>0</v>
      </c>
      <c r="BV170" s="85">
        <f>IF(AN170="",0,VLOOKUP(B170,Tables!$B$3:$D$36,2,FALSE())*X$1)</f>
        <v>0</v>
      </c>
      <c r="BW170" s="72">
        <f>IF(AO170="",0,VLOOKUP(C170,Tables!$B$3:$D$36,2,FALSE())*Y$1)</f>
        <v>0</v>
      </c>
      <c r="BX170" s="72">
        <f>IF(AP170="",0,VLOOKUP(D170,Tables!$B$3:$D$36,2,FALSE())*Z$1)</f>
        <v>0</v>
      </c>
      <c r="BY170" s="85">
        <f>IF(AQ170="",0,VLOOKUP(E170,Tables!$B$3:$D$36,2,FALSE())*AA$1)</f>
        <v>0</v>
      </c>
      <c r="BZ170" s="72">
        <f>IF(AR170="",0,VLOOKUP(F170,Tables!$B$3:$D$36,2,FALSE())*AB$1)</f>
        <v>0</v>
      </c>
      <c r="CA170" s="72">
        <f>IF(AS170="",0,VLOOKUP(G170,Tables!$B$3:$D$36,2,FALSE())*AC$1)</f>
        <v>0</v>
      </c>
      <c r="CB170" s="72">
        <f>IF(AT170="",0,VLOOKUP(H170,Tables!$B$3:$D$36,2,FALSE())*AD$1)</f>
        <v>0</v>
      </c>
      <c r="CC170" s="72">
        <f>IF(AU170="",0,VLOOKUP(I170,Tables!$B$3:$D$36,2,FALSE())*AE$1)</f>
        <v>0</v>
      </c>
      <c r="CD170" s="85">
        <f>IF(AV170="",0,VLOOKUP(J170,Tables!$B$3:$D$36,2,FALSE())*AF$1)</f>
        <v>0</v>
      </c>
      <c r="CE170" s="72">
        <f>IF(AW170="",0,VLOOKUP(K170,Tables!$B$3:$D$36,2,FALSE())*AG$1)</f>
        <v>0</v>
      </c>
      <c r="CF170" s="72">
        <f>IF(AX170="",0,VLOOKUP(L170,Tables!$B$3:$D$36,2,FALSE())*AH$1)</f>
        <v>12</v>
      </c>
      <c r="CG170" s="85">
        <f>IF(AY170="",0,VLOOKUP(M170,Tables!$B$3:$D$36,2,FALSE())*AI$1)</f>
        <v>16.8</v>
      </c>
      <c r="CH170" s="72">
        <f>IF(AZ170="",0,VLOOKUP(N170,Tables!$B$3:$D$36,2,FALSE())*AJ$1)</f>
        <v>3.5999999999999996</v>
      </c>
      <c r="CI170" s="72">
        <f>IF(BA170="",0,VLOOKUP(O170,Tables!$B$3:$D$36,2,FALSE())*AK$1)</f>
        <v>0</v>
      </c>
      <c r="CJ170" s="86">
        <f>IF(BB170="",0,VLOOKUP(P170,Tables!$B$3:$D$36,2,FALSE())*AL$1)</f>
        <v>0</v>
      </c>
      <c r="CK170" s="87">
        <f>IF(AN170="",0,VLOOKUP(B170,Tables!$B$3:$D$36,3,FALSE())*X$1)*IF(OR(AN170="K",AN170="P"),2,1)</f>
        <v>0</v>
      </c>
      <c r="CL170" s="73">
        <f>IF(AO170="",0,VLOOKUP(C170,Tables!$B$3:$D$36,3,FALSE())*Y$1)*IF(OR(AO170="K",AO170="P"),2,1)</f>
        <v>0</v>
      </c>
      <c r="CM170" s="73">
        <f>IF(AP170="",0,VLOOKUP(D170,Tables!$B$3:$D$36,3,FALSE())*Z$1)*IF(OR(AP170="K",AP170="P"),2,1)</f>
        <v>0</v>
      </c>
      <c r="CN170" s="87">
        <f>IF(AQ170="",0,VLOOKUP(E170,Tables!$B$3:$D$36,3,FALSE())*AA$1)</f>
        <v>0</v>
      </c>
      <c r="CO170" s="73">
        <f>IF(AR170="",0,VLOOKUP(F170,Tables!$B$3:$D$36,3,FALSE())*AB$1)</f>
        <v>0</v>
      </c>
      <c r="CP170" s="73">
        <f>IF(AS170="",0,VLOOKUP(G170,Tables!$B$3:$D$36,3,FALSE())*AC$1)</f>
        <v>0</v>
      </c>
      <c r="CQ170" s="73">
        <f>IF(AT170="",0,VLOOKUP(H170,Tables!$B$3:$D$36,3,FALSE())*AD$1)</f>
        <v>0</v>
      </c>
      <c r="CR170" s="73">
        <f>IF(AU170="",0,VLOOKUP(I170,Tables!$B$3:$D$36,3,FALSE())*AE$1)</f>
        <v>0</v>
      </c>
      <c r="CS170" s="87">
        <f>IF(AV170="",0,VLOOKUP(J170,Tables!$B$3:$D$36,3,FALSE())*AF$1)</f>
        <v>0</v>
      </c>
      <c r="CT170" s="73">
        <f>IF(AW170="",0,VLOOKUP(K170,Tables!$B$3:$D$36,3,FALSE())*AG$1)</f>
        <v>0</v>
      </c>
      <c r="CU170" s="73">
        <f>IF(AX170="",0,VLOOKUP(L170,Tables!$B$3:$D$36,3,FALSE())*AH$1)</f>
        <v>0.25</v>
      </c>
      <c r="CV170" s="87">
        <f>IF(AY170="",0,VLOOKUP(M170,Tables!$B$3:$D$36,3,FALSE())*AI$1)</f>
        <v>0.35000000000000003</v>
      </c>
      <c r="CW170" s="73">
        <f>IF(AZ170="",0,VLOOKUP(N170,Tables!$B$3:$D$36,3,FALSE())*AJ$1)</f>
        <v>7.4999999999999997E-2</v>
      </c>
      <c r="CX170" s="73">
        <f>IF(BA170="",0,VLOOKUP(O170,Tables!$B$3:$D$36,3,FALSE())*AK$1)</f>
        <v>0</v>
      </c>
      <c r="CY170" s="88">
        <f>IF(BB170="",0,VLOOKUP(P170,Tables!$B$3:$D$36,3,FALSE())*AL$1)</f>
        <v>0</v>
      </c>
      <c r="CZ170" s="89">
        <f t="shared" si="152"/>
        <v>0</v>
      </c>
      <c r="DA170" s="75">
        <f t="shared" si="153"/>
        <v>0</v>
      </c>
      <c r="DB170" s="75">
        <f t="shared" si="154"/>
        <v>0</v>
      </c>
      <c r="DC170" s="89">
        <f t="shared" si="155"/>
        <v>0</v>
      </c>
      <c r="DD170" s="75">
        <f t="shared" si="156"/>
        <v>0</v>
      </c>
      <c r="DE170" s="75">
        <f t="shared" si="157"/>
        <v>0</v>
      </c>
      <c r="DF170" s="75">
        <f t="shared" si="158"/>
        <v>0</v>
      </c>
      <c r="DG170" s="75">
        <f t="shared" si="159"/>
        <v>0</v>
      </c>
      <c r="DH170" s="89">
        <f t="shared" si="160"/>
        <v>0</v>
      </c>
      <c r="DI170" s="75">
        <f t="shared" si="161"/>
        <v>0</v>
      </c>
      <c r="DJ170" s="75">
        <f t="shared" si="162"/>
        <v>1</v>
      </c>
      <c r="DK170" s="89">
        <f t="shared" si="163"/>
        <v>1</v>
      </c>
      <c r="DL170" s="75">
        <f t="shared" si="164"/>
        <v>1</v>
      </c>
      <c r="DM170" s="75">
        <f t="shared" si="165"/>
        <v>0</v>
      </c>
      <c r="DN170" s="90">
        <f t="shared" si="166"/>
        <v>0</v>
      </c>
      <c r="DO170" s="91">
        <f>IF(AN170="",0,VLOOKUP(B170,Tables!$B$3:$M$36,11,FALSE())*X$1)</f>
        <v>0</v>
      </c>
      <c r="DP170" s="92">
        <f>IF(AO170="",0,VLOOKUP(C170,Tables!$B$3:$M$36,11,FALSE())*Y$1)</f>
        <v>0</v>
      </c>
      <c r="DQ170" s="92">
        <f>IF(AP170="",0,VLOOKUP(D170,Tables!$B$3:$M$36,11,FALSE())*Z$1)</f>
        <v>0</v>
      </c>
      <c r="DR170" s="91">
        <f>IF(AQ170="",0,VLOOKUP(E170,Tables!$B$3:$M$36,11,FALSE())*AA$1)</f>
        <v>0</v>
      </c>
      <c r="DS170" s="92">
        <f>IF(AR170="",0,VLOOKUP(F170,Tables!$B$3:$M$36,11,FALSE())*AB$1)</f>
        <v>0</v>
      </c>
      <c r="DT170" s="92">
        <f>IF(AS170="",0,VLOOKUP(G170,Tables!$B$3:$M$36,11,FALSE())*AC$1)</f>
        <v>0</v>
      </c>
      <c r="DU170" s="92">
        <f>IF(AT170="",0,VLOOKUP(H170,Tables!$B$3:$M$36,11,FALSE())*AD$1)</f>
        <v>0</v>
      </c>
      <c r="DV170" s="92">
        <f>IF(AU170="",0,VLOOKUP(I170,Tables!$B$3:$M$36,11,FALSE())*AE$1)</f>
        <v>0</v>
      </c>
      <c r="DW170" s="91">
        <f>IF(AV170="",0,VLOOKUP(J170,Tables!$B$3:$M$36,11,FALSE())*AF$1)</f>
        <v>0</v>
      </c>
      <c r="DX170" s="92">
        <f>IF(AW170="",0,VLOOKUP(K170,Tables!$B$3:$M$36,11,FALSE())*AG$1)</f>
        <v>0</v>
      </c>
      <c r="DY170" s="92">
        <f>IF(AX170="",0,VLOOKUP(L170,Tables!$B$3:$M$36,11,FALSE())*AH$1)</f>
        <v>2</v>
      </c>
      <c r="DZ170" s="91">
        <f>IF(AY170="",0,VLOOKUP(M170,Tables!$B$3:$M$36,11,FALSE())*AI$1)</f>
        <v>2.8000000000000003</v>
      </c>
      <c r="EA170" s="92">
        <f>IF(AZ170="",0,VLOOKUP(N170,Tables!$B$3:$M$36,11,FALSE())*AJ$1)</f>
        <v>0.6</v>
      </c>
      <c r="EB170" s="92">
        <f>IF(BA170="",0,VLOOKUP(O170,Tables!$B$3:$M$36,11,FALSE())*AK$1)</f>
        <v>0</v>
      </c>
      <c r="EC170" s="93">
        <f>IF(BB170="",0,VLOOKUP(P170,Tables!$B$3:$M$36,11,FALSE())*AL$1)</f>
        <v>0</v>
      </c>
      <c r="ED170" s="91">
        <f>IF(AN170="",0,VLOOKUP(B170,Tables!$B$3:$M$36,12,FALSE())*X$1)</f>
        <v>0</v>
      </c>
      <c r="EE170" s="92">
        <f>IF(AO170="",0,VLOOKUP(C170,Tables!$B$3:$M$36,12,FALSE())*Y$1)</f>
        <v>0</v>
      </c>
      <c r="EF170" s="92">
        <f>IF(AP170="",0,VLOOKUP(D170,Tables!$B$3:$M$36,12,FALSE())*Z$1)</f>
        <v>0</v>
      </c>
      <c r="EG170" s="91">
        <f>IF(AQ170="",0,VLOOKUP(E170,Tables!$B$3:$M$36,12,FALSE())*AA$1)</f>
        <v>0</v>
      </c>
      <c r="EH170" s="92">
        <f>IF(AR170="",0,VLOOKUP(F170,Tables!$B$3:$M$36,12,FALSE())*AB$1)</f>
        <v>0</v>
      </c>
      <c r="EI170" s="92">
        <f>IF(AS170="",0,VLOOKUP(G170,Tables!$B$3:$M$36,12,FALSE())*AC$1)</f>
        <v>0</v>
      </c>
      <c r="EJ170" s="92">
        <f>IF(AT170="",0,VLOOKUP(H170,Tables!$B$3:$M$36,12,FALSE())*AD$1)</f>
        <v>0</v>
      </c>
      <c r="EK170" s="92">
        <f>IF(AU170="",0,VLOOKUP(I170,Tables!$B$3:$M$36,12,FALSE())*AE$1)</f>
        <v>0</v>
      </c>
      <c r="EL170" s="91">
        <f>IF(AV170="",0,VLOOKUP(J170,Tables!$B$3:$M$36,12,FALSE())*AF$1)</f>
        <v>0</v>
      </c>
      <c r="EM170" s="92">
        <f>IF(AW170="",0,VLOOKUP(K170,Tables!$B$3:$M$36,12,FALSE())*AG$1)</f>
        <v>0</v>
      </c>
      <c r="EN170" s="92">
        <f>IF(AX170="",0,VLOOKUP(L170,Tables!$B$3:$M$36,12,FALSE())*AH$1)</f>
        <v>9</v>
      </c>
      <c r="EO170" s="91">
        <f>IF(AY170="",0,VLOOKUP(M170,Tables!$B$3:$M$36,12,FALSE())*AI$1)</f>
        <v>12.600000000000001</v>
      </c>
      <c r="EP170" s="92">
        <f>IF(AZ170="",0,VLOOKUP(N170,Tables!$B$3:$M$36,12,FALSE())*AJ$1)</f>
        <v>2.6999999999999997</v>
      </c>
      <c r="EQ170" s="92">
        <f>IF(BA170="",0,VLOOKUP(O170,Tables!$B$3:$M$36,12,FALSE())*AK$1)</f>
        <v>0</v>
      </c>
      <c r="ER170" s="93">
        <f>IF(BB170="",0,VLOOKUP(P170,Tables!$B$3:$M$36,12,FALSE())*AL$1)</f>
        <v>0</v>
      </c>
      <c r="ES170" s="94">
        <f t="shared" si="167"/>
        <v>0</v>
      </c>
      <c r="ET170" s="95">
        <f>IF(AN170="",10,MIN(VLOOKUP(B170,MATERIAL,13,FALSE()),'Item Builder'!$W170))</f>
        <v>10</v>
      </c>
      <c r="EU170" s="95">
        <f>IF(AO170="",10,MIN(VLOOKUP(C170,MATERIAL,13,FALSE()),'Item Builder'!$W170))</f>
        <v>10</v>
      </c>
      <c r="EV170" s="95">
        <f>IF(AP170="",10,MIN(VLOOKUP(D170,MATERIAL,13,FALSE()),'Item Builder'!$W170))</f>
        <v>10</v>
      </c>
      <c r="EW170" s="95">
        <f>IF(AQ170="",10,MIN(VLOOKUP(E170,MATERIAL,13,FALSE()),'Item Builder'!$W170))</f>
        <v>10</v>
      </c>
      <c r="EX170" s="95">
        <f>IF(AR170="",10,MIN(VLOOKUP(F170,MATERIAL,13,FALSE()),'Item Builder'!$W170))</f>
        <v>10</v>
      </c>
      <c r="EY170" s="95">
        <f>IF(AS170="",10,MIN(VLOOKUP(G170,MATERIAL,13,FALSE()),'Item Builder'!$W170))</f>
        <v>10</v>
      </c>
      <c r="EZ170" s="95">
        <f>IF(AT170="",10,MIN(VLOOKUP(H170,MATERIAL,13,FALSE()),'Item Builder'!$W170))</f>
        <v>10</v>
      </c>
      <c r="FA170" s="95">
        <f>IF(AU170="",10,MIN(VLOOKUP(I170,MATERIAL,13,FALSE()),'Item Builder'!$W170))</f>
        <v>10</v>
      </c>
      <c r="FB170" s="95">
        <f>IF(AV170="",10,MIN(VLOOKUP(J170,MATERIAL,13,FALSE()),'Item Builder'!$W170))</f>
        <v>10</v>
      </c>
      <c r="FC170" s="95">
        <f>IF(AW170="",10,MIN(VLOOKUP(K170,MATERIAL,13,FALSE()),'Item Builder'!$W170))</f>
        <v>10</v>
      </c>
      <c r="FD170" s="95">
        <f>IF(AX170="",10,MIN(VLOOKUP(L170,MATERIAL,13,FALSE()),'Item Builder'!$W170))</f>
        <v>0</v>
      </c>
      <c r="FE170" s="95">
        <f>IF(AY170="",10,MIN(VLOOKUP(M170,MATERIAL,13,FALSE()),'Item Builder'!$W170))</f>
        <v>0</v>
      </c>
      <c r="FF170" s="95">
        <f>IF(AZ170="",10,MIN(VLOOKUP(N170,MATERIAL,13,FALSE()),'Item Builder'!$W170))</f>
        <v>0</v>
      </c>
      <c r="FG170" s="95">
        <f>IF(BA170="",10,MIN(VLOOKUP(O170,MATERIAL,13,FALSE()),'Item Builder'!$W170))</f>
        <v>10</v>
      </c>
      <c r="FH170" s="95">
        <f>IF(BB170="",10,MIN(VLOOKUP(P170,MATERIAL,13,FALSE()),'Item Builder'!$W170))</f>
        <v>10</v>
      </c>
    </row>
    <row r="171" spans="1:164" x14ac:dyDescent="0.25">
      <c r="A171" s="67" t="s">
        <v>311</v>
      </c>
      <c r="B171" s="68"/>
      <c r="C171" s="69"/>
      <c r="D171" s="70"/>
      <c r="E171" s="68"/>
      <c r="F171" s="69"/>
      <c r="G171" s="69"/>
      <c r="H171" s="69"/>
      <c r="I171" s="70"/>
      <c r="J171" s="68"/>
      <c r="K171" s="69"/>
      <c r="L171" s="70" t="s">
        <v>171</v>
      </c>
      <c r="M171" s="68" t="s">
        <v>171</v>
      </c>
      <c r="N171" s="69" t="s">
        <v>171</v>
      </c>
      <c r="O171" s="69" t="s">
        <v>171</v>
      </c>
      <c r="P171" s="71"/>
      <c r="Q171" s="72">
        <f>SUM(BV171:CJ171)*VLOOKUP(W171,Tables!$W$3:$Z$8,4)</f>
        <v>46.8</v>
      </c>
      <c r="R171" s="73">
        <f t="shared" si="112"/>
        <v>0.97500000000000009</v>
      </c>
      <c r="S171" s="74">
        <f t="shared" si="113"/>
        <v>0</v>
      </c>
      <c r="T171" s="74">
        <f t="shared" si="114"/>
        <v>0</v>
      </c>
      <c r="U171" s="75">
        <f t="shared" si="115"/>
        <v>7.8000000000000007</v>
      </c>
      <c r="V171" s="76">
        <f t="shared" si="116"/>
        <v>35.1</v>
      </c>
      <c r="W171" s="77">
        <v>0</v>
      </c>
      <c r="X171" s="78">
        <f t="shared" si="117"/>
        <v>0</v>
      </c>
      <c r="Y171" s="79">
        <f t="shared" si="118"/>
        <v>0</v>
      </c>
      <c r="Z171" s="79">
        <f t="shared" si="119"/>
        <v>0</v>
      </c>
      <c r="AA171" s="78">
        <f t="shared" si="120"/>
        <v>0</v>
      </c>
      <c r="AB171" s="79">
        <f t="shared" si="121"/>
        <v>0</v>
      </c>
      <c r="AC171" s="79">
        <f t="shared" si="122"/>
        <v>0</v>
      </c>
      <c r="AD171" s="79">
        <f t="shared" si="123"/>
        <v>0</v>
      </c>
      <c r="AE171" s="79">
        <f t="shared" si="124"/>
        <v>0</v>
      </c>
      <c r="AF171" s="78">
        <f t="shared" si="125"/>
        <v>0</v>
      </c>
      <c r="AG171" s="79">
        <f t="shared" si="126"/>
        <v>0</v>
      </c>
      <c r="AH171" s="79">
        <f t="shared" si="127"/>
        <v>1</v>
      </c>
      <c r="AI171" s="78">
        <f t="shared" si="128"/>
        <v>1</v>
      </c>
      <c r="AJ171" s="79">
        <f t="shared" si="129"/>
        <v>1</v>
      </c>
      <c r="AK171" s="79">
        <f t="shared" si="130"/>
        <v>1</v>
      </c>
      <c r="AL171" s="80">
        <f t="shared" si="131"/>
        <v>0</v>
      </c>
      <c r="AM171" s="81">
        <f t="shared" si="132"/>
        <v>0.39</v>
      </c>
      <c r="AN171" s="82" t="str">
        <f t="shared" si="133"/>
        <v/>
      </c>
      <c r="AO171" s="79" t="str">
        <f t="shared" si="134"/>
        <v/>
      </c>
      <c r="AP171" t="str">
        <f t="shared" si="135"/>
        <v/>
      </c>
      <c r="AQ171" s="82" t="str">
        <f t="shared" si="136"/>
        <v/>
      </c>
      <c r="AR171" t="str">
        <f t="shared" si="137"/>
        <v/>
      </c>
      <c r="AS171" t="str">
        <f t="shared" si="138"/>
        <v/>
      </c>
      <c r="AT171" t="str">
        <f t="shared" si="139"/>
        <v/>
      </c>
      <c r="AU171" t="str">
        <f t="shared" si="140"/>
        <v/>
      </c>
      <c r="AV171" s="82" t="str">
        <f t="shared" si="141"/>
        <v/>
      </c>
      <c r="AW171" t="str">
        <f t="shared" si="142"/>
        <v/>
      </c>
      <c r="AX171" t="str">
        <f t="shared" si="143"/>
        <v>X</v>
      </c>
      <c r="AY171" s="82" t="str">
        <f t="shared" si="144"/>
        <v>X</v>
      </c>
      <c r="AZ171" t="str">
        <f t="shared" si="145"/>
        <v>X</v>
      </c>
      <c r="BA171" t="str">
        <f t="shared" si="146"/>
        <v>X</v>
      </c>
      <c r="BB171" s="83" t="str">
        <f t="shared" si="147"/>
        <v/>
      </c>
      <c r="BC171" s="84">
        <f t="shared" si="148"/>
        <v>0</v>
      </c>
      <c r="BD171" s="84">
        <f t="shared" si="149"/>
        <v>0</v>
      </c>
      <c r="BE171" s="84">
        <f t="shared" si="150"/>
        <v>0.29411764705882359</v>
      </c>
      <c r="BF171" s="84">
        <f t="shared" si="151"/>
        <v>0.80555555555555558</v>
      </c>
      <c r="BG171" s="78">
        <f>IF(AN171="",0,VLOOKUP(AN171,Tables!$AB$3:$AC$12,2))</f>
        <v>0</v>
      </c>
      <c r="BH171" s="79">
        <f>IF(AO171="",0,VLOOKUP(AO171,Tables!$AB$3:$AC$12,2))</f>
        <v>0</v>
      </c>
      <c r="BI171" s="79">
        <f>IF(AP171="",0,VLOOKUP(AP171,Tables!$AB$3:$AC$12,2))</f>
        <v>0</v>
      </c>
      <c r="BJ171" s="78">
        <f>IF(AQ171="",0,VLOOKUP(AQ171,Tables!$AB$3:$AC$12,2))</f>
        <v>0</v>
      </c>
      <c r="BK171" s="79">
        <f>IF(AR171="",0,VLOOKUP(AR171,Tables!$AB$3:$AC$12,2))</f>
        <v>0</v>
      </c>
      <c r="BL171" s="79">
        <f>IF(AS171="",0,VLOOKUP(AS171,Tables!$AB$3:$AC$12,2))</f>
        <v>0</v>
      </c>
      <c r="BM171" s="79">
        <f>IF(AT171="",0,VLOOKUP(AT171,Tables!$AB$3:$AC$12,2))</f>
        <v>0</v>
      </c>
      <c r="BN171" s="79">
        <f>IF(AU171="",0,VLOOKUP(AU171,Tables!$AB$3:$AC$12,2))</f>
        <v>0</v>
      </c>
      <c r="BO171" s="78">
        <f>IF(AV171="",0,VLOOKUP(AV171,Tables!$AB$3:$AC$12,2))</f>
        <v>0</v>
      </c>
      <c r="BP171" s="79">
        <f>IF(AW171="",0,VLOOKUP(AW171,Tables!$AB$3:$AC$12,2))</f>
        <v>0</v>
      </c>
      <c r="BQ171" s="79">
        <f>IF(AX171="",0,VLOOKUP(AX171,Tables!$AB$3:$AC$12,2))</f>
        <v>1</v>
      </c>
      <c r="BR171" s="78">
        <f>IF(AY171="",0,VLOOKUP(AY171,Tables!$AB$3:$AC$12,2))</f>
        <v>1</v>
      </c>
      <c r="BS171" s="79">
        <f>IF(AZ171="",0,VLOOKUP(AZ171,Tables!$AB$3:$AC$12,2))</f>
        <v>1</v>
      </c>
      <c r="BT171" s="79">
        <f>IF(BA171="",0,VLOOKUP(BA171,Tables!$AB$3:$AC$12,2))</f>
        <v>1</v>
      </c>
      <c r="BU171" s="80">
        <f>IF(BB171="",0,VLOOKUP(BB171,Tables!$AB$3:$AC$12,2))</f>
        <v>0</v>
      </c>
      <c r="BV171" s="85">
        <f>IF(AN171="",0,VLOOKUP(B171,Tables!$B$3:$D$36,2,FALSE())*X$1)</f>
        <v>0</v>
      </c>
      <c r="BW171" s="72">
        <f>IF(AO171="",0,VLOOKUP(C171,Tables!$B$3:$D$36,2,FALSE())*Y$1)</f>
        <v>0</v>
      </c>
      <c r="BX171" s="72">
        <f>IF(AP171="",0,VLOOKUP(D171,Tables!$B$3:$D$36,2,FALSE())*Z$1)</f>
        <v>0</v>
      </c>
      <c r="BY171" s="85">
        <f>IF(AQ171="",0,VLOOKUP(E171,Tables!$B$3:$D$36,2,FALSE())*AA$1)</f>
        <v>0</v>
      </c>
      <c r="BZ171" s="72">
        <f>IF(AR171="",0,VLOOKUP(F171,Tables!$B$3:$D$36,2,FALSE())*AB$1)</f>
        <v>0</v>
      </c>
      <c r="CA171" s="72">
        <f>IF(AS171="",0,VLOOKUP(G171,Tables!$B$3:$D$36,2,FALSE())*AC$1)</f>
        <v>0</v>
      </c>
      <c r="CB171" s="72">
        <f>IF(AT171="",0,VLOOKUP(H171,Tables!$B$3:$D$36,2,FALSE())*AD$1)</f>
        <v>0</v>
      </c>
      <c r="CC171" s="72">
        <f>IF(AU171="",0,VLOOKUP(I171,Tables!$B$3:$D$36,2,FALSE())*AE$1)</f>
        <v>0</v>
      </c>
      <c r="CD171" s="85">
        <f>IF(AV171="",0,VLOOKUP(J171,Tables!$B$3:$D$36,2,FALSE())*AF$1)</f>
        <v>0</v>
      </c>
      <c r="CE171" s="72">
        <f>IF(AW171="",0,VLOOKUP(K171,Tables!$B$3:$D$36,2,FALSE())*AG$1)</f>
        <v>0</v>
      </c>
      <c r="CF171" s="72">
        <f>IF(AX171="",0,VLOOKUP(L171,Tables!$B$3:$D$36,2,FALSE())*AH$1)</f>
        <v>12</v>
      </c>
      <c r="CG171" s="85">
        <f>IF(AY171="",0,VLOOKUP(M171,Tables!$B$3:$D$36,2,FALSE())*AI$1)</f>
        <v>16.8</v>
      </c>
      <c r="CH171" s="72">
        <f>IF(AZ171="",0,VLOOKUP(N171,Tables!$B$3:$D$36,2,FALSE())*AJ$1)</f>
        <v>3.5999999999999996</v>
      </c>
      <c r="CI171" s="72">
        <f>IF(BA171="",0,VLOOKUP(O171,Tables!$B$3:$D$36,2,FALSE())*AK$1)</f>
        <v>14.399999999999999</v>
      </c>
      <c r="CJ171" s="86">
        <f>IF(BB171="",0,VLOOKUP(P171,Tables!$B$3:$D$36,2,FALSE())*AL$1)</f>
        <v>0</v>
      </c>
      <c r="CK171" s="87">
        <f>IF(AN171="",0,VLOOKUP(B171,Tables!$B$3:$D$36,3,FALSE())*X$1)*IF(OR(AN171="K",AN171="P"),2,1)</f>
        <v>0</v>
      </c>
      <c r="CL171" s="73">
        <f>IF(AO171="",0,VLOOKUP(C171,Tables!$B$3:$D$36,3,FALSE())*Y$1)*IF(OR(AO171="K",AO171="P"),2,1)</f>
        <v>0</v>
      </c>
      <c r="CM171" s="73">
        <f>IF(AP171="",0,VLOOKUP(D171,Tables!$B$3:$D$36,3,FALSE())*Z$1)*IF(OR(AP171="K",AP171="P"),2,1)</f>
        <v>0</v>
      </c>
      <c r="CN171" s="87">
        <f>IF(AQ171="",0,VLOOKUP(E171,Tables!$B$3:$D$36,3,FALSE())*AA$1)</f>
        <v>0</v>
      </c>
      <c r="CO171" s="73">
        <f>IF(AR171="",0,VLOOKUP(F171,Tables!$B$3:$D$36,3,FALSE())*AB$1)</f>
        <v>0</v>
      </c>
      <c r="CP171" s="73">
        <f>IF(AS171="",0,VLOOKUP(G171,Tables!$B$3:$D$36,3,FALSE())*AC$1)</f>
        <v>0</v>
      </c>
      <c r="CQ171" s="73">
        <f>IF(AT171="",0,VLOOKUP(H171,Tables!$B$3:$D$36,3,FALSE())*AD$1)</f>
        <v>0</v>
      </c>
      <c r="CR171" s="73">
        <f>IF(AU171="",0,VLOOKUP(I171,Tables!$B$3:$D$36,3,FALSE())*AE$1)</f>
        <v>0</v>
      </c>
      <c r="CS171" s="87">
        <f>IF(AV171="",0,VLOOKUP(J171,Tables!$B$3:$D$36,3,FALSE())*AF$1)</f>
        <v>0</v>
      </c>
      <c r="CT171" s="73">
        <f>IF(AW171="",0,VLOOKUP(K171,Tables!$B$3:$D$36,3,FALSE())*AG$1)</f>
        <v>0</v>
      </c>
      <c r="CU171" s="73">
        <f>IF(AX171="",0,VLOOKUP(L171,Tables!$B$3:$D$36,3,FALSE())*AH$1)</f>
        <v>0.25</v>
      </c>
      <c r="CV171" s="87">
        <f>IF(AY171="",0,VLOOKUP(M171,Tables!$B$3:$D$36,3,FALSE())*AI$1)</f>
        <v>0.35000000000000003</v>
      </c>
      <c r="CW171" s="73">
        <f>IF(AZ171="",0,VLOOKUP(N171,Tables!$B$3:$D$36,3,FALSE())*AJ$1)</f>
        <v>7.4999999999999997E-2</v>
      </c>
      <c r="CX171" s="73">
        <f>IF(BA171="",0,VLOOKUP(O171,Tables!$B$3:$D$36,3,FALSE())*AK$1)</f>
        <v>0.3</v>
      </c>
      <c r="CY171" s="88">
        <f>IF(BB171="",0,VLOOKUP(P171,Tables!$B$3:$D$36,3,FALSE())*AL$1)</f>
        <v>0</v>
      </c>
      <c r="CZ171" s="89">
        <f t="shared" si="152"/>
        <v>0</v>
      </c>
      <c r="DA171" s="75">
        <f t="shared" si="153"/>
        <v>0</v>
      </c>
      <c r="DB171" s="75">
        <f t="shared" si="154"/>
        <v>0</v>
      </c>
      <c r="DC171" s="89">
        <f t="shared" si="155"/>
        <v>0</v>
      </c>
      <c r="DD171" s="75">
        <f t="shared" si="156"/>
        <v>0</v>
      </c>
      <c r="DE171" s="75">
        <f t="shared" si="157"/>
        <v>0</v>
      </c>
      <c r="DF171" s="75">
        <f t="shared" si="158"/>
        <v>0</v>
      </c>
      <c r="DG171" s="75">
        <f t="shared" si="159"/>
        <v>0</v>
      </c>
      <c r="DH171" s="89">
        <f t="shared" si="160"/>
        <v>0</v>
      </c>
      <c r="DI171" s="75">
        <f t="shared" si="161"/>
        <v>0</v>
      </c>
      <c r="DJ171" s="75">
        <f t="shared" si="162"/>
        <v>1</v>
      </c>
      <c r="DK171" s="89">
        <f t="shared" si="163"/>
        <v>1</v>
      </c>
      <c r="DL171" s="75">
        <f t="shared" si="164"/>
        <v>1</v>
      </c>
      <c r="DM171" s="75">
        <f t="shared" si="165"/>
        <v>1</v>
      </c>
      <c r="DN171" s="90">
        <f t="shared" si="166"/>
        <v>0</v>
      </c>
      <c r="DO171" s="91">
        <f>IF(AN171="",0,VLOOKUP(B171,Tables!$B$3:$M$36,11,FALSE())*X$1)</f>
        <v>0</v>
      </c>
      <c r="DP171" s="92">
        <f>IF(AO171="",0,VLOOKUP(C171,Tables!$B$3:$M$36,11,FALSE())*Y$1)</f>
        <v>0</v>
      </c>
      <c r="DQ171" s="92">
        <f>IF(AP171="",0,VLOOKUP(D171,Tables!$B$3:$M$36,11,FALSE())*Z$1)</f>
        <v>0</v>
      </c>
      <c r="DR171" s="91">
        <f>IF(AQ171="",0,VLOOKUP(E171,Tables!$B$3:$M$36,11,FALSE())*AA$1)</f>
        <v>0</v>
      </c>
      <c r="DS171" s="92">
        <f>IF(AR171="",0,VLOOKUP(F171,Tables!$B$3:$M$36,11,FALSE())*AB$1)</f>
        <v>0</v>
      </c>
      <c r="DT171" s="92">
        <f>IF(AS171="",0,VLOOKUP(G171,Tables!$B$3:$M$36,11,FALSE())*AC$1)</f>
        <v>0</v>
      </c>
      <c r="DU171" s="92">
        <f>IF(AT171="",0,VLOOKUP(H171,Tables!$B$3:$M$36,11,FALSE())*AD$1)</f>
        <v>0</v>
      </c>
      <c r="DV171" s="92">
        <f>IF(AU171="",0,VLOOKUP(I171,Tables!$B$3:$M$36,11,FALSE())*AE$1)</f>
        <v>0</v>
      </c>
      <c r="DW171" s="91">
        <f>IF(AV171="",0,VLOOKUP(J171,Tables!$B$3:$M$36,11,FALSE())*AF$1)</f>
        <v>0</v>
      </c>
      <c r="DX171" s="92">
        <f>IF(AW171="",0,VLOOKUP(K171,Tables!$B$3:$M$36,11,FALSE())*AG$1)</f>
        <v>0</v>
      </c>
      <c r="DY171" s="92">
        <f>IF(AX171="",0,VLOOKUP(L171,Tables!$B$3:$M$36,11,FALSE())*AH$1)</f>
        <v>2</v>
      </c>
      <c r="DZ171" s="91">
        <f>IF(AY171="",0,VLOOKUP(M171,Tables!$B$3:$M$36,11,FALSE())*AI$1)</f>
        <v>2.8000000000000003</v>
      </c>
      <c r="EA171" s="92">
        <f>IF(AZ171="",0,VLOOKUP(N171,Tables!$B$3:$M$36,11,FALSE())*AJ$1)</f>
        <v>0.6</v>
      </c>
      <c r="EB171" s="92">
        <f>IF(BA171="",0,VLOOKUP(O171,Tables!$B$3:$M$36,11,FALSE())*AK$1)</f>
        <v>2.4</v>
      </c>
      <c r="EC171" s="93">
        <f>IF(BB171="",0,VLOOKUP(P171,Tables!$B$3:$M$36,11,FALSE())*AL$1)</f>
        <v>0</v>
      </c>
      <c r="ED171" s="91">
        <f>IF(AN171="",0,VLOOKUP(B171,Tables!$B$3:$M$36,12,FALSE())*X$1)</f>
        <v>0</v>
      </c>
      <c r="EE171" s="92">
        <f>IF(AO171="",0,VLOOKUP(C171,Tables!$B$3:$M$36,12,FALSE())*Y$1)</f>
        <v>0</v>
      </c>
      <c r="EF171" s="92">
        <f>IF(AP171="",0,VLOOKUP(D171,Tables!$B$3:$M$36,12,FALSE())*Z$1)</f>
        <v>0</v>
      </c>
      <c r="EG171" s="91">
        <f>IF(AQ171="",0,VLOOKUP(E171,Tables!$B$3:$M$36,12,FALSE())*AA$1)</f>
        <v>0</v>
      </c>
      <c r="EH171" s="92">
        <f>IF(AR171="",0,VLOOKUP(F171,Tables!$B$3:$M$36,12,FALSE())*AB$1)</f>
        <v>0</v>
      </c>
      <c r="EI171" s="92">
        <f>IF(AS171="",0,VLOOKUP(G171,Tables!$B$3:$M$36,12,FALSE())*AC$1)</f>
        <v>0</v>
      </c>
      <c r="EJ171" s="92">
        <f>IF(AT171="",0,VLOOKUP(H171,Tables!$B$3:$M$36,12,FALSE())*AD$1)</f>
        <v>0</v>
      </c>
      <c r="EK171" s="92">
        <f>IF(AU171="",0,VLOOKUP(I171,Tables!$B$3:$M$36,12,FALSE())*AE$1)</f>
        <v>0</v>
      </c>
      <c r="EL171" s="91">
        <f>IF(AV171="",0,VLOOKUP(J171,Tables!$B$3:$M$36,12,FALSE())*AF$1)</f>
        <v>0</v>
      </c>
      <c r="EM171" s="92">
        <f>IF(AW171="",0,VLOOKUP(K171,Tables!$B$3:$M$36,12,FALSE())*AG$1)</f>
        <v>0</v>
      </c>
      <c r="EN171" s="92">
        <f>IF(AX171="",0,VLOOKUP(L171,Tables!$B$3:$M$36,12,FALSE())*AH$1)</f>
        <v>9</v>
      </c>
      <c r="EO171" s="91">
        <f>IF(AY171="",0,VLOOKUP(M171,Tables!$B$3:$M$36,12,FALSE())*AI$1)</f>
        <v>12.600000000000001</v>
      </c>
      <c r="EP171" s="92">
        <f>IF(AZ171="",0,VLOOKUP(N171,Tables!$B$3:$M$36,12,FALSE())*AJ$1)</f>
        <v>2.6999999999999997</v>
      </c>
      <c r="EQ171" s="92">
        <f>IF(BA171="",0,VLOOKUP(O171,Tables!$B$3:$M$36,12,FALSE())*AK$1)</f>
        <v>10.799999999999999</v>
      </c>
      <c r="ER171" s="93">
        <f>IF(BB171="",0,VLOOKUP(P171,Tables!$B$3:$M$36,12,FALSE())*AL$1)</f>
        <v>0</v>
      </c>
      <c r="ES171" s="94">
        <f t="shared" si="167"/>
        <v>0</v>
      </c>
      <c r="ET171" s="95">
        <f>IF(AN171="",10,MIN(VLOOKUP(B171,MATERIAL,13,FALSE()),'Item Builder'!$W171))</f>
        <v>10</v>
      </c>
      <c r="EU171" s="95">
        <f>IF(AO171="",10,MIN(VLOOKUP(C171,MATERIAL,13,FALSE()),'Item Builder'!$W171))</f>
        <v>10</v>
      </c>
      <c r="EV171" s="95">
        <f>IF(AP171="",10,MIN(VLOOKUP(D171,MATERIAL,13,FALSE()),'Item Builder'!$W171))</f>
        <v>10</v>
      </c>
      <c r="EW171" s="95">
        <f>IF(AQ171="",10,MIN(VLOOKUP(E171,MATERIAL,13,FALSE()),'Item Builder'!$W171))</f>
        <v>10</v>
      </c>
      <c r="EX171" s="95">
        <f>IF(AR171="",10,MIN(VLOOKUP(F171,MATERIAL,13,FALSE()),'Item Builder'!$W171))</f>
        <v>10</v>
      </c>
      <c r="EY171" s="95">
        <f>IF(AS171="",10,MIN(VLOOKUP(G171,MATERIAL,13,FALSE()),'Item Builder'!$W171))</f>
        <v>10</v>
      </c>
      <c r="EZ171" s="95">
        <f>IF(AT171="",10,MIN(VLOOKUP(H171,MATERIAL,13,FALSE()),'Item Builder'!$W171))</f>
        <v>10</v>
      </c>
      <c r="FA171" s="95">
        <f>IF(AU171="",10,MIN(VLOOKUP(I171,MATERIAL,13,FALSE()),'Item Builder'!$W171))</f>
        <v>10</v>
      </c>
      <c r="FB171" s="95">
        <f>IF(AV171="",10,MIN(VLOOKUP(J171,MATERIAL,13,FALSE()),'Item Builder'!$W171))</f>
        <v>10</v>
      </c>
      <c r="FC171" s="95">
        <f>IF(AW171="",10,MIN(VLOOKUP(K171,MATERIAL,13,FALSE()),'Item Builder'!$W171))</f>
        <v>10</v>
      </c>
      <c r="FD171" s="95">
        <f>IF(AX171="",10,MIN(VLOOKUP(L171,MATERIAL,13,FALSE()),'Item Builder'!$W171))</f>
        <v>0</v>
      </c>
      <c r="FE171" s="95">
        <f>IF(AY171="",10,MIN(VLOOKUP(M171,MATERIAL,13,FALSE()),'Item Builder'!$W171))</f>
        <v>0</v>
      </c>
      <c r="FF171" s="95">
        <f>IF(AZ171="",10,MIN(VLOOKUP(N171,MATERIAL,13,FALSE()),'Item Builder'!$W171))</f>
        <v>0</v>
      </c>
      <c r="FG171" s="95">
        <f>IF(BA171="",10,MIN(VLOOKUP(O171,MATERIAL,13,FALSE()),'Item Builder'!$W171))</f>
        <v>0</v>
      </c>
      <c r="FH171" s="95">
        <f>IF(BB171="",10,MIN(VLOOKUP(P171,MATERIAL,13,FALSE()),'Item Builder'!$W171))</f>
        <v>10</v>
      </c>
    </row>
    <row r="172" spans="1:164" x14ac:dyDescent="0.25">
      <c r="A172" s="67" t="s">
        <v>312</v>
      </c>
      <c r="B172" s="68"/>
      <c r="C172" s="69"/>
      <c r="D172" s="70"/>
      <c r="E172" s="68"/>
      <c r="F172" s="69"/>
      <c r="G172" s="69"/>
      <c r="H172" s="69"/>
      <c r="I172" s="70"/>
      <c r="J172" s="68"/>
      <c r="K172" s="69"/>
      <c r="L172" s="70"/>
      <c r="M172" s="68" t="s">
        <v>171</v>
      </c>
      <c r="N172" s="69" t="s">
        <v>171</v>
      </c>
      <c r="O172" s="69" t="s">
        <v>171</v>
      </c>
      <c r="P172" s="71" t="s">
        <v>171</v>
      </c>
      <c r="Q172" s="72">
        <f>SUM(BV172:CJ172)*VLOOKUP(W172,Tables!$W$3:$Z$8,4)</f>
        <v>43.199999999999996</v>
      </c>
      <c r="R172" s="73">
        <f t="shared" si="112"/>
        <v>0.90000000000000013</v>
      </c>
      <c r="S172" s="74">
        <f t="shared" si="113"/>
        <v>0</v>
      </c>
      <c r="T172" s="74">
        <f t="shared" si="114"/>
        <v>0</v>
      </c>
      <c r="U172" s="75">
        <f t="shared" si="115"/>
        <v>7.2000000000000011</v>
      </c>
      <c r="V172" s="76">
        <f t="shared" si="116"/>
        <v>32.400000000000006</v>
      </c>
      <c r="W172" s="77">
        <v>0</v>
      </c>
      <c r="X172" s="78">
        <f t="shared" si="117"/>
        <v>0</v>
      </c>
      <c r="Y172" s="79">
        <f t="shared" si="118"/>
        <v>0</v>
      </c>
      <c r="Z172" s="79">
        <f t="shared" si="119"/>
        <v>0</v>
      </c>
      <c r="AA172" s="78">
        <f t="shared" si="120"/>
        <v>0</v>
      </c>
      <c r="AB172" s="79">
        <f t="shared" si="121"/>
        <v>0</v>
      </c>
      <c r="AC172" s="79">
        <f t="shared" si="122"/>
        <v>0</v>
      </c>
      <c r="AD172" s="79">
        <f t="shared" si="123"/>
        <v>0</v>
      </c>
      <c r="AE172" s="79">
        <f t="shared" si="124"/>
        <v>0</v>
      </c>
      <c r="AF172" s="78">
        <f t="shared" si="125"/>
        <v>0</v>
      </c>
      <c r="AG172" s="79">
        <f t="shared" si="126"/>
        <v>0</v>
      </c>
      <c r="AH172" s="79">
        <f t="shared" si="127"/>
        <v>0</v>
      </c>
      <c r="AI172" s="78">
        <f t="shared" si="128"/>
        <v>1</v>
      </c>
      <c r="AJ172" s="79">
        <f t="shared" si="129"/>
        <v>1</v>
      </c>
      <c r="AK172" s="79">
        <f t="shared" si="130"/>
        <v>1</v>
      </c>
      <c r="AL172" s="80">
        <f t="shared" si="131"/>
        <v>1</v>
      </c>
      <c r="AM172" s="81">
        <f t="shared" si="132"/>
        <v>0.36000000000000004</v>
      </c>
      <c r="AN172" s="82" t="str">
        <f t="shared" si="133"/>
        <v/>
      </c>
      <c r="AO172" s="79" t="str">
        <f t="shared" si="134"/>
        <v/>
      </c>
      <c r="AP172" t="str">
        <f t="shared" si="135"/>
        <v/>
      </c>
      <c r="AQ172" s="82" t="str">
        <f t="shared" si="136"/>
        <v/>
      </c>
      <c r="AR172" t="str">
        <f t="shared" si="137"/>
        <v/>
      </c>
      <c r="AS172" t="str">
        <f t="shared" si="138"/>
        <v/>
      </c>
      <c r="AT172" t="str">
        <f t="shared" si="139"/>
        <v/>
      </c>
      <c r="AU172" t="str">
        <f t="shared" si="140"/>
        <v/>
      </c>
      <c r="AV172" s="82" t="str">
        <f t="shared" si="141"/>
        <v/>
      </c>
      <c r="AW172" t="str">
        <f t="shared" si="142"/>
        <v/>
      </c>
      <c r="AX172" t="str">
        <f t="shared" si="143"/>
        <v/>
      </c>
      <c r="AY172" s="82" t="str">
        <f t="shared" si="144"/>
        <v>X</v>
      </c>
      <c r="AZ172" t="str">
        <f t="shared" si="145"/>
        <v>X</v>
      </c>
      <c r="BA172" t="str">
        <f t="shared" si="146"/>
        <v>X</v>
      </c>
      <c r="BB172" s="83" t="str">
        <f t="shared" si="147"/>
        <v>X</v>
      </c>
      <c r="BC172" s="84">
        <f t="shared" si="148"/>
        <v>0</v>
      </c>
      <c r="BD172" s="84">
        <f t="shared" si="149"/>
        <v>0</v>
      </c>
      <c r="BE172" s="84">
        <f t="shared" si="150"/>
        <v>0</v>
      </c>
      <c r="BF172" s="84">
        <f t="shared" si="151"/>
        <v>1</v>
      </c>
      <c r="BG172" s="78">
        <f>IF(AN172="",0,VLOOKUP(AN172,Tables!$AB$3:$AC$12,2))</f>
        <v>0</v>
      </c>
      <c r="BH172" s="79">
        <f>IF(AO172="",0,VLOOKUP(AO172,Tables!$AB$3:$AC$12,2))</f>
        <v>0</v>
      </c>
      <c r="BI172" s="79">
        <f>IF(AP172="",0,VLOOKUP(AP172,Tables!$AB$3:$AC$12,2))</f>
        <v>0</v>
      </c>
      <c r="BJ172" s="78">
        <f>IF(AQ172="",0,VLOOKUP(AQ172,Tables!$AB$3:$AC$12,2))</f>
        <v>0</v>
      </c>
      <c r="BK172" s="79">
        <f>IF(AR172="",0,VLOOKUP(AR172,Tables!$AB$3:$AC$12,2))</f>
        <v>0</v>
      </c>
      <c r="BL172" s="79">
        <f>IF(AS172="",0,VLOOKUP(AS172,Tables!$AB$3:$AC$12,2))</f>
        <v>0</v>
      </c>
      <c r="BM172" s="79">
        <f>IF(AT172="",0,VLOOKUP(AT172,Tables!$AB$3:$AC$12,2))</f>
        <v>0</v>
      </c>
      <c r="BN172" s="79">
        <f>IF(AU172="",0,VLOOKUP(AU172,Tables!$AB$3:$AC$12,2))</f>
        <v>0</v>
      </c>
      <c r="BO172" s="78">
        <f>IF(AV172="",0,VLOOKUP(AV172,Tables!$AB$3:$AC$12,2))</f>
        <v>0</v>
      </c>
      <c r="BP172" s="79">
        <f>IF(AW172="",0,VLOOKUP(AW172,Tables!$AB$3:$AC$12,2))</f>
        <v>0</v>
      </c>
      <c r="BQ172" s="79">
        <f>IF(AX172="",0,VLOOKUP(AX172,Tables!$AB$3:$AC$12,2))</f>
        <v>0</v>
      </c>
      <c r="BR172" s="78">
        <f>IF(AY172="",0,VLOOKUP(AY172,Tables!$AB$3:$AC$12,2))</f>
        <v>1</v>
      </c>
      <c r="BS172" s="79">
        <f>IF(AZ172="",0,VLOOKUP(AZ172,Tables!$AB$3:$AC$12,2))</f>
        <v>1</v>
      </c>
      <c r="BT172" s="79">
        <f>IF(BA172="",0,VLOOKUP(BA172,Tables!$AB$3:$AC$12,2))</f>
        <v>1</v>
      </c>
      <c r="BU172" s="80">
        <f>IF(BB172="",0,VLOOKUP(BB172,Tables!$AB$3:$AC$12,2))</f>
        <v>1</v>
      </c>
      <c r="BV172" s="85">
        <f>IF(AN172="",0,VLOOKUP(B172,Tables!$B$3:$D$36,2,FALSE())*X$1)</f>
        <v>0</v>
      </c>
      <c r="BW172" s="72">
        <f>IF(AO172="",0,VLOOKUP(C172,Tables!$B$3:$D$36,2,FALSE())*Y$1)</f>
        <v>0</v>
      </c>
      <c r="BX172" s="72">
        <f>IF(AP172="",0,VLOOKUP(D172,Tables!$B$3:$D$36,2,FALSE())*Z$1)</f>
        <v>0</v>
      </c>
      <c r="BY172" s="85">
        <f>IF(AQ172="",0,VLOOKUP(E172,Tables!$B$3:$D$36,2,FALSE())*AA$1)</f>
        <v>0</v>
      </c>
      <c r="BZ172" s="72">
        <f>IF(AR172="",0,VLOOKUP(F172,Tables!$B$3:$D$36,2,FALSE())*AB$1)</f>
        <v>0</v>
      </c>
      <c r="CA172" s="72">
        <f>IF(AS172="",0,VLOOKUP(G172,Tables!$B$3:$D$36,2,FALSE())*AC$1)</f>
        <v>0</v>
      </c>
      <c r="CB172" s="72">
        <f>IF(AT172="",0,VLOOKUP(H172,Tables!$B$3:$D$36,2,FALSE())*AD$1)</f>
        <v>0</v>
      </c>
      <c r="CC172" s="72">
        <f>IF(AU172="",0,VLOOKUP(I172,Tables!$B$3:$D$36,2,FALSE())*AE$1)</f>
        <v>0</v>
      </c>
      <c r="CD172" s="85">
        <f>IF(AV172="",0,VLOOKUP(J172,Tables!$B$3:$D$36,2,FALSE())*AF$1)</f>
        <v>0</v>
      </c>
      <c r="CE172" s="72">
        <f>IF(AW172="",0,VLOOKUP(K172,Tables!$B$3:$D$36,2,FALSE())*AG$1)</f>
        <v>0</v>
      </c>
      <c r="CF172" s="72">
        <f>IF(AX172="",0,VLOOKUP(L172,Tables!$B$3:$D$36,2,FALSE())*AH$1)</f>
        <v>0</v>
      </c>
      <c r="CG172" s="85">
        <f>IF(AY172="",0,VLOOKUP(M172,Tables!$B$3:$D$36,2,FALSE())*AI$1)</f>
        <v>16.8</v>
      </c>
      <c r="CH172" s="72">
        <f>IF(AZ172="",0,VLOOKUP(N172,Tables!$B$3:$D$36,2,FALSE())*AJ$1)</f>
        <v>3.5999999999999996</v>
      </c>
      <c r="CI172" s="72">
        <f>IF(BA172="",0,VLOOKUP(O172,Tables!$B$3:$D$36,2,FALSE())*AK$1)</f>
        <v>14.399999999999999</v>
      </c>
      <c r="CJ172" s="86">
        <f>IF(BB172="",0,VLOOKUP(P172,Tables!$B$3:$D$36,2,FALSE())*AL$1)</f>
        <v>8.4</v>
      </c>
      <c r="CK172" s="87">
        <f>IF(AN172="",0,VLOOKUP(B172,Tables!$B$3:$D$36,3,FALSE())*X$1)*IF(OR(AN172="K",AN172="P"),2,1)</f>
        <v>0</v>
      </c>
      <c r="CL172" s="73">
        <f>IF(AO172="",0,VLOOKUP(C172,Tables!$B$3:$D$36,3,FALSE())*Y$1)*IF(OR(AO172="K",AO172="P"),2,1)</f>
        <v>0</v>
      </c>
      <c r="CM172" s="73">
        <f>IF(AP172="",0,VLOOKUP(D172,Tables!$B$3:$D$36,3,FALSE())*Z$1)*IF(OR(AP172="K",AP172="P"),2,1)</f>
        <v>0</v>
      </c>
      <c r="CN172" s="87">
        <f>IF(AQ172="",0,VLOOKUP(E172,Tables!$B$3:$D$36,3,FALSE())*AA$1)</f>
        <v>0</v>
      </c>
      <c r="CO172" s="73">
        <f>IF(AR172="",0,VLOOKUP(F172,Tables!$B$3:$D$36,3,FALSE())*AB$1)</f>
        <v>0</v>
      </c>
      <c r="CP172" s="73">
        <f>IF(AS172="",0,VLOOKUP(G172,Tables!$B$3:$D$36,3,FALSE())*AC$1)</f>
        <v>0</v>
      </c>
      <c r="CQ172" s="73">
        <f>IF(AT172="",0,VLOOKUP(H172,Tables!$B$3:$D$36,3,FALSE())*AD$1)</f>
        <v>0</v>
      </c>
      <c r="CR172" s="73">
        <f>IF(AU172="",0,VLOOKUP(I172,Tables!$B$3:$D$36,3,FALSE())*AE$1)</f>
        <v>0</v>
      </c>
      <c r="CS172" s="87">
        <f>IF(AV172="",0,VLOOKUP(J172,Tables!$B$3:$D$36,3,FALSE())*AF$1)</f>
        <v>0</v>
      </c>
      <c r="CT172" s="73">
        <f>IF(AW172="",0,VLOOKUP(K172,Tables!$B$3:$D$36,3,FALSE())*AG$1)</f>
        <v>0</v>
      </c>
      <c r="CU172" s="73">
        <f>IF(AX172="",0,VLOOKUP(L172,Tables!$B$3:$D$36,3,FALSE())*AH$1)</f>
        <v>0</v>
      </c>
      <c r="CV172" s="87">
        <f>IF(AY172="",0,VLOOKUP(M172,Tables!$B$3:$D$36,3,FALSE())*AI$1)</f>
        <v>0.35000000000000003</v>
      </c>
      <c r="CW172" s="73">
        <f>IF(AZ172="",0,VLOOKUP(N172,Tables!$B$3:$D$36,3,FALSE())*AJ$1)</f>
        <v>7.4999999999999997E-2</v>
      </c>
      <c r="CX172" s="73">
        <f>IF(BA172="",0,VLOOKUP(O172,Tables!$B$3:$D$36,3,FALSE())*AK$1)</f>
        <v>0.3</v>
      </c>
      <c r="CY172" s="88">
        <f>IF(BB172="",0,VLOOKUP(P172,Tables!$B$3:$D$36,3,FALSE())*AL$1)</f>
        <v>0.17500000000000002</v>
      </c>
      <c r="CZ172" s="89">
        <f t="shared" si="152"/>
        <v>0</v>
      </c>
      <c r="DA172" s="75">
        <f t="shared" si="153"/>
        <v>0</v>
      </c>
      <c r="DB172" s="75">
        <f t="shared" si="154"/>
        <v>0</v>
      </c>
      <c r="DC172" s="89">
        <f t="shared" si="155"/>
        <v>0</v>
      </c>
      <c r="DD172" s="75">
        <f t="shared" si="156"/>
        <v>0</v>
      </c>
      <c r="DE172" s="75">
        <f t="shared" si="157"/>
        <v>0</v>
      </c>
      <c r="DF172" s="75">
        <f t="shared" si="158"/>
        <v>0</v>
      </c>
      <c r="DG172" s="75">
        <f t="shared" si="159"/>
        <v>0</v>
      </c>
      <c r="DH172" s="89">
        <f t="shared" si="160"/>
        <v>0</v>
      </c>
      <c r="DI172" s="75">
        <f t="shared" si="161"/>
        <v>0</v>
      </c>
      <c r="DJ172" s="75">
        <f t="shared" si="162"/>
        <v>0</v>
      </c>
      <c r="DK172" s="89">
        <f t="shared" si="163"/>
        <v>1</v>
      </c>
      <c r="DL172" s="75">
        <f t="shared" si="164"/>
        <v>1</v>
      </c>
      <c r="DM172" s="75">
        <f t="shared" si="165"/>
        <v>1</v>
      </c>
      <c r="DN172" s="90">
        <f t="shared" si="166"/>
        <v>1</v>
      </c>
      <c r="DO172" s="91">
        <f>IF(AN172="",0,VLOOKUP(B172,Tables!$B$3:$M$36,11,FALSE())*X$1)</f>
        <v>0</v>
      </c>
      <c r="DP172" s="92">
        <f>IF(AO172="",0,VLOOKUP(C172,Tables!$B$3:$M$36,11,FALSE())*Y$1)</f>
        <v>0</v>
      </c>
      <c r="DQ172" s="92">
        <f>IF(AP172="",0,VLOOKUP(D172,Tables!$B$3:$M$36,11,FALSE())*Z$1)</f>
        <v>0</v>
      </c>
      <c r="DR172" s="91">
        <f>IF(AQ172="",0,VLOOKUP(E172,Tables!$B$3:$M$36,11,FALSE())*AA$1)</f>
        <v>0</v>
      </c>
      <c r="DS172" s="92">
        <f>IF(AR172="",0,VLOOKUP(F172,Tables!$B$3:$M$36,11,FALSE())*AB$1)</f>
        <v>0</v>
      </c>
      <c r="DT172" s="92">
        <f>IF(AS172="",0,VLOOKUP(G172,Tables!$B$3:$M$36,11,FALSE())*AC$1)</f>
        <v>0</v>
      </c>
      <c r="DU172" s="92">
        <f>IF(AT172="",0,VLOOKUP(H172,Tables!$B$3:$M$36,11,FALSE())*AD$1)</f>
        <v>0</v>
      </c>
      <c r="DV172" s="92">
        <f>IF(AU172="",0,VLOOKUP(I172,Tables!$B$3:$M$36,11,FALSE())*AE$1)</f>
        <v>0</v>
      </c>
      <c r="DW172" s="91">
        <f>IF(AV172="",0,VLOOKUP(J172,Tables!$B$3:$M$36,11,FALSE())*AF$1)</f>
        <v>0</v>
      </c>
      <c r="DX172" s="92">
        <f>IF(AW172="",0,VLOOKUP(K172,Tables!$B$3:$M$36,11,FALSE())*AG$1)</f>
        <v>0</v>
      </c>
      <c r="DY172" s="92">
        <f>IF(AX172="",0,VLOOKUP(L172,Tables!$B$3:$M$36,11,FALSE())*AH$1)</f>
        <v>0</v>
      </c>
      <c r="DZ172" s="91">
        <f>IF(AY172="",0,VLOOKUP(M172,Tables!$B$3:$M$36,11,FALSE())*AI$1)</f>
        <v>2.8000000000000003</v>
      </c>
      <c r="EA172" s="92">
        <f>IF(AZ172="",0,VLOOKUP(N172,Tables!$B$3:$M$36,11,FALSE())*AJ$1)</f>
        <v>0.6</v>
      </c>
      <c r="EB172" s="92">
        <f>IF(BA172="",0,VLOOKUP(O172,Tables!$B$3:$M$36,11,FALSE())*AK$1)</f>
        <v>2.4</v>
      </c>
      <c r="EC172" s="93">
        <f>IF(BB172="",0,VLOOKUP(P172,Tables!$B$3:$M$36,11,FALSE())*AL$1)</f>
        <v>1.4000000000000001</v>
      </c>
      <c r="ED172" s="91">
        <f>IF(AN172="",0,VLOOKUP(B172,Tables!$B$3:$M$36,12,FALSE())*X$1)</f>
        <v>0</v>
      </c>
      <c r="EE172" s="92">
        <f>IF(AO172="",0,VLOOKUP(C172,Tables!$B$3:$M$36,12,FALSE())*Y$1)</f>
        <v>0</v>
      </c>
      <c r="EF172" s="92">
        <f>IF(AP172="",0,VLOOKUP(D172,Tables!$B$3:$M$36,12,FALSE())*Z$1)</f>
        <v>0</v>
      </c>
      <c r="EG172" s="91">
        <f>IF(AQ172="",0,VLOOKUP(E172,Tables!$B$3:$M$36,12,FALSE())*AA$1)</f>
        <v>0</v>
      </c>
      <c r="EH172" s="92">
        <f>IF(AR172="",0,VLOOKUP(F172,Tables!$B$3:$M$36,12,FALSE())*AB$1)</f>
        <v>0</v>
      </c>
      <c r="EI172" s="92">
        <f>IF(AS172="",0,VLOOKUP(G172,Tables!$B$3:$M$36,12,FALSE())*AC$1)</f>
        <v>0</v>
      </c>
      <c r="EJ172" s="92">
        <f>IF(AT172="",0,VLOOKUP(H172,Tables!$B$3:$M$36,12,FALSE())*AD$1)</f>
        <v>0</v>
      </c>
      <c r="EK172" s="92">
        <f>IF(AU172="",0,VLOOKUP(I172,Tables!$B$3:$M$36,12,FALSE())*AE$1)</f>
        <v>0</v>
      </c>
      <c r="EL172" s="91">
        <f>IF(AV172="",0,VLOOKUP(J172,Tables!$B$3:$M$36,12,FALSE())*AF$1)</f>
        <v>0</v>
      </c>
      <c r="EM172" s="92">
        <f>IF(AW172="",0,VLOOKUP(K172,Tables!$B$3:$M$36,12,FALSE())*AG$1)</f>
        <v>0</v>
      </c>
      <c r="EN172" s="92">
        <f>IF(AX172="",0,VLOOKUP(L172,Tables!$B$3:$M$36,12,FALSE())*AH$1)</f>
        <v>0</v>
      </c>
      <c r="EO172" s="91">
        <f>IF(AY172="",0,VLOOKUP(M172,Tables!$B$3:$M$36,12,FALSE())*AI$1)</f>
        <v>12.600000000000001</v>
      </c>
      <c r="EP172" s="92">
        <f>IF(AZ172="",0,VLOOKUP(N172,Tables!$B$3:$M$36,12,FALSE())*AJ$1)</f>
        <v>2.6999999999999997</v>
      </c>
      <c r="EQ172" s="92">
        <f>IF(BA172="",0,VLOOKUP(O172,Tables!$B$3:$M$36,12,FALSE())*AK$1)</f>
        <v>10.799999999999999</v>
      </c>
      <c r="ER172" s="93">
        <f>IF(BB172="",0,VLOOKUP(P172,Tables!$B$3:$M$36,12,FALSE())*AL$1)</f>
        <v>6.3000000000000007</v>
      </c>
      <c r="ES172" s="94">
        <f t="shared" si="167"/>
        <v>0</v>
      </c>
      <c r="ET172" s="95">
        <f>IF(AN172="",10,MIN(VLOOKUP(B172,MATERIAL,13,FALSE()),'Item Builder'!$W172))</f>
        <v>10</v>
      </c>
      <c r="EU172" s="95">
        <f>IF(AO172="",10,MIN(VLOOKUP(C172,MATERIAL,13,FALSE()),'Item Builder'!$W172))</f>
        <v>10</v>
      </c>
      <c r="EV172" s="95">
        <f>IF(AP172="",10,MIN(VLOOKUP(D172,MATERIAL,13,FALSE()),'Item Builder'!$W172))</f>
        <v>10</v>
      </c>
      <c r="EW172" s="95">
        <f>IF(AQ172="",10,MIN(VLOOKUP(E172,MATERIAL,13,FALSE()),'Item Builder'!$W172))</f>
        <v>10</v>
      </c>
      <c r="EX172" s="95">
        <f>IF(AR172="",10,MIN(VLOOKUP(F172,MATERIAL,13,FALSE()),'Item Builder'!$W172))</f>
        <v>10</v>
      </c>
      <c r="EY172" s="95">
        <f>IF(AS172="",10,MIN(VLOOKUP(G172,MATERIAL,13,FALSE()),'Item Builder'!$W172))</f>
        <v>10</v>
      </c>
      <c r="EZ172" s="95">
        <f>IF(AT172="",10,MIN(VLOOKUP(H172,MATERIAL,13,FALSE()),'Item Builder'!$W172))</f>
        <v>10</v>
      </c>
      <c r="FA172" s="95">
        <f>IF(AU172="",10,MIN(VLOOKUP(I172,MATERIAL,13,FALSE()),'Item Builder'!$W172))</f>
        <v>10</v>
      </c>
      <c r="FB172" s="95">
        <f>IF(AV172="",10,MIN(VLOOKUP(J172,MATERIAL,13,FALSE()),'Item Builder'!$W172))</f>
        <v>10</v>
      </c>
      <c r="FC172" s="95">
        <f>IF(AW172="",10,MIN(VLOOKUP(K172,MATERIAL,13,FALSE()),'Item Builder'!$W172))</f>
        <v>10</v>
      </c>
      <c r="FD172" s="95">
        <f>IF(AX172="",10,MIN(VLOOKUP(L172,MATERIAL,13,FALSE()),'Item Builder'!$W172))</f>
        <v>10</v>
      </c>
      <c r="FE172" s="95">
        <f>IF(AY172="",10,MIN(VLOOKUP(M172,MATERIAL,13,FALSE()),'Item Builder'!$W172))</f>
        <v>0</v>
      </c>
      <c r="FF172" s="95">
        <f>IF(AZ172="",10,MIN(VLOOKUP(N172,MATERIAL,13,FALSE()),'Item Builder'!$W172))</f>
        <v>0</v>
      </c>
      <c r="FG172" s="95">
        <f>IF(BA172="",10,MIN(VLOOKUP(O172,MATERIAL,13,FALSE()),'Item Builder'!$W172))</f>
        <v>0</v>
      </c>
      <c r="FH172" s="95">
        <f>IF(BB172="",10,MIN(VLOOKUP(P172,MATERIAL,13,FALSE()),'Item Builder'!$W172))</f>
        <v>0</v>
      </c>
    </row>
    <row r="173" spans="1:164" x14ac:dyDescent="0.25">
      <c r="A173" s="67" t="s">
        <v>313</v>
      </c>
      <c r="B173" s="68"/>
      <c r="C173" s="69"/>
      <c r="D173" s="70"/>
      <c r="E173" s="68"/>
      <c r="F173" s="69"/>
      <c r="G173" s="69"/>
      <c r="H173" s="69"/>
      <c r="I173" s="70"/>
      <c r="J173" s="68"/>
      <c r="K173" s="69"/>
      <c r="L173" s="70"/>
      <c r="M173" s="68"/>
      <c r="N173" s="69"/>
      <c r="O173" s="69" t="s">
        <v>171</v>
      </c>
      <c r="P173" s="71" t="s">
        <v>171</v>
      </c>
      <c r="Q173" s="72">
        <f>SUM(BV173:CJ173)*VLOOKUP(W173,Tables!$W$3:$Z$8,4)</f>
        <v>22.799999999999997</v>
      </c>
      <c r="R173" s="73">
        <f t="shared" si="112"/>
        <v>0.47499999999999998</v>
      </c>
      <c r="S173" s="74">
        <f t="shared" si="113"/>
        <v>0</v>
      </c>
      <c r="T173" s="74">
        <f t="shared" si="114"/>
        <v>0</v>
      </c>
      <c r="U173" s="75">
        <f t="shared" si="115"/>
        <v>3.8</v>
      </c>
      <c r="V173" s="76">
        <f t="shared" si="116"/>
        <v>17.100000000000001</v>
      </c>
      <c r="W173" s="77">
        <v>0</v>
      </c>
      <c r="X173" s="78">
        <f t="shared" si="117"/>
        <v>0</v>
      </c>
      <c r="Y173" s="79">
        <f t="shared" si="118"/>
        <v>0</v>
      </c>
      <c r="Z173" s="79">
        <f t="shared" si="119"/>
        <v>0</v>
      </c>
      <c r="AA173" s="78">
        <f t="shared" si="120"/>
        <v>0</v>
      </c>
      <c r="AB173" s="79">
        <f t="shared" si="121"/>
        <v>0</v>
      </c>
      <c r="AC173" s="79">
        <f t="shared" si="122"/>
        <v>0</v>
      </c>
      <c r="AD173" s="79">
        <f t="shared" si="123"/>
        <v>0</v>
      </c>
      <c r="AE173" s="79">
        <f t="shared" si="124"/>
        <v>0</v>
      </c>
      <c r="AF173" s="78">
        <f t="shared" si="125"/>
        <v>0</v>
      </c>
      <c r="AG173" s="79">
        <f t="shared" si="126"/>
        <v>0</v>
      </c>
      <c r="AH173" s="79">
        <f t="shared" si="127"/>
        <v>0</v>
      </c>
      <c r="AI173" s="78">
        <f t="shared" si="128"/>
        <v>0</v>
      </c>
      <c r="AJ173" s="79">
        <f t="shared" si="129"/>
        <v>0</v>
      </c>
      <c r="AK173" s="79">
        <f t="shared" si="130"/>
        <v>1</v>
      </c>
      <c r="AL173" s="80">
        <f t="shared" si="131"/>
        <v>1</v>
      </c>
      <c r="AM173" s="81">
        <f t="shared" si="132"/>
        <v>0.19</v>
      </c>
      <c r="AN173" s="82" t="str">
        <f t="shared" si="133"/>
        <v/>
      </c>
      <c r="AO173" s="79" t="str">
        <f t="shared" si="134"/>
        <v/>
      </c>
      <c r="AP173" t="str">
        <f t="shared" si="135"/>
        <v/>
      </c>
      <c r="AQ173" s="82" t="str">
        <f t="shared" si="136"/>
        <v/>
      </c>
      <c r="AR173" t="str">
        <f t="shared" si="137"/>
        <v/>
      </c>
      <c r="AS173" t="str">
        <f t="shared" si="138"/>
        <v/>
      </c>
      <c r="AT173" t="str">
        <f t="shared" si="139"/>
        <v/>
      </c>
      <c r="AU173" t="str">
        <f t="shared" si="140"/>
        <v/>
      </c>
      <c r="AV173" s="82" t="str">
        <f t="shared" si="141"/>
        <v/>
      </c>
      <c r="AW173" t="str">
        <f t="shared" si="142"/>
        <v/>
      </c>
      <c r="AX173" t="str">
        <f t="shared" si="143"/>
        <v/>
      </c>
      <c r="AY173" s="82" t="str">
        <f t="shared" si="144"/>
        <v/>
      </c>
      <c r="AZ173" t="str">
        <f t="shared" si="145"/>
        <v/>
      </c>
      <c r="BA173" t="str">
        <f t="shared" si="146"/>
        <v>X</v>
      </c>
      <c r="BB173" s="83" t="str">
        <f t="shared" si="147"/>
        <v>X</v>
      </c>
      <c r="BC173" s="84">
        <f t="shared" si="148"/>
        <v>0</v>
      </c>
      <c r="BD173" s="84">
        <f t="shared" si="149"/>
        <v>0</v>
      </c>
      <c r="BE173" s="84">
        <f t="shared" si="150"/>
        <v>0</v>
      </c>
      <c r="BF173" s="84">
        <f t="shared" si="151"/>
        <v>0.52777777777777768</v>
      </c>
      <c r="BG173" s="78">
        <f>IF(AN173="",0,VLOOKUP(AN173,Tables!$AB$3:$AC$12,2))</f>
        <v>0</v>
      </c>
      <c r="BH173" s="79">
        <f>IF(AO173="",0,VLOOKUP(AO173,Tables!$AB$3:$AC$12,2))</f>
        <v>0</v>
      </c>
      <c r="BI173" s="79">
        <f>IF(AP173="",0,VLOOKUP(AP173,Tables!$AB$3:$AC$12,2))</f>
        <v>0</v>
      </c>
      <c r="BJ173" s="78">
        <f>IF(AQ173="",0,VLOOKUP(AQ173,Tables!$AB$3:$AC$12,2))</f>
        <v>0</v>
      </c>
      <c r="BK173" s="79">
        <f>IF(AR173="",0,VLOOKUP(AR173,Tables!$AB$3:$AC$12,2))</f>
        <v>0</v>
      </c>
      <c r="BL173" s="79">
        <f>IF(AS173="",0,VLOOKUP(AS173,Tables!$AB$3:$AC$12,2))</f>
        <v>0</v>
      </c>
      <c r="BM173" s="79">
        <f>IF(AT173="",0,VLOOKUP(AT173,Tables!$AB$3:$AC$12,2))</f>
        <v>0</v>
      </c>
      <c r="BN173" s="79">
        <f>IF(AU173="",0,VLOOKUP(AU173,Tables!$AB$3:$AC$12,2))</f>
        <v>0</v>
      </c>
      <c r="BO173" s="78">
        <f>IF(AV173="",0,VLOOKUP(AV173,Tables!$AB$3:$AC$12,2))</f>
        <v>0</v>
      </c>
      <c r="BP173" s="79">
        <f>IF(AW173="",0,VLOOKUP(AW173,Tables!$AB$3:$AC$12,2))</f>
        <v>0</v>
      </c>
      <c r="BQ173" s="79">
        <f>IF(AX173="",0,VLOOKUP(AX173,Tables!$AB$3:$AC$12,2))</f>
        <v>0</v>
      </c>
      <c r="BR173" s="78">
        <f>IF(AY173="",0,VLOOKUP(AY173,Tables!$AB$3:$AC$12,2))</f>
        <v>0</v>
      </c>
      <c r="BS173" s="79">
        <f>IF(AZ173="",0,VLOOKUP(AZ173,Tables!$AB$3:$AC$12,2))</f>
        <v>0</v>
      </c>
      <c r="BT173" s="79">
        <f>IF(BA173="",0,VLOOKUP(BA173,Tables!$AB$3:$AC$12,2))</f>
        <v>1</v>
      </c>
      <c r="BU173" s="80">
        <f>IF(BB173="",0,VLOOKUP(BB173,Tables!$AB$3:$AC$12,2))</f>
        <v>1</v>
      </c>
      <c r="BV173" s="85">
        <f>IF(AN173="",0,VLOOKUP(B173,Tables!$B$3:$D$36,2,FALSE())*X$1)</f>
        <v>0</v>
      </c>
      <c r="BW173" s="72">
        <f>IF(AO173="",0,VLOOKUP(C173,Tables!$B$3:$D$36,2,FALSE())*Y$1)</f>
        <v>0</v>
      </c>
      <c r="BX173" s="72">
        <f>IF(AP173="",0,VLOOKUP(D173,Tables!$B$3:$D$36,2,FALSE())*Z$1)</f>
        <v>0</v>
      </c>
      <c r="BY173" s="85">
        <f>IF(AQ173="",0,VLOOKUP(E173,Tables!$B$3:$D$36,2,FALSE())*AA$1)</f>
        <v>0</v>
      </c>
      <c r="BZ173" s="72">
        <f>IF(AR173="",0,VLOOKUP(F173,Tables!$B$3:$D$36,2,FALSE())*AB$1)</f>
        <v>0</v>
      </c>
      <c r="CA173" s="72">
        <f>IF(AS173="",0,VLOOKUP(G173,Tables!$B$3:$D$36,2,FALSE())*AC$1)</f>
        <v>0</v>
      </c>
      <c r="CB173" s="72">
        <f>IF(AT173="",0,VLOOKUP(H173,Tables!$B$3:$D$36,2,FALSE())*AD$1)</f>
        <v>0</v>
      </c>
      <c r="CC173" s="72">
        <f>IF(AU173="",0,VLOOKUP(I173,Tables!$B$3:$D$36,2,FALSE())*AE$1)</f>
        <v>0</v>
      </c>
      <c r="CD173" s="85">
        <f>IF(AV173="",0,VLOOKUP(J173,Tables!$B$3:$D$36,2,FALSE())*AF$1)</f>
        <v>0</v>
      </c>
      <c r="CE173" s="72">
        <f>IF(AW173="",0,VLOOKUP(K173,Tables!$B$3:$D$36,2,FALSE())*AG$1)</f>
        <v>0</v>
      </c>
      <c r="CF173" s="72">
        <f>IF(AX173="",0,VLOOKUP(L173,Tables!$B$3:$D$36,2,FALSE())*AH$1)</f>
        <v>0</v>
      </c>
      <c r="CG173" s="85">
        <f>IF(AY173="",0,VLOOKUP(M173,Tables!$B$3:$D$36,2,FALSE())*AI$1)</f>
        <v>0</v>
      </c>
      <c r="CH173" s="72">
        <f>IF(AZ173="",0,VLOOKUP(N173,Tables!$B$3:$D$36,2,FALSE())*AJ$1)</f>
        <v>0</v>
      </c>
      <c r="CI173" s="72">
        <f>IF(BA173="",0,VLOOKUP(O173,Tables!$B$3:$D$36,2,FALSE())*AK$1)</f>
        <v>14.399999999999999</v>
      </c>
      <c r="CJ173" s="86">
        <f>IF(BB173="",0,VLOOKUP(P173,Tables!$B$3:$D$36,2,FALSE())*AL$1)</f>
        <v>8.4</v>
      </c>
      <c r="CK173" s="87">
        <f>IF(AN173="",0,VLOOKUP(B173,Tables!$B$3:$D$36,3,FALSE())*X$1)*IF(OR(AN173="K",AN173="P"),2,1)</f>
        <v>0</v>
      </c>
      <c r="CL173" s="73">
        <f>IF(AO173="",0,VLOOKUP(C173,Tables!$B$3:$D$36,3,FALSE())*Y$1)*IF(OR(AO173="K",AO173="P"),2,1)</f>
        <v>0</v>
      </c>
      <c r="CM173" s="73">
        <f>IF(AP173="",0,VLOOKUP(D173,Tables!$B$3:$D$36,3,FALSE())*Z$1)*IF(OR(AP173="K",AP173="P"),2,1)</f>
        <v>0</v>
      </c>
      <c r="CN173" s="87">
        <f>IF(AQ173="",0,VLOOKUP(E173,Tables!$B$3:$D$36,3,FALSE())*AA$1)</f>
        <v>0</v>
      </c>
      <c r="CO173" s="73">
        <f>IF(AR173="",0,VLOOKUP(F173,Tables!$B$3:$D$36,3,FALSE())*AB$1)</f>
        <v>0</v>
      </c>
      <c r="CP173" s="73">
        <f>IF(AS173="",0,VLOOKUP(G173,Tables!$B$3:$D$36,3,FALSE())*AC$1)</f>
        <v>0</v>
      </c>
      <c r="CQ173" s="73">
        <f>IF(AT173="",0,VLOOKUP(H173,Tables!$B$3:$D$36,3,FALSE())*AD$1)</f>
        <v>0</v>
      </c>
      <c r="CR173" s="73">
        <f>IF(AU173="",0,VLOOKUP(I173,Tables!$B$3:$D$36,3,FALSE())*AE$1)</f>
        <v>0</v>
      </c>
      <c r="CS173" s="87">
        <f>IF(AV173="",0,VLOOKUP(J173,Tables!$B$3:$D$36,3,FALSE())*AF$1)</f>
        <v>0</v>
      </c>
      <c r="CT173" s="73">
        <f>IF(AW173="",0,VLOOKUP(K173,Tables!$B$3:$D$36,3,FALSE())*AG$1)</f>
        <v>0</v>
      </c>
      <c r="CU173" s="73">
        <f>IF(AX173="",0,VLOOKUP(L173,Tables!$B$3:$D$36,3,FALSE())*AH$1)</f>
        <v>0</v>
      </c>
      <c r="CV173" s="87">
        <f>IF(AY173="",0,VLOOKUP(M173,Tables!$B$3:$D$36,3,FALSE())*AI$1)</f>
        <v>0</v>
      </c>
      <c r="CW173" s="73">
        <f>IF(AZ173="",0,VLOOKUP(N173,Tables!$B$3:$D$36,3,FALSE())*AJ$1)</f>
        <v>0</v>
      </c>
      <c r="CX173" s="73">
        <f>IF(BA173="",0,VLOOKUP(O173,Tables!$B$3:$D$36,3,FALSE())*AK$1)</f>
        <v>0.3</v>
      </c>
      <c r="CY173" s="88">
        <f>IF(BB173="",0,VLOOKUP(P173,Tables!$B$3:$D$36,3,FALSE())*AL$1)</f>
        <v>0.17500000000000002</v>
      </c>
      <c r="CZ173" s="89">
        <f t="shared" si="152"/>
        <v>0</v>
      </c>
      <c r="DA173" s="75">
        <f t="shared" si="153"/>
        <v>0</v>
      </c>
      <c r="DB173" s="75">
        <f t="shared" si="154"/>
        <v>0</v>
      </c>
      <c r="DC173" s="89">
        <f t="shared" si="155"/>
        <v>0</v>
      </c>
      <c r="DD173" s="75">
        <f t="shared" si="156"/>
        <v>0</v>
      </c>
      <c r="DE173" s="75">
        <f t="shared" si="157"/>
        <v>0</v>
      </c>
      <c r="DF173" s="75">
        <f t="shared" si="158"/>
        <v>0</v>
      </c>
      <c r="DG173" s="75">
        <f t="shared" si="159"/>
        <v>0</v>
      </c>
      <c r="DH173" s="89">
        <f t="shared" si="160"/>
        <v>0</v>
      </c>
      <c r="DI173" s="75">
        <f t="shared" si="161"/>
        <v>0</v>
      </c>
      <c r="DJ173" s="75">
        <f t="shared" si="162"/>
        <v>0</v>
      </c>
      <c r="DK173" s="89">
        <f t="shared" si="163"/>
        <v>0</v>
      </c>
      <c r="DL173" s="75">
        <f t="shared" si="164"/>
        <v>0</v>
      </c>
      <c r="DM173" s="75">
        <f t="shared" si="165"/>
        <v>1</v>
      </c>
      <c r="DN173" s="90">
        <f t="shared" si="166"/>
        <v>1</v>
      </c>
      <c r="DO173" s="91">
        <f>IF(AN173="",0,VLOOKUP(B173,Tables!$B$3:$M$36,11,FALSE())*X$1)</f>
        <v>0</v>
      </c>
      <c r="DP173" s="92">
        <f>IF(AO173="",0,VLOOKUP(C173,Tables!$B$3:$M$36,11,FALSE())*Y$1)</f>
        <v>0</v>
      </c>
      <c r="DQ173" s="92">
        <f>IF(AP173="",0,VLOOKUP(D173,Tables!$B$3:$M$36,11,FALSE())*Z$1)</f>
        <v>0</v>
      </c>
      <c r="DR173" s="91">
        <f>IF(AQ173="",0,VLOOKUP(E173,Tables!$B$3:$M$36,11,FALSE())*AA$1)</f>
        <v>0</v>
      </c>
      <c r="DS173" s="92">
        <f>IF(AR173="",0,VLOOKUP(F173,Tables!$B$3:$M$36,11,FALSE())*AB$1)</f>
        <v>0</v>
      </c>
      <c r="DT173" s="92">
        <f>IF(AS173="",0,VLOOKUP(G173,Tables!$B$3:$M$36,11,FALSE())*AC$1)</f>
        <v>0</v>
      </c>
      <c r="DU173" s="92">
        <f>IF(AT173="",0,VLOOKUP(H173,Tables!$B$3:$M$36,11,FALSE())*AD$1)</f>
        <v>0</v>
      </c>
      <c r="DV173" s="92">
        <f>IF(AU173="",0,VLOOKUP(I173,Tables!$B$3:$M$36,11,FALSE())*AE$1)</f>
        <v>0</v>
      </c>
      <c r="DW173" s="91">
        <f>IF(AV173="",0,VLOOKUP(J173,Tables!$B$3:$M$36,11,FALSE())*AF$1)</f>
        <v>0</v>
      </c>
      <c r="DX173" s="92">
        <f>IF(AW173="",0,VLOOKUP(K173,Tables!$B$3:$M$36,11,FALSE())*AG$1)</f>
        <v>0</v>
      </c>
      <c r="DY173" s="92">
        <f>IF(AX173="",0,VLOOKUP(L173,Tables!$B$3:$M$36,11,FALSE())*AH$1)</f>
        <v>0</v>
      </c>
      <c r="DZ173" s="91">
        <f>IF(AY173="",0,VLOOKUP(M173,Tables!$B$3:$M$36,11,FALSE())*AI$1)</f>
        <v>0</v>
      </c>
      <c r="EA173" s="92">
        <f>IF(AZ173="",0,VLOOKUP(N173,Tables!$B$3:$M$36,11,FALSE())*AJ$1)</f>
        <v>0</v>
      </c>
      <c r="EB173" s="92">
        <f>IF(BA173="",0,VLOOKUP(O173,Tables!$B$3:$M$36,11,FALSE())*AK$1)</f>
        <v>2.4</v>
      </c>
      <c r="EC173" s="93">
        <f>IF(BB173="",0,VLOOKUP(P173,Tables!$B$3:$M$36,11,FALSE())*AL$1)</f>
        <v>1.4000000000000001</v>
      </c>
      <c r="ED173" s="91">
        <f>IF(AN173="",0,VLOOKUP(B173,Tables!$B$3:$M$36,12,FALSE())*X$1)</f>
        <v>0</v>
      </c>
      <c r="EE173" s="92">
        <f>IF(AO173="",0,VLOOKUP(C173,Tables!$B$3:$M$36,12,FALSE())*Y$1)</f>
        <v>0</v>
      </c>
      <c r="EF173" s="92">
        <f>IF(AP173="",0,VLOOKUP(D173,Tables!$B$3:$M$36,12,FALSE())*Z$1)</f>
        <v>0</v>
      </c>
      <c r="EG173" s="91">
        <f>IF(AQ173="",0,VLOOKUP(E173,Tables!$B$3:$M$36,12,FALSE())*AA$1)</f>
        <v>0</v>
      </c>
      <c r="EH173" s="92">
        <f>IF(AR173="",0,VLOOKUP(F173,Tables!$B$3:$M$36,12,FALSE())*AB$1)</f>
        <v>0</v>
      </c>
      <c r="EI173" s="92">
        <f>IF(AS173="",0,VLOOKUP(G173,Tables!$B$3:$M$36,12,FALSE())*AC$1)</f>
        <v>0</v>
      </c>
      <c r="EJ173" s="92">
        <f>IF(AT173="",0,VLOOKUP(H173,Tables!$B$3:$M$36,12,FALSE())*AD$1)</f>
        <v>0</v>
      </c>
      <c r="EK173" s="92">
        <f>IF(AU173="",0,VLOOKUP(I173,Tables!$B$3:$M$36,12,FALSE())*AE$1)</f>
        <v>0</v>
      </c>
      <c r="EL173" s="91">
        <f>IF(AV173="",0,VLOOKUP(J173,Tables!$B$3:$M$36,12,FALSE())*AF$1)</f>
        <v>0</v>
      </c>
      <c r="EM173" s="92">
        <f>IF(AW173="",0,VLOOKUP(K173,Tables!$B$3:$M$36,12,FALSE())*AG$1)</f>
        <v>0</v>
      </c>
      <c r="EN173" s="92">
        <f>IF(AX173="",0,VLOOKUP(L173,Tables!$B$3:$M$36,12,FALSE())*AH$1)</f>
        <v>0</v>
      </c>
      <c r="EO173" s="91">
        <f>IF(AY173="",0,VLOOKUP(M173,Tables!$B$3:$M$36,12,FALSE())*AI$1)</f>
        <v>0</v>
      </c>
      <c r="EP173" s="92">
        <f>IF(AZ173="",0,VLOOKUP(N173,Tables!$B$3:$M$36,12,FALSE())*AJ$1)</f>
        <v>0</v>
      </c>
      <c r="EQ173" s="92">
        <f>IF(BA173="",0,VLOOKUP(O173,Tables!$B$3:$M$36,12,FALSE())*AK$1)</f>
        <v>10.799999999999999</v>
      </c>
      <c r="ER173" s="93">
        <f>IF(BB173="",0,VLOOKUP(P173,Tables!$B$3:$M$36,12,FALSE())*AL$1)</f>
        <v>6.3000000000000007</v>
      </c>
      <c r="ES173" s="94">
        <f t="shared" si="167"/>
        <v>0</v>
      </c>
      <c r="ET173" s="95">
        <f>IF(AN173="",10,MIN(VLOOKUP(B173,MATERIAL,13,FALSE()),'Item Builder'!$W173))</f>
        <v>10</v>
      </c>
      <c r="EU173" s="95">
        <f>IF(AO173="",10,MIN(VLOOKUP(C173,MATERIAL,13,FALSE()),'Item Builder'!$W173))</f>
        <v>10</v>
      </c>
      <c r="EV173" s="95">
        <f>IF(AP173="",10,MIN(VLOOKUP(D173,MATERIAL,13,FALSE()),'Item Builder'!$W173))</f>
        <v>10</v>
      </c>
      <c r="EW173" s="95">
        <f>IF(AQ173="",10,MIN(VLOOKUP(E173,MATERIAL,13,FALSE()),'Item Builder'!$W173))</f>
        <v>10</v>
      </c>
      <c r="EX173" s="95">
        <f>IF(AR173="",10,MIN(VLOOKUP(F173,MATERIAL,13,FALSE()),'Item Builder'!$W173))</f>
        <v>10</v>
      </c>
      <c r="EY173" s="95">
        <f>IF(AS173="",10,MIN(VLOOKUP(G173,MATERIAL,13,FALSE()),'Item Builder'!$W173))</f>
        <v>10</v>
      </c>
      <c r="EZ173" s="95">
        <f>IF(AT173="",10,MIN(VLOOKUP(H173,MATERIAL,13,FALSE()),'Item Builder'!$W173))</f>
        <v>10</v>
      </c>
      <c r="FA173" s="95">
        <f>IF(AU173="",10,MIN(VLOOKUP(I173,MATERIAL,13,FALSE()),'Item Builder'!$W173))</f>
        <v>10</v>
      </c>
      <c r="FB173" s="95">
        <f>IF(AV173="",10,MIN(VLOOKUP(J173,MATERIAL,13,FALSE()),'Item Builder'!$W173))</f>
        <v>10</v>
      </c>
      <c r="FC173" s="95">
        <f>IF(AW173="",10,MIN(VLOOKUP(K173,MATERIAL,13,FALSE()),'Item Builder'!$W173))</f>
        <v>10</v>
      </c>
      <c r="FD173" s="95">
        <f>IF(AX173="",10,MIN(VLOOKUP(L173,MATERIAL,13,FALSE()),'Item Builder'!$W173))</f>
        <v>10</v>
      </c>
      <c r="FE173" s="95">
        <f>IF(AY173="",10,MIN(VLOOKUP(M173,MATERIAL,13,FALSE()),'Item Builder'!$W173))</f>
        <v>10</v>
      </c>
      <c r="FF173" s="95">
        <f>IF(AZ173="",10,MIN(VLOOKUP(N173,MATERIAL,13,FALSE()),'Item Builder'!$W173))</f>
        <v>10</v>
      </c>
      <c r="FG173" s="95">
        <f>IF(BA173="",10,MIN(VLOOKUP(O173,MATERIAL,13,FALSE()),'Item Builder'!$W173))</f>
        <v>0</v>
      </c>
      <c r="FH173" s="95">
        <f>IF(BB173="",10,MIN(VLOOKUP(P173,MATERIAL,13,FALSE()),'Item Builder'!$W173))</f>
        <v>0</v>
      </c>
    </row>
    <row r="174" spans="1:164" x14ac:dyDescent="0.25">
      <c r="A174" s="67" t="s">
        <v>314</v>
      </c>
      <c r="B174" s="68" t="s">
        <v>175</v>
      </c>
      <c r="C174" s="69"/>
      <c r="D174" s="70"/>
      <c r="E174" s="68"/>
      <c r="F174" s="69"/>
      <c r="G174" s="69"/>
      <c r="H174" s="69"/>
      <c r="I174" s="70"/>
      <c r="J174" s="68"/>
      <c r="K174" s="69"/>
      <c r="L174" s="70"/>
      <c r="M174" s="68"/>
      <c r="N174" s="69"/>
      <c r="O174" s="69"/>
      <c r="P174" s="71"/>
      <c r="Q174" s="72">
        <f>SUM(BV174:CJ174)*VLOOKUP(W174,Tables!$W$3:$Z$8,4)</f>
        <v>28</v>
      </c>
      <c r="R174" s="73">
        <f t="shared" si="112"/>
        <v>0.1</v>
      </c>
      <c r="S174" s="74">
        <f t="shared" si="113"/>
        <v>0</v>
      </c>
      <c r="T174" s="74">
        <f t="shared" si="114"/>
        <v>0</v>
      </c>
      <c r="U174" s="75">
        <f t="shared" si="115"/>
        <v>0.8</v>
      </c>
      <c r="V174" s="76">
        <f t="shared" si="116"/>
        <v>24</v>
      </c>
      <c r="W174" s="77">
        <v>0</v>
      </c>
      <c r="X174" s="78">
        <f t="shared" si="117"/>
        <v>1</v>
      </c>
      <c r="Y174" s="79">
        <f t="shared" si="118"/>
        <v>0</v>
      </c>
      <c r="Z174" s="79">
        <f t="shared" si="119"/>
        <v>0</v>
      </c>
      <c r="AA174" s="78">
        <f t="shared" si="120"/>
        <v>0</v>
      </c>
      <c r="AB174" s="79">
        <f t="shared" si="121"/>
        <v>0</v>
      </c>
      <c r="AC174" s="79">
        <f t="shared" si="122"/>
        <v>0</v>
      </c>
      <c r="AD174" s="79">
        <f t="shared" si="123"/>
        <v>0</v>
      </c>
      <c r="AE174" s="79">
        <f t="shared" si="124"/>
        <v>0</v>
      </c>
      <c r="AF174" s="78">
        <f t="shared" si="125"/>
        <v>0</v>
      </c>
      <c r="AG174" s="79">
        <f t="shared" si="126"/>
        <v>0</v>
      </c>
      <c r="AH174" s="79">
        <f t="shared" si="127"/>
        <v>0</v>
      </c>
      <c r="AI174" s="78">
        <f t="shared" si="128"/>
        <v>0</v>
      </c>
      <c r="AJ174" s="79">
        <f t="shared" si="129"/>
        <v>0</v>
      </c>
      <c r="AK174" s="79">
        <f t="shared" si="130"/>
        <v>0</v>
      </c>
      <c r="AL174" s="80">
        <f t="shared" si="131"/>
        <v>0</v>
      </c>
      <c r="AM174" s="81">
        <f t="shared" si="132"/>
        <v>0.04</v>
      </c>
      <c r="AN174" s="82" t="str">
        <f t="shared" si="133"/>
        <v>X</v>
      </c>
      <c r="AO174" s="79" t="str">
        <f t="shared" si="134"/>
        <v/>
      </c>
      <c r="AP174" t="str">
        <f t="shared" si="135"/>
        <v/>
      </c>
      <c r="AQ174" s="82" t="str">
        <f t="shared" si="136"/>
        <v/>
      </c>
      <c r="AR174" t="str">
        <f t="shared" si="137"/>
        <v/>
      </c>
      <c r="AS174" t="str">
        <f t="shared" si="138"/>
        <v/>
      </c>
      <c r="AT174" t="str">
        <f t="shared" si="139"/>
        <v/>
      </c>
      <c r="AU174" t="str">
        <f t="shared" si="140"/>
        <v/>
      </c>
      <c r="AV174" s="82" t="str">
        <f t="shared" si="141"/>
        <v/>
      </c>
      <c r="AW174" t="str">
        <f t="shared" si="142"/>
        <v/>
      </c>
      <c r="AX174" t="str">
        <f t="shared" si="143"/>
        <v/>
      </c>
      <c r="AY174" s="82" t="str">
        <f t="shared" si="144"/>
        <v/>
      </c>
      <c r="AZ174" t="str">
        <f t="shared" si="145"/>
        <v/>
      </c>
      <c r="BA174" t="str">
        <f t="shared" si="146"/>
        <v/>
      </c>
      <c r="BB174" s="83" t="str">
        <f t="shared" si="147"/>
        <v/>
      </c>
      <c r="BC174" s="84">
        <f t="shared" si="148"/>
        <v>0.44444444444444442</v>
      </c>
      <c r="BD174" s="84">
        <f t="shared" si="149"/>
        <v>0</v>
      </c>
      <c r="BE174" s="84">
        <f t="shared" si="150"/>
        <v>0</v>
      </c>
      <c r="BF174" s="84">
        <f t="shared" si="151"/>
        <v>0</v>
      </c>
      <c r="BG174" s="78">
        <f>IF(AN174="",0,VLOOKUP(AN174,Tables!$AB$3:$AC$12,2))</f>
        <v>1</v>
      </c>
      <c r="BH174" s="79">
        <f>IF(AO174="",0,VLOOKUP(AO174,Tables!$AB$3:$AC$12,2))</f>
        <v>0</v>
      </c>
      <c r="BI174" s="79">
        <f>IF(AP174="",0,VLOOKUP(AP174,Tables!$AB$3:$AC$12,2))</f>
        <v>0</v>
      </c>
      <c r="BJ174" s="78">
        <f>IF(AQ174="",0,VLOOKUP(AQ174,Tables!$AB$3:$AC$12,2))</f>
        <v>0</v>
      </c>
      <c r="BK174" s="79">
        <f>IF(AR174="",0,VLOOKUP(AR174,Tables!$AB$3:$AC$12,2))</f>
        <v>0</v>
      </c>
      <c r="BL174" s="79">
        <f>IF(AS174="",0,VLOOKUP(AS174,Tables!$AB$3:$AC$12,2))</f>
        <v>0</v>
      </c>
      <c r="BM174" s="79">
        <f>IF(AT174="",0,VLOOKUP(AT174,Tables!$AB$3:$AC$12,2))</f>
        <v>0</v>
      </c>
      <c r="BN174" s="79">
        <f>IF(AU174="",0,VLOOKUP(AU174,Tables!$AB$3:$AC$12,2))</f>
        <v>0</v>
      </c>
      <c r="BO174" s="78">
        <f>IF(AV174="",0,VLOOKUP(AV174,Tables!$AB$3:$AC$12,2))</f>
        <v>0</v>
      </c>
      <c r="BP174" s="79">
        <f>IF(AW174="",0,VLOOKUP(AW174,Tables!$AB$3:$AC$12,2))</f>
        <v>0</v>
      </c>
      <c r="BQ174" s="79">
        <f>IF(AX174="",0,VLOOKUP(AX174,Tables!$AB$3:$AC$12,2))</f>
        <v>0</v>
      </c>
      <c r="BR174" s="78">
        <f>IF(AY174="",0,VLOOKUP(AY174,Tables!$AB$3:$AC$12,2))</f>
        <v>0</v>
      </c>
      <c r="BS174" s="79">
        <f>IF(AZ174="",0,VLOOKUP(AZ174,Tables!$AB$3:$AC$12,2))</f>
        <v>0</v>
      </c>
      <c r="BT174" s="79">
        <f>IF(BA174="",0,VLOOKUP(BA174,Tables!$AB$3:$AC$12,2))</f>
        <v>0</v>
      </c>
      <c r="BU174" s="80">
        <f>IF(BB174="",0,VLOOKUP(BB174,Tables!$AB$3:$AC$12,2))</f>
        <v>0</v>
      </c>
      <c r="BV174" s="85">
        <f>IF(AN174="",0,VLOOKUP(B174,Tables!$B$3:$D$36,2,FALSE())*X$1)</f>
        <v>28</v>
      </c>
      <c r="BW174" s="72">
        <f>IF(AO174="",0,VLOOKUP(C174,Tables!$B$3:$D$36,2,FALSE())*Y$1)</f>
        <v>0</v>
      </c>
      <c r="BX174" s="72">
        <f>IF(AP174="",0,VLOOKUP(D174,Tables!$B$3:$D$36,2,FALSE())*Z$1)</f>
        <v>0</v>
      </c>
      <c r="BY174" s="85">
        <f>IF(AQ174="",0,VLOOKUP(E174,Tables!$B$3:$D$36,2,FALSE())*AA$1)</f>
        <v>0</v>
      </c>
      <c r="BZ174" s="72">
        <f>IF(AR174="",0,VLOOKUP(F174,Tables!$B$3:$D$36,2,FALSE())*AB$1)</f>
        <v>0</v>
      </c>
      <c r="CA174" s="72">
        <f>IF(AS174="",0,VLOOKUP(G174,Tables!$B$3:$D$36,2,FALSE())*AC$1)</f>
        <v>0</v>
      </c>
      <c r="CB174" s="72">
        <f>IF(AT174="",0,VLOOKUP(H174,Tables!$B$3:$D$36,2,FALSE())*AD$1)</f>
        <v>0</v>
      </c>
      <c r="CC174" s="72">
        <f>IF(AU174="",0,VLOOKUP(I174,Tables!$B$3:$D$36,2,FALSE())*AE$1)</f>
        <v>0</v>
      </c>
      <c r="CD174" s="85">
        <f>IF(AV174="",0,VLOOKUP(J174,Tables!$B$3:$D$36,2,FALSE())*AF$1)</f>
        <v>0</v>
      </c>
      <c r="CE174" s="72">
        <f>IF(AW174="",0,VLOOKUP(K174,Tables!$B$3:$D$36,2,FALSE())*AG$1)</f>
        <v>0</v>
      </c>
      <c r="CF174" s="72">
        <f>IF(AX174="",0,VLOOKUP(L174,Tables!$B$3:$D$36,2,FALSE())*AH$1)</f>
        <v>0</v>
      </c>
      <c r="CG174" s="85">
        <f>IF(AY174="",0,VLOOKUP(M174,Tables!$B$3:$D$36,2,FALSE())*AI$1)</f>
        <v>0</v>
      </c>
      <c r="CH174" s="72">
        <f>IF(AZ174="",0,VLOOKUP(N174,Tables!$B$3:$D$36,2,FALSE())*AJ$1)</f>
        <v>0</v>
      </c>
      <c r="CI174" s="72">
        <f>IF(BA174="",0,VLOOKUP(O174,Tables!$B$3:$D$36,2,FALSE())*AK$1)</f>
        <v>0</v>
      </c>
      <c r="CJ174" s="86">
        <f>IF(BB174="",0,VLOOKUP(P174,Tables!$B$3:$D$36,2,FALSE())*AL$1)</f>
        <v>0</v>
      </c>
      <c r="CK174" s="87">
        <f>IF(AN174="",0,VLOOKUP(B174,Tables!$B$3:$D$36,3,FALSE())*X$1)*IF(OR(AN174="K",AN174="P"),2,1)</f>
        <v>0.1</v>
      </c>
      <c r="CL174" s="73">
        <f>IF(AO174="",0,VLOOKUP(C174,Tables!$B$3:$D$36,3,FALSE())*Y$1)*IF(OR(AO174="K",AO174="P"),2,1)</f>
        <v>0</v>
      </c>
      <c r="CM174" s="73">
        <f>IF(AP174="",0,VLOOKUP(D174,Tables!$B$3:$D$36,3,FALSE())*Z$1)*IF(OR(AP174="K",AP174="P"),2,1)</f>
        <v>0</v>
      </c>
      <c r="CN174" s="87">
        <f>IF(AQ174="",0,VLOOKUP(E174,Tables!$B$3:$D$36,3,FALSE())*AA$1)</f>
        <v>0</v>
      </c>
      <c r="CO174" s="73">
        <f>IF(AR174="",0,VLOOKUP(F174,Tables!$B$3:$D$36,3,FALSE())*AB$1)</f>
        <v>0</v>
      </c>
      <c r="CP174" s="73">
        <f>IF(AS174="",0,VLOOKUP(G174,Tables!$B$3:$D$36,3,FALSE())*AC$1)</f>
        <v>0</v>
      </c>
      <c r="CQ174" s="73">
        <f>IF(AT174="",0,VLOOKUP(H174,Tables!$B$3:$D$36,3,FALSE())*AD$1)</f>
        <v>0</v>
      </c>
      <c r="CR174" s="73">
        <f>IF(AU174="",0,VLOOKUP(I174,Tables!$B$3:$D$36,3,FALSE())*AE$1)</f>
        <v>0</v>
      </c>
      <c r="CS174" s="87">
        <f>IF(AV174="",0,VLOOKUP(J174,Tables!$B$3:$D$36,3,FALSE())*AF$1)</f>
        <v>0</v>
      </c>
      <c r="CT174" s="73">
        <f>IF(AW174="",0,VLOOKUP(K174,Tables!$B$3:$D$36,3,FALSE())*AG$1)</f>
        <v>0</v>
      </c>
      <c r="CU174" s="73">
        <f>IF(AX174="",0,VLOOKUP(L174,Tables!$B$3:$D$36,3,FALSE())*AH$1)</f>
        <v>0</v>
      </c>
      <c r="CV174" s="87">
        <f>IF(AY174="",0,VLOOKUP(M174,Tables!$B$3:$D$36,3,FALSE())*AI$1)</f>
        <v>0</v>
      </c>
      <c r="CW174" s="73">
        <f>IF(AZ174="",0,VLOOKUP(N174,Tables!$B$3:$D$36,3,FALSE())*AJ$1)</f>
        <v>0</v>
      </c>
      <c r="CX174" s="73">
        <f>IF(BA174="",0,VLOOKUP(O174,Tables!$B$3:$D$36,3,FALSE())*AK$1)</f>
        <v>0</v>
      </c>
      <c r="CY174" s="88">
        <f>IF(BB174="",0,VLOOKUP(P174,Tables!$B$3:$D$36,3,FALSE())*AL$1)</f>
        <v>0</v>
      </c>
      <c r="CZ174" s="89">
        <f t="shared" si="152"/>
        <v>1</v>
      </c>
      <c r="DA174" s="75">
        <f t="shared" si="153"/>
        <v>0</v>
      </c>
      <c r="DB174" s="75">
        <f t="shared" si="154"/>
        <v>0</v>
      </c>
      <c r="DC174" s="89">
        <f t="shared" si="155"/>
        <v>0</v>
      </c>
      <c r="DD174" s="75">
        <f t="shared" si="156"/>
        <v>0</v>
      </c>
      <c r="DE174" s="75">
        <f t="shared" si="157"/>
        <v>0</v>
      </c>
      <c r="DF174" s="75">
        <f t="shared" si="158"/>
        <v>0</v>
      </c>
      <c r="DG174" s="75">
        <f t="shared" si="159"/>
        <v>0</v>
      </c>
      <c r="DH174" s="89">
        <f t="shared" si="160"/>
        <v>0</v>
      </c>
      <c r="DI174" s="75">
        <f t="shared" si="161"/>
        <v>0</v>
      </c>
      <c r="DJ174" s="75">
        <f t="shared" si="162"/>
        <v>0</v>
      </c>
      <c r="DK174" s="89">
        <f t="shared" si="163"/>
        <v>0</v>
      </c>
      <c r="DL174" s="75">
        <f t="shared" si="164"/>
        <v>0</v>
      </c>
      <c r="DM174" s="75">
        <f t="shared" si="165"/>
        <v>0</v>
      </c>
      <c r="DN174" s="90">
        <f t="shared" si="166"/>
        <v>0</v>
      </c>
      <c r="DO174" s="91">
        <f>IF(AN174="",0,VLOOKUP(B174,Tables!$B$3:$M$36,11,FALSE())*X$1)</f>
        <v>0.8</v>
      </c>
      <c r="DP174" s="92">
        <f>IF(AO174="",0,VLOOKUP(C174,Tables!$B$3:$M$36,11,FALSE())*Y$1)</f>
        <v>0</v>
      </c>
      <c r="DQ174" s="92">
        <f>IF(AP174="",0,VLOOKUP(D174,Tables!$B$3:$M$36,11,FALSE())*Z$1)</f>
        <v>0</v>
      </c>
      <c r="DR174" s="91">
        <f>IF(AQ174="",0,VLOOKUP(E174,Tables!$B$3:$M$36,11,FALSE())*AA$1)</f>
        <v>0</v>
      </c>
      <c r="DS174" s="92">
        <f>IF(AR174="",0,VLOOKUP(F174,Tables!$B$3:$M$36,11,FALSE())*AB$1)</f>
        <v>0</v>
      </c>
      <c r="DT174" s="92">
        <f>IF(AS174="",0,VLOOKUP(G174,Tables!$B$3:$M$36,11,FALSE())*AC$1)</f>
        <v>0</v>
      </c>
      <c r="DU174" s="92">
        <f>IF(AT174="",0,VLOOKUP(H174,Tables!$B$3:$M$36,11,FALSE())*AD$1)</f>
        <v>0</v>
      </c>
      <c r="DV174" s="92">
        <f>IF(AU174="",0,VLOOKUP(I174,Tables!$B$3:$M$36,11,FALSE())*AE$1)</f>
        <v>0</v>
      </c>
      <c r="DW174" s="91">
        <f>IF(AV174="",0,VLOOKUP(J174,Tables!$B$3:$M$36,11,FALSE())*AF$1)</f>
        <v>0</v>
      </c>
      <c r="DX174" s="92">
        <f>IF(AW174="",0,VLOOKUP(K174,Tables!$B$3:$M$36,11,FALSE())*AG$1)</f>
        <v>0</v>
      </c>
      <c r="DY174" s="92">
        <f>IF(AX174="",0,VLOOKUP(L174,Tables!$B$3:$M$36,11,FALSE())*AH$1)</f>
        <v>0</v>
      </c>
      <c r="DZ174" s="91">
        <f>IF(AY174="",0,VLOOKUP(M174,Tables!$B$3:$M$36,11,FALSE())*AI$1)</f>
        <v>0</v>
      </c>
      <c r="EA174" s="92">
        <f>IF(AZ174="",0,VLOOKUP(N174,Tables!$B$3:$M$36,11,FALSE())*AJ$1)</f>
        <v>0</v>
      </c>
      <c r="EB174" s="92">
        <f>IF(BA174="",0,VLOOKUP(O174,Tables!$B$3:$M$36,11,FALSE())*AK$1)</f>
        <v>0</v>
      </c>
      <c r="EC174" s="93">
        <f>IF(BB174="",0,VLOOKUP(P174,Tables!$B$3:$M$36,11,FALSE())*AL$1)</f>
        <v>0</v>
      </c>
      <c r="ED174" s="91">
        <f>IF(AN174="",0,VLOOKUP(B174,Tables!$B$3:$M$36,12,FALSE())*X$1)</f>
        <v>24</v>
      </c>
      <c r="EE174" s="92">
        <f>IF(AO174="",0,VLOOKUP(C174,Tables!$B$3:$M$36,12,FALSE())*Y$1)</f>
        <v>0</v>
      </c>
      <c r="EF174" s="92">
        <f>IF(AP174="",0,VLOOKUP(D174,Tables!$B$3:$M$36,12,FALSE())*Z$1)</f>
        <v>0</v>
      </c>
      <c r="EG174" s="91">
        <f>IF(AQ174="",0,VLOOKUP(E174,Tables!$B$3:$M$36,12,FALSE())*AA$1)</f>
        <v>0</v>
      </c>
      <c r="EH174" s="92">
        <f>IF(AR174="",0,VLOOKUP(F174,Tables!$B$3:$M$36,12,FALSE())*AB$1)</f>
        <v>0</v>
      </c>
      <c r="EI174" s="92">
        <f>IF(AS174="",0,VLOOKUP(G174,Tables!$B$3:$M$36,12,FALSE())*AC$1)</f>
        <v>0</v>
      </c>
      <c r="EJ174" s="92">
        <f>IF(AT174="",0,VLOOKUP(H174,Tables!$B$3:$M$36,12,FALSE())*AD$1)</f>
        <v>0</v>
      </c>
      <c r="EK174" s="92">
        <f>IF(AU174="",0,VLOOKUP(I174,Tables!$B$3:$M$36,12,FALSE())*AE$1)</f>
        <v>0</v>
      </c>
      <c r="EL174" s="91">
        <f>IF(AV174="",0,VLOOKUP(J174,Tables!$B$3:$M$36,12,FALSE())*AF$1)</f>
        <v>0</v>
      </c>
      <c r="EM174" s="92">
        <f>IF(AW174="",0,VLOOKUP(K174,Tables!$B$3:$M$36,12,FALSE())*AG$1)</f>
        <v>0</v>
      </c>
      <c r="EN174" s="92">
        <f>IF(AX174="",0,VLOOKUP(L174,Tables!$B$3:$M$36,12,FALSE())*AH$1)</f>
        <v>0</v>
      </c>
      <c r="EO174" s="91">
        <f>IF(AY174="",0,VLOOKUP(M174,Tables!$B$3:$M$36,12,FALSE())*AI$1)</f>
        <v>0</v>
      </c>
      <c r="EP174" s="92">
        <f>IF(AZ174="",0,VLOOKUP(N174,Tables!$B$3:$M$36,12,FALSE())*AJ$1)</f>
        <v>0</v>
      </c>
      <c r="EQ174" s="92">
        <f>IF(BA174="",0,VLOOKUP(O174,Tables!$B$3:$M$36,12,FALSE())*AK$1)</f>
        <v>0</v>
      </c>
      <c r="ER174" s="93">
        <f>IF(BB174="",0,VLOOKUP(P174,Tables!$B$3:$M$36,12,FALSE())*AL$1)</f>
        <v>0</v>
      </c>
      <c r="ES174" s="94">
        <f t="shared" si="167"/>
        <v>0</v>
      </c>
      <c r="ET174" s="95">
        <f>IF(AN174="",10,MIN(VLOOKUP(B174,MATERIAL,13,FALSE()),'Item Builder'!$W174))</f>
        <v>0</v>
      </c>
      <c r="EU174" s="95">
        <f>IF(AO174="",10,MIN(VLOOKUP(C174,MATERIAL,13,FALSE()),'Item Builder'!$W174))</f>
        <v>10</v>
      </c>
      <c r="EV174" s="95">
        <f>IF(AP174="",10,MIN(VLOOKUP(D174,MATERIAL,13,FALSE()),'Item Builder'!$W174))</f>
        <v>10</v>
      </c>
      <c r="EW174" s="95">
        <f>IF(AQ174="",10,MIN(VLOOKUP(E174,MATERIAL,13,FALSE()),'Item Builder'!$W174))</f>
        <v>10</v>
      </c>
      <c r="EX174" s="95">
        <f>IF(AR174="",10,MIN(VLOOKUP(F174,MATERIAL,13,FALSE()),'Item Builder'!$W174))</f>
        <v>10</v>
      </c>
      <c r="EY174" s="95">
        <f>IF(AS174="",10,MIN(VLOOKUP(G174,MATERIAL,13,FALSE()),'Item Builder'!$W174))</f>
        <v>10</v>
      </c>
      <c r="EZ174" s="95">
        <f>IF(AT174="",10,MIN(VLOOKUP(H174,MATERIAL,13,FALSE()),'Item Builder'!$W174))</f>
        <v>10</v>
      </c>
      <c r="FA174" s="95">
        <f>IF(AU174="",10,MIN(VLOOKUP(I174,MATERIAL,13,FALSE()),'Item Builder'!$W174))</f>
        <v>10</v>
      </c>
      <c r="FB174" s="95">
        <f>IF(AV174="",10,MIN(VLOOKUP(J174,MATERIAL,13,FALSE()),'Item Builder'!$W174))</f>
        <v>10</v>
      </c>
      <c r="FC174" s="95">
        <f>IF(AW174="",10,MIN(VLOOKUP(K174,MATERIAL,13,FALSE()),'Item Builder'!$W174))</f>
        <v>10</v>
      </c>
      <c r="FD174" s="95">
        <f>IF(AX174="",10,MIN(VLOOKUP(L174,MATERIAL,13,FALSE()),'Item Builder'!$W174))</f>
        <v>10</v>
      </c>
      <c r="FE174" s="95">
        <f>IF(AY174="",10,MIN(VLOOKUP(M174,MATERIAL,13,FALSE()),'Item Builder'!$W174))</f>
        <v>10</v>
      </c>
      <c r="FF174" s="95">
        <f>IF(AZ174="",10,MIN(VLOOKUP(N174,MATERIAL,13,FALSE()),'Item Builder'!$W174))</f>
        <v>10</v>
      </c>
      <c r="FG174" s="95">
        <f>IF(BA174="",10,MIN(VLOOKUP(O174,MATERIAL,13,FALSE()),'Item Builder'!$W174))</f>
        <v>10</v>
      </c>
      <c r="FH174" s="95">
        <f>IF(BB174="",10,MIN(VLOOKUP(P174,MATERIAL,13,FALSE()),'Item Builder'!$W174))</f>
        <v>10</v>
      </c>
    </row>
    <row r="175" spans="1:164" x14ac:dyDescent="0.25">
      <c r="A175" s="67" t="s">
        <v>315</v>
      </c>
      <c r="B175" s="68"/>
      <c r="C175" s="69"/>
      <c r="D175" s="70"/>
      <c r="E175" s="68" t="s">
        <v>175</v>
      </c>
      <c r="F175" s="69" t="s">
        <v>175</v>
      </c>
      <c r="G175" s="69"/>
      <c r="H175" s="69"/>
      <c r="I175" s="70"/>
      <c r="J175" s="68" t="s">
        <v>175</v>
      </c>
      <c r="K175" s="69"/>
      <c r="L175" s="70"/>
      <c r="M175" s="68"/>
      <c r="N175" s="69"/>
      <c r="O175" s="69"/>
      <c r="P175" s="71"/>
      <c r="Q175" s="72">
        <f>SUM(BV175:CJ175)*VLOOKUP(W175,Tables!$W$3:$Z$8,4)</f>
        <v>147</v>
      </c>
      <c r="R175" s="73">
        <f t="shared" si="112"/>
        <v>0.52499999999999991</v>
      </c>
      <c r="S175" s="74">
        <f t="shared" si="113"/>
        <v>0</v>
      </c>
      <c r="T175" s="74">
        <f t="shared" si="114"/>
        <v>0</v>
      </c>
      <c r="U175" s="75">
        <f t="shared" si="115"/>
        <v>4.1999999999999993</v>
      </c>
      <c r="V175" s="76">
        <f t="shared" si="116"/>
        <v>126</v>
      </c>
      <c r="W175" s="77">
        <v>0</v>
      </c>
      <c r="X175" s="78">
        <f t="shared" si="117"/>
        <v>0</v>
      </c>
      <c r="Y175" s="79">
        <f t="shared" si="118"/>
        <v>0</v>
      </c>
      <c r="Z175" s="79">
        <f t="shared" si="119"/>
        <v>0</v>
      </c>
      <c r="AA175" s="78">
        <f t="shared" si="120"/>
        <v>1</v>
      </c>
      <c r="AB175" s="79">
        <f t="shared" si="121"/>
        <v>1</v>
      </c>
      <c r="AC175" s="79">
        <f t="shared" si="122"/>
        <v>0</v>
      </c>
      <c r="AD175" s="79">
        <f t="shared" si="123"/>
        <v>0</v>
      </c>
      <c r="AE175" s="79">
        <f t="shared" si="124"/>
        <v>0</v>
      </c>
      <c r="AF175" s="78">
        <f t="shared" si="125"/>
        <v>1</v>
      </c>
      <c r="AG175" s="79">
        <f t="shared" si="126"/>
        <v>0</v>
      </c>
      <c r="AH175" s="79">
        <f t="shared" si="127"/>
        <v>0</v>
      </c>
      <c r="AI175" s="78">
        <f t="shared" si="128"/>
        <v>0</v>
      </c>
      <c r="AJ175" s="79">
        <f t="shared" si="129"/>
        <v>0</v>
      </c>
      <c r="AK175" s="79">
        <f t="shared" si="130"/>
        <v>0</v>
      </c>
      <c r="AL175" s="80">
        <f t="shared" si="131"/>
        <v>0</v>
      </c>
      <c r="AM175" s="81">
        <f t="shared" si="132"/>
        <v>0.21</v>
      </c>
      <c r="AN175" s="82" t="str">
        <f t="shared" si="133"/>
        <v/>
      </c>
      <c r="AO175" s="79" t="str">
        <f t="shared" si="134"/>
        <v/>
      </c>
      <c r="AP175" t="str">
        <f t="shared" si="135"/>
        <v/>
      </c>
      <c r="AQ175" s="82" t="str">
        <f t="shared" si="136"/>
        <v>X</v>
      </c>
      <c r="AR175" t="str">
        <f t="shared" si="137"/>
        <v>X</v>
      </c>
      <c r="AS175" t="str">
        <f t="shared" si="138"/>
        <v/>
      </c>
      <c r="AT175" t="str">
        <f t="shared" si="139"/>
        <v/>
      </c>
      <c r="AU175" t="str">
        <f t="shared" si="140"/>
        <v/>
      </c>
      <c r="AV175" s="82" t="str">
        <f t="shared" si="141"/>
        <v>X</v>
      </c>
      <c r="AW175" t="str">
        <f t="shared" si="142"/>
        <v/>
      </c>
      <c r="AX175" t="str">
        <f t="shared" si="143"/>
        <v/>
      </c>
      <c r="AY175" s="82" t="str">
        <f t="shared" si="144"/>
        <v/>
      </c>
      <c r="AZ175" t="str">
        <f t="shared" si="145"/>
        <v/>
      </c>
      <c r="BA175" t="str">
        <f t="shared" si="146"/>
        <v/>
      </c>
      <c r="BB175" s="83" t="str">
        <f t="shared" si="147"/>
        <v/>
      </c>
      <c r="BC175" s="84">
        <f t="shared" si="148"/>
        <v>0</v>
      </c>
      <c r="BD175" s="84">
        <f t="shared" si="149"/>
        <v>0.42857142857142849</v>
      </c>
      <c r="BE175" s="84">
        <f t="shared" si="150"/>
        <v>0.35294117647058826</v>
      </c>
      <c r="BF175" s="84">
        <f t="shared" si="151"/>
        <v>0</v>
      </c>
      <c r="BG175" s="78">
        <f>IF(AN175="",0,VLOOKUP(AN175,Tables!$AB$3:$AC$12,2))</f>
        <v>0</v>
      </c>
      <c r="BH175" s="79">
        <f>IF(AO175="",0,VLOOKUP(AO175,Tables!$AB$3:$AC$12,2))</f>
        <v>0</v>
      </c>
      <c r="BI175" s="79">
        <f>IF(AP175="",0,VLOOKUP(AP175,Tables!$AB$3:$AC$12,2))</f>
        <v>0</v>
      </c>
      <c r="BJ175" s="78">
        <f>IF(AQ175="",0,VLOOKUP(AQ175,Tables!$AB$3:$AC$12,2))</f>
        <v>1</v>
      </c>
      <c r="BK175" s="79">
        <f>IF(AR175="",0,VLOOKUP(AR175,Tables!$AB$3:$AC$12,2))</f>
        <v>1</v>
      </c>
      <c r="BL175" s="79">
        <f>IF(AS175="",0,VLOOKUP(AS175,Tables!$AB$3:$AC$12,2))</f>
        <v>0</v>
      </c>
      <c r="BM175" s="79">
        <f>IF(AT175="",0,VLOOKUP(AT175,Tables!$AB$3:$AC$12,2))</f>
        <v>0</v>
      </c>
      <c r="BN175" s="79">
        <f>IF(AU175="",0,VLOOKUP(AU175,Tables!$AB$3:$AC$12,2))</f>
        <v>0</v>
      </c>
      <c r="BO175" s="78">
        <f>IF(AV175="",0,VLOOKUP(AV175,Tables!$AB$3:$AC$12,2))</f>
        <v>1</v>
      </c>
      <c r="BP175" s="79">
        <f>IF(AW175="",0,VLOOKUP(AW175,Tables!$AB$3:$AC$12,2))</f>
        <v>0</v>
      </c>
      <c r="BQ175" s="79">
        <f>IF(AX175="",0,VLOOKUP(AX175,Tables!$AB$3:$AC$12,2))</f>
        <v>0</v>
      </c>
      <c r="BR175" s="78">
        <f>IF(AY175="",0,VLOOKUP(AY175,Tables!$AB$3:$AC$12,2))</f>
        <v>0</v>
      </c>
      <c r="BS175" s="79">
        <f>IF(AZ175="",0,VLOOKUP(AZ175,Tables!$AB$3:$AC$12,2))</f>
        <v>0</v>
      </c>
      <c r="BT175" s="79">
        <f>IF(BA175="",0,VLOOKUP(BA175,Tables!$AB$3:$AC$12,2))</f>
        <v>0</v>
      </c>
      <c r="BU175" s="80">
        <f>IF(BB175="",0,VLOOKUP(BB175,Tables!$AB$3:$AC$12,2))</f>
        <v>0</v>
      </c>
      <c r="BV175" s="85">
        <f>IF(AN175="",0,VLOOKUP(B175,Tables!$B$3:$D$36,2,FALSE())*X$1)</f>
        <v>0</v>
      </c>
      <c r="BW175" s="72">
        <f>IF(AO175="",0,VLOOKUP(C175,Tables!$B$3:$D$36,2,FALSE())*Y$1)</f>
        <v>0</v>
      </c>
      <c r="BX175" s="72">
        <f>IF(AP175="",0,VLOOKUP(D175,Tables!$B$3:$D$36,2,FALSE())*Z$1)</f>
        <v>0</v>
      </c>
      <c r="BY175" s="85">
        <f>IF(AQ175="",0,VLOOKUP(E175,Tables!$B$3:$D$36,2,FALSE())*AA$1)</f>
        <v>21</v>
      </c>
      <c r="BZ175" s="72">
        <f>IF(AR175="",0,VLOOKUP(F175,Tables!$B$3:$D$36,2,FALSE())*AB$1)</f>
        <v>42</v>
      </c>
      <c r="CA175" s="72">
        <f>IF(AS175="",0,VLOOKUP(G175,Tables!$B$3:$D$36,2,FALSE())*AC$1)</f>
        <v>0</v>
      </c>
      <c r="CB175" s="72">
        <f>IF(AT175="",0,VLOOKUP(H175,Tables!$B$3:$D$36,2,FALSE())*AD$1)</f>
        <v>0</v>
      </c>
      <c r="CC175" s="72">
        <f>IF(AU175="",0,VLOOKUP(I175,Tables!$B$3:$D$36,2,FALSE())*AE$1)</f>
        <v>0</v>
      </c>
      <c r="CD175" s="85">
        <f>IF(AV175="",0,VLOOKUP(J175,Tables!$B$3:$D$36,2,FALSE())*AF$1)</f>
        <v>84</v>
      </c>
      <c r="CE175" s="72">
        <f>IF(AW175="",0,VLOOKUP(K175,Tables!$B$3:$D$36,2,FALSE())*AG$1)</f>
        <v>0</v>
      </c>
      <c r="CF175" s="72">
        <f>IF(AX175="",0,VLOOKUP(L175,Tables!$B$3:$D$36,2,FALSE())*AH$1)</f>
        <v>0</v>
      </c>
      <c r="CG175" s="85">
        <f>IF(AY175="",0,VLOOKUP(M175,Tables!$B$3:$D$36,2,FALSE())*AI$1)</f>
        <v>0</v>
      </c>
      <c r="CH175" s="72">
        <f>IF(AZ175="",0,VLOOKUP(N175,Tables!$B$3:$D$36,2,FALSE())*AJ$1)</f>
        <v>0</v>
      </c>
      <c r="CI175" s="72">
        <f>IF(BA175="",0,VLOOKUP(O175,Tables!$B$3:$D$36,2,FALSE())*AK$1)</f>
        <v>0</v>
      </c>
      <c r="CJ175" s="86">
        <f>IF(BB175="",0,VLOOKUP(P175,Tables!$B$3:$D$36,2,FALSE())*AL$1)</f>
        <v>0</v>
      </c>
      <c r="CK175" s="87">
        <f>IF(AN175="",0,VLOOKUP(B175,Tables!$B$3:$D$36,3,FALSE())*X$1)*IF(OR(AN175="K",AN175="P"),2,1)</f>
        <v>0</v>
      </c>
      <c r="CL175" s="73">
        <f>IF(AO175="",0,VLOOKUP(C175,Tables!$B$3:$D$36,3,FALSE())*Y$1)*IF(OR(AO175="K",AO175="P"),2,1)</f>
        <v>0</v>
      </c>
      <c r="CM175" s="73">
        <f>IF(AP175="",0,VLOOKUP(D175,Tables!$B$3:$D$36,3,FALSE())*Z$1)*IF(OR(AP175="K",AP175="P"),2,1)</f>
        <v>0</v>
      </c>
      <c r="CN175" s="87">
        <f>IF(AQ175="",0,VLOOKUP(E175,Tables!$B$3:$D$36,3,FALSE())*AA$1)</f>
        <v>7.4999999999999997E-2</v>
      </c>
      <c r="CO175" s="73">
        <f>IF(AR175="",0,VLOOKUP(F175,Tables!$B$3:$D$36,3,FALSE())*AB$1)</f>
        <v>0.15</v>
      </c>
      <c r="CP175" s="73">
        <f>IF(AS175="",0,VLOOKUP(G175,Tables!$B$3:$D$36,3,FALSE())*AC$1)</f>
        <v>0</v>
      </c>
      <c r="CQ175" s="73">
        <f>IF(AT175="",0,VLOOKUP(H175,Tables!$B$3:$D$36,3,FALSE())*AD$1)</f>
        <v>0</v>
      </c>
      <c r="CR175" s="73">
        <f>IF(AU175="",0,VLOOKUP(I175,Tables!$B$3:$D$36,3,FALSE())*AE$1)</f>
        <v>0</v>
      </c>
      <c r="CS175" s="87">
        <f>IF(AV175="",0,VLOOKUP(J175,Tables!$B$3:$D$36,3,FALSE())*AF$1)</f>
        <v>0.3</v>
      </c>
      <c r="CT175" s="73">
        <f>IF(AW175="",0,VLOOKUP(K175,Tables!$B$3:$D$36,3,FALSE())*AG$1)</f>
        <v>0</v>
      </c>
      <c r="CU175" s="73">
        <f>IF(AX175="",0,VLOOKUP(L175,Tables!$B$3:$D$36,3,FALSE())*AH$1)</f>
        <v>0</v>
      </c>
      <c r="CV175" s="87">
        <f>IF(AY175="",0,VLOOKUP(M175,Tables!$B$3:$D$36,3,FALSE())*AI$1)</f>
        <v>0</v>
      </c>
      <c r="CW175" s="73">
        <f>IF(AZ175="",0,VLOOKUP(N175,Tables!$B$3:$D$36,3,FALSE())*AJ$1)</f>
        <v>0</v>
      </c>
      <c r="CX175" s="73">
        <f>IF(BA175="",0,VLOOKUP(O175,Tables!$B$3:$D$36,3,FALSE())*AK$1)</f>
        <v>0</v>
      </c>
      <c r="CY175" s="88">
        <f>IF(BB175="",0,VLOOKUP(P175,Tables!$B$3:$D$36,3,FALSE())*AL$1)</f>
        <v>0</v>
      </c>
      <c r="CZ175" s="89">
        <f t="shared" si="152"/>
        <v>0</v>
      </c>
      <c r="DA175" s="75">
        <f t="shared" si="153"/>
        <v>0</v>
      </c>
      <c r="DB175" s="75">
        <f t="shared" si="154"/>
        <v>0</v>
      </c>
      <c r="DC175" s="89">
        <f t="shared" si="155"/>
        <v>1</v>
      </c>
      <c r="DD175" s="75">
        <f t="shared" si="156"/>
        <v>1</v>
      </c>
      <c r="DE175" s="75">
        <f t="shared" si="157"/>
        <v>0</v>
      </c>
      <c r="DF175" s="75">
        <f t="shared" si="158"/>
        <v>0</v>
      </c>
      <c r="DG175" s="75">
        <f t="shared" si="159"/>
        <v>0</v>
      </c>
      <c r="DH175" s="89">
        <f t="shared" si="160"/>
        <v>1</v>
      </c>
      <c r="DI175" s="75">
        <f t="shared" si="161"/>
        <v>0</v>
      </c>
      <c r="DJ175" s="75">
        <f t="shared" si="162"/>
        <v>0</v>
      </c>
      <c r="DK175" s="89">
        <f t="shared" si="163"/>
        <v>0</v>
      </c>
      <c r="DL175" s="75">
        <f t="shared" si="164"/>
        <v>0</v>
      </c>
      <c r="DM175" s="75">
        <f t="shared" si="165"/>
        <v>0</v>
      </c>
      <c r="DN175" s="90">
        <f t="shared" si="166"/>
        <v>0</v>
      </c>
      <c r="DO175" s="91">
        <f>IF(AN175="",0,VLOOKUP(B175,Tables!$B$3:$M$36,11,FALSE())*X$1)</f>
        <v>0</v>
      </c>
      <c r="DP175" s="92">
        <f>IF(AO175="",0,VLOOKUP(C175,Tables!$B$3:$M$36,11,FALSE())*Y$1)</f>
        <v>0</v>
      </c>
      <c r="DQ175" s="92">
        <f>IF(AP175="",0,VLOOKUP(D175,Tables!$B$3:$M$36,11,FALSE())*Z$1)</f>
        <v>0</v>
      </c>
      <c r="DR175" s="91">
        <f>IF(AQ175="",0,VLOOKUP(E175,Tables!$B$3:$M$36,11,FALSE())*AA$1)</f>
        <v>0.6</v>
      </c>
      <c r="DS175" s="92">
        <f>IF(AR175="",0,VLOOKUP(F175,Tables!$B$3:$M$36,11,FALSE())*AB$1)</f>
        <v>1.2</v>
      </c>
      <c r="DT175" s="92">
        <f>IF(AS175="",0,VLOOKUP(G175,Tables!$B$3:$M$36,11,FALSE())*AC$1)</f>
        <v>0</v>
      </c>
      <c r="DU175" s="92">
        <f>IF(AT175="",0,VLOOKUP(H175,Tables!$B$3:$M$36,11,FALSE())*AD$1)</f>
        <v>0</v>
      </c>
      <c r="DV175" s="92">
        <f>IF(AU175="",0,VLOOKUP(I175,Tables!$B$3:$M$36,11,FALSE())*AE$1)</f>
        <v>0</v>
      </c>
      <c r="DW175" s="91">
        <f>IF(AV175="",0,VLOOKUP(J175,Tables!$B$3:$M$36,11,FALSE())*AF$1)</f>
        <v>2.4</v>
      </c>
      <c r="DX175" s="92">
        <f>IF(AW175="",0,VLOOKUP(K175,Tables!$B$3:$M$36,11,FALSE())*AG$1)</f>
        <v>0</v>
      </c>
      <c r="DY175" s="92">
        <f>IF(AX175="",0,VLOOKUP(L175,Tables!$B$3:$M$36,11,FALSE())*AH$1)</f>
        <v>0</v>
      </c>
      <c r="DZ175" s="91">
        <f>IF(AY175="",0,VLOOKUP(M175,Tables!$B$3:$M$36,11,FALSE())*AI$1)</f>
        <v>0</v>
      </c>
      <c r="EA175" s="92">
        <f>IF(AZ175="",0,VLOOKUP(N175,Tables!$B$3:$M$36,11,FALSE())*AJ$1)</f>
        <v>0</v>
      </c>
      <c r="EB175" s="92">
        <f>IF(BA175="",0,VLOOKUP(O175,Tables!$B$3:$M$36,11,FALSE())*AK$1)</f>
        <v>0</v>
      </c>
      <c r="EC175" s="93">
        <f>IF(BB175="",0,VLOOKUP(P175,Tables!$B$3:$M$36,11,FALSE())*AL$1)</f>
        <v>0</v>
      </c>
      <c r="ED175" s="91">
        <f>IF(AN175="",0,VLOOKUP(B175,Tables!$B$3:$M$36,12,FALSE())*X$1)</f>
        <v>0</v>
      </c>
      <c r="EE175" s="92">
        <f>IF(AO175="",0,VLOOKUP(C175,Tables!$B$3:$M$36,12,FALSE())*Y$1)</f>
        <v>0</v>
      </c>
      <c r="EF175" s="92">
        <f>IF(AP175="",0,VLOOKUP(D175,Tables!$B$3:$M$36,12,FALSE())*Z$1)</f>
        <v>0</v>
      </c>
      <c r="EG175" s="91">
        <f>IF(AQ175="",0,VLOOKUP(E175,Tables!$B$3:$M$36,12,FALSE())*AA$1)</f>
        <v>18</v>
      </c>
      <c r="EH175" s="92">
        <f>IF(AR175="",0,VLOOKUP(F175,Tables!$B$3:$M$36,12,FALSE())*AB$1)</f>
        <v>36</v>
      </c>
      <c r="EI175" s="92">
        <f>IF(AS175="",0,VLOOKUP(G175,Tables!$B$3:$M$36,12,FALSE())*AC$1)</f>
        <v>0</v>
      </c>
      <c r="EJ175" s="92">
        <f>IF(AT175="",0,VLOOKUP(H175,Tables!$B$3:$M$36,12,FALSE())*AD$1)</f>
        <v>0</v>
      </c>
      <c r="EK175" s="92">
        <f>IF(AU175="",0,VLOOKUP(I175,Tables!$B$3:$M$36,12,FALSE())*AE$1)</f>
        <v>0</v>
      </c>
      <c r="EL175" s="91">
        <f>IF(AV175="",0,VLOOKUP(J175,Tables!$B$3:$M$36,12,FALSE())*AF$1)</f>
        <v>72</v>
      </c>
      <c r="EM175" s="92">
        <f>IF(AW175="",0,VLOOKUP(K175,Tables!$B$3:$M$36,12,FALSE())*AG$1)</f>
        <v>0</v>
      </c>
      <c r="EN175" s="92">
        <f>IF(AX175="",0,VLOOKUP(L175,Tables!$B$3:$M$36,12,FALSE())*AH$1)</f>
        <v>0</v>
      </c>
      <c r="EO175" s="91">
        <f>IF(AY175="",0,VLOOKUP(M175,Tables!$B$3:$M$36,12,FALSE())*AI$1)</f>
        <v>0</v>
      </c>
      <c r="EP175" s="92">
        <f>IF(AZ175="",0,VLOOKUP(N175,Tables!$B$3:$M$36,12,FALSE())*AJ$1)</f>
        <v>0</v>
      </c>
      <c r="EQ175" s="92">
        <f>IF(BA175="",0,VLOOKUP(O175,Tables!$B$3:$M$36,12,FALSE())*AK$1)</f>
        <v>0</v>
      </c>
      <c r="ER175" s="93">
        <f>IF(BB175="",0,VLOOKUP(P175,Tables!$B$3:$M$36,12,FALSE())*AL$1)</f>
        <v>0</v>
      </c>
      <c r="ES175" s="94">
        <f t="shared" si="167"/>
        <v>0</v>
      </c>
      <c r="ET175" s="95">
        <f>IF(AN175="",10,MIN(VLOOKUP(B175,MATERIAL,13,FALSE()),'Item Builder'!$W175))</f>
        <v>10</v>
      </c>
      <c r="EU175" s="95">
        <f>IF(AO175="",10,MIN(VLOOKUP(C175,MATERIAL,13,FALSE()),'Item Builder'!$W175))</f>
        <v>10</v>
      </c>
      <c r="EV175" s="95">
        <f>IF(AP175="",10,MIN(VLOOKUP(D175,MATERIAL,13,FALSE()),'Item Builder'!$W175))</f>
        <v>10</v>
      </c>
      <c r="EW175" s="95">
        <f>IF(AQ175="",10,MIN(VLOOKUP(E175,MATERIAL,13,FALSE()),'Item Builder'!$W175))</f>
        <v>0</v>
      </c>
      <c r="EX175" s="95">
        <f>IF(AR175="",10,MIN(VLOOKUP(F175,MATERIAL,13,FALSE()),'Item Builder'!$W175))</f>
        <v>0</v>
      </c>
      <c r="EY175" s="95">
        <f>IF(AS175="",10,MIN(VLOOKUP(G175,MATERIAL,13,FALSE()),'Item Builder'!$W175))</f>
        <v>10</v>
      </c>
      <c r="EZ175" s="95">
        <f>IF(AT175="",10,MIN(VLOOKUP(H175,MATERIAL,13,FALSE()),'Item Builder'!$W175))</f>
        <v>10</v>
      </c>
      <c r="FA175" s="95">
        <f>IF(AU175="",10,MIN(VLOOKUP(I175,MATERIAL,13,FALSE()),'Item Builder'!$W175))</f>
        <v>10</v>
      </c>
      <c r="FB175" s="95">
        <f>IF(AV175="",10,MIN(VLOOKUP(J175,MATERIAL,13,FALSE()),'Item Builder'!$W175))</f>
        <v>0</v>
      </c>
      <c r="FC175" s="95">
        <f>IF(AW175="",10,MIN(VLOOKUP(K175,MATERIAL,13,FALSE()),'Item Builder'!$W175))</f>
        <v>10</v>
      </c>
      <c r="FD175" s="95">
        <f>IF(AX175="",10,MIN(VLOOKUP(L175,MATERIAL,13,FALSE()),'Item Builder'!$W175))</f>
        <v>10</v>
      </c>
      <c r="FE175" s="95">
        <f>IF(AY175="",10,MIN(VLOOKUP(M175,MATERIAL,13,FALSE()),'Item Builder'!$W175))</f>
        <v>10</v>
      </c>
      <c r="FF175" s="95">
        <f>IF(AZ175="",10,MIN(VLOOKUP(N175,MATERIAL,13,FALSE()),'Item Builder'!$W175))</f>
        <v>10</v>
      </c>
      <c r="FG175" s="95">
        <f>IF(BA175="",10,MIN(VLOOKUP(O175,MATERIAL,13,FALSE()),'Item Builder'!$W175))</f>
        <v>10</v>
      </c>
      <c r="FH175" s="95">
        <f>IF(BB175="",10,MIN(VLOOKUP(P175,MATERIAL,13,FALSE()),'Item Builder'!$W175))</f>
        <v>10</v>
      </c>
    </row>
    <row r="176" spans="1:164" x14ac:dyDescent="0.25">
      <c r="A176" s="67" t="s">
        <v>316</v>
      </c>
      <c r="B176" s="68"/>
      <c r="C176" s="69"/>
      <c r="D176" s="70"/>
      <c r="E176" s="68"/>
      <c r="F176" s="69"/>
      <c r="G176" s="69"/>
      <c r="H176" s="69"/>
      <c r="I176" s="70" t="s">
        <v>175</v>
      </c>
      <c r="J176" s="68"/>
      <c r="K176" s="69"/>
      <c r="L176" s="70"/>
      <c r="M176" s="68"/>
      <c r="N176" s="69"/>
      <c r="O176" s="69"/>
      <c r="P176" s="71"/>
      <c r="Q176" s="72">
        <f>SUM(BV176:CJ176)*VLOOKUP(W176,Tables!$W$3:$Z$8,4)</f>
        <v>35</v>
      </c>
      <c r="R176" s="73">
        <f t="shared" si="112"/>
        <v>0.125</v>
      </c>
      <c r="S176" s="74">
        <f t="shared" si="113"/>
        <v>0</v>
      </c>
      <c r="T176" s="74">
        <f t="shared" si="114"/>
        <v>0</v>
      </c>
      <c r="U176" s="75">
        <f t="shared" si="115"/>
        <v>1</v>
      </c>
      <c r="V176" s="76">
        <f t="shared" si="116"/>
        <v>30</v>
      </c>
      <c r="W176" s="77">
        <v>0</v>
      </c>
      <c r="X176" s="78">
        <f t="shared" si="117"/>
        <v>0</v>
      </c>
      <c r="Y176" s="79">
        <f t="shared" si="118"/>
        <v>0</v>
      </c>
      <c r="Z176" s="79">
        <f t="shared" si="119"/>
        <v>0</v>
      </c>
      <c r="AA176" s="78">
        <f t="shared" si="120"/>
        <v>0</v>
      </c>
      <c r="AB176" s="79">
        <f t="shared" si="121"/>
        <v>0</v>
      </c>
      <c r="AC176" s="79">
        <f t="shared" si="122"/>
        <v>0</v>
      </c>
      <c r="AD176" s="79">
        <f t="shared" si="123"/>
        <v>0</v>
      </c>
      <c r="AE176" s="79">
        <f t="shared" si="124"/>
        <v>1</v>
      </c>
      <c r="AF176" s="78">
        <f t="shared" si="125"/>
        <v>0</v>
      </c>
      <c r="AG176" s="79">
        <f t="shared" si="126"/>
        <v>0</v>
      </c>
      <c r="AH176" s="79">
        <f t="shared" si="127"/>
        <v>0</v>
      </c>
      <c r="AI176" s="78">
        <f t="shared" si="128"/>
        <v>0</v>
      </c>
      <c r="AJ176" s="79">
        <f t="shared" si="129"/>
        <v>0</v>
      </c>
      <c r="AK176" s="79">
        <f t="shared" si="130"/>
        <v>0</v>
      </c>
      <c r="AL176" s="80">
        <f t="shared" si="131"/>
        <v>0</v>
      </c>
      <c r="AM176" s="81">
        <f t="shared" si="132"/>
        <v>0.05</v>
      </c>
      <c r="AN176" s="82" t="str">
        <f t="shared" si="133"/>
        <v/>
      </c>
      <c r="AO176" s="79" t="str">
        <f t="shared" si="134"/>
        <v/>
      </c>
      <c r="AP176" t="str">
        <f t="shared" si="135"/>
        <v/>
      </c>
      <c r="AQ176" s="82" t="str">
        <f t="shared" si="136"/>
        <v/>
      </c>
      <c r="AR176" t="str">
        <f t="shared" si="137"/>
        <v/>
      </c>
      <c r="AS176" t="str">
        <f t="shared" si="138"/>
        <v/>
      </c>
      <c r="AT176" t="str">
        <f t="shared" si="139"/>
        <v/>
      </c>
      <c r="AU176" t="str">
        <f t="shared" si="140"/>
        <v>X</v>
      </c>
      <c r="AV176" s="82" t="str">
        <f t="shared" si="141"/>
        <v/>
      </c>
      <c r="AW176" t="str">
        <f t="shared" si="142"/>
        <v/>
      </c>
      <c r="AX176" t="str">
        <f t="shared" si="143"/>
        <v/>
      </c>
      <c r="AY176" s="82" t="str">
        <f t="shared" si="144"/>
        <v/>
      </c>
      <c r="AZ176" t="str">
        <f t="shared" si="145"/>
        <v/>
      </c>
      <c r="BA176" t="str">
        <f t="shared" si="146"/>
        <v/>
      </c>
      <c r="BB176" s="83" t="str">
        <f t="shared" si="147"/>
        <v/>
      </c>
      <c r="BC176" s="84">
        <f t="shared" si="148"/>
        <v>0</v>
      </c>
      <c r="BD176" s="84">
        <f t="shared" si="149"/>
        <v>0.23809523809523808</v>
      </c>
      <c r="BE176" s="84">
        <f t="shared" si="150"/>
        <v>0</v>
      </c>
      <c r="BF176" s="84">
        <f t="shared" si="151"/>
        <v>0</v>
      </c>
      <c r="BG176" s="78">
        <f>IF(AN176="",0,VLOOKUP(AN176,Tables!$AB$3:$AC$12,2))</f>
        <v>0</v>
      </c>
      <c r="BH176" s="79">
        <f>IF(AO176="",0,VLOOKUP(AO176,Tables!$AB$3:$AC$12,2))</f>
        <v>0</v>
      </c>
      <c r="BI176" s="79">
        <f>IF(AP176="",0,VLOOKUP(AP176,Tables!$AB$3:$AC$12,2))</f>
        <v>0</v>
      </c>
      <c r="BJ176" s="78">
        <f>IF(AQ176="",0,VLOOKUP(AQ176,Tables!$AB$3:$AC$12,2))</f>
        <v>0</v>
      </c>
      <c r="BK176" s="79">
        <f>IF(AR176="",0,VLOOKUP(AR176,Tables!$AB$3:$AC$12,2))</f>
        <v>0</v>
      </c>
      <c r="BL176" s="79">
        <f>IF(AS176="",0,VLOOKUP(AS176,Tables!$AB$3:$AC$12,2))</f>
        <v>0</v>
      </c>
      <c r="BM176" s="79">
        <f>IF(AT176="",0,VLOOKUP(AT176,Tables!$AB$3:$AC$12,2))</f>
        <v>0</v>
      </c>
      <c r="BN176" s="79">
        <f>IF(AU176="",0,VLOOKUP(AU176,Tables!$AB$3:$AC$12,2))</f>
        <v>1</v>
      </c>
      <c r="BO176" s="78">
        <f>IF(AV176="",0,VLOOKUP(AV176,Tables!$AB$3:$AC$12,2))</f>
        <v>0</v>
      </c>
      <c r="BP176" s="79">
        <f>IF(AW176="",0,VLOOKUP(AW176,Tables!$AB$3:$AC$12,2))</f>
        <v>0</v>
      </c>
      <c r="BQ176" s="79">
        <f>IF(AX176="",0,VLOOKUP(AX176,Tables!$AB$3:$AC$12,2))</f>
        <v>0</v>
      </c>
      <c r="BR176" s="78">
        <f>IF(AY176="",0,VLOOKUP(AY176,Tables!$AB$3:$AC$12,2))</f>
        <v>0</v>
      </c>
      <c r="BS176" s="79">
        <f>IF(AZ176="",0,VLOOKUP(AZ176,Tables!$AB$3:$AC$12,2))</f>
        <v>0</v>
      </c>
      <c r="BT176" s="79">
        <f>IF(BA176="",0,VLOOKUP(BA176,Tables!$AB$3:$AC$12,2))</f>
        <v>0</v>
      </c>
      <c r="BU176" s="80">
        <f>IF(BB176="",0,VLOOKUP(BB176,Tables!$AB$3:$AC$12,2))</f>
        <v>0</v>
      </c>
      <c r="BV176" s="85">
        <f>IF(AN176="",0,VLOOKUP(B176,Tables!$B$3:$D$36,2,FALSE())*X$1)</f>
        <v>0</v>
      </c>
      <c r="BW176" s="72">
        <f>IF(AO176="",0,VLOOKUP(C176,Tables!$B$3:$D$36,2,FALSE())*Y$1)</f>
        <v>0</v>
      </c>
      <c r="BX176" s="72">
        <f>IF(AP176="",0,VLOOKUP(D176,Tables!$B$3:$D$36,2,FALSE())*Z$1)</f>
        <v>0</v>
      </c>
      <c r="BY176" s="85">
        <f>IF(AQ176="",0,VLOOKUP(E176,Tables!$B$3:$D$36,2,FALSE())*AA$1)</f>
        <v>0</v>
      </c>
      <c r="BZ176" s="72">
        <f>IF(AR176="",0,VLOOKUP(F176,Tables!$B$3:$D$36,2,FALSE())*AB$1)</f>
        <v>0</v>
      </c>
      <c r="CA176" s="72">
        <f>IF(AS176="",0,VLOOKUP(G176,Tables!$B$3:$D$36,2,FALSE())*AC$1)</f>
        <v>0</v>
      </c>
      <c r="CB176" s="72">
        <f>IF(AT176="",0,VLOOKUP(H176,Tables!$B$3:$D$36,2,FALSE())*AD$1)</f>
        <v>0</v>
      </c>
      <c r="CC176" s="72">
        <f>IF(AU176="",0,VLOOKUP(I176,Tables!$B$3:$D$36,2,FALSE())*AE$1)</f>
        <v>35</v>
      </c>
      <c r="CD176" s="85">
        <f>IF(AV176="",0,VLOOKUP(J176,Tables!$B$3:$D$36,2,FALSE())*AF$1)</f>
        <v>0</v>
      </c>
      <c r="CE176" s="72">
        <f>IF(AW176="",0,VLOOKUP(K176,Tables!$B$3:$D$36,2,FALSE())*AG$1)</f>
        <v>0</v>
      </c>
      <c r="CF176" s="72">
        <f>IF(AX176="",0,VLOOKUP(L176,Tables!$B$3:$D$36,2,FALSE())*AH$1)</f>
        <v>0</v>
      </c>
      <c r="CG176" s="85">
        <f>IF(AY176="",0,VLOOKUP(M176,Tables!$B$3:$D$36,2,FALSE())*AI$1)</f>
        <v>0</v>
      </c>
      <c r="CH176" s="72">
        <f>IF(AZ176="",0,VLOOKUP(N176,Tables!$B$3:$D$36,2,FALSE())*AJ$1)</f>
        <v>0</v>
      </c>
      <c r="CI176" s="72">
        <f>IF(BA176="",0,VLOOKUP(O176,Tables!$B$3:$D$36,2,FALSE())*AK$1)</f>
        <v>0</v>
      </c>
      <c r="CJ176" s="86">
        <f>IF(BB176="",0,VLOOKUP(P176,Tables!$B$3:$D$36,2,FALSE())*AL$1)</f>
        <v>0</v>
      </c>
      <c r="CK176" s="87">
        <f>IF(AN176="",0,VLOOKUP(B176,Tables!$B$3:$D$36,3,FALSE())*X$1)*IF(OR(AN176="K",AN176="P"),2,1)</f>
        <v>0</v>
      </c>
      <c r="CL176" s="73">
        <f>IF(AO176="",0,VLOOKUP(C176,Tables!$B$3:$D$36,3,FALSE())*Y$1)*IF(OR(AO176="K",AO176="P"),2,1)</f>
        <v>0</v>
      </c>
      <c r="CM176" s="73">
        <f>IF(AP176="",0,VLOOKUP(D176,Tables!$B$3:$D$36,3,FALSE())*Z$1)*IF(OR(AP176="K",AP176="P"),2,1)</f>
        <v>0</v>
      </c>
      <c r="CN176" s="87">
        <f>IF(AQ176="",0,VLOOKUP(E176,Tables!$B$3:$D$36,3,FALSE())*AA$1)</f>
        <v>0</v>
      </c>
      <c r="CO176" s="73">
        <f>IF(AR176="",0,VLOOKUP(F176,Tables!$B$3:$D$36,3,FALSE())*AB$1)</f>
        <v>0</v>
      </c>
      <c r="CP176" s="73">
        <f>IF(AS176="",0,VLOOKUP(G176,Tables!$B$3:$D$36,3,FALSE())*AC$1)</f>
        <v>0</v>
      </c>
      <c r="CQ176" s="73">
        <f>IF(AT176="",0,VLOOKUP(H176,Tables!$B$3:$D$36,3,FALSE())*AD$1)</f>
        <v>0</v>
      </c>
      <c r="CR176" s="73">
        <f>IF(AU176="",0,VLOOKUP(I176,Tables!$B$3:$D$36,3,FALSE())*AE$1)</f>
        <v>0.125</v>
      </c>
      <c r="CS176" s="87">
        <f>IF(AV176="",0,VLOOKUP(J176,Tables!$B$3:$D$36,3,FALSE())*AF$1)</f>
        <v>0</v>
      </c>
      <c r="CT176" s="73">
        <f>IF(AW176="",0,VLOOKUP(K176,Tables!$B$3:$D$36,3,FALSE())*AG$1)</f>
        <v>0</v>
      </c>
      <c r="CU176" s="73">
        <f>IF(AX176="",0,VLOOKUP(L176,Tables!$B$3:$D$36,3,FALSE())*AH$1)</f>
        <v>0</v>
      </c>
      <c r="CV176" s="87">
        <f>IF(AY176="",0,VLOOKUP(M176,Tables!$B$3:$D$36,3,FALSE())*AI$1)</f>
        <v>0</v>
      </c>
      <c r="CW176" s="73">
        <f>IF(AZ176="",0,VLOOKUP(N176,Tables!$B$3:$D$36,3,FALSE())*AJ$1)</f>
        <v>0</v>
      </c>
      <c r="CX176" s="73">
        <f>IF(BA176="",0,VLOOKUP(O176,Tables!$B$3:$D$36,3,FALSE())*AK$1)</f>
        <v>0</v>
      </c>
      <c r="CY176" s="88">
        <f>IF(BB176="",0,VLOOKUP(P176,Tables!$B$3:$D$36,3,FALSE())*AL$1)</f>
        <v>0</v>
      </c>
      <c r="CZ176" s="89">
        <f t="shared" si="152"/>
        <v>0</v>
      </c>
      <c r="DA176" s="75">
        <f t="shared" si="153"/>
        <v>0</v>
      </c>
      <c r="DB176" s="75">
        <f t="shared" si="154"/>
        <v>0</v>
      </c>
      <c r="DC176" s="89">
        <f t="shared" si="155"/>
        <v>0</v>
      </c>
      <c r="DD176" s="75">
        <f t="shared" si="156"/>
        <v>0</v>
      </c>
      <c r="DE176" s="75">
        <f t="shared" si="157"/>
        <v>0</v>
      </c>
      <c r="DF176" s="75">
        <f t="shared" si="158"/>
        <v>0</v>
      </c>
      <c r="DG176" s="75">
        <f t="shared" si="159"/>
        <v>1</v>
      </c>
      <c r="DH176" s="89">
        <f t="shared" si="160"/>
        <v>0</v>
      </c>
      <c r="DI176" s="75">
        <f t="shared" si="161"/>
        <v>0</v>
      </c>
      <c r="DJ176" s="75">
        <f t="shared" si="162"/>
        <v>0</v>
      </c>
      <c r="DK176" s="89">
        <f t="shared" si="163"/>
        <v>0</v>
      </c>
      <c r="DL176" s="75">
        <f t="shared" si="164"/>
        <v>0</v>
      </c>
      <c r="DM176" s="75">
        <f t="shared" si="165"/>
        <v>0</v>
      </c>
      <c r="DN176" s="90">
        <f t="shared" si="166"/>
        <v>0</v>
      </c>
      <c r="DO176" s="91">
        <f>IF(AN176="",0,VLOOKUP(B176,Tables!$B$3:$M$36,11,FALSE())*X$1)</f>
        <v>0</v>
      </c>
      <c r="DP176" s="92">
        <f>IF(AO176="",0,VLOOKUP(C176,Tables!$B$3:$M$36,11,FALSE())*Y$1)</f>
        <v>0</v>
      </c>
      <c r="DQ176" s="92">
        <f>IF(AP176="",0,VLOOKUP(D176,Tables!$B$3:$M$36,11,FALSE())*Z$1)</f>
        <v>0</v>
      </c>
      <c r="DR176" s="91">
        <f>IF(AQ176="",0,VLOOKUP(E176,Tables!$B$3:$M$36,11,FALSE())*AA$1)</f>
        <v>0</v>
      </c>
      <c r="DS176" s="92">
        <f>IF(AR176="",0,VLOOKUP(F176,Tables!$B$3:$M$36,11,FALSE())*AB$1)</f>
        <v>0</v>
      </c>
      <c r="DT176" s="92">
        <f>IF(AS176="",0,VLOOKUP(G176,Tables!$B$3:$M$36,11,FALSE())*AC$1)</f>
        <v>0</v>
      </c>
      <c r="DU176" s="92">
        <f>IF(AT176="",0,VLOOKUP(H176,Tables!$B$3:$M$36,11,FALSE())*AD$1)</f>
        <v>0</v>
      </c>
      <c r="DV176" s="92">
        <f>IF(AU176="",0,VLOOKUP(I176,Tables!$B$3:$M$36,11,FALSE())*AE$1)</f>
        <v>1</v>
      </c>
      <c r="DW176" s="91">
        <f>IF(AV176="",0,VLOOKUP(J176,Tables!$B$3:$M$36,11,FALSE())*AF$1)</f>
        <v>0</v>
      </c>
      <c r="DX176" s="92">
        <f>IF(AW176="",0,VLOOKUP(K176,Tables!$B$3:$M$36,11,FALSE())*AG$1)</f>
        <v>0</v>
      </c>
      <c r="DY176" s="92">
        <f>IF(AX176="",0,VLOOKUP(L176,Tables!$B$3:$M$36,11,FALSE())*AH$1)</f>
        <v>0</v>
      </c>
      <c r="DZ176" s="91">
        <f>IF(AY176="",0,VLOOKUP(M176,Tables!$B$3:$M$36,11,FALSE())*AI$1)</f>
        <v>0</v>
      </c>
      <c r="EA176" s="92">
        <f>IF(AZ176="",0,VLOOKUP(N176,Tables!$B$3:$M$36,11,FALSE())*AJ$1)</f>
        <v>0</v>
      </c>
      <c r="EB176" s="92">
        <f>IF(BA176="",0,VLOOKUP(O176,Tables!$B$3:$M$36,11,FALSE())*AK$1)</f>
        <v>0</v>
      </c>
      <c r="EC176" s="93">
        <f>IF(BB176="",0,VLOOKUP(P176,Tables!$B$3:$M$36,11,FALSE())*AL$1)</f>
        <v>0</v>
      </c>
      <c r="ED176" s="91">
        <f>IF(AN176="",0,VLOOKUP(B176,Tables!$B$3:$M$36,12,FALSE())*X$1)</f>
        <v>0</v>
      </c>
      <c r="EE176" s="92">
        <f>IF(AO176="",0,VLOOKUP(C176,Tables!$B$3:$M$36,12,FALSE())*Y$1)</f>
        <v>0</v>
      </c>
      <c r="EF176" s="92">
        <f>IF(AP176="",0,VLOOKUP(D176,Tables!$B$3:$M$36,12,FALSE())*Z$1)</f>
        <v>0</v>
      </c>
      <c r="EG176" s="91">
        <f>IF(AQ176="",0,VLOOKUP(E176,Tables!$B$3:$M$36,12,FALSE())*AA$1)</f>
        <v>0</v>
      </c>
      <c r="EH176" s="92">
        <f>IF(AR176="",0,VLOOKUP(F176,Tables!$B$3:$M$36,12,FALSE())*AB$1)</f>
        <v>0</v>
      </c>
      <c r="EI176" s="92">
        <f>IF(AS176="",0,VLOOKUP(G176,Tables!$B$3:$M$36,12,FALSE())*AC$1)</f>
        <v>0</v>
      </c>
      <c r="EJ176" s="92">
        <f>IF(AT176="",0,VLOOKUP(H176,Tables!$B$3:$M$36,12,FALSE())*AD$1)</f>
        <v>0</v>
      </c>
      <c r="EK176" s="92">
        <f>IF(AU176="",0,VLOOKUP(I176,Tables!$B$3:$M$36,12,FALSE())*AE$1)</f>
        <v>30</v>
      </c>
      <c r="EL176" s="91">
        <f>IF(AV176="",0,VLOOKUP(J176,Tables!$B$3:$M$36,12,FALSE())*AF$1)</f>
        <v>0</v>
      </c>
      <c r="EM176" s="92">
        <f>IF(AW176="",0,VLOOKUP(K176,Tables!$B$3:$M$36,12,FALSE())*AG$1)</f>
        <v>0</v>
      </c>
      <c r="EN176" s="92">
        <f>IF(AX176="",0,VLOOKUP(L176,Tables!$B$3:$M$36,12,FALSE())*AH$1)</f>
        <v>0</v>
      </c>
      <c r="EO176" s="91">
        <f>IF(AY176="",0,VLOOKUP(M176,Tables!$B$3:$M$36,12,FALSE())*AI$1)</f>
        <v>0</v>
      </c>
      <c r="EP176" s="92">
        <f>IF(AZ176="",0,VLOOKUP(N176,Tables!$B$3:$M$36,12,FALSE())*AJ$1)</f>
        <v>0</v>
      </c>
      <c r="EQ176" s="92">
        <f>IF(BA176="",0,VLOOKUP(O176,Tables!$B$3:$M$36,12,FALSE())*AK$1)</f>
        <v>0</v>
      </c>
      <c r="ER176" s="93">
        <f>IF(BB176="",0,VLOOKUP(P176,Tables!$B$3:$M$36,12,FALSE())*AL$1)</f>
        <v>0</v>
      </c>
      <c r="ES176" s="94">
        <f t="shared" si="167"/>
        <v>0</v>
      </c>
      <c r="ET176" s="95">
        <f>IF(AN176="",10,MIN(VLOOKUP(B176,MATERIAL,13,FALSE()),'Item Builder'!$W176))</f>
        <v>10</v>
      </c>
      <c r="EU176" s="95">
        <f>IF(AO176="",10,MIN(VLOOKUP(C176,MATERIAL,13,FALSE()),'Item Builder'!$W176))</f>
        <v>10</v>
      </c>
      <c r="EV176" s="95">
        <f>IF(AP176="",10,MIN(VLOOKUP(D176,MATERIAL,13,FALSE()),'Item Builder'!$W176))</f>
        <v>10</v>
      </c>
      <c r="EW176" s="95">
        <f>IF(AQ176="",10,MIN(VLOOKUP(E176,MATERIAL,13,FALSE()),'Item Builder'!$W176))</f>
        <v>10</v>
      </c>
      <c r="EX176" s="95">
        <f>IF(AR176="",10,MIN(VLOOKUP(F176,MATERIAL,13,FALSE()),'Item Builder'!$W176))</f>
        <v>10</v>
      </c>
      <c r="EY176" s="95">
        <f>IF(AS176="",10,MIN(VLOOKUP(G176,MATERIAL,13,FALSE()),'Item Builder'!$W176))</f>
        <v>10</v>
      </c>
      <c r="EZ176" s="95">
        <f>IF(AT176="",10,MIN(VLOOKUP(H176,MATERIAL,13,FALSE()),'Item Builder'!$W176))</f>
        <v>10</v>
      </c>
      <c r="FA176" s="95">
        <f>IF(AU176="",10,MIN(VLOOKUP(I176,MATERIAL,13,FALSE()),'Item Builder'!$W176))</f>
        <v>0</v>
      </c>
      <c r="FB176" s="95">
        <f>IF(AV176="",10,MIN(VLOOKUP(J176,MATERIAL,13,FALSE()),'Item Builder'!$W176))</f>
        <v>10</v>
      </c>
      <c r="FC176" s="95">
        <f>IF(AW176="",10,MIN(VLOOKUP(K176,MATERIAL,13,FALSE()),'Item Builder'!$W176))</f>
        <v>10</v>
      </c>
      <c r="FD176" s="95">
        <f>IF(AX176="",10,MIN(VLOOKUP(L176,MATERIAL,13,FALSE()),'Item Builder'!$W176))</f>
        <v>10</v>
      </c>
      <c r="FE176" s="95">
        <f>IF(AY176="",10,MIN(VLOOKUP(M176,MATERIAL,13,FALSE()),'Item Builder'!$W176))</f>
        <v>10</v>
      </c>
      <c r="FF176" s="95">
        <f>IF(AZ176="",10,MIN(VLOOKUP(N176,MATERIAL,13,FALSE()),'Item Builder'!$W176))</f>
        <v>10</v>
      </c>
      <c r="FG176" s="95">
        <f>IF(BA176="",10,MIN(VLOOKUP(O176,MATERIAL,13,FALSE()),'Item Builder'!$W176))</f>
        <v>10</v>
      </c>
      <c r="FH176" s="95">
        <f>IF(BB176="",10,MIN(VLOOKUP(P176,MATERIAL,13,FALSE()),'Item Builder'!$W176))</f>
        <v>10</v>
      </c>
    </row>
    <row r="177" spans="1:164" x14ac:dyDescent="0.25">
      <c r="A177" s="67" t="s">
        <v>317</v>
      </c>
      <c r="B177" s="68"/>
      <c r="C177" s="69"/>
      <c r="D177" s="70"/>
      <c r="E177" s="68"/>
      <c r="F177" s="69"/>
      <c r="G177" s="69"/>
      <c r="H177" s="69"/>
      <c r="I177" s="70"/>
      <c r="J177" s="68" t="s">
        <v>175</v>
      </c>
      <c r="K177" s="69" t="s">
        <v>175</v>
      </c>
      <c r="L177" s="70"/>
      <c r="M177" s="68"/>
      <c r="N177" s="69"/>
      <c r="O177" s="69"/>
      <c r="P177" s="71"/>
      <c r="Q177" s="72">
        <f>SUM(BV177:CJ177)*VLOOKUP(W177,Tables!$W$3:$Z$8,4)</f>
        <v>168</v>
      </c>
      <c r="R177" s="73">
        <f t="shared" si="112"/>
        <v>0.6</v>
      </c>
      <c r="S177" s="74">
        <f t="shared" si="113"/>
        <v>0</v>
      </c>
      <c r="T177" s="74">
        <f t="shared" si="114"/>
        <v>0</v>
      </c>
      <c r="U177" s="75">
        <f t="shared" si="115"/>
        <v>4.8</v>
      </c>
      <c r="V177" s="76">
        <f t="shared" si="116"/>
        <v>144</v>
      </c>
      <c r="W177" s="77">
        <v>0</v>
      </c>
      <c r="X177" s="78">
        <f t="shared" si="117"/>
        <v>0</v>
      </c>
      <c r="Y177" s="79">
        <f t="shared" si="118"/>
        <v>0</v>
      </c>
      <c r="Z177" s="79">
        <f t="shared" si="119"/>
        <v>0</v>
      </c>
      <c r="AA177" s="78">
        <f t="shared" si="120"/>
        <v>0</v>
      </c>
      <c r="AB177" s="79">
        <f t="shared" si="121"/>
        <v>0</v>
      </c>
      <c r="AC177" s="79">
        <f t="shared" si="122"/>
        <v>0</v>
      </c>
      <c r="AD177" s="79">
        <f t="shared" si="123"/>
        <v>0</v>
      </c>
      <c r="AE177" s="79">
        <f t="shared" si="124"/>
        <v>0</v>
      </c>
      <c r="AF177" s="78">
        <f t="shared" si="125"/>
        <v>1</v>
      </c>
      <c r="AG177" s="79">
        <f t="shared" si="126"/>
        <v>1</v>
      </c>
      <c r="AH177" s="79">
        <f t="shared" si="127"/>
        <v>0</v>
      </c>
      <c r="AI177" s="78">
        <f t="shared" si="128"/>
        <v>0</v>
      </c>
      <c r="AJ177" s="79">
        <f t="shared" si="129"/>
        <v>0</v>
      </c>
      <c r="AK177" s="79">
        <f t="shared" si="130"/>
        <v>0</v>
      </c>
      <c r="AL177" s="80">
        <f t="shared" si="131"/>
        <v>0</v>
      </c>
      <c r="AM177" s="81">
        <f t="shared" si="132"/>
        <v>0.24</v>
      </c>
      <c r="AN177" s="82" t="str">
        <f t="shared" si="133"/>
        <v/>
      </c>
      <c r="AO177" s="79" t="str">
        <f t="shared" si="134"/>
        <v/>
      </c>
      <c r="AP177" t="str">
        <f t="shared" si="135"/>
        <v/>
      </c>
      <c r="AQ177" s="82" t="str">
        <f t="shared" si="136"/>
        <v/>
      </c>
      <c r="AR177" t="str">
        <f t="shared" si="137"/>
        <v/>
      </c>
      <c r="AS177" t="str">
        <f t="shared" si="138"/>
        <v/>
      </c>
      <c r="AT177" t="str">
        <f t="shared" si="139"/>
        <v/>
      </c>
      <c r="AU177" t="str">
        <f t="shared" si="140"/>
        <v/>
      </c>
      <c r="AV177" s="82" t="str">
        <f t="shared" si="141"/>
        <v>X</v>
      </c>
      <c r="AW177" t="str">
        <f t="shared" si="142"/>
        <v>X</v>
      </c>
      <c r="AX177" t="str">
        <f t="shared" si="143"/>
        <v/>
      </c>
      <c r="AY177" s="82" t="str">
        <f t="shared" si="144"/>
        <v/>
      </c>
      <c r="AZ177" t="str">
        <f t="shared" si="145"/>
        <v/>
      </c>
      <c r="BA177" t="str">
        <f t="shared" si="146"/>
        <v/>
      </c>
      <c r="BB177" s="83" t="str">
        <f t="shared" si="147"/>
        <v/>
      </c>
      <c r="BC177" s="84">
        <f t="shared" si="148"/>
        <v>0</v>
      </c>
      <c r="BD177" s="84">
        <f t="shared" si="149"/>
        <v>0</v>
      </c>
      <c r="BE177" s="84">
        <f t="shared" si="150"/>
        <v>0.70588235294117652</v>
      </c>
      <c r="BF177" s="84">
        <f t="shared" si="151"/>
        <v>0</v>
      </c>
      <c r="BG177" s="78">
        <f>IF(AN177="",0,VLOOKUP(AN177,Tables!$AB$3:$AC$12,2))</f>
        <v>0</v>
      </c>
      <c r="BH177" s="79">
        <f>IF(AO177="",0,VLOOKUP(AO177,Tables!$AB$3:$AC$12,2))</f>
        <v>0</v>
      </c>
      <c r="BI177" s="79">
        <f>IF(AP177="",0,VLOOKUP(AP177,Tables!$AB$3:$AC$12,2))</f>
        <v>0</v>
      </c>
      <c r="BJ177" s="78">
        <f>IF(AQ177="",0,VLOOKUP(AQ177,Tables!$AB$3:$AC$12,2))</f>
        <v>0</v>
      </c>
      <c r="BK177" s="79">
        <f>IF(AR177="",0,VLOOKUP(AR177,Tables!$AB$3:$AC$12,2))</f>
        <v>0</v>
      </c>
      <c r="BL177" s="79">
        <f>IF(AS177="",0,VLOOKUP(AS177,Tables!$AB$3:$AC$12,2))</f>
        <v>0</v>
      </c>
      <c r="BM177" s="79">
        <f>IF(AT177="",0,VLOOKUP(AT177,Tables!$AB$3:$AC$12,2))</f>
        <v>0</v>
      </c>
      <c r="BN177" s="79">
        <f>IF(AU177="",0,VLOOKUP(AU177,Tables!$AB$3:$AC$12,2))</f>
        <v>0</v>
      </c>
      <c r="BO177" s="78">
        <f>IF(AV177="",0,VLOOKUP(AV177,Tables!$AB$3:$AC$12,2))</f>
        <v>1</v>
      </c>
      <c r="BP177" s="79">
        <f>IF(AW177="",0,VLOOKUP(AW177,Tables!$AB$3:$AC$12,2))</f>
        <v>1</v>
      </c>
      <c r="BQ177" s="79">
        <f>IF(AX177="",0,VLOOKUP(AX177,Tables!$AB$3:$AC$12,2))</f>
        <v>0</v>
      </c>
      <c r="BR177" s="78">
        <f>IF(AY177="",0,VLOOKUP(AY177,Tables!$AB$3:$AC$12,2))</f>
        <v>0</v>
      </c>
      <c r="BS177" s="79">
        <f>IF(AZ177="",0,VLOOKUP(AZ177,Tables!$AB$3:$AC$12,2))</f>
        <v>0</v>
      </c>
      <c r="BT177" s="79">
        <f>IF(BA177="",0,VLOOKUP(BA177,Tables!$AB$3:$AC$12,2))</f>
        <v>0</v>
      </c>
      <c r="BU177" s="80">
        <f>IF(BB177="",0,VLOOKUP(BB177,Tables!$AB$3:$AC$12,2))</f>
        <v>0</v>
      </c>
      <c r="BV177" s="85">
        <f>IF(AN177="",0,VLOOKUP(B177,Tables!$B$3:$D$36,2,FALSE())*X$1)</f>
        <v>0</v>
      </c>
      <c r="BW177" s="72">
        <f>IF(AO177="",0,VLOOKUP(C177,Tables!$B$3:$D$36,2,FALSE())*Y$1)</f>
        <v>0</v>
      </c>
      <c r="BX177" s="72">
        <f>IF(AP177="",0,VLOOKUP(D177,Tables!$B$3:$D$36,2,FALSE())*Z$1)</f>
        <v>0</v>
      </c>
      <c r="BY177" s="85">
        <f>IF(AQ177="",0,VLOOKUP(E177,Tables!$B$3:$D$36,2,FALSE())*AA$1)</f>
        <v>0</v>
      </c>
      <c r="BZ177" s="72">
        <f>IF(AR177="",0,VLOOKUP(F177,Tables!$B$3:$D$36,2,FALSE())*AB$1)</f>
        <v>0</v>
      </c>
      <c r="CA177" s="72">
        <f>IF(AS177="",0,VLOOKUP(G177,Tables!$B$3:$D$36,2,FALSE())*AC$1)</f>
        <v>0</v>
      </c>
      <c r="CB177" s="72">
        <f>IF(AT177="",0,VLOOKUP(H177,Tables!$B$3:$D$36,2,FALSE())*AD$1)</f>
        <v>0</v>
      </c>
      <c r="CC177" s="72">
        <f>IF(AU177="",0,VLOOKUP(I177,Tables!$B$3:$D$36,2,FALSE())*AE$1)</f>
        <v>0</v>
      </c>
      <c r="CD177" s="85">
        <f>IF(AV177="",0,VLOOKUP(J177,Tables!$B$3:$D$36,2,FALSE())*AF$1)</f>
        <v>84</v>
      </c>
      <c r="CE177" s="72">
        <f>IF(AW177="",0,VLOOKUP(K177,Tables!$B$3:$D$36,2,FALSE())*AG$1)</f>
        <v>84</v>
      </c>
      <c r="CF177" s="72">
        <f>IF(AX177="",0,VLOOKUP(L177,Tables!$B$3:$D$36,2,FALSE())*AH$1)</f>
        <v>0</v>
      </c>
      <c r="CG177" s="85">
        <f>IF(AY177="",0,VLOOKUP(M177,Tables!$B$3:$D$36,2,FALSE())*AI$1)</f>
        <v>0</v>
      </c>
      <c r="CH177" s="72">
        <f>IF(AZ177="",0,VLOOKUP(N177,Tables!$B$3:$D$36,2,FALSE())*AJ$1)</f>
        <v>0</v>
      </c>
      <c r="CI177" s="72">
        <f>IF(BA177="",0,VLOOKUP(O177,Tables!$B$3:$D$36,2,FALSE())*AK$1)</f>
        <v>0</v>
      </c>
      <c r="CJ177" s="86">
        <f>IF(BB177="",0,VLOOKUP(P177,Tables!$B$3:$D$36,2,FALSE())*AL$1)</f>
        <v>0</v>
      </c>
      <c r="CK177" s="87">
        <f>IF(AN177="",0,VLOOKUP(B177,Tables!$B$3:$D$36,3,FALSE())*X$1)*IF(OR(AN177="K",AN177="P"),2,1)</f>
        <v>0</v>
      </c>
      <c r="CL177" s="73">
        <f>IF(AO177="",0,VLOOKUP(C177,Tables!$B$3:$D$36,3,FALSE())*Y$1)*IF(OR(AO177="K",AO177="P"),2,1)</f>
        <v>0</v>
      </c>
      <c r="CM177" s="73">
        <f>IF(AP177="",0,VLOOKUP(D177,Tables!$B$3:$D$36,3,FALSE())*Z$1)*IF(OR(AP177="K",AP177="P"),2,1)</f>
        <v>0</v>
      </c>
      <c r="CN177" s="87">
        <f>IF(AQ177="",0,VLOOKUP(E177,Tables!$B$3:$D$36,3,FALSE())*AA$1)</f>
        <v>0</v>
      </c>
      <c r="CO177" s="73">
        <f>IF(AR177="",0,VLOOKUP(F177,Tables!$B$3:$D$36,3,FALSE())*AB$1)</f>
        <v>0</v>
      </c>
      <c r="CP177" s="73">
        <f>IF(AS177="",0,VLOOKUP(G177,Tables!$B$3:$D$36,3,FALSE())*AC$1)</f>
        <v>0</v>
      </c>
      <c r="CQ177" s="73">
        <f>IF(AT177="",0,VLOOKUP(H177,Tables!$B$3:$D$36,3,FALSE())*AD$1)</f>
        <v>0</v>
      </c>
      <c r="CR177" s="73">
        <f>IF(AU177="",0,VLOOKUP(I177,Tables!$B$3:$D$36,3,FALSE())*AE$1)</f>
        <v>0</v>
      </c>
      <c r="CS177" s="87">
        <f>IF(AV177="",0,VLOOKUP(J177,Tables!$B$3:$D$36,3,FALSE())*AF$1)</f>
        <v>0.3</v>
      </c>
      <c r="CT177" s="73">
        <f>IF(AW177="",0,VLOOKUP(K177,Tables!$B$3:$D$36,3,FALSE())*AG$1)</f>
        <v>0.3</v>
      </c>
      <c r="CU177" s="73">
        <f>IF(AX177="",0,VLOOKUP(L177,Tables!$B$3:$D$36,3,FALSE())*AH$1)</f>
        <v>0</v>
      </c>
      <c r="CV177" s="87">
        <f>IF(AY177="",0,VLOOKUP(M177,Tables!$B$3:$D$36,3,FALSE())*AI$1)</f>
        <v>0</v>
      </c>
      <c r="CW177" s="73">
        <f>IF(AZ177="",0,VLOOKUP(N177,Tables!$B$3:$D$36,3,FALSE())*AJ$1)</f>
        <v>0</v>
      </c>
      <c r="CX177" s="73">
        <f>IF(BA177="",0,VLOOKUP(O177,Tables!$B$3:$D$36,3,FALSE())*AK$1)</f>
        <v>0</v>
      </c>
      <c r="CY177" s="88">
        <f>IF(BB177="",0,VLOOKUP(P177,Tables!$B$3:$D$36,3,FALSE())*AL$1)</f>
        <v>0</v>
      </c>
      <c r="CZ177" s="89">
        <f t="shared" si="152"/>
        <v>0</v>
      </c>
      <c r="DA177" s="75">
        <f t="shared" si="153"/>
        <v>0</v>
      </c>
      <c r="DB177" s="75">
        <f t="shared" si="154"/>
        <v>0</v>
      </c>
      <c r="DC177" s="89">
        <f t="shared" si="155"/>
        <v>0</v>
      </c>
      <c r="DD177" s="75">
        <f t="shared" si="156"/>
        <v>0</v>
      </c>
      <c r="DE177" s="75">
        <f t="shared" si="157"/>
        <v>0</v>
      </c>
      <c r="DF177" s="75">
        <f t="shared" si="158"/>
        <v>0</v>
      </c>
      <c r="DG177" s="75">
        <f t="shared" si="159"/>
        <v>0</v>
      </c>
      <c r="DH177" s="89">
        <f t="shared" si="160"/>
        <v>1</v>
      </c>
      <c r="DI177" s="75">
        <f t="shared" si="161"/>
        <v>1</v>
      </c>
      <c r="DJ177" s="75">
        <f t="shared" si="162"/>
        <v>0</v>
      </c>
      <c r="DK177" s="89">
        <f t="shared" si="163"/>
        <v>0</v>
      </c>
      <c r="DL177" s="75">
        <f t="shared" si="164"/>
        <v>0</v>
      </c>
      <c r="DM177" s="75">
        <f t="shared" si="165"/>
        <v>0</v>
      </c>
      <c r="DN177" s="90">
        <f t="shared" si="166"/>
        <v>0</v>
      </c>
      <c r="DO177" s="91">
        <f>IF(AN177="",0,VLOOKUP(B177,Tables!$B$3:$M$36,11,FALSE())*X$1)</f>
        <v>0</v>
      </c>
      <c r="DP177" s="92">
        <f>IF(AO177="",0,VLOOKUP(C177,Tables!$B$3:$M$36,11,FALSE())*Y$1)</f>
        <v>0</v>
      </c>
      <c r="DQ177" s="92">
        <f>IF(AP177="",0,VLOOKUP(D177,Tables!$B$3:$M$36,11,FALSE())*Z$1)</f>
        <v>0</v>
      </c>
      <c r="DR177" s="91">
        <f>IF(AQ177="",0,VLOOKUP(E177,Tables!$B$3:$M$36,11,FALSE())*AA$1)</f>
        <v>0</v>
      </c>
      <c r="DS177" s="92">
        <f>IF(AR177="",0,VLOOKUP(F177,Tables!$B$3:$M$36,11,FALSE())*AB$1)</f>
        <v>0</v>
      </c>
      <c r="DT177" s="92">
        <f>IF(AS177="",0,VLOOKUP(G177,Tables!$B$3:$M$36,11,FALSE())*AC$1)</f>
        <v>0</v>
      </c>
      <c r="DU177" s="92">
        <f>IF(AT177="",0,VLOOKUP(H177,Tables!$B$3:$M$36,11,FALSE())*AD$1)</f>
        <v>0</v>
      </c>
      <c r="DV177" s="92">
        <f>IF(AU177="",0,VLOOKUP(I177,Tables!$B$3:$M$36,11,FALSE())*AE$1)</f>
        <v>0</v>
      </c>
      <c r="DW177" s="91">
        <f>IF(AV177="",0,VLOOKUP(J177,Tables!$B$3:$M$36,11,FALSE())*AF$1)</f>
        <v>2.4</v>
      </c>
      <c r="DX177" s="92">
        <f>IF(AW177="",0,VLOOKUP(K177,Tables!$B$3:$M$36,11,FALSE())*AG$1)</f>
        <v>2.4</v>
      </c>
      <c r="DY177" s="92">
        <f>IF(AX177="",0,VLOOKUP(L177,Tables!$B$3:$M$36,11,FALSE())*AH$1)</f>
        <v>0</v>
      </c>
      <c r="DZ177" s="91">
        <f>IF(AY177="",0,VLOOKUP(M177,Tables!$B$3:$M$36,11,FALSE())*AI$1)</f>
        <v>0</v>
      </c>
      <c r="EA177" s="92">
        <f>IF(AZ177="",0,VLOOKUP(N177,Tables!$B$3:$M$36,11,FALSE())*AJ$1)</f>
        <v>0</v>
      </c>
      <c r="EB177" s="92">
        <f>IF(BA177="",0,VLOOKUP(O177,Tables!$B$3:$M$36,11,FALSE())*AK$1)</f>
        <v>0</v>
      </c>
      <c r="EC177" s="93">
        <f>IF(BB177="",0,VLOOKUP(P177,Tables!$B$3:$M$36,11,FALSE())*AL$1)</f>
        <v>0</v>
      </c>
      <c r="ED177" s="91">
        <f>IF(AN177="",0,VLOOKUP(B177,Tables!$B$3:$M$36,12,FALSE())*X$1)</f>
        <v>0</v>
      </c>
      <c r="EE177" s="92">
        <f>IF(AO177="",0,VLOOKUP(C177,Tables!$B$3:$M$36,12,FALSE())*Y$1)</f>
        <v>0</v>
      </c>
      <c r="EF177" s="92">
        <f>IF(AP177="",0,VLOOKUP(D177,Tables!$B$3:$M$36,12,FALSE())*Z$1)</f>
        <v>0</v>
      </c>
      <c r="EG177" s="91">
        <f>IF(AQ177="",0,VLOOKUP(E177,Tables!$B$3:$M$36,12,FALSE())*AA$1)</f>
        <v>0</v>
      </c>
      <c r="EH177" s="92">
        <f>IF(AR177="",0,VLOOKUP(F177,Tables!$B$3:$M$36,12,FALSE())*AB$1)</f>
        <v>0</v>
      </c>
      <c r="EI177" s="92">
        <f>IF(AS177="",0,VLOOKUP(G177,Tables!$B$3:$M$36,12,FALSE())*AC$1)</f>
        <v>0</v>
      </c>
      <c r="EJ177" s="92">
        <f>IF(AT177="",0,VLOOKUP(H177,Tables!$B$3:$M$36,12,FALSE())*AD$1)</f>
        <v>0</v>
      </c>
      <c r="EK177" s="92">
        <f>IF(AU177="",0,VLOOKUP(I177,Tables!$B$3:$M$36,12,FALSE())*AE$1)</f>
        <v>0</v>
      </c>
      <c r="EL177" s="91">
        <f>IF(AV177="",0,VLOOKUP(J177,Tables!$B$3:$M$36,12,FALSE())*AF$1)</f>
        <v>72</v>
      </c>
      <c r="EM177" s="92">
        <f>IF(AW177="",0,VLOOKUP(K177,Tables!$B$3:$M$36,12,FALSE())*AG$1)</f>
        <v>72</v>
      </c>
      <c r="EN177" s="92">
        <f>IF(AX177="",0,VLOOKUP(L177,Tables!$B$3:$M$36,12,FALSE())*AH$1)</f>
        <v>0</v>
      </c>
      <c r="EO177" s="91">
        <f>IF(AY177="",0,VLOOKUP(M177,Tables!$B$3:$M$36,12,FALSE())*AI$1)</f>
        <v>0</v>
      </c>
      <c r="EP177" s="92">
        <f>IF(AZ177="",0,VLOOKUP(N177,Tables!$B$3:$M$36,12,FALSE())*AJ$1)</f>
        <v>0</v>
      </c>
      <c r="EQ177" s="92">
        <f>IF(BA177="",0,VLOOKUP(O177,Tables!$B$3:$M$36,12,FALSE())*AK$1)</f>
        <v>0</v>
      </c>
      <c r="ER177" s="93">
        <f>IF(BB177="",0,VLOOKUP(P177,Tables!$B$3:$M$36,12,FALSE())*AL$1)</f>
        <v>0</v>
      </c>
      <c r="ES177" s="94">
        <f t="shared" si="167"/>
        <v>0</v>
      </c>
      <c r="ET177" s="95">
        <f>IF(AN177="",10,MIN(VLOOKUP(B177,MATERIAL,13,FALSE()),'Item Builder'!$W177))</f>
        <v>10</v>
      </c>
      <c r="EU177" s="95">
        <f>IF(AO177="",10,MIN(VLOOKUP(C177,MATERIAL,13,FALSE()),'Item Builder'!$W177))</f>
        <v>10</v>
      </c>
      <c r="EV177" s="95">
        <f>IF(AP177="",10,MIN(VLOOKUP(D177,MATERIAL,13,FALSE()),'Item Builder'!$W177))</f>
        <v>10</v>
      </c>
      <c r="EW177" s="95">
        <f>IF(AQ177="",10,MIN(VLOOKUP(E177,MATERIAL,13,FALSE()),'Item Builder'!$W177))</f>
        <v>10</v>
      </c>
      <c r="EX177" s="95">
        <f>IF(AR177="",10,MIN(VLOOKUP(F177,MATERIAL,13,FALSE()),'Item Builder'!$W177))</f>
        <v>10</v>
      </c>
      <c r="EY177" s="95">
        <f>IF(AS177="",10,MIN(VLOOKUP(G177,MATERIAL,13,FALSE()),'Item Builder'!$W177))</f>
        <v>10</v>
      </c>
      <c r="EZ177" s="95">
        <f>IF(AT177="",10,MIN(VLOOKUP(H177,MATERIAL,13,FALSE()),'Item Builder'!$W177))</f>
        <v>10</v>
      </c>
      <c r="FA177" s="95">
        <f>IF(AU177="",10,MIN(VLOOKUP(I177,MATERIAL,13,FALSE()),'Item Builder'!$W177))</f>
        <v>10</v>
      </c>
      <c r="FB177" s="95">
        <f>IF(AV177="",10,MIN(VLOOKUP(J177,MATERIAL,13,FALSE()),'Item Builder'!$W177))</f>
        <v>0</v>
      </c>
      <c r="FC177" s="95">
        <f>IF(AW177="",10,MIN(VLOOKUP(K177,MATERIAL,13,FALSE()),'Item Builder'!$W177))</f>
        <v>0</v>
      </c>
      <c r="FD177" s="95">
        <f>IF(AX177="",10,MIN(VLOOKUP(L177,MATERIAL,13,FALSE()),'Item Builder'!$W177))</f>
        <v>10</v>
      </c>
      <c r="FE177" s="95">
        <f>IF(AY177="",10,MIN(VLOOKUP(M177,MATERIAL,13,FALSE()),'Item Builder'!$W177))</f>
        <v>10</v>
      </c>
      <c r="FF177" s="95">
        <f>IF(AZ177="",10,MIN(VLOOKUP(N177,MATERIAL,13,FALSE()),'Item Builder'!$W177))</f>
        <v>10</v>
      </c>
      <c r="FG177" s="95">
        <f>IF(BA177="",10,MIN(VLOOKUP(O177,MATERIAL,13,FALSE()),'Item Builder'!$W177))</f>
        <v>10</v>
      </c>
      <c r="FH177" s="95">
        <f>IF(BB177="",10,MIN(VLOOKUP(P177,MATERIAL,13,FALSE()),'Item Builder'!$W177))</f>
        <v>10</v>
      </c>
    </row>
    <row r="178" spans="1:164" x14ac:dyDescent="0.25">
      <c r="A178" s="67" t="s">
        <v>318</v>
      </c>
      <c r="B178" s="68"/>
      <c r="C178" s="69"/>
      <c r="D178" s="70"/>
      <c r="E178" s="68" t="s">
        <v>175</v>
      </c>
      <c r="F178" s="69" t="s">
        <v>175</v>
      </c>
      <c r="G178" s="69"/>
      <c r="H178" s="69"/>
      <c r="I178" s="70"/>
      <c r="J178" s="68" t="s">
        <v>175</v>
      </c>
      <c r="K178" s="69" t="s">
        <v>175</v>
      </c>
      <c r="L178" s="70"/>
      <c r="M178" s="68"/>
      <c r="N178" s="69"/>
      <c r="O178" s="69"/>
      <c r="P178" s="71"/>
      <c r="Q178" s="72">
        <f>SUM(BV178:CJ178)*VLOOKUP(W178,Tables!$W$3:$Z$8,4)</f>
        <v>231</v>
      </c>
      <c r="R178" s="73">
        <f t="shared" si="112"/>
        <v>0.82499999999999996</v>
      </c>
      <c r="S178" s="74">
        <f t="shared" si="113"/>
        <v>0</v>
      </c>
      <c r="T178" s="74">
        <f t="shared" si="114"/>
        <v>0</v>
      </c>
      <c r="U178" s="75">
        <f t="shared" si="115"/>
        <v>6.6</v>
      </c>
      <c r="V178" s="76">
        <f t="shared" si="116"/>
        <v>198</v>
      </c>
      <c r="W178" s="77">
        <v>0</v>
      </c>
      <c r="X178" s="78">
        <f t="shared" si="117"/>
        <v>0</v>
      </c>
      <c r="Y178" s="79">
        <f t="shared" si="118"/>
        <v>0</v>
      </c>
      <c r="Z178" s="79">
        <f t="shared" si="119"/>
        <v>0</v>
      </c>
      <c r="AA178" s="78">
        <f t="shared" si="120"/>
        <v>1</v>
      </c>
      <c r="AB178" s="79">
        <f t="shared" si="121"/>
        <v>1</v>
      </c>
      <c r="AC178" s="79">
        <f t="shared" si="122"/>
        <v>0</v>
      </c>
      <c r="AD178" s="79">
        <f t="shared" si="123"/>
        <v>0</v>
      </c>
      <c r="AE178" s="79">
        <f t="shared" si="124"/>
        <v>0</v>
      </c>
      <c r="AF178" s="78">
        <f t="shared" si="125"/>
        <v>1</v>
      </c>
      <c r="AG178" s="79">
        <f t="shared" si="126"/>
        <v>1</v>
      </c>
      <c r="AH178" s="79">
        <f t="shared" si="127"/>
        <v>0</v>
      </c>
      <c r="AI178" s="78">
        <f t="shared" si="128"/>
        <v>0</v>
      </c>
      <c r="AJ178" s="79">
        <f t="shared" si="129"/>
        <v>0</v>
      </c>
      <c r="AK178" s="79">
        <f t="shared" si="130"/>
        <v>0</v>
      </c>
      <c r="AL178" s="80">
        <f t="shared" si="131"/>
        <v>0</v>
      </c>
      <c r="AM178" s="81">
        <f t="shared" si="132"/>
        <v>0.32999999999999996</v>
      </c>
      <c r="AN178" s="82" t="str">
        <f t="shared" si="133"/>
        <v/>
      </c>
      <c r="AO178" s="79" t="str">
        <f t="shared" si="134"/>
        <v/>
      </c>
      <c r="AP178" t="str">
        <f t="shared" si="135"/>
        <v/>
      </c>
      <c r="AQ178" s="82" t="str">
        <f t="shared" si="136"/>
        <v>X</v>
      </c>
      <c r="AR178" t="str">
        <f t="shared" si="137"/>
        <v>X</v>
      </c>
      <c r="AS178" t="str">
        <f t="shared" si="138"/>
        <v/>
      </c>
      <c r="AT178" t="str">
        <f t="shared" si="139"/>
        <v/>
      </c>
      <c r="AU178" t="str">
        <f t="shared" si="140"/>
        <v/>
      </c>
      <c r="AV178" s="82" t="str">
        <f t="shared" si="141"/>
        <v>X</v>
      </c>
      <c r="AW178" t="str">
        <f t="shared" si="142"/>
        <v>X</v>
      </c>
      <c r="AX178" t="str">
        <f t="shared" si="143"/>
        <v/>
      </c>
      <c r="AY178" s="82" t="str">
        <f t="shared" si="144"/>
        <v/>
      </c>
      <c r="AZ178" t="str">
        <f t="shared" si="145"/>
        <v/>
      </c>
      <c r="BA178" t="str">
        <f t="shared" si="146"/>
        <v/>
      </c>
      <c r="BB178" s="83" t="str">
        <f t="shared" si="147"/>
        <v/>
      </c>
      <c r="BC178" s="84">
        <f t="shared" si="148"/>
        <v>0</v>
      </c>
      <c r="BD178" s="84">
        <f t="shared" si="149"/>
        <v>0.42857142857142849</v>
      </c>
      <c r="BE178" s="84">
        <f t="shared" si="150"/>
        <v>0.70588235294117652</v>
      </c>
      <c r="BF178" s="84">
        <f t="shared" si="151"/>
        <v>0</v>
      </c>
      <c r="BG178" s="78">
        <f>IF(AN178="",0,VLOOKUP(AN178,Tables!$AB$3:$AC$12,2))</f>
        <v>0</v>
      </c>
      <c r="BH178" s="79">
        <f>IF(AO178="",0,VLOOKUP(AO178,Tables!$AB$3:$AC$12,2))</f>
        <v>0</v>
      </c>
      <c r="BI178" s="79">
        <f>IF(AP178="",0,VLOOKUP(AP178,Tables!$AB$3:$AC$12,2))</f>
        <v>0</v>
      </c>
      <c r="BJ178" s="78">
        <f>IF(AQ178="",0,VLOOKUP(AQ178,Tables!$AB$3:$AC$12,2))</f>
        <v>1</v>
      </c>
      <c r="BK178" s="79">
        <f>IF(AR178="",0,VLOOKUP(AR178,Tables!$AB$3:$AC$12,2))</f>
        <v>1</v>
      </c>
      <c r="BL178" s="79">
        <f>IF(AS178="",0,VLOOKUP(AS178,Tables!$AB$3:$AC$12,2))</f>
        <v>0</v>
      </c>
      <c r="BM178" s="79">
        <f>IF(AT178="",0,VLOOKUP(AT178,Tables!$AB$3:$AC$12,2))</f>
        <v>0</v>
      </c>
      <c r="BN178" s="79">
        <f>IF(AU178="",0,VLOOKUP(AU178,Tables!$AB$3:$AC$12,2))</f>
        <v>0</v>
      </c>
      <c r="BO178" s="78">
        <f>IF(AV178="",0,VLOOKUP(AV178,Tables!$AB$3:$AC$12,2))</f>
        <v>1</v>
      </c>
      <c r="BP178" s="79">
        <f>IF(AW178="",0,VLOOKUP(AW178,Tables!$AB$3:$AC$12,2))</f>
        <v>1</v>
      </c>
      <c r="BQ178" s="79">
        <f>IF(AX178="",0,VLOOKUP(AX178,Tables!$AB$3:$AC$12,2))</f>
        <v>0</v>
      </c>
      <c r="BR178" s="78">
        <f>IF(AY178="",0,VLOOKUP(AY178,Tables!$AB$3:$AC$12,2))</f>
        <v>0</v>
      </c>
      <c r="BS178" s="79">
        <f>IF(AZ178="",0,VLOOKUP(AZ178,Tables!$AB$3:$AC$12,2))</f>
        <v>0</v>
      </c>
      <c r="BT178" s="79">
        <f>IF(BA178="",0,VLOOKUP(BA178,Tables!$AB$3:$AC$12,2))</f>
        <v>0</v>
      </c>
      <c r="BU178" s="80">
        <f>IF(BB178="",0,VLOOKUP(BB178,Tables!$AB$3:$AC$12,2))</f>
        <v>0</v>
      </c>
      <c r="BV178" s="85">
        <f>IF(AN178="",0,VLOOKUP(B178,Tables!$B$3:$D$36,2,FALSE())*X$1)</f>
        <v>0</v>
      </c>
      <c r="BW178" s="72">
        <f>IF(AO178="",0,VLOOKUP(C178,Tables!$B$3:$D$36,2,FALSE())*Y$1)</f>
        <v>0</v>
      </c>
      <c r="BX178" s="72">
        <f>IF(AP178="",0,VLOOKUP(D178,Tables!$B$3:$D$36,2,FALSE())*Z$1)</f>
        <v>0</v>
      </c>
      <c r="BY178" s="85">
        <f>IF(AQ178="",0,VLOOKUP(E178,Tables!$B$3:$D$36,2,FALSE())*AA$1)</f>
        <v>21</v>
      </c>
      <c r="BZ178" s="72">
        <f>IF(AR178="",0,VLOOKUP(F178,Tables!$B$3:$D$36,2,FALSE())*AB$1)</f>
        <v>42</v>
      </c>
      <c r="CA178" s="72">
        <f>IF(AS178="",0,VLOOKUP(G178,Tables!$B$3:$D$36,2,FALSE())*AC$1)</f>
        <v>0</v>
      </c>
      <c r="CB178" s="72">
        <f>IF(AT178="",0,VLOOKUP(H178,Tables!$B$3:$D$36,2,FALSE())*AD$1)</f>
        <v>0</v>
      </c>
      <c r="CC178" s="72">
        <f>IF(AU178="",0,VLOOKUP(I178,Tables!$B$3:$D$36,2,FALSE())*AE$1)</f>
        <v>0</v>
      </c>
      <c r="CD178" s="85">
        <f>IF(AV178="",0,VLOOKUP(J178,Tables!$B$3:$D$36,2,FALSE())*AF$1)</f>
        <v>84</v>
      </c>
      <c r="CE178" s="72">
        <f>IF(AW178="",0,VLOOKUP(K178,Tables!$B$3:$D$36,2,FALSE())*AG$1)</f>
        <v>84</v>
      </c>
      <c r="CF178" s="72">
        <f>IF(AX178="",0,VLOOKUP(L178,Tables!$B$3:$D$36,2,FALSE())*AH$1)</f>
        <v>0</v>
      </c>
      <c r="CG178" s="85">
        <f>IF(AY178="",0,VLOOKUP(M178,Tables!$B$3:$D$36,2,FALSE())*AI$1)</f>
        <v>0</v>
      </c>
      <c r="CH178" s="72">
        <f>IF(AZ178="",0,VLOOKUP(N178,Tables!$B$3:$D$36,2,FALSE())*AJ$1)</f>
        <v>0</v>
      </c>
      <c r="CI178" s="72">
        <f>IF(BA178="",0,VLOOKUP(O178,Tables!$B$3:$D$36,2,FALSE())*AK$1)</f>
        <v>0</v>
      </c>
      <c r="CJ178" s="86">
        <f>IF(BB178="",0,VLOOKUP(P178,Tables!$B$3:$D$36,2,FALSE())*AL$1)</f>
        <v>0</v>
      </c>
      <c r="CK178" s="87">
        <f>IF(AN178="",0,VLOOKUP(B178,Tables!$B$3:$D$36,3,FALSE())*X$1)*IF(OR(AN178="K",AN178="P"),2,1)</f>
        <v>0</v>
      </c>
      <c r="CL178" s="73">
        <f>IF(AO178="",0,VLOOKUP(C178,Tables!$B$3:$D$36,3,FALSE())*Y$1)*IF(OR(AO178="K",AO178="P"),2,1)</f>
        <v>0</v>
      </c>
      <c r="CM178" s="73">
        <f>IF(AP178="",0,VLOOKUP(D178,Tables!$B$3:$D$36,3,FALSE())*Z$1)*IF(OR(AP178="K",AP178="P"),2,1)</f>
        <v>0</v>
      </c>
      <c r="CN178" s="87">
        <f>IF(AQ178="",0,VLOOKUP(E178,Tables!$B$3:$D$36,3,FALSE())*AA$1)</f>
        <v>7.4999999999999997E-2</v>
      </c>
      <c r="CO178" s="73">
        <f>IF(AR178="",0,VLOOKUP(F178,Tables!$B$3:$D$36,3,FALSE())*AB$1)</f>
        <v>0.15</v>
      </c>
      <c r="CP178" s="73">
        <f>IF(AS178="",0,VLOOKUP(G178,Tables!$B$3:$D$36,3,FALSE())*AC$1)</f>
        <v>0</v>
      </c>
      <c r="CQ178" s="73">
        <f>IF(AT178="",0,VLOOKUP(H178,Tables!$B$3:$D$36,3,FALSE())*AD$1)</f>
        <v>0</v>
      </c>
      <c r="CR178" s="73">
        <f>IF(AU178="",0,VLOOKUP(I178,Tables!$B$3:$D$36,3,FALSE())*AE$1)</f>
        <v>0</v>
      </c>
      <c r="CS178" s="87">
        <f>IF(AV178="",0,VLOOKUP(J178,Tables!$B$3:$D$36,3,FALSE())*AF$1)</f>
        <v>0.3</v>
      </c>
      <c r="CT178" s="73">
        <f>IF(AW178="",0,VLOOKUP(K178,Tables!$B$3:$D$36,3,FALSE())*AG$1)</f>
        <v>0.3</v>
      </c>
      <c r="CU178" s="73">
        <f>IF(AX178="",0,VLOOKUP(L178,Tables!$B$3:$D$36,3,FALSE())*AH$1)</f>
        <v>0</v>
      </c>
      <c r="CV178" s="87">
        <f>IF(AY178="",0,VLOOKUP(M178,Tables!$B$3:$D$36,3,FALSE())*AI$1)</f>
        <v>0</v>
      </c>
      <c r="CW178" s="73">
        <f>IF(AZ178="",0,VLOOKUP(N178,Tables!$B$3:$D$36,3,FALSE())*AJ$1)</f>
        <v>0</v>
      </c>
      <c r="CX178" s="73">
        <f>IF(BA178="",0,VLOOKUP(O178,Tables!$B$3:$D$36,3,FALSE())*AK$1)</f>
        <v>0</v>
      </c>
      <c r="CY178" s="88">
        <f>IF(BB178="",0,VLOOKUP(P178,Tables!$B$3:$D$36,3,FALSE())*AL$1)</f>
        <v>0</v>
      </c>
      <c r="CZ178" s="89">
        <f t="shared" si="152"/>
        <v>0</v>
      </c>
      <c r="DA178" s="75">
        <f t="shared" si="153"/>
        <v>0</v>
      </c>
      <c r="DB178" s="75">
        <f t="shared" si="154"/>
        <v>0</v>
      </c>
      <c r="DC178" s="89">
        <f t="shared" si="155"/>
        <v>1</v>
      </c>
      <c r="DD178" s="75">
        <f t="shared" si="156"/>
        <v>1</v>
      </c>
      <c r="DE178" s="75">
        <f t="shared" si="157"/>
        <v>0</v>
      </c>
      <c r="DF178" s="75">
        <f t="shared" si="158"/>
        <v>0</v>
      </c>
      <c r="DG178" s="75">
        <f t="shared" si="159"/>
        <v>0</v>
      </c>
      <c r="DH178" s="89">
        <f t="shared" si="160"/>
        <v>1</v>
      </c>
      <c r="DI178" s="75">
        <f t="shared" si="161"/>
        <v>1</v>
      </c>
      <c r="DJ178" s="75">
        <f t="shared" si="162"/>
        <v>0</v>
      </c>
      <c r="DK178" s="89">
        <f t="shared" si="163"/>
        <v>0</v>
      </c>
      <c r="DL178" s="75">
        <f t="shared" si="164"/>
        <v>0</v>
      </c>
      <c r="DM178" s="75">
        <f t="shared" si="165"/>
        <v>0</v>
      </c>
      <c r="DN178" s="90">
        <f t="shared" si="166"/>
        <v>0</v>
      </c>
      <c r="DO178" s="91">
        <f>IF(AN178="",0,VLOOKUP(B178,Tables!$B$3:$M$36,11,FALSE())*X$1)</f>
        <v>0</v>
      </c>
      <c r="DP178" s="92">
        <f>IF(AO178="",0,VLOOKUP(C178,Tables!$B$3:$M$36,11,FALSE())*Y$1)</f>
        <v>0</v>
      </c>
      <c r="DQ178" s="92">
        <f>IF(AP178="",0,VLOOKUP(D178,Tables!$B$3:$M$36,11,FALSE())*Z$1)</f>
        <v>0</v>
      </c>
      <c r="DR178" s="91">
        <f>IF(AQ178="",0,VLOOKUP(E178,Tables!$B$3:$M$36,11,FALSE())*AA$1)</f>
        <v>0.6</v>
      </c>
      <c r="DS178" s="92">
        <f>IF(AR178="",0,VLOOKUP(F178,Tables!$B$3:$M$36,11,FALSE())*AB$1)</f>
        <v>1.2</v>
      </c>
      <c r="DT178" s="92">
        <f>IF(AS178="",0,VLOOKUP(G178,Tables!$B$3:$M$36,11,FALSE())*AC$1)</f>
        <v>0</v>
      </c>
      <c r="DU178" s="92">
        <f>IF(AT178="",0,VLOOKUP(H178,Tables!$B$3:$M$36,11,FALSE())*AD$1)</f>
        <v>0</v>
      </c>
      <c r="DV178" s="92">
        <f>IF(AU178="",0,VLOOKUP(I178,Tables!$B$3:$M$36,11,FALSE())*AE$1)</f>
        <v>0</v>
      </c>
      <c r="DW178" s="91">
        <f>IF(AV178="",0,VLOOKUP(J178,Tables!$B$3:$M$36,11,FALSE())*AF$1)</f>
        <v>2.4</v>
      </c>
      <c r="DX178" s="92">
        <f>IF(AW178="",0,VLOOKUP(K178,Tables!$B$3:$M$36,11,FALSE())*AG$1)</f>
        <v>2.4</v>
      </c>
      <c r="DY178" s="92">
        <f>IF(AX178="",0,VLOOKUP(L178,Tables!$B$3:$M$36,11,FALSE())*AH$1)</f>
        <v>0</v>
      </c>
      <c r="DZ178" s="91">
        <f>IF(AY178="",0,VLOOKUP(M178,Tables!$B$3:$M$36,11,FALSE())*AI$1)</f>
        <v>0</v>
      </c>
      <c r="EA178" s="92">
        <f>IF(AZ178="",0,VLOOKUP(N178,Tables!$B$3:$M$36,11,FALSE())*AJ$1)</f>
        <v>0</v>
      </c>
      <c r="EB178" s="92">
        <f>IF(BA178="",0,VLOOKUP(O178,Tables!$B$3:$M$36,11,FALSE())*AK$1)</f>
        <v>0</v>
      </c>
      <c r="EC178" s="93">
        <f>IF(BB178="",0,VLOOKUP(P178,Tables!$B$3:$M$36,11,FALSE())*AL$1)</f>
        <v>0</v>
      </c>
      <c r="ED178" s="91">
        <f>IF(AN178="",0,VLOOKUP(B178,Tables!$B$3:$M$36,12,FALSE())*X$1)</f>
        <v>0</v>
      </c>
      <c r="EE178" s="92">
        <f>IF(AO178="",0,VLOOKUP(C178,Tables!$B$3:$M$36,12,FALSE())*Y$1)</f>
        <v>0</v>
      </c>
      <c r="EF178" s="92">
        <f>IF(AP178="",0,VLOOKUP(D178,Tables!$B$3:$M$36,12,FALSE())*Z$1)</f>
        <v>0</v>
      </c>
      <c r="EG178" s="91">
        <f>IF(AQ178="",0,VLOOKUP(E178,Tables!$B$3:$M$36,12,FALSE())*AA$1)</f>
        <v>18</v>
      </c>
      <c r="EH178" s="92">
        <f>IF(AR178="",0,VLOOKUP(F178,Tables!$B$3:$M$36,12,FALSE())*AB$1)</f>
        <v>36</v>
      </c>
      <c r="EI178" s="92">
        <f>IF(AS178="",0,VLOOKUP(G178,Tables!$B$3:$M$36,12,FALSE())*AC$1)</f>
        <v>0</v>
      </c>
      <c r="EJ178" s="92">
        <f>IF(AT178="",0,VLOOKUP(H178,Tables!$B$3:$M$36,12,FALSE())*AD$1)</f>
        <v>0</v>
      </c>
      <c r="EK178" s="92">
        <f>IF(AU178="",0,VLOOKUP(I178,Tables!$B$3:$M$36,12,FALSE())*AE$1)</f>
        <v>0</v>
      </c>
      <c r="EL178" s="91">
        <f>IF(AV178="",0,VLOOKUP(J178,Tables!$B$3:$M$36,12,FALSE())*AF$1)</f>
        <v>72</v>
      </c>
      <c r="EM178" s="92">
        <f>IF(AW178="",0,VLOOKUP(K178,Tables!$B$3:$M$36,12,FALSE())*AG$1)</f>
        <v>72</v>
      </c>
      <c r="EN178" s="92">
        <f>IF(AX178="",0,VLOOKUP(L178,Tables!$B$3:$M$36,12,FALSE())*AH$1)</f>
        <v>0</v>
      </c>
      <c r="EO178" s="91">
        <f>IF(AY178="",0,VLOOKUP(M178,Tables!$B$3:$M$36,12,FALSE())*AI$1)</f>
        <v>0</v>
      </c>
      <c r="EP178" s="92">
        <f>IF(AZ178="",0,VLOOKUP(N178,Tables!$B$3:$M$36,12,FALSE())*AJ$1)</f>
        <v>0</v>
      </c>
      <c r="EQ178" s="92">
        <f>IF(BA178="",0,VLOOKUP(O178,Tables!$B$3:$M$36,12,FALSE())*AK$1)</f>
        <v>0</v>
      </c>
      <c r="ER178" s="93">
        <f>IF(BB178="",0,VLOOKUP(P178,Tables!$B$3:$M$36,12,FALSE())*AL$1)</f>
        <v>0</v>
      </c>
      <c r="ES178" s="94">
        <f t="shared" si="167"/>
        <v>0</v>
      </c>
      <c r="ET178" s="95">
        <f>IF(AN178="",10,MIN(VLOOKUP(B178,MATERIAL,13,FALSE()),'Item Builder'!$W178))</f>
        <v>10</v>
      </c>
      <c r="EU178" s="95">
        <f>IF(AO178="",10,MIN(VLOOKUP(C178,MATERIAL,13,FALSE()),'Item Builder'!$W178))</f>
        <v>10</v>
      </c>
      <c r="EV178" s="95">
        <f>IF(AP178="",10,MIN(VLOOKUP(D178,MATERIAL,13,FALSE()),'Item Builder'!$W178))</f>
        <v>10</v>
      </c>
      <c r="EW178" s="95">
        <f>IF(AQ178="",10,MIN(VLOOKUP(E178,MATERIAL,13,FALSE()),'Item Builder'!$W178))</f>
        <v>0</v>
      </c>
      <c r="EX178" s="95">
        <f>IF(AR178="",10,MIN(VLOOKUP(F178,MATERIAL,13,FALSE()),'Item Builder'!$W178))</f>
        <v>0</v>
      </c>
      <c r="EY178" s="95">
        <f>IF(AS178="",10,MIN(VLOOKUP(G178,MATERIAL,13,FALSE()),'Item Builder'!$W178))</f>
        <v>10</v>
      </c>
      <c r="EZ178" s="95">
        <f>IF(AT178="",10,MIN(VLOOKUP(H178,MATERIAL,13,FALSE()),'Item Builder'!$W178))</f>
        <v>10</v>
      </c>
      <c r="FA178" s="95">
        <f>IF(AU178="",10,MIN(VLOOKUP(I178,MATERIAL,13,FALSE()),'Item Builder'!$W178))</f>
        <v>10</v>
      </c>
      <c r="FB178" s="95">
        <f>IF(AV178="",10,MIN(VLOOKUP(J178,MATERIAL,13,FALSE()),'Item Builder'!$W178))</f>
        <v>0</v>
      </c>
      <c r="FC178" s="95">
        <f>IF(AW178="",10,MIN(VLOOKUP(K178,MATERIAL,13,FALSE()),'Item Builder'!$W178))</f>
        <v>0</v>
      </c>
      <c r="FD178" s="95">
        <f>IF(AX178="",10,MIN(VLOOKUP(L178,MATERIAL,13,FALSE()),'Item Builder'!$W178))</f>
        <v>10</v>
      </c>
      <c r="FE178" s="95">
        <f>IF(AY178="",10,MIN(VLOOKUP(M178,MATERIAL,13,FALSE()),'Item Builder'!$W178))</f>
        <v>10</v>
      </c>
      <c r="FF178" s="95">
        <f>IF(AZ178="",10,MIN(VLOOKUP(N178,MATERIAL,13,FALSE()),'Item Builder'!$W178))</f>
        <v>10</v>
      </c>
      <c r="FG178" s="95">
        <f>IF(BA178="",10,MIN(VLOOKUP(O178,MATERIAL,13,FALSE()),'Item Builder'!$W178))</f>
        <v>10</v>
      </c>
      <c r="FH178" s="95">
        <f>IF(BB178="",10,MIN(VLOOKUP(P178,MATERIAL,13,FALSE()),'Item Builder'!$W178))</f>
        <v>10</v>
      </c>
    </row>
    <row r="179" spans="1:164" x14ac:dyDescent="0.25">
      <c r="A179" s="67" t="s">
        <v>319</v>
      </c>
      <c r="B179" s="68"/>
      <c r="C179" s="69"/>
      <c r="D179" s="70"/>
      <c r="E179" s="68" t="s">
        <v>175</v>
      </c>
      <c r="F179" s="69" t="s">
        <v>175</v>
      </c>
      <c r="G179" s="69" t="s">
        <v>175</v>
      </c>
      <c r="H179" s="69"/>
      <c r="I179" s="70"/>
      <c r="J179" s="68" t="s">
        <v>175</v>
      </c>
      <c r="K179" s="69" t="s">
        <v>175</v>
      </c>
      <c r="L179" s="70" t="s">
        <v>175</v>
      </c>
      <c r="M179" s="68"/>
      <c r="N179" s="69"/>
      <c r="O179" s="69"/>
      <c r="P179" s="71"/>
      <c r="Q179" s="72">
        <f>SUM(BV179:CJ179)*VLOOKUP(W179,Tables!$W$3:$Z$8,4)</f>
        <v>315</v>
      </c>
      <c r="R179" s="73">
        <f t="shared" si="112"/>
        <v>1.125</v>
      </c>
      <c r="S179" s="74">
        <f t="shared" si="113"/>
        <v>0</v>
      </c>
      <c r="T179" s="74">
        <f t="shared" si="114"/>
        <v>0</v>
      </c>
      <c r="U179" s="75">
        <f t="shared" si="115"/>
        <v>9</v>
      </c>
      <c r="V179" s="76">
        <f t="shared" si="116"/>
        <v>270</v>
      </c>
      <c r="W179" s="77">
        <v>0</v>
      </c>
      <c r="X179" s="78">
        <f t="shared" si="117"/>
        <v>0</v>
      </c>
      <c r="Y179" s="79">
        <f t="shared" si="118"/>
        <v>0</v>
      </c>
      <c r="Z179" s="79">
        <f t="shared" si="119"/>
        <v>0</v>
      </c>
      <c r="AA179" s="78">
        <f t="shared" si="120"/>
        <v>1</v>
      </c>
      <c r="AB179" s="79">
        <f t="shared" si="121"/>
        <v>1</v>
      </c>
      <c r="AC179" s="79">
        <f t="shared" si="122"/>
        <v>1</v>
      </c>
      <c r="AD179" s="79">
        <f t="shared" si="123"/>
        <v>0</v>
      </c>
      <c r="AE179" s="79">
        <f t="shared" si="124"/>
        <v>0</v>
      </c>
      <c r="AF179" s="78">
        <f t="shared" si="125"/>
        <v>1</v>
      </c>
      <c r="AG179" s="79">
        <f t="shared" si="126"/>
        <v>1</v>
      </c>
      <c r="AH179" s="79">
        <f t="shared" si="127"/>
        <v>1</v>
      </c>
      <c r="AI179" s="78">
        <f t="shared" si="128"/>
        <v>0</v>
      </c>
      <c r="AJ179" s="79">
        <f t="shared" si="129"/>
        <v>0</v>
      </c>
      <c r="AK179" s="79">
        <f t="shared" si="130"/>
        <v>0</v>
      </c>
      <c r="AL179" s="80">
        <f t="shared" si="131"/>
        <v>0</v>
      </c>
      <c r="AM179" s="81">
        <f t="shared" si="132"/>
        <v>0.44999999999999996</v>
      </c>
      <c r="AN179" s="82" t="str">
        <f t="shared" si="133"/>
        <v/>
      </c>
      <c r="AO179" s="79" t="str">
        <f t="shared" si="134"/>
        <v/>
      </c>
      <c r="AP179" t="str">
        <f t="shared" si="135"/>
        <v/>
      </c>
      <c r="AQ179" s="82" t="str">
        <f t="shared" si="136"/>
        <v>X</v>
      </c>
      <c r="AR179" t="str">
        <f t="shared" si="137"/>
        <v>X</v>
      </c>
      <c r="AS179" t="str">
        <f t="shared" si="138"/>
        <v>X</v>
      </c>
      <c r="AT179" t="str">
        <f t="shared" si="139"/>
        <v/>
      </c>
      <c r="AU179" t="str">
        <f t="shared" si="140"/>
        <v/>
      </c>
      <c r="AV179" s="82" t="str">
        <f t="shared" si="141"/>
        <v>X</v>
      </c>
      <c r="AW179" t="str">
        <f t="shared" si="142"/>
        <v>X</v>
      </c>
      <c r="AX179" t="str">
        <f t="shared" si="143"/>
        <v>X</v>
      </c>
      <c r="AY179" s="82" t="str">
        <f t="shared" si="144"/>
        <v/>
      </c>
      <c r="AZ179" t="str">
        <f t="shared" si="145"/>
        <v/>
      </c>
      <c r="BA179" t="str">
        <f t="shared" si="146"/>
        <v/>
      </c>
      <c r="BB179" s="83" t="str">
        <f t="shared" si="147"/>
        <v/>
      </c>
      <c r="BC179" s="84">
        <f t="shared" si="148"/>
        <v>0</v>
      </c>
      <c r="BD179" s="84">
        <f t="shared" si="149"/>
        <v>0.52380952380952372</v>
      </c>
      <c r="BE179" s="84">
        <f t="shared" si="150"/>
        <v>1</v>
      </c>
      <c r="BF179" s="84">
        <f t="shared" si="151"/>
        <v>0</v>
      </c>
      <c r="BG179" s="78">
        <f>IF(AN179="",0,VLOOKUP(AN179,Tables!$AB$3:$AC$12,2))</f>
        <v>0</v>
      </c>
      <c r="BH179" s="79">
        <f>IF(AO179="",0,VLOOKUP(AO179,Tables!$AB$3:$AC$12,2))</f>
        <v>0</v>
      </c>
      <c r="BI179" s="79">
        <f>IF(AP179="",0,VLOOKUP(AP179,Tables!$AB$3:$AC$12,2))</f>
        <v>0</v>
      </c>
      <c r="BJ179" s="78">
        <f>IF(AQ179="",0,VLOOKUP(AQ179,Tables!$AB$3:$AC$12,2))</f>
        <v>1</v>
      </c>
      <c r="BK179" s="79">
        <f>IF(AR179="",0,VLOOKUP(AR179,Tables!$AB$3:$AC$12,2))</f>
        <v>1</v>
      </c>
      <c r="BL179" s="79">
        <f>IF(AS179="",0,VLOOKUP(AS179,Tables!$AB$3:$AC$12,2))</f>
        <v>1</v>
      </c>
      <c r="BM179" s="79">
        <f>IF(AT179="",0,VLOOKUP(AT179,Tables!$AB$3:$AC$12,2))</f>
        <v>0</v>
      </c>
      <c r="BN179" s="79">
        <f>IF(AU179="",0,VLOOKUP(AU179,Tables!$AB$3:$AC$12,2))</f>
        <v>0</v>
      </c>
      <c r="BO179" s="78">
        <f>IF(AV179="",0,VLOOKUP(AV179,Tables!$AB$3:$AC$12,2))</f>
        <v>1</v>
      </c>
      <c r="BP179" s="79">
        <f>IF(AW179="",0,VLOOKUP(AW179,Tables!$AB$3:$AC$12,2))</f>
        <v>1</v>
      </c>
      <c r="BQ179" s="79">
        <f>IF(AX179="",0,VLOOKUP(AX179,Tables!$AB$3:$AC$12,2))</f>
        <v>1</v>
      </c>
      <c r="BR179" s="78">
        <f>IF(AY179="",0,VLOOKUP(AY179,Tables!$AB$3:$AC$12,2))</f>
        <v>0</v>
      </c>
      <c r="BS179" s="79">
        <f>IF(AZ179="",0,VLOOKUP(AZ179,Tables!$AB$3:$AC$12,2))</f>
        <v>0</v>
      </c>
      <c r="BT179" s="79">
        <f>IF(BA179="",0,VLOOKUP(BA179,Tables!$AB$3:$AC$12,2))</f>
        <v>0</v>
      </c>
      <c r="BU179" s="80">
        <f>IF(BB179="",0,VLOOKUP(BB179,Tables!$AB$3:$AC$12,2))</f>
        <v>0</v>
      </c>
      <c r="BV179" s="85">
        <f>IF(AN179="",0,VLOOKUP(B179,Tables!$B$3:$D$36,2,FALSE())*X$1)</f>
        <v>0</v>
      </c>
      <c r="BW179" s="72">
        <f>IF(AO179="",0,VLOOKUP(C179,Tables!$B$3:$D$36,2,FALSE())*Y$1)</f>
        <v>0</v>
      </c>
      <c r="BX179" s="72">
        <f>IF(AP179="",0,VLOOKUP(D179,Tables!$B$3:$D$36,2,FALSE())*Z$1)</f>
        <v>0</v>
      </c>
      <c r="BY179" s="85">
        <f>IF(AQ179="",0,VLOOKUP(E179,Tables!$B$3:$D$36,2,FALSE())*AA$1)</f>
        <v>21</v>
      </c>
      <c r="BZ179" s="72">
        <f>IF(AR179="",0,VLOOKUP(F179,Tables!$B$3:$D$36,2,FALSE())*AB$1)</f>
        <v>42</v>
      </c>
      <c r="CA179" s="72">
        <f>IF(AS179="",0,VLOOKUP(G179,Tables!$B$3:$D$36,2,FALSE())*AC$1)</f>
        <v>14</v>
      </c>
      <c r="CB179" s="72">
        <f>IF(AT179="",0,VLOOKUP(H179,Tables!$B$3:$D$36,2,FALSE())*AD$1)</f>
        <v>0</v>
      </c>
      <c r="CC179" s="72">
        <f>IF(AU179="",0,VLOOKUP(I179,Tables!$B$3:$D$36,2,FALSE())*AE$1)</f>
        <v>0</v>
      </c>
      <c r="CD179" s="85">
        <f>IF(AV179="",0,VLOOKUP(J179,Tables!$B$3:$D$36,2,FALSE())*AF$1)</f>
        <v>84</v>
      </c>
      <c r="CE179" s="72">
        <f>IF(AW179="",0,VLOOKUP(K179,Tables!$B$3:$D$36,2,FALSE())*AG$1)</f>
        <v>84</v>
      </c>
      <c r="CF179" s="72">
        <f>IF(AX179="",0,VLOOKUP(L179,Tables!$B$3:$D$36,2,FALSE())*AH$1)</f>
        <v>70</v>
      </c>
      <c r="CG179" s="85">
        <f>IF(AY179="",0,VLOOKUP(M179,Tables!$B$3:$D$36,2,FALSE())*AI$1)</f>
        <v>0</v>
      </c>
      <c r="CH179" s="72">
        <f>IF(AZ179="",0,VLOOKUP(N179,Tables!$B$3:$D$36,2,FALSE())*AJ$1)</f>
        <v>0</v>
      </c>
      <c r="CI179" s="72">
        <f>IF(BA179="",0,VLOOKUP(O179,Tables!$B$3:$D$36,2,FALSE())*AK$1)</f>
        <v>0</v>
      </c>
      <c r="CJ179" s="86">
        <f>IF(BB179="",0,VLOOKUP(P179,Tables!$B$3:$D$36,2,FALSE())*AL$1)</f>
        <v>0</v>
      </c>
      <c r="CK179" s="87">
        <f>IF(AN179="",0,VLOOKUP(B179,Tables!$B$3:$D$36,3,FALSE())*X$1)*IF(OR(AN179="K",AN179="P"),2,1)</f>
        <v>0</v>
      </c>
      <c r="CL179" s="73">
        <f>IF(AO179="",0,VLOOKUP(C179,Tables!$B$3:$D$36,3,FALSE())*Y$1)*IF(OR(AO179="K",AO179="P"),2,1)</f>
        <v>0</v>
      </c>
      <c r="CM179" s="73">
        <f>IF(AP179="",0,VLOOKUP(D179,Tables!$B$3:$D$36,3,FALSE())*Z$1)*IF(OR(AP179="K",AP179="P"),2,1)</f>
        <v>0</v>
      </c>
      <c r="CN179" s="87">
        <f>IF(AQ179="",0,VLOOKUP(E179,Tables!$B$3:$D$36,3,FALSE())*AA$1)</f>
        <v>7.4999999999999997E-2</v>
      </c>
      <c r="CO179" s="73">
        <f>IF(AR179="",0,VLOOKUP(F179,Tables!$B$3:$D$36,3,FALSE())*AB$1)</f>
        <v>0.15</v>
      </c>
      <c r="CP179" s="73">
        <f>IF(AS179="",0,VLOOKUP(G179,Tables!$B$3:$D$36,3,FALSE())*AC$1)</f>
        <v>0.05</v>
      </c>
      <c r="CQ179" s="73">
        <f>IF(AT179="",0,VLOOKUP(H179,Tables!$B$3:$D$36,3,FALSE())*AD$1)</f>
        <v>0</v>
      </c>
      <c r="CR179" s="73">
        <f>IF(AU179="",0,VLOOKUP(I179,Tables!$B$3:$D$36,3,FALSE())*AE$1)</f>
        <v>0</v>
      </c>
      <c r="CS179" s="87">
        <f>IF(AV179="",0,VLOOKUP(J179,Tables!$B$3:$D$36,3,FALSE())*AF$1)</f>
        <v>0.3</v>
      </c>
      <c r="CT179" s="73">
        <f>IF(AW179="",0,VLOOKUP(K179,Tables!$B$3:$D$36,3,FALSE())*AG$1)</f>
        <v>0.3</v>
      </c>
      <c r="CU179" s="73">
        <f>IF(AX179="",0,VLOOKUP(L179,Tables!$B$3:$D$36,3,FALSE())*AH$1)</f>
        <v>0.25</v>
      </c>
      <c r="CV179" s="87">
        <f>IF(AY179="",0,VLOOKUP(M179,Tables!$B$3:$D$36,3,FALSE())*AI$1)</f>
        <v>0</v>
      </c>
      <c r="CW179" s="73">
        <f>IF(AZ179="",0,VLOOKUP(N179,Tables!$B$3:$D$36,3,FALSE())*AJ$1)</f>
        <v>0</v>
      </c>
      <c r="CX179" s="73">
        <f>IF(BA179="",0,VLOOKUP(O179,Tables!$B$3:$D$36,3,FALSE())*AK$1)</f>
        <v>0</v>
      </c>
      <c r="CY179" s="88">
        <f>IF(BB179="",0,VLOOKUP(P179,Tables!$B$3:$D$36,3,FALSE())*AL$1)</f>
        <v>0</v>
      </c>
      <c r="CZ179" s="89">
        <f t="shared" si="152"/>
        <v>0</v>
      </c>
      <c r="DA179" s="75">
        <f t="shared" si="153"/>
        <v>0</v>
      </c>
      <c r="DB179" s="75">
        <f t="shared" si="154"/>
        <v>0</v>
      </c>
      <c r="DC179" s="89">
        <f t="shared" si="155"/>
        <v>1</v>
      </c>
      <c r="DD179" s="75">
        <f t="shared" si="156"/>
        <v>1</v>
      </c>
      <c r="DE179" s="75">
        <f t="shared" si="157"/>
        <v>1</v>
      </c>
      <c r="DF179" s="75">
        <f t="shared" si="158"/>
        <v>0</v>
      </c>
      <c r="DG179" s="75">
        <f t="shared" si="159"/>
        <v>0</v>
      </c>
      <c r="DH179" s="89">
        <f t="shared" si="160"/>
        <v>1</v>
      </c>
      <c r="DI179" s="75">
        <f t="shared" si="161"/>
        <v>1</v>
      </c>
      <c r="DJ179" s="75">
        <f t="shared" si="162"/>
        <v>1</v>
      </c>
      <c r="DK179" s="89">
        <f t="shared" si="163"/>
        <v>0</v>
      </c>
      <c r="DL179" s="75">
        <f t="shared" si="164"/>
        <v>0</v>
      </c>
      <c r="DM179" s="75">
        <f t="shared" si="165"/>
        <v>0</v>
      </c>
      <c r="DN179" s="90">
        <f t="shared" si="166"/>
        <v>0</v>
      </c>
      <c r="DO179" s="91">
        <f>IF(AN179="",0,VLOOKUP(B179,Tables!$B$3:$M$36,11,FALSE())*X$1)</f>
        <v>0</v>
      </c>
      <c r="DP179" s="92">
        <f>IF(AO179="",0,VLOOKUP(C179,Tables!$B$3:$M$36,11,FALSE())*Y$1)</f>
        <v>0</v>
      </c>
      <c r="DQ179" s="92">
        <f>IF(AP179="",0,VLOOKUP(D179,Tables!$B$3:$M$36,11,FALSE())*Z$1)</f>
        <v>0</v>
      </c>
      <c r="DR179" s="91">
        <f>IF(AQ179="",0,VLOOKUP(E179,Tables!$B$3:$M$36,11,FALSE())*AA$1)</f>
        <v>0.6</v>
      </c>
      <c r="DS179" s="92">
        <f>IF(AR179="",0,VLOOKUP(F179,Tables!$B$3:$M$36,11,FALSE())*AB$1)</f>
        <v>1.2</v>
      </c>
      <c r="DT179" s="92">
        <f>IF(AS179="",0,VLOOKUP(G179,Tables!$B$3:$M$36,11,FALSE())*AC$1)</f>
        <v>0.4</v>
      </c>
      <c r="DU179" s="92">
        <f>IF(AT179="",0,VLOOKUP(H179,Tables!$B$3:$M$36,11,FALSE())*AD$1)</f>
        <v>0</v>
      </c>
      <c r="DV179" s="92">
        <f>IF(AU179="",0,VLOOKUP(I179,Tables!$B$3:$M$36,11,FALSE())*AE$1)</f>
        <v>0</v>
      </c>
      <c r="DW179" s="91">
        <f>IF(AV179="",0,VLOOKUP(J179,Tables!$B$3:$M$36,11,FALSE())*AF$1)</f>
        <v>2.4</v>
      </c>
      <c r="DX179" s="92">
        <f>IF(AW179="",0,VLOOKUP(K179,Tables!$B$3:$M$36,11,FALSE())*AG$1)</f>
        <v>2.4</v>
      </c>
      <c r="DY179" s="92">
        <f>IF(AX179="",0,VLOOKUP(L179,Tables!$B$3:$M$36,11,FALSE())*AH$1)</f>
        <v>2</v>
      </c>
      <c r="DZ179" s="91">
        <f>IF(AY179="",0,VLOOKUP(M179,Tables!$B$3:$M$36,11,FALSE())*AI$1)</f>
        <v>0</v>
      </c>
      <c r="EA179" s="92">
        <f>IF(AZ179="",0,VLOOKUP(N179,Tables!$B$3:$M$36,11,FALSE())*AJ$1)</f>
        <v>0</v>
      </c>
      <c r="EB179" s="92">
        <f>IF(BA179="",0,VLOOKUP(O179,Tables!$B$3:$M$36,11,FALSE())*AK$1)</f>
        <v>0</v>
      </c>
      <c r="EC179" s="93">
        <f>IF(BB179="",0,VLOOKUP(P179,Tables!$B$3:$M$36,11,FALSE())*AL$1)</f>
        <v>0</v>
      </c>
      <c r="ED179" s="91">
        <f>IF(AN179="",0,VLOOKUP(B179,Tables!$B$3:$M$36,12,FALSE())*X$1)</f>
        <v>0</v>
      </c>
      <c r="EE179" s="92">
        <f>IF(AO179="",0,VLOOKUP(C179,Tables!$B$3:$M$36,12,FALSE())*Y$1)</f>
        <v>0</v>
      </c>
      <c r="EF179" s="92">
        <f>IF(AP179="",0,VLOOKUP(D179,Tables!$B$3:$M$36,12,FALSE())*Z$1)</f>
        <v>0</v>
      </c>
      <c r="EG179" s="91">
        <f>IF(AQ179="",0,VLOOKUP(E179,Tables!$B$3:$M$36,12,FALSE())*AA$1)</f>
        <v>18</v>
      </c>
      <c r="EH179" s="92">
        <f>IF(AR179="",0,VLOOKUP(F179,Tables!$B$3:$M$36,12,FALSE())*AB$1)</f>
        <v>36</v>
      </c>
      <c r="EI179" s="92">
        <f>IF(AS179="",0,VLOOKUP(G179,Tables!$B$3:$M$36,12,FALSE())*AC$1)</f>
        <v>12</v>
      </c>
      <c r="EJ179" s="92">
        <f>IF(AT179="",0,VLOOKUP(H179,Tables!$B$3:$M$36,12,FALSE())*AD$1)</f>
        <v>0</v>
      </c>
      <c r="EK179" s="92">
        <f>IF(AU179="",0,VLOOKUP(I179,Tables!$B$3:$M$36,12,FALSE())*AE$1)</f>
        <v>0</v>
      </c>
      <c r="EL179" s="91">
        <f>IF(AV179="",0,VLOOKUP(J179,Tables!$B$3:$M$36,12,FALSE())*AF$1)</f>
        <v>72</v>
      </c>
      <c r="EM179" s="92">
        <f>IF(AW179="",0,VLOOKUP(K179,Tables!$B$3:$M$36,12,FALSE())*AG$1)</f>
        <v>72</v>
      </c>
      <c r="EN179" s="92">
        <f>IF(AX179="",0,VLOOKUP(L179,Tables!$B$3:$M$36,12,FALSE())*AH$1)</f>
        <v>60</v>
      </c>
      <c r="EO179" s="91">
        <f>IF(AY179="",0,VLOOKUP(M179,Tables!$B$3:$M$36,12,FALSE())*AI$1)</f>
        <v>0</v>
      </c>
      <c r="EP179" s="92">
        <f>IF(AZ179="",0,VLOOKUP(N179,Tables!$B$3:$M$36,12,FALSE())*AJ$1)</f>
        <v>0</v>
      </c>
      <c r="EQ179" s="92">
        <f>IF(BA179="",0,VLOOKUP(O179,Tables!$B$3:$M$36,12,FALSE())*AK$1)</f>
        <v>0</v>
      </c>
      <c r="ER179" s="93">
        <f>IF(BB179="",0,VLOOKUP(P179,Tables!$B$3:$M$36,12,FALSE())*AL$1)</f>
        <v>0</v>
      </c>
      <c r="ES179" s="94">
        <f t="shared" si="167"/>
        <v>0</v>
      </c>
      <c r="ET179" s="95">
        <f>IF(AN179="",10,MIN(VLOOKUP(B179,MATERIAL,13,FALSE()),'Item Builder'!$W179))</f>
        <v>10</v>
      </c>
      <c r="EU179" s="95">
        <f>IF(AO179="",10,MIN(VLOOKUP(C179,MATERIAL,13,FALSE()),'Item Builder'!$W179))</f>
        <v>10</v>
      </c>
      <c r="EV179" s="95">
        <f>IF(AP179="",10,MIN(VLOOKUP(D179,MATERIAL,13,FALSE()),'Item Builder'!$W179))</f>
        <v>10</v>
      </c>
      <c r="EW179" s="95">
        <f>IF(AQ179="",10,MIN(VLOOKUP(E179,MATERIAL,13,FALSE()),'Item Builder'!$W179))</f>
        <v>0</v>
      </c>
      <c r="EX179" s="95">
        <f>IF(AR179="",10,MIN(VLOOKUP(F179,MATERIAL,13,FALSE()),'Item Builder'!$W179))</f>
        <v>0</v>
      </c>
      <c r="EY179" s="95">
        <f>IF(AS179="",10,MIN(VLOOKUP(G179,MATERIAL,13,FALSE()),'Item Builder'!$W179))</f>
        <v>0</v>
      </c>
      <c r="EZ179" s="95">
        <f>IF(AT179="",10,MIN(VLOOKUP(H179,MATERIAL,13,FALSE()),'Item Builder'!$W179))</f>
        <v>10</v>
      </c>
      <c r="FA179" s="95">
        <f>IF(AU179="",10,MIN(VLOOKUP(I179,MATERIAL,13,FALSE()),'Item Builder'!$W179))</f>
        <v>10</v>
      </c>
      <c r="FB179" s="95">
        <f>IF(AV179="",10,MIN(VLOOKUP(J179,MATERIAL,13,FALSE()),'Item Builder'!$W179))</f>
        <v>0</v>
      </c>
      <c r="FC179" s="95">
        <f>IF(AW179="",10,MIN(VLOOKUP(K179,MATERIAL,13,FALSE()),'Item Builder'!$W179))</f>
        <v>0</v>
      </c>
      <c r="FD179" s="95">
        <f>IF(AX179="",10,MIN(VLOOKUP(L179,MATERIAL,13,FALSE()),'Item Builder'!$W179))</f>
        <v>0</v>
      </c>
      <c r="FE179" s="95">
        <f>IF(AY179="",10,MIN(VLOOKUP(M179,MATERIAL,13,FALSE()),'Item Builder'!$W179))</f>
        <v>10</v>
      </c>
      <c r="FF179" s="95">
        <f>IF(AZ179="",10,MIN(VLOOKUP(N179,MATERIAL,13,FALSE()),'Item Builder'!$W179))</f>
        <v>10</v>
      </c>
      <c r="FG179" s="95">
        <f>IF(BA179="",10,MIN(VLOOKUP(O179,MATERIAL,13,FALSE()),'Item Builder'!$W179))</f>
        <v>10</v>
      </c>
      <c r="FH179" s="95">
        <f>IF(BB179="",10,MIN(VLOOKUP(P179,MATERIAL,13,FALSE()),'Item Builder'!$W179))</f>
        <v>10</v>
      </c>
    </row>
    <row r="180" spans="1:164" x14ac:dyDescent="0.25">
      <c r="A180" s="67" t="s">
        <v>320</v>
      </c>
      <c r="B180" s="68"/>
      <c r="C180" s="69"/>
      <c r="D180" s="70"/>
      <c r="E180" s="68" t="s">
        <v>175</v>
      </c>
      <c r="F180" s="69" t="s">
        <v>175</v>
      </c>
      <c r="G180" s="69" t="s">
        <v>175</v>
      </c>
      <c r="H180" s="69" t="s">
        <v>175</v>
      </c>
      <c r="I180" s="70"/>
      <c r="J180" s="68" t="s">
        <v>175</v>
      </c>
      <c r="K180" s="69" t="s">
        <v>175</v>
      </c>
      <c r="L180" s="70" t="s">
        <v>175</v>
      </c>
      <c r="M180" s="68"/>
      <c r="N180" s="69"/>
      <c r="O180" s="69"/>
      <c r="P180" s="71"/>
      <c r="Q180" s="72">
        <f>SUM(BV180:CJ180)*VLOOKUP(W180,Tables!$W$3:$Z$8,4)</f>
        <v>350</v>
      </c>
      <c r="R180" s="73">
        <f t="shared" si="112"/>
        <v>1.25</v>
      </c>
      <c r="S180" s="74">
        <f t="shared" si="113"/>
        <v>0</v>
      </c>
      <c r="T180" s="74">
        <f t="shared" si="114"/>
        <v>0</v>
      </c>
      <c r="U180" s="75">
        <f t="shared" si="115"/>
        <v>10</v>
      </c>
      <c r="V180" s="76">
        <f t="shared" si="116"/>
        <v>300</v>
      </c>
      <c r="W180" s="77">
        <v>0</v>
      </c>
      <c r="X180" s="78">
        <f t="shared" si="117"/>
        <v>0</v>
      </c>
      <c r="Y180" s="79">
        <f t="shared" si="118"/>
        <v>0</v>
      </c>
      <c r="Z180" s="79">
        <f t="shared" si="119"/>
        <v>0</v>
      </c>
      <c r="AA180" s="78">
        <f t="shared" si="120"/>
        <v>1</v>
      </c>
      <c r="AB180" s="79">
        <f t="shared" si="121"/>
        <v>1</v>
      </c>
      <c r="AC180" s="79">
        <f t="shared" si="122"/>
        <v>1</v>
      </c>
      <c r="AD180" s="79">
        <f t="shared" si="123"/>
        <v>1</v>
      </c>
      <c r="AE180" s="79">
        <f t="shared" si="124"/>
        <v>0</v>
      </c>
      <c r="AF180" s="78">
        <f t="shared" si="125"/>
        <v>1</v>
      </c>
      <c r="AG180" s="79">
        <f t="shared" si="126"/>
        <v>1</v>
      </c>
      <c r="AH180" s="79">
        <f t="shared" si="127"/>
        <v>1</v>
      </c>
      <c r="AI180" s="78">
        <f t="shared" si="128"/>
        <v>0</v>
      </c>
      <c r="AJ180" s="79">
        <f t="shared" si="129"/>
        <v>0</v>
      </c>
      <c r="AK180" s="79">
        <f t="shared" si="130"/>
        <v>0</v>
      </c>
      <c r="AL180" s="80">
        <f t="shared" si="131"/>
        <v>0</v>
      </c>
      <c r="AM180" s="81">
        <f t="shared" si="132"/>
        <v>0.5</v>
      </c>
      <c r="AN180" s="82" t="str">
        <f t="shared" si="133"/>
        <v/>
      </c>
      <c r="AO180" s="79" t="str">
        <f t="shared" si="134"/>
        <v/>
      </c>
      <c r="AP180" t="str">
        <f t="shared" si="135"/>
        <v/>
      </c>
      <c r="AQ180" s="82" t="str">
        <f t="shared" si="136"/>
        <v>X</v>
      </c>
      <c r="AR180" t="str">
        <f t="shared" si="137"/>
        <v>X</v>
      </c>
      <c r="AS180" t="str">
        <f t="shared" si="138"/>
        <v>X</v>
      </c>
      <c r="AT180" t="str">
        <f t="shared" si="139"/>
        <v>X</v>
      </c>
      <c r="AU180" t="str">
        <f t="shared" si="140"/>
        <v/>
      </c>
      <c r="AV180" s="82" t="str">
        <f t="shared" si="141"/>
        <v>X</v>
      </c>
      <c r="AW180" t="str">
        <f t="shared" si="142"/>
        <v>X</v>
      </c>
      <c r="AX180" t="str">
        <f t="shared" si="143"/>
        <v>X</v>
      </c>
      <c r="AY180" s="82" t="str">
        <f t="shared" si="144"/>
        <v/>
      </c>
      <c r="AZ180" t="str">
        <f t="shared" si="145"/>
        <v/>
      </c>
      <c r="BA180" t="str">
        <f t="shared" si="146"/>
        <v/>
      </c>
      <c r="BB180" s="83" t="str">
        <f t="shared" si="147"/>
        <v/>
      </c>
      <c r="BC180" s="84">
        <f t="shared" si="148"/>
        <v>0</v>
      </c>
      <c r="BD180" s="84">
        <f t="shared" si="149"/>
        <v>0.76190476190476186</v>
      </c>
      <c r="BE180" s="84">
        <f t="shared" si="150"/>
        <v>1</v>
      </c>
      <c r="BF180" s="84">
        <f t="shared" si="151"/>
        <v>0</v>
      </c>
      <c r="BG180" s="78">
        <f>IF(AN180="",0,VLOOKUP(AN180,Tables!$AB$3:$AC$12,2))</f>
        <v>0</v>
      </c>
      <c r="BH180" s="79">
        <f>IF(AO180="",0,VLOOKUP(AO180,Tables!$AB$3:$AC$12,2))</f>
        <v>0</v>
      </c>
      <c r="BI180" s="79">
        <f>IF(AP180="",0,VLOOKUP(AP180,Tables!$AB$3:$AC$12,2))</f>
        <v>0</v>
      </c>
      <c r="BJ180" s="78">
        <f>IF(AQ180="",0,VLOOKUP(AQ180,Tables!$AB$3:$AC$12,2))</f>
        <v>1</v>
      </c>
      <c r="BK180" s="79">
        <f>IF(AR180="",0,VLOOKUP(AR180,Tables!$AB$3:$AC$12,2))</f>
        <v>1</v>
      </c>
      <c r="BL180" s="79">
        <f>IF(AS180="",0,VLOOKUP(AS180,Tables!$AB$3:$AC$12,2))</f>
        <v>1</v>
      </c>
      <c r="BM180" s="79">
        <f>IF(AT180="",0,VLOOKUP(AT180,Tables!$AB$3:$AC$12,2))</f>
        <v>1</v>
      </c>
      <c r="BN180" s="79">
        <f>IF(AU180="",0,VLOOKUP(AU180,Tables!$AB$3:$AC$12,2))</f>
        <v>0</v>
      </c>
      <c r="BO180" s="78">
        <f>IF(AV180="",0,VLOOKUP(AV180,Tables!$AB$3:$AC$12,2))</f>
        <v>1</v>
      </c>
      <c r="BP180" s="79">
        <f>IF(AW180="",0,VLOOKUP(AW180,Tables!$AB$3:$AC$12,2))</f>
        <v>1</v>
      </c>
      <c r="BQ180" s="79">
        <f>IF(AX180="",0,VLOOKUP(AX180,Tables!$AB$3:$AC$12,2))</f>
        <v>1</v>
      </c>
      <c r="BR180" s="78">
        <f>IF(AY180="",0,VLOOKUP(AY180,Tables!$AB$3:$AC$12,2))</f>
        <v>0</v>
      </c>
      <c r="BS180" s="79">
        <f>IF(AZ180="",0,VLOOKUP(AZ180,Tables!$AB$3:$AC$12,2))</f>
        <v>0</v>
      </c>
      <c r="BT180" s="79">
        <f>IF(BA180="",0,VLOOKUP(BA180,Tables!$AB$3:$AC$12,2))</f>
        <v>0</v>
      </c>
      <c r="BU180" s="80">
        <f>IF(BB180="",0,VLOOKUP(BB180,Tables!$AB$3:$AC$12,2))</f>
        <v>0</v>
      </c>
      <c r="BV180" s="85">
        <f>IF(AN180="",0,VLOOKUP(B180,Tables!$B$3:$D$36,2,FALSE())*X$1)</f>
        <v>0</v>
      </c>
      <c r="BW180" s="72">
        <f>IF(AO180="",0,VLOOKUP(C180,Tables!$B$3:$D$36,2,FALSE())*Y$1)</f>
        <v>0</v>
      </c>
      <c r="BX180" s="72">
        <f>IF(AP180="",0,VLOOKUP(D180,Tables!$B$3:$D$36,2,FALSE())*Z$1)</f>
        <v>0</v>
      </c>
      <c r="BY180" s="85">
        <f>IF(AQ180="",0,VLOOKUP(E180,Tables!$B$3:$D$36,2,FALSE())*AA$1)</f>
        <v>21</v>
      </c>
      <c r="BZ180" s="72">
        <f>IF(AR180="",0,VLOOKUP(F180,Tables!$B$3:$D$36,2,FALSE())*AB$1)</f>
        <v>42</v>
      </c>
      <c r="CA180" s="72">
        <f>IF(AS180="",0,VLOOKUP(G180,Tables!$B$3:$D$36,2,FALSE())*AC$1)</f>
        <v>14</v>
      </c>
      <c r="CB180" s="72">
        <f>IF(AT180="",0,VLOOKUP(H180,Tables!$B$3:$D$36,2,FALSE())*AD$1)</f>
        <v>35</v>
      </c>
      <c r="CC180" s="72">
        <f>IF(AU180="",0,VLOOKUP(I180,Tables!$B$3:$D$36,2,FALSE())*AE$1)</f>
        <v>0</v>
      </c>
      <c r="CD180" s="85">
        <f>IF(AV180="",0,VLOOKUP(J180,Tables!$B$3:$D$36,2,FALSE())*AF$1)</f>
        <v>84</v>
      </c>
      <c r="CE180" s="72">
        <f>IF(AW180="",0,VLOOKUP(K180,Tables!$B$3:$D$36,2,FALSE())*AG$1)</f>
        <v>84</v>
      </c>
      <c r="CF180" s="72">
        <f>IF(AX180="",0,VLOOKUP(L180,Tables!$B$3:$D$36,2,FALSE())*AH$1)</f>
        <v>70</v>
      </c>
      <c r="CG180" s="85">
        <f>IF(AY180="",0,VLOOKUP(M180,Tables!$B$3:$D$36,2,FALSE())*AI$1)</f>
        <v>0</v>
      </c>
      <c r="CH180" s="72">
        <f>IF(AZ180="",0,VLOOKUP(N180,Tables!$B$3:$D$36,2,FALSE())*AJ$1)</f>
        <v>0</v>
      </c>
      <c r="CI180" s="72">
        <f>IF(BA180="",0,VLOOKUP(O180,Tables!$B$3:$D$36,2,FALSE())*AK$1)</f>
        <v>0</v>
      </c>
      <c r="CJ180" s="86">
        <f>IF(BB180="",0,VLOOKUP(P180,Tables!$B$3:$D$36,2,FALSE())*AL$1)</f>
        <v>0</v>
      </c>
      <c r="CK180" s="87">
        <f>IF(AN180="",0,VLOOKUP(B180,Tables!$B$3:$D$36,3,FALSE())*X$1)*IF(OR(AN180="K",AN180="P"),2,1)</f>
        <v>0</v>
      </c>
      <c r="CL180" s="73">
        <f>IF(AO180="",0,VLOOKUP(C180,Tables!$B$3:$D$36,3,FALSE())*Y$1)*IF(OR(AO180="K",AO180="P"),2,1)</f>
        <v>0</v>
      </c>
      <c r="CM180" s="73">
        <f>IF(AP180="",0,VLOOKUP(D180,Tables!$B$3:$D$36,3,FALSE())*Z$1)*IF(OR(AP180="K",AP180="P"),2,1)</f>
        <v>0</v>
      </c>
      <c r="CN180" s="87">
        <f>IF(AQ180="",0,VLOOKUP(E180,Tables!$B$3:$D$36,3,FALSE())*AA$1)</f>
        <v>7.4999999999999997E-2</v>
      </c>
      <c r="CO180" s="73">
        <f>IF(AR180="",0,VLOOKUP(F180,Tables!$B$3:$D$36,3,FALSE())*AB$1)</f>
        <v>0.15</v>
      </c>
      <c r="CP180" s="73">
        <f>IF(AS180="",0,VLOOKUP(G180,Tables!$B$3:$D$36,3,FALSE())*AC$1)</f>
        <v>0.05</v>
      </c>
      <c r="CQ180" s="73">
        <f>IF(AT180="",0,VLOOKUP(H180,Tables!$B$3:$D$36,3,FALSE())*AD$1)</f>
        <v>0.125</v>
      </c>
      <c r="CR180" s="73">
        <f>IF(AU180="",0,VLOOKUP(I180,Tables!$B$3:$D$36,3,FALSE())*AE$1)</f>
        <v>0</v>
      </c>
      <c r="CS180" s="87">
        <f>IF(AV180="",0,VLOOKUP(J180,Tables!$B$3:$D$36,3,FALSE())*AF$1)</f>
        <v>0.3</v>
      </c>
      <c r="CT180" s="73">
        <f>IF(AW180="",0,VLOOKUP(K180,Tables!$B$3:$D$36,3,FALSE())*AG$1)</f>
        <v>0.3</v>
      </c>
      <c r="CU180" s="73">
        <f>IF(AX180="",0,VLOOKUP(L180,Tables!$B$3:$D$36,3,FALSE())*AH$1)</f>
        <v>0.25</v>
      </c>
      <c r="CV180" s="87">
        <f>IF(AY180="",0,VLOOKUP(M180,Tables!$B$3:$D$36,3,FALSE())*AI$1)</f>
        <v>0</v>
      </c>
      <c r="CW180" s="73">
        <f>IF(AZ180="",0,VLOOKUP(N180,Tables!$B$3:$D$36,3,FALSE())*AJ$1)</f>
        <v>0</v>
      </c>
      <c r="CX180" s="73">
        <f>IF(BA180="",0,VLOOKUP(O180,Tables!$B$3:$D$36,3,FALSE())*AK$1)</f>
        <v>0</v>
      </c>
      <c r="CY180" s="88">
        <f>IF(BB180="",0,VLOOKUP(P180,Tables!$B$3:$D$36,3,FALSE())*AL$1)</f>
        <v>0</v>
      </c>
      <c r="CZ180" s="89">
        <f t="shared" si="152"/>
        <v>0</v>
      </c>
      <c r="DA180" s="75">
        <f t="shared" si="153"/>
        <v>0</v>
      </c>
      <c r="DB180" s="75">
        <f t="shared" si="154"/>
        <v>0</v>
      </c>
      <c r="DC180" s="89">
        <f t="shared" si="155"/>
        <v>1</v>
      </c>
      <c r="DD180" s="75">
        <f t="shared" si="156"/>
        <v>1</v>
      </c>
      <c r="DE180" s="75">
        <f t="shared" si="157"/>
        <v>1</v>
      </c>
      <c r="DF180" s="75">
        <f t="shared" si="158"/>
        <v>1</v>
      </c>
      <c r="DG180" s="75">
        <f t="shared" si="159"/>
        <v>0</v>
      </c>
      <c r="DH180" s="89">
        <f t="shared" si="160"/>
        <v>1</v>
      </c>
      <c r="DI180" s="75">
        <f t="shared" si="161"/>
        <v>1</v>
      </c>
      <c r="DJ180" s="75">
        <f t="shared" si="162"/>
        <v>1</v>
      </c>
      <c r="DK180" s="89">
        <f t="shared" si="163"/>
        <v>0</v>
      </c>
      <c r="DL180" s="75">
        <f t="shared" si="164"/>
        <v>0</v>
      </c>
      <c r="DM180" s="75">
        <f t="shared" si="165"/>
        <v>0</v>
      </c>
      <c r="DN180" s="90">
        <f t="shared" si="166"/>
        <v>0</v>
      </c>
      <c r="DO180" s="91">
        <f>IF(AN180="",0,VLOOKUP(B180,Tables!$B$3:$M$36,11,FALSE())*X$1)</f>
        <v>0</v>
      </c>
      <c r="DP180" s="92">
        <f>IF(AO180="",0,VLOOKUP(C180,Tables!$B$3:$M$36,11,FALSE())*Y$1)</f>
        <v>0</v>
      </c>
      <c r="DQ180" s="92">
        <f>IF(AP180="",0,VLOOKUP(D180,Tables!$B$3:$M$36,11,FALSE())*Z$1)</f>
        <v>0</v>
      </c>
      <c r="DR180" s="91">
        <f>IF(AQ180="",0,VLOOKUP(E180,Tables!$B$3:$M$36,11,FALSE())*AA$1)</f>
        <v>0.6</v>
      </c>
      <c r="DS180" s="92">
        <f>IF(AR180="",0,VLOOKUP(F180,Tables!$B$3:$M$36,11,FALSE())*AB$1)</f>
        <v>1.2</v>
      </c>
      <c r="DT180" s="92">
        <f>IF(AS180="",0,VLOOKUP(G180,Tables!$B$3:$M$36,11,FALSE())*AC$1)</f>
        <v>0.4</v>
      </c>
      <c r="DU180" s="92">
        <f>IF(AT180="",0,VLOOKUP(H180,Tables!$B$3:$M$36,11,FALSE())*AD$1)</f>
        <v>1</v>
      </c>
      <c r="DV180" s="92">
        <f>IF(AU180="",0,VLOOKUP(I180,Tables!$B$3:$M$36,11,FALSE())*AE$1)</f>
        <v>0</v>
      </c>
      <c r="DW180" s="91">
        <f>IF(AV180="",0,VLOOKUP(J180,Tables!$B$3:$M$36,11,FALSE())*AF$1)</f>
        <v>2.4</v>
      </c>
      <c r="DX180" s="92">
        <f>IF(AW180="",0,VLOOKUP(K180,Tables!$B$3:$M$36,11,FALSE())*AG$1)</f>
        <v>2.4</v>
      </c>
      <c r="DY180" s="92">
        <f>IF(AX180="",0,VLOOKUP(L180,Tables!$B$3:$M$36,11,FALSE())*AH$1)</f>
        <v>2</v>
      </c>
      <c r="DZ180" s="91">
        <f>IF(AY180="",0,VLOOKUP(M180,Tables!$B$3:$M$36,11,FALSE())*AI$1)</f>
        <v>0</v>
      </c>
      <c r="EA180" s="92">
        <f>IF(AZ180="",0,VLOOKUP(N180,Tables!$B$3:$M$36,11,FALSE())*AJ$1)</f>
        <v>0</v>
      </c>
      <c r="EB180" s="92">
        <f>IF(BA180="",0,VLOOKUP(O180,Tables!$B$3:$M$36,11,FALSE())*AK$1)</f>
        <v>0</v>
      </c>
      <c r="EC180" s="93">
        <f>IF(BB180="",0,VLOOKUP(P180,Tables!$B$3:$M$36,11,FALSE())*AL$1)</f>
        <v>0</v>
      </c>
      <c r="ED180" s="91">
        <f>IF(AN180="",0,VLOOKUP(B180,Tables!$B$3:$M$36,12,FALSE())*X$1)</f>
        <v>0</v>
      </c>
      <c r="EE180" s="92">
        <f>IF(AO180="",0,VLOOKUP(C180,Tables!$B$3:$M$36,12,FALSE())*Y$1)</f>
        <v>0</v>
      </c>
      <c r="EF180" s="92">
        <f>IF(AP180="",0,VLOOKUP(D180,Tables!$B$3:$M$36,12,FALSE())*Z$1)</f>
        <v>0</v>
      </c>
      <c r="EG180" s="91">
        <f>IF(AQ180="",0,VLOOKUP(E180,Tables!$B$3:$M$36,12,FALSE())*AA$1)</f>
        <v>18</v>
      </c>
      <c r="EH180" s="92">
        <f>IF(AR180="",0,VLOOKUP(F180,Tables!$B$3:$M$36,12,FALSE())*AB$1)</f>
        <v>36</v>
      </c>
      <c r="EI180" s="92">
        <f>IF(AS180="",0,VLOOKUP(G180,Tables!$B$3:$M$36,12,FALSE())*AC$1)</f>
        <v>12</v>
      </c>
      <c r="EJ180" s="92">
        <f>IF(AT180="",0,VLOOKUP(H180,Tables!$B$3:$M$36,12,FALSE())*AD$1)</f>
        <v>30</v>
      </c>
      <c r="EK180" s="92">
        <f>IF(AU180="",0,VLOOKUP(I180,Tables!$B$3:$M$36,12,FALSE())*AE$1)</f>
        <v>0</v>
      </c>
      <c r="EL180" s="91">
        <f>IF(AV180="",0,VLOOKUP(J180,Tables!$B$3:$M$36,12,FALSE())*AF$1)</f>
        <v>72</v>
      </c>
      <c r="EM180" s="92">
        <f>IF(AW180="",0,VLOOKUP(K180,Tables!$B$3:$M$36,12,FALSE())*AG$1)</f>
        <v>72</v>
      </c>
      <c r="EN180" s="92">
        <f>IF(AX180="",0,VLOOKUP(L180,Tables!$B$3:$M$36,12,FALSE())*AH$1)</f>
        <v>60</v>
      </c>
      <c r="EO180" s="91">
        <f>IF(AY180="",0,VLOOKUP(M180,Tables!$B$3:$M$36,12,FALSE())*AI$1)</f>
        <v>0</v>
      </c>
      <c r="EP180" s="92">
        <f>IF(AZ180="",0,VLOOKUP(N180,Tables!$B$3:$M$36,12,FALSE())*AJ$1)</f>
        <v>0</v>
      </c>
      <c r="EQ180" s="92">
        <f>IF(BA180="",0,VLOOKUP(O180,Tables!$B$3:$M$36,12,FALSE())*AK$1)</f>
        <v>0</v>
      </c>
      <c r="ER180" s="93">
        <f>IF(BB180="",0,VLOOKUP(P180,Tables!$B$3:$M$36,12,FALSE())*AL$1)</f>
        <v>0</v>
      </c>
      <c r="ES180" s="94">
        <f t="shared" si="167"/>
        <v>0</v>
      </c>
      <c r="ET180" s="95">
        <f>IF(AN180="",10,MIN(VLOOKUP(B180,MATERIAL,13,FALSE()),'Item Builder'!$W180))</f>
        <v>10</v>
      </c>
      <c r="EU180" s="95">
        <f>IF(AO180="",10,MIN(VLOOKUP(C180,MATERIAL,13,FALSE()),'Item Builder'!$W180))</f>
        <v>10</v>
      </c>
      <c r="EV180" s="95">
        <f>IF(AP180="",10,MIN(VLOOKUP(D180,MATERIAL,13,FALSE()),'Item Builder'!$W180))</f>
        <v>10</v>
      </c>
      <c r="EW180" s="95">
        <f>IF(AQ180="",10,MIN(VLOOKUP(E180,MATERIAL,13,FALSE()),'Item Builder'!$W180))</f>
        <v>0</v>
      </c>
      <c r="EX180" s="95">
        <f>IF(AR180="",10,MIN(VLOOKUP(F180,MATERIAL,13,FALSE()),'Item Builder'!$W180))</f>
        <v>0</v>
      </c>
      <c r="EY180" s="95">
        <f>IF(AS180="",10,MIN(VLOOKUP(G180,MATERIAL,13,FALSE()),'Item Builder'!$W180))</f>
        <v>0</v>
      </c>
      <c r="EZ180" s="95">
        <f>IF(AT180="",10,MIN(VLOOKUP(H180,MATERIAL,13,FALSE()),'Item Builder'!$W180))</f>
        <v>0</v>
      </c>
      <c r="FA180" s="95">
        <f>IF(AU180="",10,MIN(VLOOKUP(I180,MATERIAL,13,FALSE()),'Item Builder'!$W180))</f>
        <v>10</v>
      </c>
      <c r="FB180" s="95">
        <f>IF(AV180="",10,MIN(VLOOKUP(J180,MATERIAL,13,FALSE()),'Item Builder'!$W180))</f>
        <v>0</v>
      </c>
      <c r="FC180" s="95">
        <f>IF(AW180="",10,MIN(VLOOKUP(K180,MATERIAL,13,FALSE()),'Item Builder'!$W180))</f>
        <v>0</v>
      </c>
      <c r="FD180" s="95">
        <f>IF(AX180="",10,MIN(VLOOKUP(L180,MATERIAL,13,FALSE()),'Item Builder'!$W180))</f>
        <v>0</v>
      </c>
      <c r="FE180" s="95">
        <f>IF(AY180="",10,MIN(VLOOKUP(M180,MATERIAL,13,FALSE()),'Item Builder'!$W180))</f>
        <v>10</v>
      </c>
      <c r="FF180" s="95">
        <f>IF(AZ180="",10,MIN(VLOOKUP(N180,MATERIAL,13,FALSE()),'Item Builder'!$W180))</f>
        <v>10</v>
      </c>
      <c r="FG180" s="95">
        <f>IF(BA180="",10,MIN(VLOOKUP(O180,MATERIAL,13,FALSE()),'Item Builder'!$W180))</f>
        <v>10</v>
      </c>
      <c r="FH180" s="95">
        <f>IF(BB180="",10,MIN(VLOOKUP(P180,MATERIAL,13,FALSE()),'Item Builder'!$W180))</f>
        <v>10</v>
      </c>
    </row>
    <row r="181" spans="1:164" x14ac:dyDescent="0.25">
      <c r="A181" s="67" t="s">
        <v>321</v>
      </c>
      <c r="B181" s="68"/>
      <c r="C181" s="69"/>
      <c r="D181" s="70"/>
      <c r="E181" s="68" t="s">
        <v>175</v>
      </c>
      <c r="F181" s="69" t="s">
        <v>175</v>
      </c>
      <c r="G181" s="69" t="s">
        <v>175</v>
      </c>
      <c r="H181" s="69" t="s">
        <v>175</v>
      </c>
      <c r="I181" s="70"/>
      <c r="J181" s="68" t="s">
        <v>175</v>
      </c>
      <c r="K181" s="69" t="s">
        <v>175</v>
      </c>
      <c r="L181" s="70" t="s">
        <v>175</v>
      </c>
      <c r="M181" s="68" t="s">
        <v>175</v>
      </c>
      <c r="N181" s="69"/>
      <c r="O181" s="69"/>
      <c r="P181" s="71"/>
      <c r="Q181" s="72">
        <f>SUM(BV181:CJ181)*VLOOKUP(W181,Tables!$W$3:$Z$8,4)</f>
        <v>448</v>
      </c>
      <c r="R181" s="73">
        <f t="shared" si="112"/>
        <v>1.6</v>
      </c>
      <c r="S181" s="74">
        <f t="shared" si="113"/>
        <v>0</v>
      </c>
      <c r="T181" s="74">
        <f t="shared" si="114"/>
        <v>0</v>
      </c>
      <c r="U181" s="75">
        <f t="shared" si="115"/>
        <v>12.8</v>
      </c>
      <c r="V181" s="76">
        <f t="shared" si="116"/>
        <v>384</v>
      </c>
      <c r="W181" s="77">
        <v>0</v>
      </c>
      <c r="X181" s="78">
        <f t="shared" si="117"/>
        <v>0</v>
      </c>
      <c r="Y181" s="79">
        <f t="shared" si="118"/>
        <v>0</v>
      </c>
      <c r="Z181" s="79">
        <f t="shared" si="119"/>
        <v>0</v>
      </c>
      <c r="AA181" s="78">
        <f t="shared" si="120"/>
        <v>1</v>
      </c>
      <c r="AB181" s="79">
        <f t="shared" si="121"/>
        <v>1</v>
      </c>
      <c r="AC181" s="79">
        <f t="shared" si="122"/>
        <v>1</v>
      </c>
      <c r="AD181" s="79">
        <f t="shared" si="123"/>
        <v>1</v>
      </c>
      <c r="AE181" s="79">
        <f t="shared" si="124"/>
        <v>0</v>
      </c>
      <c r="AF181" s="78">
        <f t="shared" si="125"/>
        <v>1</v>
      </c>
      <c r="AG181" s="79">
        <f t="shared" si="126"/>
        <v>1</v>
      </c>
      <c r="AH181" s="79">
        <f t="shared" si="127"/>
        <v>1</v>
      </c>
      <c r="AI181" s="78">
        <f t="shared" si="128"/>
        <v>1</v>
      </c>
      <c r="AJ181" s="79">
        <f t="shared" si="129"/>
        <v>0</v>
      </c>
      <c r="AK181" s="79">
        <f t="shared" si="130"/>
        <v>0</v>
      </c>
      <c r="AL181" s="80">
        <f t="shared" si="131"/>
        <v>0</v>
      </c>
      <c r="AM181" s="81">
        <f t="shared" si="132"/>
        <v>0.64</v>
      </c>
      <c r="AN181" s="82" t="str">
        <f t="shared" si="133"/>
        <v/>
      </c>
      <c r="AO181" s="79" t="str">
        <f t="shared" si="134"/>
        <v/>
      </c>
      <c r="AP181" t="str">
        <f t="shared" si="135"/>
        <v/>
      </c>
      <c r="AQ181" s="82" t="str">
        <f t="shared" si="136"/>
        <v>X</v>
      </c>
      <c r="AR181" t="str">
        <f t="shared" si="137"/>
        <v>X</v>
      </c>
      <c r="AS181" t="str">
        <f t="shared" si="138"/>
        <v>X</v>
      </c>
      <c r="AT181" t="str">
        <f t="shared" si="139"/>
        <v>X</v>
      </c>
      <c r="AU181" t="str">
        <f t="shared" si="140"/>
        <v/>
      </c>
      <c r="AV181" s="82" t="str">
        <f t="shared" si="141"/>
        <v>X</v>
      </c>
      <c r="AW181" t="str">
        <f t="shared" si="142"/>
        <v>X</v>
      </c>
      <c r="AX181" t="str">
        <f t="shared" si="143"/>
        <v>X</v>
      </c>
      <c r="AY181" s="82" t="str">
        <f t="shared" si="144"/>
        <v>X</v>
      </c>
      <c r="AZ181" t="str">
        <f t="shared" si="145"/>
        <v/>
      </c>
      <c r="BA181" t="str">
        <f t="shared" si="146"/>
        <v/>
      </c>
      <c r="BB181" s="83" t="str">
        <f t="shared" si="147"/>
        <v/>
      </c>
      <c r="BC181" s="84">
        <f t="shared" si="148"/>
        <v>0</v>
      </c>
      <c r="BD181" s="84">
        <f t="shared" si="149"/>
        <v>0.76190476190476186</v>
      </c>
      <c r="BE181" s="84">
        <f t="shared" si="150"/>
        <v>1</v>
      </c>
      <c r="BF181" s="84">
        <f t="shared" si="151"/>
        <v>0.3888888888888889</v>
      </c>
      <c r="BG181" s="78">
        <f>IF(AN181="",0,VLOOKUP(AN181,Tables!$AB$3:$AC$12,2))</f>
        <v>0</v>
      </c>
      <c r="BH181" s="79">
        <f>IF(AO181="",0,VLOOKUP(AO181,Tables!$AB$3:$AC$12,2))</f>
        <v>0</v>
      </c>
      <c r="BI181" s="79">
        <f>IF(AP181="",0,VLOOKUP(AP181,Tables!$AB$3:$AC$12,2))</f>
        <v>0</v>
      </c>
      <c r="BJ181" s="78">
        <f>IF(AQ181="",0,VLOOKUP(AQ181,Tables!$AB$3:$AC$12,2))</f>
        <v>1</v>
      </c>
      <c r="BK181" s="79">
        <f>IF(AR181="",0,VLOOKUP(AR181,Tables!$AB$3:$AC$12,2))</f>
        <v>1</v>
      </c>
      <c r="BL181" s="79">
        <f>IF(AS181="",0,VLOOKUP(AS181,Tables!$AB$3:$AC$12,2))</f>
        <v>1</v>
      </c>
      <c r="BM181" s="79">
        <f>IF(AT181="",0,VLOOKUP(AT181,Tables!$AB$3:$AC$12,2))</f>
        <v>1</v>
      </c>
      <c r="BN181" s="79">
        <f>IF(AU181="",0,VLOOKUP(AU181,Tables!$AB$3:$AC$12,2))</f>
        <v>0</v>
      </c>
      <c r="BO181" s="78">
        <f>IF(AV181="",0,VLOOKUP(AV181,Tables!$AB$3:$AC$12,2))</f>
        <v>1</v>
      </c>
      <c r="BP181" s="79">
        <f>IF(AW181="",0,VLOOKUP(AW181,Tables!$AB$3:$AC$12,2))</f>
        <v>1</v>
      </c>
      <c r="BQ181" s="79">
        <f>IF(AX181="",0,VLOOKUP(AX181,Tables!$AB$3:$AC$12,2))</f>
        <v>1</v>
      </c>
      <c r="BR181" s="78">
        <f>IF(AY181="",0,VLOOKUP(AY181,Tables!$AB$3:$AC$12,2))</f>
        <v>1</v>
      </c>
      <c r="BS181" s="79">
        <f>IF(AZ181="",0,VLOOKUP(AZ181,Tables!$AB$3:$AC$12,2))</f>
        <v>0</v>
      </c>
      <c r="BT181" s="79">
        <f>IF(BA181="",0,VLOOKUP(BA181,Tables!$AB$3:$AC$12,2))</f>
        <v>0</v>
      </c>
      <c r="BU181" s="80">
        <f>IF(BB181="",0,VLOOKUP(BB181,Tables!$AB$3:$AC$12,2))</f>
        <v>0</v>
      </c>
      <c r="BV181" s="85">
        <f>IF(AN181="",0,VLOOKUP(B181,Tables!$B$3:$D$36,2,FALSE())*X$1)</f>
        <v>0</v>
      </c>
      <c r="BW181" s="72">
        <f>IF(AO181="",0,VLOOKUP(C181,Tables!$B$3:$D$36,2,FALSE())*Y$1)</f>
        <v>0</v>
      </c>
      <c r="BX181" s="72">
        <f>IF(AP181="",0,VLOOKUP(D181,Tables!$B$3:$D$36,2,FALSE())*Z$1)</f>
        <v>0</v>
      </c>
      <c r="BY181" s="85">
        <f>IF(AQ181="",0,VLOOKUP(E181,Tables!$B$3:$D$36,2,FALSE())*AA$1)</f>
        <v>21</v>
      </c>
      <c r="BZ181" s="72">
        <f>IF(AR181="",0,VLOOKUP(F181,Tables!$B$3:$D$36,2,FALSE())*AB$1)</f>
        <v>42</v>
      </c>
      <c r="CA181" s="72">
        <f>IF(AS181="",0,VLOOKUP(G181,Tables!$B$3:$D$36,2,FALSE())*AC$1)</f>
        <v>14</v>
      </c>
      <c r="CB181" s="72">
        <f>IF(AT181="",0,VLOOKUP(H181,Tables!$B$3:$D$36,2,FALSE())*AD$1)</f>
        <v>35</v>
      </c>
      <c r="CC181" s="72">
        <f>IF(AU181="",0,VLOOKUP(I181,Tables!$B$3:$D$36,2,FALSE())*AE$1)</f>
        <v>0</v>
      </c>
      <c r="CD181" s="85">
        <f>IF(AV181="",0,VLOOKUP(J181,Tables!$B$3:$D$36,2,FALSE())*AF$1)</f>
        <v>84</v>
      </c>
      <c r="CE181" s="72">
        <f>IF(AW181="",0,VLOOKUP(K181,Tables!$B$3:$D$36,2,FALSE())*AG$1)</f>
        <v>84</v>
      </c>
      <c r="CF181" s="72">
        <f>IF(AX181="",0,VLOOKUP(L181,Tables!$B$3:$D$36,2,FALSE())*AH$1)</f>
        <v>70</v>
      </c>
      <c r="CG181" s="85">
        <f>IF(AY181="",0,VLOOKUP(M181,Tables!$B$3:$D$36,2,FALSE())*AI$1)</f>
        <v>98.000000000000014</v>
      </c>
      <c r="CH181" s="72">
        <f>IF(AZ181="",0,VLOOKUP(N181,Tables!$B$3:$D$36,2,FALSE())*AJ$1)</f>
        <v>0</v>
      </c>
      <c r="CI181" s="72">
        <f>IF(BA181="",0,VLOOKUP(O181,Tables!$B$3:$D$36,2,FALSE())*AK$1)</f>
        <v>0</v>
      </c>
      <c r="CJ181" s="86">
        <f>IF(BB181="",0,VLOOKUP(P181,Tables!$B$3:$D$36,2,FALSE())*AL$1)</f>
        <v>0</v>
      </c>
      <c r="CK181" s="87">
        <f>IF(AN181="",0,VLOOKUP(B181,Tables!$B$3:$D$36,3,FALSE())*X$1)*IF(OR(AN181="K",AN181="P"),2,1)</f>
        <v>0</v>
      </c>
      <c r="CL181" s="73">
        <f>IF(AO181="",0,VLOOKUP(C181,Tables!$B$3:$D$36,3,FALSE())*Y$1)*IF(OR(AO181="K",AO181="P"),2,1)</f>
        <v>0</v>
      </c>
      <c r="CM181" s="73">
        <f>IF(AP181="",0,VLOOKUP(D181,Tables!$B$3:$D$36,3,FALSE())*Z$1)*IF(OR(AP181="K",AP181="P"),2,1)</f>
        <v>0</v>
      </c>
      <c r="CN181" s="87">
        <f>IF(AQ181="",0,VLOOKUP(E181,Tables!$B$3:$D$36,3,FALSE())*AA$1)</f>
        <v>7.4999999999999997E-2</v>
      </c>
      <c r="CO181" s="73">
        <f>IF(AR181="",0,VLOOKUP(F181,Tables!$B$3:$D$36,3,FALSE())*AB$1)</f>
        <v>0.15</v>
      </c>
      <c r="CP181" s="73">
        <f>IF(AS181="",0,VLOOKUP(G181,Tables!$B$3:$D$36,3,FALSE())*AC$1)</f>
        <v>0.05</v>
      </c>
      <c r="CQ181" s="73">
        <f>IF(AT181="",0,VLOOKUP(H181,Tables!$B$3:$D$36,3,FALSE())*AD$1)</f>
        <v>0.125</v>
      </c>
      <c r="CR181" s="73">
        <f>IF(AU181="",0,VLOOKUP(I181,Tables!$B$3:$D$36,3,FALSE())*AE$1)</f>
        <v>0</v>
      </c>
      <c r="CS181" s="87">
        <f>IF(AV181="",0,VLOOKUP(J181,Tables!$B$3:$D$36,3,FALSE())*AF$1)</f>
        <v>0.3</v>
      </c>
      <c r="CT181" s="73">
        <f>IF(AW181="",0,VLOOKUP(K181,Tables!$B$3:$D$36,3,FALSE())*AG$1)</f>
        <v>0.3</v>
      </c>
      <c r="CU181" s="73">
        <f>IF(AX181="",0,VLOOKUP(L181,Tables!$B$3:$D$36,3,FALSE())*AH$1)</f>
        <v>0.25</v>
      </c>
      <c r="CV181" s="87">
        <f>IF(AY181="",0,VLOOKUP(M181,Tables!$B$3:$D$36,3,FALSE())*AI$1)</f>
        <v>0.35000000000000003</v>
      </c>
      <c r="CW181" s="73">
        <f>IF(AZ181="",0,VLOOKUP(N181,Tables!$B$3:$D$36,3,FALSE())*AJ$1)</f>
        <v>0</v>
      </c>
      <c r="CX181" s="73">
        <f>IF(BA181="",0,VLOOKUP(O181,Tables!$B$3:$D$36,3,FALSE())*AK$1)</f>
        <v>0</v>
      </c>
      <c r="CY181" s="88">
        <f>IF(BB181="",0,VLOOKUP(P181,Tables!$B$3:$D$36,3,FALSE())*AL$1)</f>
        <v>0</v>
      </c>
      <c r="CZ181" s="89">
        <f t="shared" si="152"/>
        <v>0</v>
      </c>
      <c r="DA181" s="75">
        <f t="shared" si="153"/>
        <v>0</v>
      </c>
      <c r="DB181" s="75">
        <f t="shared" si="154"/>
        <v>0</v>
      </c>
      <c r="DC181" s="89">
        <f t="shared" si="155"/>
        <v>1</v>
      </c>
      <c r="DD181" s="75">
        <f t="shared" si="156"/>
        <v>1</v>
      </c>
      <c r="DE181" s="75">
        <f t="shared" si="157"/>
        <v>1</v>
      </c>
      <c r="DF181" s="75">
        <f t="shared" si="158"/>
        <v>1</v>
      </c>
      <c r="DG181" s="75">
        <f t="shared" si="159"/>
        <v>0</v>
      </c>
      <c r="DH181" s="89">
        <f t="shared" si="160"/>
        <v>1</v>
      </c>
      <c r="DI181" s="75">
        <f t="shared" si="161"/>
        <v>1</v>
      </c>
      <c r="DJ181" s="75">
        <f t="shared" si="162"/>
        <v>1</v>
      </c>
      <c r="DK181" s="89">
        <f t="shared" si="163"/>
        <v>1</v>
      </c>
      <c r="DL181" s="75">
        <f t="shared" si="164"/>
        <v>0</v>
      </c>
      <c r="DM181" s="75">
        <f t="shared" si="165"/>
        <v>0</v>
      </c>
      <c r="DN181" s="90">
        <f t="shared" si="166"/>
        <v>0</v>
      </c>
      <c r="DO181" s="91">
        <f>IF(AN181="",0,VLOOKUP(B181,Tables!$B$3:$M$36,11,FALSE())*X$1)</f>
        <v>0</v>
      </c>
      <c r="DP181" s="92">
        <f>IF(AO181="",0,VLOOKUP(C181,Tables!$B$3:$M$36,11,FALSE())*Y$1)</f>
        <v>0</v>
      </c>
      <c r="DQ181" s="92">
        <f>IF(AP181="",0,VLOOKUP(D181,Tables!$B$3:$M$36,11,FALSE())*Z$1)</f>
        <v>0</v>
      </c>
      <c r="DR181" s="91">
        <f>IF(AQ181="",0,VLOOKUP(E181,Tables!$B$3:$M$36,11,FALSE())*AA$1)</f>
        <v>0.6</v>
      </c>
      <c r="DS181" s="92">
        <f>IF(AR181="",0,VLOOKUP(F181,Tables!$B$3:$M$36,11,FALSE())*AB$1)</f>
        <v>1.2</v>
      </c>
      <c r="DT181" s="92">
        <f>IF(AS181="",0,VLOOKUP(G181,Tables!$B$3:$M$36,11,FALSE())*AC$1)</f>
        <v>0.4</v>
      </c>
      <c r="DU181" s="92">
        <f>IF(AT181="",0,VLOOKUP(H181,Tables!$B$3:$M$36,11,FALSE())*AD$1)</f>
        <v>1</v>
      </c>
      <c r="DV181" s="92">
        <f>IF(AU181="",0,VLOOKUP(I181,Tables!$B$3:$M$36,11,FALSE())*AE$1)</f>
        <v>0</v>
      </c>
      <c r="DW181" s="91">
        <f>IF(AV181="",0,VLOOKUP(J181,Tables!$B$3:$M$36,11,FALSE())*AF$1)</f>
        <v>2.4</v>
      </c>
      <c r="DX181" s="92">
        <f>IF(AW181="",0,VLOOKUP(K181,Tables!$B$3:$M$36,11,FALSE())*AG$1)</f>
        <v>2.4</v>
      </c>
      <c r="DY181" s="92">
        <f>IF(AX181="",0,VLOOKUP(L181,Tables!$B$3:$M$36,11,FALSE())*AH$1)</f>
        <v>2</v>
      </c>
      <c r="DZ181" s="91">
        <f>IF(AY181="",0,VLOOKUP(M181,Tables!$B$3:$M$36,11,FALSE())*AI$1)</f>
        <v>2.8000000000000003</v>
      </c>
      <c r="EA181" s="92">
        <f>IF(AZ181="",0,VLOOKUP(N181,Tables!$B$3:$M$36,11,FALSE())*AJ$1)</f>
        <v>0</v>
      </c>
      <c r="EB181" s="92">
        <f>IF(BA181="",0,VLOOKUP(O181,Tables!$B$3:$M$36,11,FALSE())*AK$1)</f>
        <v>0</v>
      </c>
      <c r="EC181" s="93">
        <f>IF(BB181="",0,VLOOKUP(P181,Tables!$B$3:$M$36,11,FALSE())*AL$1)</f>
        <v>0</v>
      </c>
      <c r="ED181" s="91">
        <f>IF(AN181="",0,VLOOKUP(B181,Tables!$B$3:$M$36,12,FALSE())*X$1)</f>
        <v>0</v>
      </c>
      <c r="EE181" s="92">
        <f>IF(AO181="",0,VLOOKUP(C181,Tables!$B$3:$M$36,12,FALSE())*Y$1)</f>
        <v>0</v>
      </c>
      <c r="EF181" s="92">
        <f>IF(AP181="",0,VLOOKUP(D181,Tables!$B$3:$M$36,12,FALSE())*Z$1)</f>
        <v>0</v>
      </c>
      <c r="EG181" s="91">
        <f>IF(AQ181="",0,VLOOKUP(E181,Tables!$B$3:$M$36,12,FALSE())*AA$1)</f>
        <v>18</v>
      </c>
      <c r="EH181" s="92">
        <f>IF(AR181="",0,VLOOKUP(F181,Tables!$B$3:$M$36,12,FALSE())*AB$1)</f>
        <v>36</v>
      </c>
      <c r="EI181" s="92">
        <f>IF(AS181="",0,VLOOKUP(G181,Tables!$B$3:$M$36,12,FALSE())*AC$1)</f>
        <v>12</v>
      </c>
      <c r="EJ181" s="92">
        <f>IF(AT181="",0,VLOOKUP(H181,Tables!$B$3:$M$36,12,FALSE())*AD$1)</f>
        <v>30</v>
      </c>
      <c r="EK181" s="92">
        <f>IF(AU181="",0,VLOOKUP(I181,Tables!$B$3:$M$36,12,FALSE())*AE$1)</f>
        <v>0</v>
      </c>
      <c r="EL181" s="91">
        <f>IF(AV181="",0,VLOOKUP(J181,Tables!$B$3:$M$36,12,FALSE())*AF$1)</f>
        <v>72</v>
      </c>
      <c r="EM181" s="92">
        <f>IF(AW181="",0,VLOOKUP(K181,Tables!$B$3:$M$36,12,FALSE())*AG$1)</f>
        <v>72</v>
      </c>
      <c r="EN181" s="92">
        <f>IF(AX181="",0,VLOOKUP(L181,Tables!$B$3:$M$36,12,FALSE())*AH$1)</f>
        <v>60</v>
      </c>
      <c r="EO181" s="91">
        <f>IF(AY181="",0,VLOOKUP(M181,Tables!$B$3:$M$36,12,FALSE())*AI$1)</f>
        <v>84.000000000000014</v>
      </c>
      <c r="EP181" s="92">
        <f>IF(AZ181="",0,VLOOKUP(N181,Tables!$B$3:$M$36,12,FALSE())*AJ$1)</f>
        <v>0</v>
      </c>
      <c r="EQ181" s="92">
        <f>IF(BA181="",0,VLOOKUP(O181,Tables!$B$3:$M$36,12,FALSE())*AK$1)</f>
        <v>0</v>
      </c>
      <c r="ER181" s="93">
        <f>IF(BB181="",0,VLOOKUP(P181,Tables!$B$3:$M$36,12,FALSE())*AL$1)</f>
        <v>0</v>
      </c>
      <c r="ES181" s="94">
        <f t="shared" si="167"/>
        <v>0</v>
      </c>
      <c r="ET181" s="95">
        <f>IF(AN181="",10,MIN(VLOOKUP(B181,MATERIAL,13,FALSE()),'Item Builder'!$W181))</f>
        <v>10</v>
      </c>
      <c r="EU181" s="95">
        <f>IF(AO181="",10,MIN(VLOOKUP(C181,MATERIAL,13,FALSE()),'Item Builder'!$W181))</f>
        <v>10</v>
      </c>
      <c r="EV181" s="95">
        <f>IF(AP181="",10,MIN(VLOOKUP(D181,MATERIAL,13,FALSE()),'Item Builder'!$W181))</f>
        <v>10</v>
      </c>
      <c r="EW181" s="95">
        <f>IF(AQ181="",10,MIN(VLOOKUP(E181,MATERIAL,13,FALSE()),'Item Builder'!$W181))</f>
        <v>0</v>
      </c>
      <c r="EX181" s="95">
        <f>IF(AR181="",10,MIN(VLOOKUP(F181,MATERIAL,13,FALSE()),'Item Builder'!$W181))</f>
        <v>0</v>
      </c>
      <c r="EY181" s="95">
        <f>IF(AS181="",10,MIN(VLOOKUP(G181,MATERIAL,13,FALSE()),'Item Builder'!$W181))</f>
        <v>0</v>
      </c>
      <c r="EZ181" s="95">
        <f>IF(AT181="",10,MIN(VLOOKUP(H181,MATERIAL,13,FALSE()),'Item Builder'!$W181))</f>
        <v>0</v>
      </c>
      <c r="FA181" s="95">
        <f>IF(AU181="",10,MIN(VLOOKUP(I181,MATERIAL,13,FALSE()),'Item Builder'!$W181))</f>
        <v>10</v>
      </c>
      <c r="FB181" s="95">
        <f>IF(AV181="",10,MIN(VLOOKUP(J181,MATERIAL,13,FALSE()),'Item Builder'!$W181))</f>
        <v>0</v>
      </c>
      <c r="FC181" s="95">
        <f>IF(AW181="",10,MIN(VLOOKUP(K181,MATERIAL,13,FALSE()),'Item Builder'!$W181))</f>
        <v>0</v>
      </c>
      <c r="FD181" s="95">
        <f>IF(AX181="",10,MIN(VLOOKUP(L181,MATERIAL,13,FALSE()),'Item Builder'!$W181))</f>
        <v>0</v>
      </c>
      <c r="FE181" s="95">
        <f>IF(AY181="",10,MIN(VLOOKUP(M181,MATERIAL,13,FALSE()),'Item Builder'!$W181))</f>
        <v>0</v>
      </c>
      <c r="FF181" s="95">
        <f>IF(AZ181="",10,MIN(VLOOKUP(N181,MATERIAL,13,FALSE()),'Item Builder'!$W181))</f>
        <v>10</v>
      </c>
      <c r="FG181" s="95">
        <f>IF(BA181="",10,MIN(VLOOKUP(O181,MATERIAL,13,FALSE()),'Item Builder'!$W181))</f>
        <v>10</v>
      </c>
      <c r="FH181" s="95">
        <f>IF(BB181="",10,MIN(VLOOKUP(P181,MATERIAL,13,FALSE()),'Item Builder'!$W181))</f>
        <v>10</v>
      </c>
    </row>
    <row r="182" spans="1:164" x14ac:dyDescent="0.25">
      <c r="A182" s="67" t="s">
        <v>322</v>
      </c>
      <c r="B182" s="68"/>
      <c r="C182" s="69"/>
      <c r="D182" s="70"/>
      <c r="E182" s="68" t="s">
        <v>175</v>
      </c>
      <c r="F182" s="69"/>
      <c r="G182" s="69"/>
      <c r="H182" s="69"/>
      <c r="I182" s="70"/>
      <c r="J182" s="68" t="s">
        <v>175</v>
      </c>
      <c r="K182" s="69" t="s">
        <v>175</v>
      </c>
      <c r="L182" s="70" t="s">
        <v>175</v>
      </c>
      <c r="M182" s="68" t="s">
        <v>175</v>
      </c>
      <c r="N182" s="69" t="s">
        <v>175</v>
      </c>
      <c r="O182" s="69"/>
      <c r="P182" s="71"/>
      <c r="Q182" s="72">
        <f>SUM(BV182:CJ182)*VLOOKUP(W182,Tables!$W$3:$Z$8,4)</f>
        <v>378</v>
      </c>
      <c r="R182" s="73">
        <f t="shared" si="112"/>
        <v>1.35</v>
      </c>
      <c r="S182" s="74">
        <f t="shared" si="113"/>
        <v>0</v>
      </c>
      <c r="T182" s="74">
        <f t="shared" si="114"/>
        <v>0</v>
      </c>
      <c r="U182" s="75">
        <f t="shared" si="115"/>
        <v>10.8</v>
      </c>
      <c r="V182" s="76">
        <f t="shared" si="116"/>
        <v>324</v>
      </c>
      <c r="W182" s="77">
        <v>0</v>
      </c>
      <c r="X182" s="78">
        <f t="shared" si="117"/>
        <v>0</v>
      </c>
      <c r="Y182" s="79">
        <f t="shared" si="118"/>
        <v>0</v>
      </c>
      <c r="Z182" s="79">
        <f t="shared" si="119"/>
        <v>0</v>
      </c>
      <c r="AA182" s="78">
        <f t="shared" si="120"/>
        <v>1</v>
      </c>
      <c r="AB182" s="79">
        <f t="shared" si="121"/>
        <v>0</v>
      </c>
      <c r="AC182" s="79">
        <f t="shared" si="122"/>
        <v>0</v>
      </c>
      <c r="AD182" s="79">
        <f t="shared" si="123"/>
        <v>0</v>
      </c>
      <c r="AE182" s="79">
        <f t="shared" si="124"/>
        <v>0</v>
      </c>
      <c r="AF182" s="78">
        <f t="shared" si="125"/>
        <v>1</v>
      </c>
      <c r="AG182" s="79">
        <f t="shared" si="126"/>
        <v>1</v>
      </c>
      <c r="AH182" s="79">
        <f t="shared" si="127"/>
        <v>1</v>
      </c>
      <c r="AI182" s="78">
        <f t="shared" si="128"/>
        <v>1</v>
      </c>
      <c r="AJ182" s="79">
        <f t="shared" si="129"/>
        <v>1</v>
      </c>
      <c r="AK182" s="79">
        <f t="shared" si="130"/>
        <v>0</v>
      </c>
      <c r="AL182" s="80">
        <f t="shared" si="131"/>
        <v>0</v>
      </c>
      <c r="AM182" s="81">
        <f t="shared" si="132"/>
        <v>0.54</v>
      </c>
      <c r="AN182" s="82" t="str">
        <f t="shared" si="133"/>
        <v/>
      </c>
      <c r="AO182" s="79" t="str">
        <f t="shared" si="134"/>
        <v/>
      </c>
      <c r="AP182" t="str">
        <f t="shared" si="135"/>
        <v/>
      </c>
      <c r="AQ182" s="82" t="str">
        <f t="shared" si="136"/>
        <v>X</v>
      </c>
      <c r="AR182" t="str">
        <f t="shared" si="137"/>
        <v/>
      </c>
      <c r="AS182" t="str">
        <f t="shared" si="138"/>
        <v/>
      </c>
      <c r="AT182" t="str">
        <f t="shared" si="139"/>
        <v/>
      </c>
      <c r="AU182" t="str">
        <f t="shared" si="140"/>
        <v/>
      </c>
      <c r="AV182" s="82" t="str">
        <f t="shared" si="141"/>
        <v>X</v>
      </c>
      <c r="AW182" t="str">
        <f t="shared" si="142"/>
        <v>X</v>
      </c>
      <c r="AX182" t="str">
        <f t="shared" si="143"/>
        <v>X</v>
      </c>
      <c r="AY182" s="82" t="str">
        <f t="shared" si="144"/>
        <v>X</v>
      </c>
      <c r="AZ182" t="str">
        <f t="shared" si="145"/>
        <v>X</v>
      </c>
      <c r="BA182" t="str">
        <f t="shared" si="146"/>
        <v/>
      </c>
      <c r="BB182" s="83" t="str">
        <f t="shared" si="147"/>
        <v/>
      </c>
      <c r="BC182" s="84">
        <f t="shared" si="148"/>
        <v>0</v>
      </c>
      <c r="BD182" s="84">
        <f t="shared" si="149"/>
        <v>0.14285714285714285</v>
      </c>
      <c r="BE182" s="84">
        <f t="shared" si="150"/>
        <v>1</v>
      </c>
      <c r="BF182" s="84">
        <f t="shared" si="151"/>
        <v>0.47222222222222221</v>
      </c>
      <c r="BG182" s="78">
        <f>IF(AN182="",0,VLOOKUP(AN182,Tables!$AB$3:$AC$12,2))</f>
        <v>0</v>
      </c>
      <c r="BH182" s="79">
        <f>IF(AO182="",0,VLOOKUP(AO182,Tables!$AB$3:$AC$12,2))</f>
        <v>0</v>
      </c>
      <c r="BI182" s="79">
        <f>IF(AP182="",0,VLOOKUP(AP182,Tables!$AB$3:$AC$12,2))</f>
        <v>0</v>
      </c>
      <c r="BJ182" s="78">
        <f>IF(AQ182="",0,VLOOKUP(AQ182,Tables!$AB$3:$AC$12,2))</f>
        <v>1</v>
      </c>
      <c r="BK182" s="79">
        <f>IF(AR182="",0,VLOOKUP(AR182,Tables!$AB$3:$AC$12,2))</f>
        <v>0</v>
      </c>
      <c r="BL182" s="79">
        <f>IF(AS182="",0,VLOOKUP(AS182,Tables!$AB$3:$AC$12,2))</f>
        <v>0</v>
      </c>
      <c r="BM182" s="79">
        <f>IF(AT182="",0,VLOOKUP(AT182,Tables!$AB$3:$AC$12,2))</f>
        <v>0</v>
      </c>
      <c r="BN182" s="79">
        <f>IF(AU182="",0,VLOOKUP(AU182,Tables!$AB$3:$AC$12,2))</f>
        <v>0</v>
      </c>
      <c r="BO182" s="78">
        <f>IF(AV182="",0,VLOOKUP(AV182,Tables!$AB$3:$AC$12,2))</f>
        <v>1</v>
      </c>
      <c r="BP182" s="79">
        <f>IF(AW182="",0,VLOOKUP(AW182,Tables!$AB$3:$AC$12,2))</f>
        <v>1</v>
      </c>
      <c r="BQ182" s="79">
        <f>IF(AX182="",0,VLOOKUP(AX182,Tables!$AB$3:$AC$12,2))</f>
        <v>1</v>
      </c>
      <c r="BR182" s="78">
        <f>IF(AY182="",0,VLOOKUP(AY182,Tables!$AB$3:$AC$12,2))</f>
        <v>1</v>
      </c>
      <c r="BS182" s="79">
        <f>IF(AZ182="",0,VLOOKUP(AZ182,Tables!$AB$3:$AC$12,2))</f>
        <v>1</v>
      </c>
      <c r="BT182" s="79">
        <f>IF(BA182="",0,VLOOKUP(BA182,Tables!$AB$3:$AC$12,2))</f>
        <v>0</v>
      </c>
      <c r="BU182" s="80">
        <f>IF(BB182="",0,VLOOKUP(BB182,Tables!$AB$3:$AC$12,2))</f>
        <v>0</v>
      </c>
      <c r="BV182" s="85">
        <f>IF(AN182="",0,VLOOKUP(B182,Tables!$B$3:$D$36,2,FALSE())*X$1)</f>
        <v>0</v>
      </c>
      <c r="BW182" s="72">
        <f>IF(AO182="",0,VLOOKUP(C182,Tables!$B$3:$D$36,2,FALSE())*Y$1)</f>
        <v>0</v>
      </c>
      <c r="BX182" s="72">
        <f>IF(AP182="",0,VLOOKUP(D182,Tables!$B$3:$D$36,2,FALSE())*Z$1)</f>
        <v>0</v>
      </c>
      <c r="BY182" s="85">
        <f>IF(AQ182="",0,VLOOKUP(E182,Tables!$B$3:$D$36,2,FALSE())*AA$1)</f>
        <v>21</v>
      </c>
      <c r="BZ182" s="72">
        <f>IF(AR182="",0,VLOOKUP(F182,Tables!$B$3:$D$36,2,FALSE())*AB$1)</f>
        <v>0</v>
      </c>
      <c r="CA182" s="72">
        <f>IF(AS182="",0,VLOOKUP(G182,Tables!$B$3:$D$36,2,FALSE())*AC$1)</f>
        <v>0</v>
      </c>
      <c r="CB182" s="72">
        <f>IF(AT182="",0,VLOOKUP(H182,Tables!$B$3:$D$36,2,FALSE())*AD$1)</f>
        <v>0</v>
      </c>
      <c r="CC182" s="72">
        <f>IF(AU182="",0,VLOOKUP(I182,Tables!$B$3:$D$36,2,FALSE())*AE$1)</f>
        <v>0</v>
      </c>
      <c r="CD182" s="85">
        <f>IF(AV182="",0,VLOOKUP(J182,Tables!$B$3:$D$36,2,FALSE())*AF$1)</f>
        <v>84</v>
      </c>
      <c r="CE182" s="72">
        <f>IF(AW182="",0,VLOOKUP(K182,Tables!$B$3:$D$36,2,FALSE())*AG$1)</f>
        <v>84</v>
      </c>
      <c r="CF182" s="72">
        <f>IF(AX182="",0,VLOOKUP(L182,Tables!$B$3:$D$36,2,FALSE())*AH$1)</f>
        <v>70</v>
      </c>
      <c r="CG182" s="85">
        <f>IF(AY182="",0,VLOOKUP(M182,Tables!$B$3:$D$36,2,FALSE())*AI$1)</f>
        <v>98.000000000000014</v>
      </c>
      <c r="CH182" s="72">
        <f>IF(AZ182="",0,VLOOKUP(N182,Tables!$B$3:$D$36,2,FALSE())*AJ$1)</f>
        <v>21</v>
      </c>
      <c r="CI182" s="72">
        <f>IF(BA182="",0,VLOOKUP(O182,Tables!$B$3:$D$36,2,FALSE())*AK$1)</f>
        <v>0</v>
      </c>
      <c r="CJ182" s="86">
        <f>IF(BB182="",0,VLOOKUP(P182,Tables!$B$3:$D$36,2,FALSE())*AL$1)</f>
        <v>0</v>
      </c>
      <c r="CK182" s="87">
        <f>IF(AN182="",0,VLOOKUP(B182,Tables!$B$3:$D$36,3,FALSE())*X$1)*IF(OR(AN182="K",AN182="P"),2,1)</f>
        <v>0</v>
      </c>
      <c r="CL182" s="73">
        <f>IF(AO182="",0,VLOOKUP(C182,Tables!$B$3:$D$36,3,FALSE())*Y$1)*IF(OR(AO182="K",AO182="P"),2,1)</f>
        <v>0</v>
      </c>
      <c r="CM182" s="73">
        <f>IF(AP182="",0,VLOOKUP(D182,Tables!$B$3:$D$36,3,FALSE())*Z$1)*IF(OR(AP182="K",AP182="P"),2,1)</f>
        <v>0</v>
      </c>
      <c r="CN182" s="87">
        <f>IF(AQ182="",0,VLOOKUP(E182,Tables!$B$3:$D$36,3,FALSE())*AA$1)</f>
        <v>7.4999999999999997E-2</v>
      </c>
      <c r="CO182" s="73">
        <f>IF(AR182="",0,VLOOKUP(F182,Tables!$B$3:$D$36,3,FALSE())*AB$1)</f>
        <v>0</v>
      </c>
      <c r="CP182" s="73">
        <f>IF(AS182="",0,VLOOKUP(G182,Tables!$B$3:$D$36,3,FALSE())*AC$1)</f>
        <v>0</v>
      </c>
      <c r="CQ182" s="73">
        <f>IF(AT182="",0,VLOOKUP(H182,Tables!$B$3:$D$36,3,FALSE())*AD$1)</f>
        <v>0</v>
      </c>
      <c r="CR182" s="73">
        <f>IF(AU182="",0,VLOOKUP(I182,Tables!$B$3:$D$36,3,FALSE())*AE$1)</f>
        <v>0</v>
      </c>
      <c r="CS182" s="87">
        <f>IF(AV182="",0,VLOOKUP(J182,Tables!$B$3:$D$36,3,FALSE())*AF$1)</f>
        <v>0.3</v>
      </c>
      <c r="CT182" s="73">
        <f>IF(AW182="",0,VLOOKUP(K182,Tables!$B$3:$D$36,3,FALSE())*AG$1)</f>
        <v>0.3</v>
      </c>
      <c r="CU182" s="73">
        <f>IF(AX182="",0,VLOOKUP(L182,Tables!$B$3:$D$36,3,FALSE())*AH$1)</f>
        <v>0.25</v>
      </c>
      <c r="CV182" s="87">
        <f>IF(AY182="",0,VLOOKUP(M182,Tables!$B$3:$D$36,3,FALSE())*AI$1)</f>
        <v>0.35000000000000003</v>
      </c>
      <c r="CW182" s="73">
        <f>IF(AZ182="",0,VLOOKUP(N182,Tables!$B$3:$D$36,3,FALSE())*AJ$1)</f>
        <v>7.4999999999999997E-2</v>
      </c>
      <c r="CX182" s="73">
        <f>IF(BA182="",0,VLOOKUP(O182,Tables!$B$3:$D$36,3,FALSE())*AK$1)</f>
        <v>0</v>
      </c>
      <c r="CY182" s="88">
        <f>IF(BB182="",0,VLOOKUP(P182,Tables!$B$3:$D$36,3,FALSE())*AL$1)</f>
        <v>0</v>
      </c>
      <c r="CZ182" s="89">
        <f t="shared" si="152"/>
        <v>0</v>
      </c>
      <c r="DA182" s="75">
        <f t="shared" si="153"/>
        <v>0</v>
      </c>
      <c r="DB182" s="75">
        <f t="shared" si="154"/>
        <v>0</v>
      </c>
      <c r="DC182" s="89">
        <f t="shared" si="155"/>
        <v>1</v>
      </c>
      <c r="DD182" s="75">
        <f t="shared" si="156"/>
        <v>0</v>
      </c>
      <c r="DE182" s="75">
        <f t="shared" si="157"/>
        <v>0</v>
      </c>
      <c r="DF182" s="75">
        <f t="shared" si="158"/>
        <v>0</v>
      </c>
      <c r="DG182" s="75">
        <f t="shared" si="159"/>
        <v>0</v>
      </c>
      <c r="DH182" s="89">
        <f t="shared" si="160"/>
        <v>1</v>
      </c>
      <c r="DI182" s="75">
        <f t="shared" si="161"/>
        <v>1</v>
      </c>
      <c r="DJ182" s="75">
        <f t="shared" si="162"/>
        <v>1</v>
      </c>
      <c r="DK182" s="89">
        <f t="shared" si="163"/>
        <v>1</v>
      </c>
      <c r="DL182" s="75">
        <f t="shared" si="164"/>
        <v>1</v>
      </c>
      <c r="DM182" s="75">
        <f t="shared" si="165"/>
        <v>0</v>
      </c>
      <c r="DN182" s="90">
        <f t="shared" si="166"/>
        <v>0</v>
      </c>
      <c r="DO182" s="91">
        <f>IF(AN182="",0,VLOOKUP(B182,Tables!$B$3:$M$36,11,FALSE())*X$1)</f>
        <v>0</v>
      </c>
      <c r="DP182" s="92">
        <f>IF(AO182="",0,VLOOKUP(C182,Tables!$B$3:$M$36,11,FALSE())*Y$1)</f>
        <v>0</v>
      </c>
      <c r="DQ182" s="92">
        <f>IF(AP182="",0,VLOOKUP(D182,Tables!$B$3:$M$36,11,FALSE())*Z$1)</f>
        <v>0</v>
      </c>
      <c r="DR182" s="91">
        <f>IF(AQ182="",0,VLOOKUP(E182,Tables!$B$3:$M$36,11,FALSE())*AA$1)</f>
        <v>0.6</v>
      </c>
      <c r="DS182" s="92">
        <f>IF(AR182="",0,VLOOKUP(F182,Tables!$B$3:$M$36,11,FALSE())*AB$1)</f>
        <v>0</v>
      </c>
      <c r="DT182" s="92">
        <f>IF(AS182="",0,VLOOKUP(G182,Tables!$B$3:$M$36,11,FALSE())*AC$1)</f>
        <v>0</v>
      </c>
      <c r="DU182" s="92">
        <f>IF(AT182="",0,VLOOKUP(H182,Tables!$B$3:$M$36,11,FALSE())*AD$1)</f>
        <v>0</v>
      </c>
      <c r="DV182" s="92">
        <f>IF(AU182="",0,VLOOKUP(I182,Tables!$B$3:$M$36,11,FALSE())*AE$1)</f>
        <v>0</v>
      </c>
      <c r="DW182" s="91">
        <f>IF(AV182="",0,VLOOKUP(J182,Tables!$B$3:$M$36,11,FALSE())*AF$1)</f>
        <v>2.4</v>
      </c>
      <c r="DX182" s="92">
        <f>IF(AW182="",0,VLOOKUP(K182,Tables!$B$3:$M$36,11,FALSE())*AG$1)</f>
        <v>2.4</v>
      </c>
      <c r="DY182" s="92">
        <f>IF(AX182="",0,VLOOKUP(L182,Tables!$B$3:$M$36,11,FALSE())*AH$1)</f>
        <v>2</v>
      </c>
      <c r="DZ182" s="91">
        <f>IF(AY182="",0,VLOOKUP(M182,Tables!$B$3:$M$36,11,FALSE())*AI$1)</f>
        <v>2.8000000000000003</v>
      </c>
      <c r="EA182" s="92">
        <f>IF(AZ182="",0,VLOOKUP(N182,Tables!$B$3:$M$36,11,FALSE())*AJ$1)</f>
        <v>0.6</v>
      </c>
      <c r="EB182" s="92">
        <f>IF(BA182="",0,VLOOKUP(O182,Tables!$B$3:$M$36,11,FALSE())*AK$1)</f>
        <v>0</v>
      </c>
      <c r="EC182" s="93">
        <f>IF(BB182="",0,VLOOKUP(P182,Tables!$B$3:$M$36,11,FALSE())*AL$1)</f>
        <v>0</v>
      </c>
      <c r="ED182" s="91">
        <f>IF(AN182="",0,VLOOKUP(B182,Tables!$B$3:$M$36,12,FALSE())*X$1)</f>
        <v>0</v>
      </c>
      <c r="EE182" s="92">
        <f>IF(AO182="",0,VLOOKUP(C182,Tables!$B$3:$M$36,12,FALSE())*Y$1)</f>
        <v>0</v>
      </c>
      <c r="EF182" s="92">
        <f>IF(AP182="",0,VLOOKUP(D182,Tables!$B$3:$M$36,12,FALSE())*Z$1)</f>
        <v>0</v>
      </c>
      <c r="EG182" s="91">
        <f>IF(AQ182="",0,VLOOKUP(E182,Tables!$B$3:$M$36,12,FALSE())*AA$1)</f>
        <v>18</v>
      </c>
      <c r="EH182" s="92">
        <f>IF(AR182="",0,VLOOKUP(F182,Tables!$B$3:$M$36,12,FALSE())*AB$1)</f>
        <v>0</v>
      </c>
      <c r="EI182" s="92">
        <f>IF(AS182="",0,VLOOKUP(G182,Tables!$B$3:$M$36,12,FALSE())*AC$1)</f>
        <v>0</v>
      </c>
      <c r="EJ182" s="92">
        <f>IF(AT182="",0,VLOOKUP(H182,Tables!$B$3:$M$36,12,FALSE())*AD$1)</f>
        <v>0</v>
      </c>
      <c r="EK182" s="92">
        <f>IF(AU182="",0,VLOOKUP(I182,Tables!$B$3:$M$36,12,FALSE())*AE$1)</f>
        <v>0</v>
      </c>
      <c r="EL182" s="91">
        <f>IF(AV182="",0,VLOOKUP(J182,Tables!$B$3:$M$36,12,FALSE())*AF$1)</f>
        <v>72</v>
      </c>
      <c r="EM182" s="92">
        <f>IF(AW182="",0,VLOOKUP(K182,Tables!$B$3:$M$36,12,FALSE())*AG$1)</f>
        <v>72</v>
      </c>
      <c r="EN182" s="92">
        <f>IF(AX182="",0,VLOOKUP(L182,Tables!$B$3:$M$36,12,FALSE())*AH$1)</f>
        <v>60</v>
      </c>
      <c r="EO182" s="91">
        <f>IF(AY182="",0,VLOOKUP(M182,Tables!$B$3:$M$36,12,FALSE())*AI$1)</f>
        <v>84.000000000000014</v>
      </c>
      <c r="EP182" s="92">
        <f>IF(AZ182="",0,VLOOKUP(N182,Tables!$B$3:$M$36,12,FALSE())*AJ$1)</f>
        <v>18</v>
      </c>
      <c r="EQ182" s="92">
        <f>IF(BA182="",0,VLOOKUP(O182,Tables!$B$3:$M$36,12,FALSE())*AK$1)</f>
        <v>0</v>
      </c>
      <c r="ER182" s="93">
        <f>IF(BB182="",0,VLOOKUP(P182,Tables!$B$3:$M$36,12,FALSE())*AL$1)</f>
        <v>0</v>
      </c>
      <c r="ES182" s="94">
        <f t="shared" si="167"/>
        <v>0</v>
      </c>
      <c r="ET182" s="95">
        <f>IF(AN182="",10,MIN(VLOOKUP(B182,MATERIAL,13,FALSE()),'Item Builder'!$W182))</f>
        <v>10</v>
      </c>
      <c r="EU182" s="95">
        <f>IF(AO182="",10,MIN(VLOOKUP(C182,MATERIAL,13,FALSE()),'Item Builder'!$W182))</f>
        <v>10</v>
      </c>
      <c r="EV182" s="95">
        <f>IF(AP182="",10,MIN(VLOOKUP(D182,MATERIAL,13,FALSE()),'Item Builder'!$W182))</f>
        <v>10</v>
      </c>
      <c r="EW182" s="95">
        <f>IF(AQ182="",10,MIN(VLOOKUP(E182,MATERIAL,13,FALSE()),'Item Builder'!$W182))</f>
        <v>0</v>
      </c>
      <c r="EX182" s="95">
        <f>IF(AR182="",10,MIN(VLOOKUP(F182,MATERIAL,13,FALSE()),'Item Builder'!$W182))</f>
        <v>10</v>
      </c>
      <c r="EY182" s="95">
        <f>IF(AS182="",10,MIN(VLOOKUP(G182,MATERIAL,13,FALSE()),'Item Builder'!$W182))</f>
        <v>10</v>
      </c>
      <c r="EZ182" s="95">
        <f>IF(AT182="",10,MIN(VLOOKUP(H182,MATERIAL,13,FALSE()),'Item Builder'!$W182))</f>
        <v>10</v>
      </c>
      <c r="FA182" s="95">
        <f>IF(AU182="",10,MIN(VLOOKUP(I182,MATERIAL,13,FALSE()),'Item Builder'!$W182))</f>
        <v>10</v>
      </c>
      <c r="FB182" s="95">
        <f>IF(AV182="",10,MIN(VLOOKUP(J182,MATERIAL,13,FALSE()),'Item Builder'!$W182))</f>
        <v>0</v>
      </c>
      <c r="FC182" s="95">
        <f>IF(AW182="",10,MIN(VLOOKUP(K182,MATERIAL,13,FALSE()),'Item Builder'!$W182))</f>
        <v>0</v>
      </c>
      <c r="FD182" s="95">
        <f>IF(AX182="",10,MIN(VLOOKUP(L182,MATERIAL,13,FALSE()),'Item Builder'!$W182))</f>
        <v>0</v>
      </c>
      <c r="FE182" s="95">
        <f>IF(AY182="",10,MIN(VLOOKUP(M182,MATERIAL,13,FALSE()),'Item Builder'!$W182))</f>
        <v>0</v>
      </c>
      <c r="FF182" s="95">
        <f>IF(AZ182="",10,MIN(VLOOKUP(N182,MATERIAL,13,FALSE()),'Item Builder'!$W182))</f>
        <v>0</v>
      </c>
      <c r="FG182" s="95">
        <f>IF(BA182="",10,MIN(VLOOKUP(O182,MATERIAL,13,FALSE()),'Item Builder'!$W182))</f>
        <v>10</v>
      </c>
      <c r="FH182" s="95">
        <f>IF(BB182="",10,MIN(VLOOKUP(P182,MATERIAL,13,FALSE()),'Item Builder'!$W182))</f>
        <v>10</v>
      </c>
    </row>
    <row r="183" spans="1:164" x14ac:dyDescent="0.25">
      <c r="A183" s="67" t="s">
        <v>323</v>
      </c>
      <c r="B183" s="68"/>
      <c r="C183" s="69"/>
      <c r="D183" s="70"/>
      <c r="E183" s="68" t="s">
        <v>175</v>
      </c>
      <c r="F183" s="69"/>
      <c r="G183" s="69"/>
      <c r="H183" s="69"/>
      <c r="I183" s="70"/>
      <c r="J183" s="68" t="s">
        <v>175</v>
      </c>
      <c r="K183" s="69" t="s">
        <v>175</v>
      </c>
      <c r="L183" s="70" t="s">
        <v>175</v>
      </c>
      <c r="M183" s="68" t="s">
        <v>175</v>
      </c>
      <c r="N183" s="69" t="s">
        <v>175</v>
      </c>
      <c r="O183" s="69" t="s">
        <v>175</v>
      </c>
      <c r="P183" s="71"/>
      <c r="Q183" s="72">
        <f>SUM(BV183:CJ183)*VLOOKUP(W183,Tables!$W$3:$Z$8,4)</f>
        <v>462</v>
      </c>
      <c r="R183" s="73">
        <f t="shared" si="112"/>
        <v>1.6500000000000001</v>
      </c>
      <c r="S183" s="74">
        <f t="shared" si="113"/>
        <v>0</v>
      </c>
      <c r="T183" s="74">
        <f t="shared" si="114"/>
        <v>0</v>
      </c>
      <c r="U183" s="75">
        <f t="shared" si="115"/>
        <v>13.200000000000001</v>
      </c>
      <c r="V183" s="76">
        <f t="shared" si="116"/>
        <v>396</v>
      </c>
      <c r="W183" s="77">
        <v>0</v>
      </c>
      <c r="X183" s="78">
        <f t="shared" si="117"/>
        <v>0</v>
      </c>
      <c r="Y183" s="79">
        <f t="shared" si="118"/>
        <v>0</v>
      </c>
      <c r="Z183" s="79">
        <f t="shared" si="119"/>
        <v>0</v>
      </c>
      <c r="AA183" s="78">
        <f t="shared" si="120"/>
        <v>1</v>
      </c>
      <c r="AB183" s="79">
        <f t="shared" si="121"/>
        <v>0</v>
      </c>
      <c r="AC183" s="79">
        <f t="shared" si="122"/>
        <v>0</v>
      </c>
      <c r="AD183" s="79">
        <f t="shared" si="123"/>
        <v>0</v>
      </c>
      <c r="AE183" s="79">
        <f t="shared" si="124"/>
        <v>0</v>
      </c>
      <c r="AF183" s="78">
        <f t="shared" si="125"/>
        <v>1</v>
      </c>
      <c r="AG183" s="79">
        <f t="shared" si="126"/>
        <v>1</v>
      </c>
      <c r="AH183" s="79">
        <f t="shared" si="127"/>
        <v>1</v>
      </c>
      <c r="AI183" s="78">
        <f t="shared" si="128"/>
        <v>1</v>
      </c>
      <c r="AJ183" s="79">
        <f t="shared" si="129"/>
        <v>1</v>
      </c>
      <c r="AK183" s="79">
        <f t="shared" si="130"/>
        <v>1</v>
      </c>
      <c r="AL183" s="80">
        <f t="shared" si="131"/>
        <v>0</v>
      </c>
      <c r="AM183" s="81">
        <f t="shared" si="132"/>
        <v>0.66</v>
      </c>
      <c r="AN183" s="82" t="str">
        <f t="shared" si="133"/>
        <v/>
      </c>
      <c r="AO183" s="79" t="str">
        <f t="shared" si="134"/>
        <v/>
      </c>
      <c r="AP183" t="str">
        <f t="shared" si="135"/>
        <v/>
      </c>
      <c r="AQ183" s="82" t="str">
        <f t="shared" si="136"/>
        <v>X</v>
      </c>
      <c r="AR183" t="str">
        <f t="shared" si="137"/>
        <v/>
      </c>
      <c r="AS183" t="str">
        <f t="shared" si="138"/>
        <v/>
      </c>
      <c r="AT183" t="str">
        <f t="shared" si="139"/>
        <v/>
      </c>
      <c r="AU183" t="str">
        <f t="shared" si="140"/>
        <v/>
      </c>
      <c r="AV183" s="82" t="str">
        <f t="shared" si="141"/>
        <v>X</v>
      </c>
      <c r="AW183" t="str">
        <f t="shared" si="142"/>
        <v>X</v>
      </c>
      <c r="AX183" t="str">
        <f t="shared" si="143"/>
        <v>X</v>
      </c>
      <c r="AY183" s="82" t="str">
        <f t="shared" si="144"/>
        <v>X</v>
      </c>
      <c r="AZ183" t="str">
        <f t="shared" si="145"/>
        <v>X</v>
      </c>
      <c r="BA183" t="str">
        <f t="shared" si="146"/>
        <v>X</v>
      </c>
      <c r="BB183" s="83" t="str">
        <f t="shared" si="147"/>
        <v/>
      </c>
      <c r="BC183" s="84">
        <f t="shared" si="148"/>
        <v>0</v>
      </c>
      <c r="BD183" s="84">
        <f t="shared" si="149"/>
        <v>0.14285714285714285</v>
      </c>
      <c r="BE183" s="84">
        <f t="shared" si="150"/>
        <v>1</v>
      </c>
      <c r="BF183" s="84">
        <f t="shared" si="151"/>
        <v>0.80555555555555558</v>
      </c>
      <c r="BG183" s="78">
        <f>IF(AN183="",0,VLOOKUP(AN183,Tables!$AB$3:$AC$12,2))</f>
        <v>0</v>
      </c>
      <c r="BH183" s="79">
        <f>IF(AO183="",0,VLOOKUP(AO183,Tables!$AB$3:$AC$12,2))</f>
        <v>0</v>
      </c>
      <c r="BI183" s="79">
        <f>IF(AP183="",0,VLOOKUP(AP183,Tables!$AB$3:$AC$12,2))</f>
        <v>0</v>
      </c>
      <c r="BJ183" s="78">
        <f>IF(AQ183="",0,VLOOKUP(AQ183,Tables!$AB$3:$AC$12,2))</f>
        <v>1</v>
      </c>
      <c r="BK183" s="79">
        <f>IF(AR183="",0,VLOOKUP(AR183,Tables!$AB$3:$AC$12,2))</f>
        <v>0</v>
      </c>
      <c r="BL183" s="79">
        <f>IF(AS183="",0,VLOOKUP(AS183,Tables!$AB$3:$AC$12,2))</f>
        <v>0</v>
      </c>
      <c r="BM183" s="79">
        <f>IF(AT183="",0,VLOOKUP(AT183,Tables!$AB$3:$AC$12,2))</f>
        <v>0</v>
      </c>
      <c r="BN183" s="79">
        <f>IF(AU183="",0,VLOOKUP(AU183,Tables!$AB$3:$AC$12,2))</f>
        <v>0</v>
      </c>
      <c r="BO183" s="78">
        <f>IF(AV183="",0,VLOOKUP(AV183,Tables!$AB$3:$AC$12,2))</f>
        <v>1</v>
      </c>
      <c r="BP183" s="79">
        <f>IF(AW183="",0,VLOOKUP(AW183,Tables!$AB$3:$AC$12,2))</f>
        <v>1</v>
      </c>
      <c r="BQ183" s="79">
        <f>IF(AX183="",0,VLOOKUP(AX183,Tables!$AB$3:$AC$12,2))</f>
        <v>1</v>
      </c>
      <c r="BR183" s="78">
        <f>IF(AY183="",0,VLOOKUP(AY183,Tables!$AB$3:$AC$12,2))</f>
        <v>1</v>
      </c>
      <c r="BS183" s="79">
        <f>IF(AZ183="",0,VLOOKUP(AZ183,Tables!$AB$3:$AC$12,2))</f>
        <v>1</v>
      </c>
      <c r="BT183" s="79">
        <f>IF(BA183="",0,VLOOKUP(BA183,Tables!$AB$3:$AC$12,2))</f>
        <v>1</v>
      </c>
      <c r="BU183" s="80">
        <f>IF(BB183="",0,VLOOKUP(BB183,Tables!$AB$3:$AC$12,2))</f>
        <v>0</v>
      </c>
      <c r="BV183" s="85">
        <f>IF(AN183="",0,VLOOKUP(B183,Tables!$B$3:$D$36,2,FALSE())*X$1)</f>
        <v>0</v>
      </c>
      <c r="BW183" s="72">
        <f>IF(AO183="",0,VLOOKUP(C183,Tables!$B$3:$D$36,2,FALSE())*Y$1)</f>
        <v>0</v>
      </c>
      <c r="BX183" s="72">
        <f>IF(AP183="",0,VLOOKUP(D183,Tables!$B$3:$D$36,2,FALSE())*Z$1)</f>
        <v>0</v>
      </c>
      <c r="BY183" s="85">
        <f>IF(AQ183="",0,VLOOKUP(E183,Tables!$B$3:$D$36,2,FALSE())*AA$1)</f>
        <v>21</v>
      </c>
      <c r="BZ183" s="72">
        <f>IF(AR183="",0,VLOOKUP(F183,Tables!$B$3:$D$36,2,FALSE())*AB$1)</f>
        <v>0</v>
      </c>
      <c r="CA183" s="72">
        <f>IF(AS183="",0,VLOOKUP(G183,Tables!$B$3:$D$36,2,FALSE())*AC$1)</f>
        <v>0</v>
      </c>
      <c r="CB183" s="72">
        <f>IF(AT183="",0,VLOOKUP(H183,Tables!$B$3:$D$36,2,FALSE())*AD$1)</f>
        <v>0</v>
      </c>
      <c r="CC183" s="72">
        <f>IF(AU183="",0,VLOOKUP(I183,Tables!$B$3:$D$36,2,FALSE())*AE$1)</f>
        <v>0</v>
      </c>
      <c r="CD183" s="85">
        <f>IF(AV183="",0,VLOOKUP(J183,Tables!$B$3:$D$36,2,FALSE())*AF$1)</f>
        <v>84</v>
      </c>
      <c r="CE183" s="72">
        <f>IF(AW183="",0,VLOOKUP(K183,Tables!$B$3:$D$36,2,FALSE())*AG$1)</f>
        <v>84</v>
      </c>
      <c r="CF183" s="72">
        <f>IF(AX183="",0,VLOOKUP(L183,Tables!$B$3:$D$36,2,FALSE())*AH$1)</f>
        <v>70</v>
      </c>
      <c r="CG183" s="85">
        <f>IF(AY183="",0,VLOOKUP(M183,Tables!$B$3:$D$36,2,FALSE())*AI$1)</f>
        <v>98.000000000000014</v>
      </c>
      <c r="CH183" s="72">
        <f>IF(AZ183="",0,VLOOKUP(N183,Tables!$B$3:$D$36,2,FALSE())*AJ$1)</f>
        <v>21</v>
      </c>
      <c r="CI183" s="72">
        <f>IF(BA183="",0,VLOOKUP(O183,Tables!$B$3:$D$36,2,FALSE())*AK$1)</f>
        <v>84</v>
      </c>
      <c r="CJ183" s="86">
        <f>IF(BB183="",0,VLOOKUP(P183,Tables!$B$3:$D$36,2,FALSE())*AL$1)</f>
        <v>0</v>
      </c>
      <c r="CK183" s="87">
        <f>IF(AN183="",0,VLOOKUP(B183,Tables!$B$3:$D$36,3,FALSE())*X$1)*IF(OR(AN183="K",AN183="P"),2,1)</f>
        <v>0</v>
      </c>
      <c r="CL183" s="73">
        <f>IF(AO183="",0,VLOOKUP(C183,Tables!$B$3:$D$36,3,FALSE())*Y$1)*IF(OR(AO183="K",AO183="P"),2,1)</f>
        <v>0</v>
      </c>
      <c r="CM183" s="73">
        <f>IF(AP183="",0,VLOOKUP(D183,Tables!$B$3:$D$36,3,FALSE())*Z$1)*IF(OR(AP183="K",AP183="P"),2,1)</f>
        <v>0</v>
      </c>
      <c r="CN183" s="87">
        <f>IF(AQ183="",0,VLOOKUP(E183,Tables!$B$3:$D$36,3,FALSE())*AA$1)</f>
        <v>7.4999999999999997E-2</v>
      </c>
      <c r="CO183" s="73">
        <f>IF(AR183="",0,VLOOKUP(F183,Tables!$B$3:$D$36,3,FALSE())*AB$1)</f>
        <v>0</v>
      </c>
      <c r="CP183" s="73">
        <f>IF(AS183="",0,VLOOKUP(G183,Tables!$B$3:$D$36,3,FALSE())*AC$1)</f>
        <v>0</v>
      </c>
      <c r="CQ183" s="73">
        <f>IF(AT183="",0,VLOOKUP(H183,Tables!$B$3:$D$36,3,FALSE())*AD$1)</f>
        <v>0</v>
      </c>
      <c r="CR183" s="73">
        <f>IF(AU183="",0,VLOOKUP(I183,Tables!$B$3:$D$36,3,FALSE())*AE$1)</f>
        <v>0</v>
      </c>
      <c r="CS183" s="87">
        <f>IF(AV183="",0,VLOOKUP(J183,Tables!$B$3:$D$36,3,FALSE())*AF$1)</f>
        <v>0.3</v>
      </c>
      <c r="CT183" s="73">
        <f>IF(AW183="",0,VLOOKUP(K183,Tables!$B$3:$D$36,3,FALSE())*AG$1)</f>
        <v>0.3</v>
      </c>
      <c r="CU183" s="73">
        <f>IF(AX183="",0,VLOOKUP(L183,Tables!$B$3:$D$36,3,FALSE())*AH$1)</f>
        <v>0.25</v>
      </c>
      <c r="CV183" s="87">
        <f>IF(AY183="",0,VLOOKUP(M183,Tables!$B$3:$D$36,3,FALSE())*AI$1)</f>
        <v>0.35000000000000003</v>
      </c>
      <c r="CW183" s="73">
        <f>IF(AZ183="",0,VLOOKUP(N183,Tables!$B$3:$D$36,3,FALSE())*AJ$1)</f>
        <v>7.4999999999999997E-2</v>
      </c>
      <c r="CX183" s="73">
        <f>IF(BA183="",0,VLOOKUP(O183,Tables!$B$3:$D$36,3,FALSE())*AK$1)</f>
        <v>0.3</v>
      </c>
      <c r="CY183" s="88">
        <f>IF(BB183="",0,VLOOKUP(P183,Tables!$B$3:$D$36,3,FALSE())*AL$1)</f>
        <v>0</v>
      </c>
      <c r="CZ183" s="89">
        <f t="shared" si="152"/>
        <v>0</v>
      </c>
      <c r="DA183" s="75">
        <f t="shared" si="153"/>
        <v>0</v>
      </c>
      <c r="DB183" s="75">
        <f t="shared" si="154"/>
        <v>0</v>
      </c>
      <c r="DC183" s="89">
        <f t="shared" si="155"/>
        <v>1</v>
      </c>
      <c r="DD183" s="75">
        <f t="shared" si="156"/>
        <v>0</v>
      </c>
      <c r="DE183" s="75">
        <f t="shared" si="157"/>
        <v>0</v>
      </c>
      <c r="DF183" s="75">
        <f t="shared" si="158"/>
        <v>0</v>
      </c>
      <c r="DG183" s="75">
        <f t="shared" si="159"/>
        <v>0</v>
      </c>
      <c r="DH183" s="89">
        <f t="shared" si="160"/>
        <v>1</v>
      </c>
      <c r="DI183" s="75">
        <f t="shared" si="161"/>
        <v>1</v>
      </c>
      <c r="DJ183" s="75">
        <f t="shared" si="162"/>
        <v>1</v>
      </c>
      <c r="DK183" s="89">
        <f t="shared" si="163"/>
        <v>1</v>
      </c>
      <c r="DL183" s="75">
        <f t="shared" si="164"/>
        <v>1</v>
      </c>
      <c r="DM183" s="75">
        <f t="shared" si="165"/>
        <v>1</v>
      </c>
      <c r="DN183" s="90">
        <f t="shared" si="166"/>
        <v>0</v>
      </c>
      <c r="DO183" s="91">
        <f>IF(AN183="",0,VLOOKUP(B183,Tables!$B$3:$M$36,11,FALSE())*X$1)</f>
        <v>0</v>
      </c>
      <c r="DP183" s="92">
        <f>IF(AO183="",0,VLOOKUP(C183,Tables!$B$3:$M$36,11,FALSE())*Y$1)</f>
        <v>0</v>
      </c>
      <c r="DQ183" s="92">
        <f>IF(AP183="",0,VLOOKUP(D183,Tables!$B$3:$M$36,11,FALSE())*Z$1)</f>
        <v>0</v>
      </c>
      <c r="DR183" s="91">
        <f>IF(AQ183="",0,VLOOKUP(E183,Tables!$B$3:$M$36,11,FALSE())*AA$1)</f>
        <v>0.6</v>
      </c>
      <c r="DS183" s="92">
        <f>IF(AR183="",0,VLOOKUP(F183,Tables!$B$3:$M$36,11,FALSE())*AB$1)</f>
        <v>0</v>
      </c>
      <c r="DT183" s="92">
        <f>IF(AS183="",0,VLOOKUP(G183,Tables!$B$3:$M$36,11,FALSE())*AC$1)</f>
        <v>0</v>
      </c>
      <c r="DU183" s="92">
        <f>IF(AT183="",0,VLOOKUP(H183,Tables!$B$3:$M$36,11,FALSE())*AD$1)</f>
        <v>0</v>
      </c>
      <c r="DV183" s="92">
        <f>IF(AU183="",0,VLOOKUP(I183,Tables!$B$3:$M$36,11,FALSE())*AE$1)</f>
        <v>0</v>
      </c>
      <c r="DW183" s="91">
        <f>IF(AV183="",0,VLOOKUP(J183,Tables!$B$3:$M$36,11,FALSE())*AF$1)</f>
        <v>2.4</v>
      </c>
      <c r="DX183" s="92">
        <f>IF(AW183="",0,VLOOKUP(K183,Tables!$B$3:$M$36,11,FALSE())*AG$1)</f>
        <v>2.4</v>
      </c>
      <c r="DY183" s="92">
        <f>IF(AX183="",0,VLOOKUP(L183,Tables!$B$3:$M$36,11,FALSE())*AH$1)</f>
        <v>2</v>
      </c>
      <c r="DZ183" s="91">
        <f>IF(AY183="",0,VLOOKUP(M183,Tables!$B$3:$M$36,11,FALSE())*AI$1)</f>
        <v>2.8000000000000003</v>
      </c>
      <c r="EA183" s="92">
        <f>IF(AZ183="",0,VLOOKUP(N183,Tables!$B$3:$M$36,11,FALSE())*AJ$1)</f>
        <v>0.6</v>
      </c>
      <c r="EB183" s="92">
        <f>IF(BA183="",0,VLOOKUP(O183,Tables!$B$3:$M$36,11,FALSE())*AK$1)</f>
        <v>2.4</v>
      </c>
      <c r="EC183" s="93">
        <f>IF(BB183="",0,VLOOKUP(P183,Tables!$B$3:$M$36,11,FALSE())*AL$1)</f>
        <v>0</v>
      </c>
      <c r="ED183" s="91">
        <f>IF(AN183="",0,VLOOKUP(B183,Tables!$B$3:$M$36,12,FALSE())*X$1)</f>
        <v>0</v>
      </c>
      <c r="EE183" s="92">
        <f>IF(AO183="",0,VLOOKUP(C183,Tables!$B$3:$M$36,12,FALSE())*Y$1)</f>
        <v>0</v>
      </c>
      <c r="EF183" s="92">
        <f>IF(AP183="",0,VLOOKUP(D183,Tables!$B$3:$M$36,12,FALSE())*Z$1)</f>
        <v>0</v>
      </c>
      <c r="EG183" s="91">
        <f>IF(AQ183="",0,VLOOKUP(E183,Tables!$B$3:$M$36,12,FALSE())*AA$1)</f>
        <v>18</v>
      </c>
      <c r="EH183" s="92">
        <f>IF(AR183="",0,VLOOKUP(F183,Tables!$B$3:$M$36,12,FALSE())*AB$1)</f>
        <v>0</v>
      </c>
      <c r="EI183" s="92">
        <f>IF(AS183="",0,VLOOKUP(G183,Tables!$B$3:$M$36,12,FALSE())*AC$1)</f>
        <v>0</v>
      </c>
      <c r="EJ183" s="92">
        <f>IF(AT183="",0,VLOOKUP(H183,Tables!$B$3:$M$36,12,FALSE())*AD$1)</f>
        <v>0</v>
      </c>
      <c r="EK183" s="92">
        <f>IF(AU183="",0,VLOOKUP(I183,Tables!$B$3:$M$36,12,FALSE())*AE$1)</f>
        <v>0</v>
      </c>
      <c r="EL183" s="91">
        <f>IF(AV183="",0,VLOOKUP(J183,Tables!$B$3:$M$36,12,FALSE())*AF$1)</f>
        <v>72</v>
      </c>
      <c r="EM183" s="92">
        <f>IF(AW183="",0,VLOOKUP(K183,Tables!$B$3:$M$36,12,FALSE())*AG$1)</f>
        <v>72</v>
      </c>
      <c r="EN183" s="92">
        <f>IF(AX183="",0,VLOOKUP(L183,Tables!$B$3:$M$36,12,FALSE())*AH$1)</f>
        <v>60</v>
      </c>
      <c r="EO183" s="91">
        <f>IF(AY183="",0,VLOOKUP(M183,Tables!$B$3:$M$36,12,FALSE())*AI$1)</f>
        <v>84.000000000000014</v>
      </c>
      <c r="EP183" s="92">
        <f>IF(AZ183="",0,VLOOKUP(N183,Tables!$B$3:$M$36,12,FALSE())*AJ$1)</f>
        <v>18</v>
      </c>
      <c r="EQ183" s="92">
        <f>IF(BA183="",0,VLOOKUP(O183,Tables!$B$3:$M$36,12,FALSE())*AK$1)</f>
        <v>72</v>
      </c>
      <c r="ER183" s="93">
        <f>IF(BB183="",0,VLOOKUP(P183,Tables!$B$3:$M$36,12,FALSE())*AL$1)</f>
        <v>0</v>
      </c>
      <c r="ES183" s="94">
        <f t="shared" si="167"/>
        <v>0</v>
      </c>
      <c r="ET183" s="95">
        <f>IF(AN183="",10,MIN(VLOOKUP(B183,MATERIAL,13,FALSE()),'Item Builder'!$W183))</f>
        <v>10</v>
      </c>
      <c r="EU183" s="95">
        <f>IF(AO183="",10,MIN(VLOOKUP(C183,MATERIAL,13,FALSE()),'Item Builder'!$W183))</f>
        <v>10</v>
      </c>
      <c r="EV183" s="95">
        <f>IF(AP183="",10,MIN(VLOOKUP(D183,MATERIAL,13,FALSE()),'Item Builder'!$W183))</f>
        <v>10</v>
      </c>
      <c r="EW183" s="95">
        <f>IF(AQ183="",10,MIN(VLOOKUP(E183,MATERIAL,13,FALSE()),'Item Builder'!$W183))</f>
        <v>0</v>
      </c>
      <c r="EX183" s="95">
        <f>IF(AR183="",10,MIN(VLOOKUP(F183,MATERIAL,13,FALSE()),'Item Builder'!$W183))</f>
        <v>10</v>
      </c>
      <c r="EY183" s="95">
        <f>IF(AS183="",10,MIN(VLOOKUP(G183,MATERIAL,13,FALSE()),'Item Builder'!$W183))</f>
        <v>10</v>
      </c>
      <c r="EZ183" s="95">
        <f>IF(AT183="",10,MIN(VLOOKUP(H183,MATERIAL,13,FALSE()),'Item Builder'!$W183))</f>
        <v>10</v>
      </c>
      <c r="FA183" s="95">
        <f>IF(AU183="",10,MIN(VLOOKUP(I183,MATERIAL,13,FALSE()),'Item Builder'!$W183))</f>
        <v>10</v>
      </c>
      <c r="FB183" s="95">
        <f>IF(AV183="",10,MIN(VLOOKUP(J183,MATERIAL,13,FALSE()),'Item Builder'!$W183))</f>
        <v>0</v>
      </c>
      <c r="FC183" s="95">
        <f>IF(AW183="",10,MIN(VLOOKUP(K183,MATERIAL,13,FALSE()),'Item Builder'!$W183))</f>
        <v>0</v>
      </c>
      <c r="FD183" s="95">
        <f>IF(AX183="",10,MIN(VLOOKUP(L183,MATERIAL,13,FALSE()),'Item Builder'!$W183))</f>
        <v>0</v>
      </c>
      <c r="FE183" s="95">
        <f>IF(AY183="",10,MIN(VLOOKUP(M183,MATERIAL,13,FALSE()),'Item Builder'!$W183))</f>
        <v>0</v>
      </c>
      <c r="FF183" s="95">
        <f>IF(AZ183="",10,MIN(VLOOKUP(N183,MATERIAL,13,FALSE()),'Item Builder'!$W183))</f>
        <v>0</v>
      </c>
      <c r="FG183" s="95">
        <f>IF(BA183="",10,MIN(VLOOKUP(O183,MATERIAL,13,FALSE()),'Item Builder'!$W183))</f>
        <v>0</v>
      </c>
      <c r="FH183" s="95">
        <f>IF(BB183="",10,MIN(VLOOKUP(P183,MATERIAL,13,FALSE()),'Item Builder'!$W183))</f>
        <v>10</v>
      </c>
    </row>
    <row r="184" spans="1:164" x14ac:dyDescent="0.25">
      <c r="A184" s="67" t="s">
        <v>324</v>
      </c>
      <c r="B184" s="68"/>
      <c r="C184" s="69"/>
      <c r="D184" s="70"/>
      <c r="E184" s="68" t="s">
        <v>175</v>
      </c>
      <c r="F184" s="69" t="s">
        <v>175</v>
      </c>
      <c r="G184" s="69" t="s">
        <v>175</v>
      </c>
      <c r="H184" s="69" t="s">
        <v>175</v>
      </c>
      <c r="I184" s="70"/>
      <c r="J184" s="68" t="s">
        <v>175</v>
      </c>
      <c r="K184" s="69" t="s">
        <v>175</v>
      </c>
      <c r="L184" s="70" t="s">
        <v>175</v>
      </c>
      <c r="M184" s="68" t="s">
        <v>175</v>
      </c>
      <c r="N184" s="69" t="s">
        <v>175</v>
      </c>
      <c r="O184" s="69" t="s">
        <v>175</v>
      </c>
      <c r="P184" s="71"/>
      <c r="Q184" s="72">
        <f>SUM(BV184:CJ184)*VLOOKUP(W184,Tables!$W$3:$Z$8,4)</f>
        <v>553</v>
      </c>
      <c r="R184" s="73">
        <f t="shared" si="112"/>
        <v>1.9750000000000001</v>
      </c>
      <c r="S184" s="74">
        <f t="shared" si="113"/>
        <v>0</v>
      </c>
      <c r="T184" s="74">
        <f t="shared" si="114"/>
        <v>0</v>
      </c>
      <c r="U184" s="75">
        <f t="shared" si="115"/>
        <v>15.8</v>
      </c>
      <c r="V184" s="76">
        <f t="shared" si="116"/>
        <v>474</v>
      </c>
      <c r="W184" s="77">
        <v>0</v>
      </c>
      <c r="X184" s="78">
        <f t="shared" si="117"/>
        <v>0</v>
      </c>
      <c r="Y184" s="79">
        <f t="shared" si="118"/>
        <v>0</v>
      </c>
      <c r="Z184" s="79">
        <f t="shared" si="119"/>
        <v>0</v>
      </c>
      <c r="AA184" s="78">
        <f t="shared" si="120"/>
        <v>1</v>
      </c>
      <c r="AB184" s="79">
        <f t="shared" si="121"/>
        <v>1</v>
      </c>
      <c r="AC184" s="79">
        <f t="shared" si="122"/>
        <v>1</v>
      </c>
      <c r="AD184" s="79">
        <f t="shared" si="123"/>
        <v>1</v>
      </c>
      <c r="AE184" s="79">
        <f t="shared" si="124"/>
        <v>0</v>
      </c>
      <c r="AF184" s="78">
        <f t="shared" si="125"/>
        <v>1</v>
      </c>
      <c r="AG184" s="79">
        <f t="shared" si="126"/>
        <v>1</v>
      </c>
      <c r="AH184" s="79">
        <f t="shared" si="127"/>
        <v>1</v>
      </c>
      <c r="AI184" s="78">
        <f t="shared" si="128"/>
        <v>1</v>
      </c>
      <c r="AJ184" s="79">
        <f t="shared" si="129"/>
        <v>1</v>
      </c>
      <c r="AK184" s="79">
        <f t="shared" si="130"/>
        <v>1</v>
      </c>
      <c r="AL184" s="80">
        <f t="shared" si="131"/>
        <v>0</v>
      </c>
      <c r="AM184" s="81">
        <f t="shared" si="132"/>
        <v>0.79</v>
      </c>
      <c r="AN184" s="82" t="str">
        <f t="shared" si="133"/>
        <v/>
      </c>
      <c r="AO184" s="79" t="str">
        <f t="shared" si="134"/>
        <v/>
      </c>
      <c r="AP184" t="str">
        <f t="shared" si="135"/>
        <v/>
      </c>
      <c r="AQ184" s="82" t="str">
        <f t="shared" si="136"/>
        <v>X</v>
      </c>
      <c r="AR184" t="str">
        <f t="shared" si="137"/>
        <v>X</v>
      </c>
      <c r="AS184" t="str">
        <f t="shared" si="138"/>
        <v>X</v>
      </c>
      <c r="AT184" t="str">
        <f t="shared" si="139"/>
        <v>X</v>
      </c>
      <c r="AU184" t="str">
        <f t="shared" si="140"/>
        <v/>
      </c>
      <c r="AV184" s="82" t="str">
        <f t="shared" si="141"/>
        <v>X</v>
      </c>
      <c r="AW184" t="str">
        <f t="shared" si="142"/>
        <v>X</v>
      </c>
      <c r="AX184" t="str">
        <f t="shared" si="143"/>
        <v>X</v>
      </c>
      <c r="AY184" s="82" t="str">
        <f t="shared" si="144"/>
        <v>X</v>
      </c>
      <c r="AZ184" t="str">
        <f t="shared" si="145"/>
        <v>X</v>
      </c>
      <c r="BA184" t="str">
        <f t="shared" si="146"/>
        <v>X</v>
      </c>
      <c r="BB184" s="83" t="str">
        <f t="shared" si="147"/>
        <v/>
      </c>
      <c r="BC184" s="84">
        <f t="shared" si="148"/>
        <v>0</v>
      </c>
      <c r="BD184" s="84">
        <f t="shared" si="149"/>
        <v>0.76190476190476186</v>
      </c>
      <c r="BE184" s="84">
        <f t="shared" si="150"/>
        <v>1</v>
      </c>
      <c r="BF184" s="84">
        <f t="shared" si="151"/>
        <v>0.80555555555555558</v>
      </c>
      <c r="BG184" s="78">
        <f>IF(AN184="",0,VLOOKUP(AN184,Tables!$AB$3:$AC$12,2))</f>
        <v>0</v>
      </c>
      <c r="BH184" s="79">
        <f>IF(AO184="",0,VLOOKUP(AO184,Tables!$AB$3:$AC$12,2))</f>
        <v>0</v>
      </c>
      <c r="BI184" s="79">
        <f>IF(AP184="",0,VLOOKUP(AP184,Tables!$AB$3:$AC$12,2))</f>
        <v>0</v>
      </c>
      <c r="BJ184" s="78">
        <f>IF(AQ184="",0,VLOOKUP(AQ184,Tables!$AB$3:$AC$12,2))</f>
        <v>1</v>
      </c>
      <c r="BK184" s="79">
        <f>IF(AR184="",0,VLOOKUP(AR184,Tables!$AB$3:$AC$12,2))</f>
        <v>1</v>
      </c>
      <c r="BL184" s="79">
        <f>IF(AS184="",0,VLOOKUP(AS184,Tables!$AB$3:$AC$12,2))</f>
        <v>1</v>
      </c>
      <c r="BM184" s="79">
        <f>IF(AT184="",0,VLOOKUP(AT184,Tables!$AB$3:$AC$12,2))</f>
        <v>1</v>
      </c>
      <c r="BN184" s="79">
        <f>IF(AU184="",0,VLOOKUP(AU184,Tables!$AB$3:$AC$12,2))</f>
        <v>0</v>
      </c>
      <c r="BO184" s="78">
        <f>IF(AV184="",0,VLOOKUP(AV184,Tables!$AB$3:$AC$12,2))</f>
        <v>1</v>
      </c>
      <c r="BP184" s="79">
        <f>IF(AW184="",0,VLOOKUP(AW184,Tables!$AB$3:$AC$12,2))</f>
        <v>1</v>
      </c>
      <c r="BQ184" s="79">
        <f>IF(AX184="",0,VLOOKUP(AX184,Tables!$AB$3:$AC$12,2))</f>
        <v>1</v>
      </c>
      <c r="BR184" s="78">
        <f>IF(AY184="",0,VLOOKUP(AY184,Tables!$AB$3:$AC$12,2))</f>
        <v>1</v>
      </c>
      <c r="BS184" s="79">
        <f>IF(AZ184="",0,VLOOKUP(AZ184,Tables!$AB$3:$AC$12,2))</f>
        <v>1</v>
      </c>
      <c r="BT184" s="79">
        <f>IF(BA184="",0,VLOOKUP(BA184,Tables!$AB$3:$AC$12,2))</f>
        <v>1</v>
      </c>
      <c r="BU184" s="80">
        <f>IF(BB184="",0,VLOOKUP(BB184,Tables!$AB$3:$AC$12,2))</f>
        <v>0</v>
      </c>
      <c r="BV184" s="85">
        <f>IF(AN184="",0,VLOOKUP(B184,Tables!$B$3:$D$36,2,FALSE())*X$1)</f>
        <v>0</v>
      </c>
      <c r="BW184" s="72">
        <f>IF(AO184="",0,VLOOKUP(C184,Tables!$B$3:$D$36,2,FALSE())*Y$1)</f>
        <v>0</v>
      </c>
      <c r="BX184" s="72">
        <f>IF(AP184="",0,VLOOKUP(D184,Tables!$B$3:$D$36,2,FALSE())*Z$1)</f>
        <v>0</v>
      </c>
      <c r="BY184" s="85">
        <f>IF(AQ184="",0,VLOOKUP(E184,Tables!$B$3:$D$36,2,FALSE())*AA$1)</f>
        <v>21</v>
      </c>
      <c r="BZ184" s="72">
        <f>IF(AR184="",0,VLOOKUP(F184,Tables!$B$3:$D$36,2,FALSE())*AB$1)</f>
        <v>42</v>
      </c>
      <c r="CA184" s="72">
        <f>IF(AS184="",0,VLOOKUP(G184,Tables!$B$3:$D$36,2,FALSE())*AC$1)</f>
        <v>14</v>
      </c>
      <c r="CB184" s="72">
        <f>IF(AT184="",0,VLOOKUP(H184,Tables!$B$3:$D$36,2,FALSE())*AD$1)</f>
        <v>35</v>
      </c>
      <c r="CC184" s="72">
        <f>IF(AU184="",0,VLOOKUP(I184,Tables!$B$3:$D$36,2,FALSE())*AE$1)</f>
        <v>0</v>
      </c>
      <c r="CD184" s="85">
        <f>IF(AV184="",0,VLOOKUP(J184,Tables!$B$3:$D$36,2,FALSE())*AF$1)</f>
        <v>84</v>
      </c>
      <c r="CE184" s="72">
        <f>IF(AW184="",0,VLOOKUP(K184,Tables!$B$3:$D$36,2,FALSE())*AG$1)</f>
        <v>84</v>
      </c>
      <c r="CF184" s="72">
        <f>IF(AX184="",0,VLOOKUP(L184,Tables!$B$3:$D$36,2,FALSE())*AH$1)</f>
        <v>70</v>
      </c>
      <c r="CG184" s="85">
        <f>IF(AY184="",0,VLOOKUP(M184,Tables!$B$3:$D$36,2,FALSE())*AI$1)</f>
        <v>98.000000000000014</v>
      </c>
      <c r="CH184" s="72">
        <f>IF(AZ184="",0,VLOOKUP(N184,Tables!$B$3:$D$36,2,FALSE())*AJ$1)</f>
        <v>21</v>
      </c>
      <c r="CI184" s="72">
        <f>IF(BA184="",0,VLOOKUP(O184,Tables!$B$3:$D$36,2,FALSE())*AK$1)</f>
        <v>84</v>
      </c>
      <c r="CJ184" s="86">
        <f>IF(BB184="",0,VLOOKUP(P184,Tables!$B$3:$D$36,2,FALSE())*AL$1)</f>
        <v>0</v>
      </c>
      <c r="CK184" s="87">
        <f>IF(AN184="",0,VLOOKUP(B184,Tables!$B$3:$D$36,3,FALSE())*X$1)*IF(OR(AN184="K",AN184="P"),2,1)</f>
        <v>0</v>
      </c>
      <c r="CL184" s="73">
        <f>IF(AO184="",0,VLOOKUP(C184,Tables!$B$3:$D$36,3,FALSE())*Y$1)*IF(OR(AO184="K",AO184="P"),2,1)</f>
        <v>0</v>
      </c>
      <c r="CM184" s="73">
        <f>IF(AP184="",0,VLOOKUP(D184,Tables!$B$3:$D$36,3,FALSE())*Z$1)*IF(OR(AP184="K",AP184="P"),2,1)</f>
        <v>0</v>
      </c>
      <c r="CN184" s="87">
        <f>IF(AQ184="",0,VLOOKUP(E184,Tables!$B$3:$D$36,3,FALSE())*AA$1)</f>
        <v>7.4999999999999997E-2</v>
      </c>
      <c r="CO184" s="73">
        <f>IF(AR184="",0,VLOOKUP(F184,Tables!$B$3:$D$36,3,FALSE())*AB$1)</f>
        <v>0.15</v>
      </c>
      <c r="CP184" s="73">
        <f>IF(AS184="",0,VLOOKUP(G184,Tables!$B$3:$D$36,3,FALSE())*AC$1)</f>
        <v>0.05</v>
      </c>
      <c r="CQ184" s="73">
        <f>IF(AT184="",0,VLOOKUP(H184,Tables!$B$3:$D$36,3,FALSE())*AD$1)</f>
        <v>0.125</v>
      </c>
      <c r="CR184" s="73">
        <f>IF(AU184="",0,VLOOKUP(I184,Tables!$B$3:$D$36,3,FALSE())*AE$1)</f>
        <v>0</v>
      </c>
      <c r="CS184" s="87">
        <f>IF(AV184="",0,VLOOKUP(J184,Tables!$B$3:$D$36,3,FALSE())*AF$1)</f>
        <v>0.3</v>
      </c>
      <c r="CT184" s="73">
        <f>IF(AW184="",0,VLOOKUP(K184,Tables!$B$3:$D$36,3,FALSE())*AG$1)</f>
        <v>0.3</v>
      </c>
      <c r="CU184" s="73">
        <f>IF(AX184="",0,VLOOKUP(L184,Tables!$B$3:$D$36,3,FALSE())*AH$1)</f>
        <v>0.25</v>
      </c>
      <c r="CV184" s="87">
        <f>IF(AY184="",0,VLOOKUP(M184,Tables!$B$3:$D$36,3,FALSE())*AI$1)</f>
        <v>0.35000000000000003</v>
      </c>
      <c r="CW184" s="73">
        <f>IF(AZ184="",0,VLOOKUP(N184,Tables!$B$3:$D$36,3,FALSE())*AJ$1)</f>
        <v>7.4999999999999997E-2</v>
      </c>
      <c r="CX184" s="73">
        <f>IF(BA184="",0,VLOOKUP(O184,Tables!$B$3:$D$36,3,FALSE())*AK$1)</f>
        <v>0.3</v>
      </c>
      <c r="CY184" s="88">
        <f>IF(BB184="",0,VLOOKUP(P184,Tables!$B$3:$D$36,3,FALSE())*AL$1)</f>
        <v>0</v>
      </c>
      <c r="CZ184" s="89">
        <f t="shared" si="152"/>
        <v>0</v>
      </c>
      <c r="DA184" s="75">
        <f t="shared" si="153"/>
        <v>0</v>
      </c>
      <c r="DB184" s="75">
        <f t="shared" si="154"/>
        <v>0</v>
      </c>
      <c r="DC184" s="89">
        <f t="shared" si="155"/>
        <v>1</v>
      </c>
      <c r="DD184" s="75">
        <f t="shared" si="156"/>
        <v>1</v>
      </c>
      <c r="DE184" s="75">
        <f t="shared" si="157"/>
        <v>1</v>
      </c>
      <c r="DF184" s="75">
        <f t="shared" si="158"/>
        <v>1</v>
      </c>
      <c r="DG184" s="75">
        <f t="shared" si="159"/>
        <v>0</v>
      </c>
      <c r="DH184" s="89">
        <f t="shared" si="160"/>
        <v>1</v>
      </c>
      <c r="DI184" s="75">
        <f t="shared" si="161"/>
        <v>1</v>
      </c>
      <c r="DJ184" s="75">
        <f t="shared" si="162"/>
        <v>1</v>
      </c>
      <c r="DK184" s="89">
        <f t="shared" si="163"/>
        <v>1</v>
      </c>
      <c r="DL184" s="75">
        <f t="shared" si="164"/>
        <v>1</v>
      </c>
      <c r="DM184" s="75">
        <f t="shared" si="165"/>
        <v>1</v>
      </c>
      <c r="DN184" s="90">
        <f t="shared" si="166"/>
        <v>0</v>
      </c>
      <c r="DO184" s="91">
        <f>IF(AN184="",0,VLOOKUP(B184,Tables!$B$3:$M$36,11,FALSE())*X$1)</f>
        <v>0</v>
      </c>
      <c r="DP184" s="92">
        <f>IF(AO184="",0,VLOOKUP(C184,Tables!$B$3:$M$36,11,FALSE())*Y$1)</f>
        <v>0</v>
      </c>
      <c r="DQ184" s="92">
        <f>IF(AP184="",0,VLOOKUP(D184,Tables!$B$3:$M$36,11,FALSE())*Z$1)</f>
        <v>0</v>
      </c>
      <c r="DR184" s="91">
        <f>IF(AQ184="",0,VLOOKUP(E184,Tables!$B$3:$M$36,11,FALSE())*AA$1)</f>
        <v>0.6</v>
      </c>
      <c r="DS184" s="92">
        <f>IF(AR184="",0,VLOOKUP(F184,Tables!$B$3:$M$36,11,FALSE())*AB$1)</f>
        <v>1.2</v>
      </c>
      <c r="DT184" s="92">
        <f>IF(AS184="",0,VLOOKUP(G184,Tables!$B$3:$M$36,11,FALSE())*AC$1)</f>
        <v>0.4</v>
      </c>
      <c r="DU184" s="92">
        <f>IF(AT184="",0,VLOOKUP(H184,Tables!$B$3:$M$36,11,FALSE())*AD$1)</f>
        <v>1</v>
      </c>
      <c r="DV184" s="92">
        <f>IF(AU184="",0,VLOOKUP(I184,Tables!$B$3:$M$36,11,FALSE())*AE$1)</f>
        <v>0</v>
      </c>
      <c r="DW184" s="91">
        <f>IF(AV184="",0,VLOOKUP(J184,Tables!$B$3:$M$36,11,FALSE())*AF$1)</f>
        <v>2.4</v>
      </c>
      <c r="DX184" s="92">
        <f>IF(AW184="",0,VLOOKUP(K184,Tables!$B$3:$M$36,11,FALSE())*AG$1)</f>
        <v>2.4</v>
      </c>
      <c r="DY184" s="92">
        <f>IF(AX184="",0,VLOOKUP(L184,Tables!$B$3:$M$36,11,FALSE())*AH$1)</f>
        <v>2</v>
      </c>
      <c r="DZ184" s="91">
        <f>IF(AY184="",0,VLOOKUP(M184,Tables!$B$3:$M$36,11,FALSE())*AI$1)</f>
        <v>2.8000000000000003</v>
      </c>
      <c r="EA184" s="92">
        <f>IF(AZ184="",0,VLOOKUP(N184,Tables!$B$3:$M$36,11,FALSE())*AJ$1)</f>
        <v>0.6</v>
      </c>
      <c r="EB184" s="92">
        <f>IF(BA184="",0,VLOOKUP(O184,Tables!$B$3:$M$36,11,FALSE())*AK$1)</f>
        <v>2.4</v>
      </c>
      <c r="EC184" s="93">
        <f>IF(BB184="",0,VLOOKUP(P184,Tables!$B$3:$M$36,11,FALSE())*AL$1)</f>
        <v>0</v>
      </c>
      <c r="ED184" s="91">
        <f>IF(AN184="",0,VLOOKUP(B184,Tables!$B$3:$M$36,12,FALSE())*X$1)</f>
        <v>0</v>
      </c>
      <c r="EE184" s="92">
        <f>IF(AO184="",0,VLOOKUP(C184,Tables!$B$3:$M$36,12,FALSE())*Y$1)</f>
        <v>0</v>
      </c>
      <c r="EF184" s="92">
        <f>IF(AP184="",0,VLOOKUP(D184,Tables!$B$3:$M$36,12,FALSE())*Z$1)</f>
        <v>0</v>
      </c>
      <c r="EG184" s="91">
        <f>IF(AQ184="",0,VLOOKUP(E184,Tables!$B$3:$M$36,12,FALSE())*AA$1)</f>
        <v>18</v>
      </c>
      <c r="EH184" s="92">
        <f>IF(AR184="",0,VLOOKUP(F184,Tables!$B$3:$M$36,12,FALSE())*AB$1)</f>
        <v>36</v>
      </c>
      <c r="EI184" s="92">
        <f>IF(AS184="",0,VLOOKUP(G184,Tables!$B$3:$M$36,12,FALSE())*AC$1)</f>
        <v>12</v>
      </c>
      <c r="EJ184" s="92">
        <f>IF(AT184="",0,VLOOKUP(H184,Tables!$B$3:$M$36,12,FALSE())*AD$1)</f>
        <v>30</v>
      </c>
      <c r="EK184" s="92">
        <f>IF(AU184="",0,VLOOKUP(I184,Tables!$B$3:$M$36,12,FALSE())*AE$1)</f>
        <v>0</v>
      </c>
      <c r="EL184" s="91">
        <f>IF(AV184="",0,VLOOKUP(J184,Tables!$B$3:$M$36,12,FALSE())*AF$1)</f>
        <v>72</v>
      </c>
      <c r="EM184" s="92">
        <f>IF(AW184="",0,VLOOKUP(K184,Tables!$B$3:$M$36,12,FALSE())*AG$1)</f>
        <v>72</v>
      </c>
      <c r="EN184" s="92">
        <f>IF(AX184="",0,VLOOKUP(L184,Tables!$B$3:$M$36,12,FALSE())*AH$1)</f>
        <v>60</v>
      </c>
      <c r="EO184" s="91">
        <f>IF(AY184="",0,VLOOKUP(M184,Tables!$B$3:$M$36,12,FALSE())*AI$1)</f>
        <v>84.000000000000014</v>
      </c>
      <c r="EP184" s="92">
        <f>IF(AZ184="",0,VLOOKUP(N184,Tables!$B$3:$M$36,12,FALSE())*AJ$1)</f>
        <v>18</v>
      </c>
      <c r="EQ184" s="92">
        <f>IF(BA184="",0,VLOOKUP(O184,Tables!$B$3:$M$36,12,FALSE())*AK$1)</f>
        <v>72</v>
      </c>
      <c r="ER184" s="93">
        <f>IF(BB184="",0,VLOOKUP(P184,Tables!$B$3:$M$36,12,FALSE())*AL$1)</f>
        <v>0</v>
      </c>
      <c r="ES184" s="94">
        <f t="shared" si="167"/>
        <v>0</v>
      </c>
      <c r="ET184" s="95">
        <f>IF(AN184="",10,MIN(VLOOKUP(B184,MATERIAL,13,FALSE()),'Item Builder'!$W184))</f>
        <v>10</v>
      </c>
      <c r="EU184" s="95">
        <f>IF(AO184="",10,MIN(VLOOKUP(C184,MATERIAL,13,FALSE()),'Item Builder'!$W184))</f>
        <v>10</v>
      </c>
      <c r="EV184" s="95">
        <f>IF(AP184="",10,MIN(VLOOKUP(D184,MATERIAL,13,FALSE()),'Item Builder'!$W184))</f>
        <v>10</v>
      </c>
      <c r="EW184" s="95">
        <f>IF(AQ184="",10,MIN(VLOOKUP(E184,MATERIAL,13,FALSE()),'Item Builder'!$W184))</f>
        <v>0</v>
      </c>
      <c r="EX184" s="95">
        <f>IF(AR184="",10,MIN(VLOOKUP(F184,MATERIAL,13,FALSE()),'Item Builder'!$W184))</f>
        <v>0</v>
      </c>
      <c r="EY184" s="95">
        <f>IF(AS184="",10,MIN(VLOOKUP(G184,MATERIAL,13,FALSE()),'Item Builder'!$W184))</f>
        <v>0</v>
      </c>
      <c r="EZ184" s="95">
        <f>IF(AT184="",10,MIN(VLOOKUP(H184,MATERIAL,13,FALSE()),'Item Builder'!$W184))</f>
        <v>0</v>
      </c>
      <c r="FA184" s="95">
        <f>IF(AU184="",10,MIN(VLOOKUP(I184,MATERIAL,13,FALSE()),'Item Builder'!$W184))</f>
        <v>10</v>
      </c>
      <c r="FB184" s="95">
        <f>IF(AV184="",10,MIN(VLOOKUP(J184,MATERIAL,13,FALSE()),'Item Builder'!$W184))</f>
        <v>0</v>
      </c>
      <c r="FC184" s="95">
        <f>IF(AW184="",10,MIN(VLOOKUP(K184,MATERIAL,13,FALSE()),'Item Builder'!$W184))</f>
        <v>0</v>
      </c>
      <c r="FD184" s="95">
        <f>IF(AX184="",10,MIN(VLOOKUP(L184,MATERIAL,13,FALSE()),'Item Builder'!$W184))</f>
        <v>0</v>
      </c>
      <c r="FE184" s="95">
        <f>IF(AY184="",10,MIN(VLOOKUP(M184,MATERIAL,13,FALSE()),'Item Builder'!$W184))</f>
        <v>0</v>
      </c>
      <c r="FF184" s="95">
        <f>IF(AZ184="",10,MIN(VLOOKUP(N184,MATERIAL,13,FALSE()),'Item Builder'!$W184))</f>
        <v>0</v>
      </c>
      <c r="FG184" s="95">
        <f>IF(BA184="",10,MIN(VLOOKUP(O184,MATERIAL,13,FALSE()),'Item Builder'!$W184))</f>
        <v>0</v>
      </c>
      <c r="FH184" s="95">
        <f>IF(BB184="",10,MIN(VLOOKUP(P184,MATERIAL,13,FALSE()),'Item Builder'!$W184))</f>
        <v>10</v>
      </c>
    </row>
    <row r="185" spans="1:164" x14ac:dyDescent="0.25">
      <c r="A185" s="67" t="s">
        <v>325</v>
      </c>
      <c r="B185" s="68"/>
      <c r="C185" s="69"/>
      <c r="D185" s="70"/>
      <c r="E185" s="68"/>
      <c r="F185" s="69"/>
      <c r="G185" s="69"/>
      <c r="H185" s="69"/>
      <c r="I185" s="70"/>
      <c r="J185" s="68"/>
      <c r="K185" s="69"/>
      <c r="L185" s="70" t="s">
        <v>175</v>
      </c>
      <c r="M185" s="68" t="s">
        <v>175</v>
      </c>
      <c r="N185" s="69" t="s">
        <v>175</v>
      </c>
      <c r="O185" s="69"/>
      <c r="P185" s="71"/>
      <c r="Q185" s="72">
        <f>SUM(BV185:CJ185)*VLOOKUP(W185,Tables!$W$3:$Z$8,4)</f>
        <v>189</v>
      </c>
      <c r="R185" s="73">
        <f t="shared" si="112"/>
        <v>0.67500000000000004</v>
      </c>
      <c r="S185" s="74">
        <f t="shared" si="113"/>
        <v>0</v>
      </c>
      <c r="T185" s="74">
        <f t="shared" si="114"/>
        <v>0</v>
      </c>
      <c r="U185" s="75">
        <f t="shared" si="115"/>
        <v>5.4</v>
      </c>
      <c r="V185" s="76">
        <f t="shared" si="116"/>
        <v>162</v>
      </c>
      <c r="W185" s="77">
        <v>0</v>
      </c>
      <c r="X185" s="78">
        <f t="shared" si="117"/>
        <v>0</v>
      </c>
      <c r="Y185" s="79">
        <f t="shared" si="118"/>
        <v>0</v>
      </c>
      <c r="Z185" s="79">
        <f t="shared" si="119"/>
        <v>0</v>
      </c>
      <c r="AA185" s="78">
        <f t="shared" si="120"/>
        <v>0</v>
      </c>
      <c r="AB185" s="79">
        <f t="shared" si="121"/>
        <v>0</v>
      </c>
      <c r="AC185" s="79">
        <f t="shared" si="122"/>
        <v>0</v>
      </c>
      <c r="AD185" s="79">
        <f t="shared" si="123"/>
        <v>0</v>
      </c>
      <c r="AE185" s="79">
        <f t="shared" si="124"/>
        <v>0</v>
      </c>
      <c r="AF185" s="78">
        <f t="shared" si="125"/>
        <v>0</v>
      </c>
      <c r="AG185" s="79">
        <f t="shared" si="126"/>
        <v>0</v>
      </c>
      <c r="AH185" s="79">
        <f t="shared" si="127"/>
        <v>1</v>
      </c>
      <c r="AI185" s="78">
        <f t="shared" si="128"/>
        <v>1</v>
      </c>
      <c r="AJ185" s="79">
        <f t="shared" si="129"/>
        <v>1</v>
      </c>
      <c r="AK185" s="79">
        <f t="shared" si="130"/>
        <v>0</v>
      </c>
      <c r="AL185" s="80">
        <f t="shared" si="131"/>
        <v>0</v>
      </c>
      <c r="AM185" s="81">
        <f t="shared" si="132"/>
        <v>0.27</v>
      </c>
      <c r="AN185" s="82" t="str">
        <f t="shared" si="133"/>
        <v/>
      </c>
      <c r="AO185" s="79" t="str">
        <f t="shared" si="134"/>
        <v/>
      </c>
      <c r="AP185" t="str">
        <f t="shared" si="135"/>
        <v/>
      </c>
      <c r="AQ185" s="82" t="str">
        <f t="shared" si="136"/>
        <v/>
      </c>
      <c r="AR185" t="str">
        <f t="shared" si="137"/>
        <v/>
      </c>
      <c r="AS185" t="str">
        <f t="shared" si="138"/>
        <v/>
      </c>
      <c r="AT185" t="str">
        <f t="shared" si="139"/>
        <v/>
      </c>
      <c r="AU185" t="str">
        <f t="shared" si="140"/>
        <v/>
      </c>
      <c r="AV185" s="82" t="str">
        <f t="shared" si="141"/>
        <v/>
      </c>
      <c r="AW185" t="str">
        <f t="shared" si="142"/>
        <v/>
      </c>
      <c r="AX185" t="str">
        <f t="shared" si="143"/>
        <v>X</v>
      </c>
      <c r="AY185" s="82" t="str">
        <f t="shared" si="144"/>
        <v>X</v>
      </c>
      <c r="AZ185" t="str">
        <f t="shared" si="145"/>
        <v>X</v>
      </c>
      <c r="BA185" t="str">
        <f t="shared" si="146"/>
        <v/>
      </c>
      <c r="BB185" s="83" t="str">
        <f t="shared" si="147"/>
        <v/>
      </c>
      <c r="BC185" s="84">
        <f t="shared" si="148"/>
        <v>0</v>
      </c>
      <c r="BD185" s="84">
        <f t="shared" si="149"/>
        <v>0</v>
      </c>
      <c r="BE185" s="84">
        <f t="shared" si="150"/>
        <v>0.29411764705882359</v>
      </c>
      <c r="BF185" s="84">
        <f t="shared" si="151"/>
        <v>0.47222222222222221</v>
      </c>
      <c r="BG185" s="78">
        <f>IF(AN185="",0,VLOOKUP(AN185,Tables!$AB$3:$AC$12,2))</f>
        <v>0</v>
      </c>
      <c r="BH185" s="79">
        <f>IF(AO185="",0,VLOOKUP(AO185,Tables!$AB$3:$AC$12,2))</f>
        <v>0</v>
      </c>
      <c r="BI185" s="79">
        <f>IF(AP185="",0,VLOOKUP(AP185,Tables!$AB$3:$AC$12,2))</f>
        <v>0</v>
      </c>
      <c r="BJ185" s="78">
        <f>IF(AQ185="",0,VLOOKUP(AQ185,Tables!$AB$3:$AC$12,2))</f>
        <v>0</v>
      </c>
      <c r="BK185" s="79">
        <f>IF(AR185="",0,VLOOKUP(AR185,Tables!$AB$3:$AC$12,2))</f>
        <v>0</v>
      </c>
      <c r="BL185" s="79">
        <f>IF(AS185="",0,VLOOKUP(AS185,Tables!$AB$3:$AC$12,2))</f>
        <v>0</v>
      </c>
      <c r="BM185" s="79">
        <f>IF(AT185="",0,VLOOKUP(AT185,Tables!$AB$3:$AC$12,2))</f>
        <v>0</v>
      </c>
      <c r="BN185" s="79">
        <f>IF(AU185="",0,VLOOKUP(AU185,Tables!$AB$3:$AC$12,2))</f>
        <v>0</v>
      </c>
      <c r="BO185" s="78">
        <f>IF(AV185="",0,VLOOKUP(AV185,Tables!$AB$3:$AC$12,2))</f>
        <v>0</v>
      </c>
      <c r="BP185" s="79">
        <f>IF(AW185="",0,VLOOKUP(AW185,Tables!$AB$3:$AC$12,2))</f>
        <v>0</v>
      </c>
      <c r="BQ185" s="79">
        <f>IF(AX185="",0,VLOOKUP(AX185,Tables!$AB$3:$AC$12,2))</f>
        <v>1</v>
      </c>
      <c r="BR185" s="78">
        <f>IF(AY185="",0,VLOOKUP(AY185,Tables!$AB$3:$AC$12,2))</f>
        <v>1</v>
      </c>
      <c r="BS185" s="79">
        <f>IF(AZ185="",0,VLOOKUP(AZ185,Tables!$AB$3:$AC$12,2))</f>
        <v>1</v>
      </c>
      <c r="BT185" s="79">
        <f>IF(BA185="",0,VLOOKUP(BA185,Tables!$AB$3:$AC$12,2))</f>
        <v>0</v>
      </c>
      <c r="BU185" s="80">
        <f>IF(BB185="",0,VLOOKUP(BB185,Tables!$AB$3:$AC$12,2))</f>
        <v>0</v>
      </c>
      <c r="BV185" s="85">
        <f>IF(AN185="",0,VLOOKUP(B185,Tables!$B$3:$D$36,2,FALSE())*X$1)</f>
        <v>0</v>
      </c>
      <c r="BW185" s="72">
        <f>IF(AO185="",0,VLOOKUP(C185,Tables!$B$3:$D$36,2,FALSE())*Y$1)</f>
        <v>0</v>
      </c>
      <c r="BX185" s="72">
        <f>IF(AP185="",0,VLOOKUP(D185,Tables!$B$3:$D$36,2,FALSE())*Z$1)</f>
        <v>0</v>
      </c>
      <c r="BY185" s="85">
        <f>IF(AQ185="",0,VLOOKUP(E185,Tables!$B$3:$D$36,2,FALSE())*AA$1)</f>
        <v>0</v>
      </c>
      <c r="BZ185" s="72">
        <f>IF(AR185="",0,VLOOKUP(F185,Tables!$B$3:$D$36,2,FALSE())*AB$1)</f>
        <v>0</v>
      </c>
      <c r="CA185" s="72">
        <f>IF(AS185="",0,VLOOKUP(G185,Tables!$B$3:$D$36,2,FALSE())*AC$1)</f>
        <v>0</v>
      </c>
      <c r="CB185" s="72">
        <f>IF(AT185="",0,VLOOKUP(H185,Tables!$B$3:$D$36,2,FALSE())*AD$1)</f>
        <v>0</v>
      </c>
      <c r="CC185" s="72">
        <f>IF(AU185="",0,VLOOKUP(I185,Tables!$B$3:$D$36,2,FALSE())*AE$1)</f>
        <v>0</v>
      </c>
      <c r="CD185" s="85">
        <f>IF(AV185="",0,VLOOKUP(J185,Tables!$B$3:$D$36,2,FALSE())*AF$1)</f>
        <v>0</v>
      </c>
      <c r="CE185" s="72">
        <f>IF(AW185="",0,VLOOKUP(K185,Tables!$B$3:$D$36,2,FALSE())*AG$1)</f>
        <v>0</v>
      </c>
      <c r="CF185" s="72">
        <f>IF(AX185="",0,VLOOKUP(L185,Tables!$B$3:$D$36,2,FALSE())*AH$1)</f>
        <v>70</v>
      </c>
      <c r="CG185" s="85">
        <f>IF(AY185="",0,VLOOKUP(M185,Tables!$B$3:$D$36,2,FALSE())*AI$1)</f>
        <v>98.000000000000014</v>
      </c>
      <c r="CH185" s="72">
        <f>IF(AZ185="",0,VLOOKUP(N185,Tables!$B$3:$D$36,2,FALSE())*AJ$1)</f>
        <v>21</v>
      </c>
      <c r="CI185" s="72">
        <f>IF(BA185="",0,VLOOKUP(O185,Tables!$B$3:$D$36,2,FALSE())*AK$1)</f>
        <v>0</v>
      </c>
      <c r="CJ185" s="86">
        <f>IF(BB185="",0,VLOOKUP(P185,Tables!$B$3:$D$36,2,FALSE())*AL$1)</f>
        <v>0</v>
      </c>
      <c r="CK185" s="87">
        <f>IF(AN185="",0,VLOOKUP(B185,Tables!$B$3:$D$36,3,FALSE())*X$1)*IF(OR(AN185="K",AN185="P"),2,1)</f>
        <v>0</v>
      </c>
      <c r="CL185" s="73">
        <f>IF(AO185="",0,VLOOKUP(C185,Tables!$B$3:$D$36,3,FALSE())*Y$1)*IF(OR(AO185="K",AO185="P"),2,1)</f>
        <v>0</v>
      </c>
      <c r="CM185" s="73">
        <f>IF(AP185="",0,VLOOKUP(D185,Tables!$B$3:$D$36,3,FALSE())*Z$1)*IF(OR(AP185="K",AP185="P"),2,1)</f>
        <v>0</v>
      </c>
      <c r="CN185" s="87">
        <f>IF(AQ185="",0,VLOOKUP(E185,Tables!$B$3:$D$36,3,FALSE())*AA$1)</f>
        <v>0</v>
      </c>
      <c r="CO185" s="73">
        <f>IF(AR185="",0,VLOOKUP(F185,Tables!$B$3:$D$36,3,FALSE())*AB$1)</f>
        <v>0</v>
      </c>
      <c r="CP185" s="73">
        <f>IF(AS185="",0,VLOOKUP(G185,Tables!$B$3:$D$36,3,FALSE())*AC$1)</f>
        <v>0</v>
      </c>
      <c r="CQ185" s="73">
        <f>IF(AT185="",0,VLOOKUP(H185,Tables!$B$3:$D$36,3,FALSE())*AD$1)</f>
        <v>0</v>
      </c>
      <c r="CR185" s="73">
        <f>IF(AU185="",0,VLOOKUP(I185,Tables!$B$3:$D$36,3,FALSE())*AE$1)</f>
        <v>0</v>
      </c>
      <c r="CS185" s="87">
        <f>IF(AV185="",0,VLOOKUP(J185,Tables!$B$3:$D$36,3,FALSE())*AF$1)</f>
        <v>0</v>
      </c>
      <c r="CT185" s="73">
        <f>IF(AW185="",0,VLOOKUP(K185,Tables!$B$3:$D$36,3,FALSE())*AG$1)</f>
        <v>0</v>
      </c>
      <c r="CU185" s="73">
        <f>IF(AX185="",0,VLOOKUP(L185,Tables!$B$3:$D$36,3,FALSE())*AH$1)</f>
        <v>0.25</v>
      </c>
      <c r="CV185" s="87">
        <f>IF(AY185="",0,VLOOKUP(M185,Tables!$B$3:$D$36,3,FALSE())*AI$1)</f>
        <v>0.35000000000000003</v>
      </c>
      <c r="CW185" s="73">
        <f>IF(AZ185="",0,VLOOKUP(N185,Tables!$B$3:$D$36,3,FALSE())*AJ$1)</f>
        <v>7.4999999999999997E-2</v>
      </c>
      <c r="CX185" s="73">
        <f>IF(BA185="",0,VLOOKUP(O185,Tables!$B$3:$D$36,3,FALSE())*AK$1)</f>
        <v>0</v>
      </c>
      <c r="CY185" s="88">
        <f>IF(BB185="",0,VLOOKUP(P185,Tables!$B$3:$D$36,3,FALSE())*AL$1)</f>
        <v>0</v>
      </c>
      <c r="CZ185" s="89">
        <f t="shared" si="152"/>
        <v>0</v>
      </c>
      <c r="DA185" s="75">
        <f t="shared" si="153"/>
        <v>0</v>
      </c>
      <c r="DB185" s="75">
        <f t="shared" si="154"/>
        <v>0</v>
      </c>
      <c r="DC185" s="89">
        <f t="shared" si="155"/>
        <v>0</v>
      </c>
      <c r="DD185" s="75">
        <f t="shared" si="156"/>
        <v>0</v>
      </c>
      <c r="DE185" s="75">
        <f t="shared" si="157"/>
        <v>0</v>
      </c>
      <c r="DF185" s="75">
        <f t="shared" si="158"/>
        <v>0</v>
      </c>
      <c r="DG185" s="75">
        <f t="shared" si="159"/>
        <v>0</v>
      </c>
      <c r="DH185" s="89">
        <f t="shared" si="160"/>
        <v>0</v>
      </c>
      <c r="DI185" s="75">
        <f t="shared" si="161"/>
        <v>0</v>
      </c>
      <c r="DJ185" s="75">
        <f t="shared" si="162"/>
        <v>1</v>
      </c>
      <c r="DK185" s="89">
        <f t="shared" si="163"/>
        <v>1</v>
      </c>
      <c r="DL185" s="75">
        <f t="shared" si="164"/>
        <v>1</v>
      </c>
      <c r="DM185" s="75">
        <f t="shared" si="165"/>
        <v>0</v>
      </c>
      <c r="DN185" s="90">
        <f t="shared" si="166"/>
        <v>0</v>
      </c>
      <c r="DO185" s="91">
        <f>IF(AN185="",0,VLOOKUP(B185,Tables!$B$3:$M$36,11,FALSE())*X$1)</f>
        <v>0</v>
      </c>
      <c r="DP185" s="92">
        <f>IF(AO185="",0,VLOOKUP(C185,Tables!$B$3:$M$36,11,FALSE())*Y$1)</f>
        <v>0</v>
      </c>
      <c r="DQ185" s="92">
        <f>IF(AP185="",0,VLOOKUP(D185,Tables!$B$3:$M$36,11,FALSE())*Z$1)</f>
        <v>0</v>
      </c>
      <c r="DR185" s="91">
        <f>IF(AQ185="",0,VLOOKUP(E185,Tables!$B$3:$M$36,11,FALSE())*AA$1)</f>
        <v>0</v>
      </c>
      <c r="DS185" s="92">
        <f>IF(AR185="",0,VLOOKUP(F185,Tables!$B$3:$M$36,11,FALSE())*AB$1)</f>
        <v>0</v>
      </c>
      <c r="DT185" s="92">
        <f>IF(AS185="",0,VLOOKUP(G185,Tables!$B$3:$M$36,11,FALSE())*AC$1)</f>
        <v>0</v>
      </c>
      <c r="DU185" s="92">
        <f>IF(AT185="",0,VLOOKUP(H185,Tables!$B$3:$M$36,11,FALSE())*AD$1)</f>
        <v>0</v>
      </c>
      <c r="DV185" s="92">
        <f>IF(AU185="",0,VLOOKUP(I185,Tables!$B$3:$M$36,11,FALSE())*AE$1)</f>
        <v>0</v>
      </c>
      <c r="DW185" s="91">
        <f>IF(AV185="",0,VLOOKUP(J185,Tables!$B$3:$M$36,11,FALSE())*AF$1)</f>
        <v>0</v>
      </c>
      <c r="DX185" s="92">
        <f>IF(AW185="",0,VLOOKUP(K185,Tables!$B$3:$M$36,11,FALSE())*AG$1)</f>
        <v>0</v>
      </c>
      <c r="DY185" s="92">
        <f>IF(AX185="",0,VLOOKUP(L185,Tables!$B$3:$M$36,11,FALSE())*AH$1)</f>
        <v>2</v>
      </c>
      <c r="DZ185" s="91">
        <f>IF(AY185="",0,VLOOKUP(M185,Tables!$B$3:$M$36,11,FALSE())*AI$1)</f>
        <v>2.8000000000000003</v>
      </c>
      <c r="EA185" s="92">
        <f>IF(AZ185="",0,VLOOKUP(N185,Tables!$B$3:$M$36,11,FALSE())*AJ$1)</f>
        <v>0.6</v>
      </c>
      <c r="EB185" s="92">
        <f>IF(BA185="",0,VLOOKUP(O185,Tables!$B$3:$M$36,11,FALSE())*AK$1)</f>
        <v>0</v>
      </c>
      <c r="EC185" s="93">
        <f>IF(BB185="",0,VLOOKUP(P185,Tables!$B$3:$M$36,11,FALSE())*AL$1)</f>
        <v>0</v>
      </c>
      <c r="ED185" s="91">
        <f>IF(AN185="",0,VLOOKUP(B185,Tables!$B$3:$M$36,12,FALSE())*X$1)</f>
        <v>0</v>
      </c>
      <c r="EE185" s="92">
        <f>IF(AO185="",0,VLOOKUP(C185,Tables!$B$3:$M$36,12,FALSE())*Y$1)</f>
        <v>0</v>
      </c>
      <c r="EF185" s="92">
        <f>IF(AP185="",0,VLOOKUP(D185,Tables!$B$3:$M$36,12,FALSE())*Z$1)</f>
        <v>0</v>
      </c>
      <c r="EG185" s="91">
        <f>IF(AQ185="",0,VLOOKUP(E185,Tables!$B$3:$M$36,12,FALSE())*AA$1)</f>
        <v>0</v>
      </c>
      <c r="EH185" s="92">
        <f>IF(AR185="",0,VLOOKUP(F185,Tables!$B$3:$M$36,12,FALSE())*AB$1)</f>
        <v>0</v>
      </c>
      <c r="EI185" s="92">
        <f>IF(AS185="",0,VLOOKUP(G185,Tables!$B$3:$M$36,12,FALSE())*AC$1)</f>
        <v>0</v>
      </c>
      <c r="EJ185" s="92">
        <f>IF(AT185="",0,VLOOKUP(H185,Tables!$B$3:$M$36,12,FALSE())*AD$1)</f>
        <v>0</v>
      </c>
      <c r="EK185" s="92">
        <f>IF(AU185="",0,VLOOKUP(I185,Tables!$B$3:$M$36,12,FALSE())*AE$1)</f>
        <v>0</v>
      </c>
      <c r="EL185" s="91">
        <f>IF(AV185="",0,VLOOKUP(J185,Tables!$B$3:$M$36,12,FALSE())*AF$1)</f>
        <v>0</v>
      </c>
      <c r="EM185" s="92">
        <f>IF(AW185="",0,VLOOKUP(K185,Tables!$B$3:$M$36,12,FALSE())*AG$1)</f>
        <v>0</v>
      </c>
      <c r="EN185" s="92">
        <f>IF(AX185="",0,VLOOKUP(L185,Tables!$B$3:$M$36,12,FALSE())*AH$1)</f>
        <v>60</v>
      </c>
      <c r="EO185" s="91">
        <f>IF(AY185="",0,VLOOKUP(M185,Tables!$B$3:$M$36,12,FALSE())*AI$1)</f>
        <v>84.000000000000014</v>
      </c>
      <c r="EP185" s="92">
        <f>IF(AZ185="",0,VLOOKUP(N185,Tables!$B$3:$M$36,12,FALSE())*AJ$1)</f>
        <v>18</v>
      </c>
      <c r="EQ185" s="92">
        <f>IF(BA185="",0,VLOOKUP(O185,Tables!$B$3:$M$36,12,FALSE())*AK$1)</f>
        <v>0</v>
      </c>
      <c r="ER185" s="93">
        <f>IF(BB185="",0,VLOOKUP(P185,Tables!$B$3:$M$36,12,FALSE())*AL$1)</f>
        <v>0</v>
      </c>
      <c r="ES185" s="94">
        <f t="shared" si="167"/>
        <v>0</v>
      </c>
      <c r="ET185" s="95">
        <f>IF(AN185="",10,MIN(VLOOKUP(B185,MATERIAL,13,FALSE()),'Item Builder'!$W185))</f>
        <v>10</v>
      </c>
      <c r="EU185" s="95">
        <f>IF(AO185="",10,MIN(VLOOKUP(C185,MATERIAL,13,FALSE()),'Item Builder'!$W185))</f>
        <v>10</v>
      </c>
      <c r="EV185" s="95">
        <f>IF(AP185="",10,MIN(VLOOKUP(D185,MATERIAL,13,FALSE()),'Item Builder'!$W185))</f>
        <v>10</v>
      </c>
      <c r="EW185" s="95">
        <f>IF(AQ185="",10,MIN(VLOOKUP(E185,MATERIAL,13,FALSE()),'Item Builder'!$W185))</f>
        <v>10</v>
      </c>
      <c r="EX185" s="95">
        <f>IF(AR185="",10,MIN(VLOOKUP(F185,MATERIAL,13,FALSE()),'Item Builder'!$W185))</f>
        <v>10</v>
      </c>
      <c r="EY185" s="95">
        <f>IF(AS185="",10,MIN(VLOOKUP(G185,MATERIAL,13,FALSE()),'Item Builder'!$W185))</f>
        <v>10</v>
      </c>
      <c r="EZ185" s="95">
        <f>IF(AT185="",10,MIN(VLOOKUP(H185,MATERIAL,13,FALSE()),'Item Builder'!$W185))</f>
        <v>10</v>
      </c>
      <c r="FA185" s="95">
        <f>IF(AU185="",10,MIN(VLOOKUP(I185,MATERIAL,13,FALSE()),'Item Builder'!$W185))</f>
        <v>10</v>
      </c>
      <c r="FB185" s="95">
        <f>IF(AV185="",10,MIN(VLOOKUP(J185,MATERIAL,13,FALSE()),'Item Builder'!$W185))</f>
        <v>10</v>
      </c>
      <c r="FC185" s="95">
        <f>IF(AW185="",10,MIN(VLOOKUP(K185,MATERIAL,13,FALSE()),'Item Builder'!$W185))</f>
        <v>10</v>
      </c>
      <c r="FD185" s="95">
        <f>IF(AX185="",10,MIN(VLOOKUP(L185,MATERIAL,13,FALSE()),'Item Builder'!$W185))</f>
        <v>0</v>
      </c>
      <c r="FE185" s="95">
        <f>IF(AY185="",10,MIN(VLOOKUP(M185,MATERIAL,13,FALSE()),'Item Builder'!$W185))</f>
        <v>0</v>
      </c>
      <c r="FF185" s="95">
        <f>IF(AZ185="",10,MIN(VLOOKUP(N185,MATERIAL,13,FALSE()),'Item Builder'!$W185))</f>
        <v>0</v>
      </c>
      <c r="FG185" s="95">
        <f>IF(BA185="",10,MIN(VLOOKUP(O185,MATERIAL,13,FALSE()),'Item Builder'!$W185))</f>
        <v>10</v>
      </c>
      <c r="FH185" s="95">
        <f>IF(BB185="",10,MIN(VLOOKUP(P185,MATERIAL,13,FALSE()),'Item Builder'!$W185))</f>
        <v>10</v>
      </c>
    </row>
    <row r="186" spans="1:164" x14ac:dyDescent="0.25">
      <c r="A186" s="67" t="s">
        <v>326</v>
      </c>
      <c r="B186" s="68"/>
      <c r="C186" s="69"/>
      <c r="D186" s="70"/>
      <c r="E186" s="68"/>
      <c r="F186" s="69"/>
      <c r="G186" s="69"/>
      <c r="H186" s="69"/>
      <c r="I186" s="70"/>
      <c r="J186" s="68"/>
      <c r="K186" s="69"/>
      <c r="L186" s="70" t="s">
        <v>175</v>
      </c>
      <c r="M186" s="68" t="s">
        <v>175</v>
      </c>
      <c r="N186" s="69" t="s">
        <v>175</v>
      </c>
      <c r="O186" s="69" t="s">
        <v>175</v>
      </c>
      <c r="P186" s="71"/>
      <c r="Q186" s="72">
        <f>SUM(BV186:CJ186)*VLOOKUP(W186,Tables!$W$3:$Z$8,4)</f>
        <v>273</v>
      </c>
      <c r="R186" s="73">
        <f t="shared" si="112"/>
        <v>0.97500000000000009</v>
      </c>
      <c r="S186" s="74">
        <f t="shared" si="113"/>
        <v>0</v>
      </c>
      <c r="T186" s="74">
        <f t="shared" si="114"/>
        <v>0</v>
      </c>
      <c r="U186" s="75">
        <f t="shared" si="115"/>
        <v>7.8000000000000007</v>
      </c>
      <c r="V186" s="76">
        <f t="shared" si="116"/>
        <v>234</v>
      </c>
      <c r="W186" s="77">
        <v>0</v>
      </c>
      <c r="X186" s="78">
        <f t="shared" si="117"/>
        <v>0</v>
      </c>
      <c r="Y186" s="79">
        <f t="shared" si="118"/>
        <v>0</v>
      </c>
      <c r="Z186" s="79">
        <f t="shared" si="119"/>
        <v>0</v>
      </c>
      <c r="AA186" s="78">
        <f t="shared" si="120"/>
        <v>0</v>
      </c>
      <c r="AB186" s="79">
        <f t="shared" si="121"/>
        <v>0</v>
      </c>
      <c r="AC186" s="79">
        <f t="shared" si="122"/>
        <v>0</v>
      </c>
      <c r="AD186" s="79">
        <f t="shared" si="123"/>
        <v>0</v>
      </c>
      <c r="AE186" s="79">
        <f t="shared" si="124"/>
        <v>0</v>
      </c>
      <c r="AF186" s="78">
        <f t="shared" si="125"/>
        <v>0</v>
      </c>
      <c r="AG186" s="79">
        <f t="shared" si="126"/>
        <v>0</v>
      </c>
      <c r="AH186" s="79">
        <f t="shared" si="127"/>
        <v>1</v>
      </c>
      <c r="AI186" s="78">
        <f t="shared" si="128"/>
        <v>1</v>
      </c>
      <c r="AJ186" s="79">
        <f t="shared" si="129"/>
        <v>1</v>
      </c>
      <c r="AK186" s="79">
        <f t="shared" si="130"/>
        <v>1</v>
      </c>
      <c r="AL186" s="80">
        <f t="shared" si="131"/>
        <v>0</v>
      </c>
      <c r="AM186" s="81">
        <f t="shared" si="132"/>
        <v>0.39</v>
      </c>
      <c r="AN186" s="82" t="str">
        <f t="shared" si="133"/>
        <v/>
      </c>
      <c r="AO186" s="79" t="str">
        <f t="shared" si="134"/>
        <v/>
      </c>
      <c r="AP186" t="str">
        <f t="shared" si="135"/>
        <v/>
      </c>
      <c r="AQ186" s="82" t="str">
        <f t="shared" si="136"/>
        <v/>
      </c>
      <c r="AR186" t="str">
        <f t="shared" si="137"/>
        <v/>
      </c>
      <c r="AS186" t="str">
        <f t="shared" si="138"/>
        <v/>
      </c>
      <c r="AT186" t="str">
        <f t="shared" si="139"/>
        <v/>
      </c>
      <c r="AU186" t="str">
        <f t="shared" si="140"/>
        <v/>
      </c>
      <c r="AV186" s="82" t="str">
        <f t="shared" si="141"/>
        <v/>
      </c>
      <c r="AW186" t="str">
        <f t="shared" si="142"/>
        <v/>
      </c>
      <c r="AX186" t="str">
        <f t="shared" si="143"/>
        <v>X</v>
      </c>
      <c r="AY186" s="82" t="str">
        <f t="shared" si="144"/>
        <v>X</v>
      </c>
      <c r="AZ186" t="str">
        <f t="shared" si="145"/>
        <v>X</v>
      </c>
      <c r="BA186" t="str">
        <f t="shared" si="146"/>
        <v>X</v>
      </c>
      <c r="BB186" s="83" t="str">
        <f t="shared" si="147"/>
        <v/>
      </c>
      <c r="BC186" s="84">
        <f t="shared" si="148"/>
        <v>0</v>
      </c>
      <c r="BD186" s="84">
        <f t="shared" si="149"/>
        <v>0</v>
      </c>
      <c r="BE186" s="84">
        <f t="shared" si="150"/>
        <v>0.29411764705882359</v>
      </c>
      <c r="BF186" s="84">
        <f t="shared" si="151"/>
        <v>0.80555555555555558</v>
      </c>
      <c r="BG186" s="78">
        <f>IF(AN186="",0,VLOOKUP(AN186,Tables!$AB$3:$AC$12,2))</f>
        <v>0</v>
      </c>
      <c r="BH186" s="79">
        <f>IF(AO186="",0,VLOOKUP(AO186,Tables!$AB$3:$AC$12,2))</f>
        <v>0</v>
      </c>
      <c r="BI186" s="79">
        <f>IF(AP186="",0,VLOOKUP(AP186,Tables!$AB$3:$AC$12,2))</f>
        <v>0</v>
      </c>
      <c r="BJ186" s="78">
        <f>IF(AQ186="",0,VLOOKUP(AQ186,Tables!$AB$3:$AC$12,2))</f>
        <v>0</v>
      </c>
      <c r="BK186" s="79">
        <f>IF(AR186="",0,VLOOKUP(AR186,Tables!$AB$3:$AC$12,2))</f>
        <v>0</v>
      </c>
      <c r="BL186" s="79">
        <f>IF(AS186="",0,VLOOKUP(AS186,Tables!$AB$3:$AC$12,2))</f>
        <v>0</v>
      </c>
      <c r="BM186" s="79">
        <f>IF(AT186="",0,VLOOKUP(AT186,Tables!$AB$3:$AC$12,2))</f>
        <v>0</v>
      </c>
      <c r="BN186" s="79">
        <f>IF(AU186="",0,VLOOKUP(AU186,Tables!$AB$3:$AC$12,2))</f>
        <v>0</v>
      </c>
      <c r="BO186" s="78">
        <f>IF(AV186="",0,VLOOKUP(AV186,Tables!$AB$3:$AC$12,2))</f>
        <v>0</v>
      </c>
      <c r="BP186" s="79">
        <f>IF(AW186="",0,VLOOKUP(AW186,Tables!$AB$3:$AC$12,2))</f>
        <v>0</v>
      </c>
      <c r="BQ186" s="79">
        <f>IF(AX186="",0,VLOOKUP(AX186,Tables!$AB$3:$AC$12,2))</f>
        <v>1</v>
      </c>
      <c r="BR186" s="78">
        <f>IF(AY186="",0,VLOOKUP(AY186,Tables!$AB$3:$AC$12,2))</f>
        <v>1</v>
      </c>
      <c r="BS186" s="79">
        <f>IF(AZ186="",0,VLOOKUP(AZ186,Tables!$AB$3:$AC$12,2))</f>
        <v>1</v>
      </c>
      <c r="BT186" s="79">
        <f>IF(BA186="",0,VLOOKUP(BA186,Tables!$AB$3:$AC$12,2))</f>
        <v>1</v>
      </c>
      <c r="BU186" s="80">
        <f>IF(BB186="",0,VLOOKUP(BB186,Tables!$AB$3:$AC$12,2))</f>
        <v>0</v>
      </c>
      <c r="BV186" s="85">
        <f>IF(AN186="",0,VLOOKUP(B186,Tables!$B$3:$D$36,2,FALSE())*X$1)</f>
        <v>0</v>
      </c>
      <c r="BW186" s="72">
        <f>IF(AO186="",0,VLOOKUP(C186,Tables!$B$3:$D$36,2,FALSE())*Y$1)</f>
        <v>0</v>
      </c>
      <c r="BX186" s="72">
        <f>IF(AP186="",0,VLOOKUP(D186,Tables!$B$3:$D$36,2,FALSE())*Z$1)</f>
        <v>0</v>
      </c>
      <c r="BY186" s="85">
        <f>IF(AQ186="",0,VLOOKUP(E186,Tables!$B$3:$D$36,2,FALSE())*AA$1)</f>
        <v>0</v>
      </c>
      <c r="BZ186" s="72">
        <f>IF(AR186="",0,VLOOKUP(F186,Tables!$B$3:$D$36,2,FALSE())*AB$1)</f>
        <v>0</v>
      </c>
      <c r="CA186" s="72">
        <f>IF(AS186="",0,VLOOKUP(G186,Tables!$B$3:$D$36,2,FALSE())*AC$1)</f>
        <v>0</v>
      </c>
      <c r="CB186" s="72">
        <f>IF(AT186="",0,VLOOKUP(H186,Tables!$B$3:$D$36,2,FALSE())*AD$1)</f>
        <v>0</v>
      </c>
      <c r="CC186" s="72">
        <f>IF(AU186="",0,VLOOKUP(I186,Tables!$B$3:$D$36,2,FALSE())*AE$1)</f>
        <v>0</v>
      </c>
      <c r="CD186" s="85">
        <f>IF(AV186="",0,VLOOKUP(J186,Tables!$B$3:$D$36,2,FALSE())*AF$1)</f>
        <v>0</v>
      </c>
      <c r="CE186" s="72">
        <f>IF(AW186="",0,VLOOKUP(K186,Tables!$B$3:$D$36,2,FALSE())*AG$1)</f>
        <v>0</v>
      </c>
      <c r="CF186" s="72">
        <f>IF(AX186="",0,VLOOKUP(L186,Tables!$B$3:$D$36,2,FALSE())*AH$1)</f>
        <v>70</v>
      </c>
      <c r="CG186" s="85">
        <f>IF(AY186="",0,VLOOKUP(M186,Tables!$B$3:$D$36,2,FALSE())*AI$1)</f>
        <v>98.000000000000014</v>
      </c>
      <c r="CH186" s="72">
        <f>IF(AZ186="",0,VLOOKUP(N186,Tables!$B$3:$D$36,2,FALSE())*AJ$1)</f>
        <v>21</v>
      </c>
      <c r="CI186" s="72">
        <f>IF(BA186="",0,VLOOKUP(O186,Tables!$B$3:$D$36,2,FALSE())*AK$1)</f>
        <v>84</v>
      </c>
      <c r="CJ186" s="86">
        <f>IF(BB186="",0,VLOOKUP(P186,Tables!$B$3:$D$36,2,FALSE())*AL$1)</f>
        <v>0</v>
      </c>
      <c r="CK186" s="87">
        <f>IF(AN186="",0,VLOOKUP(B186,Tables!$B$3:$D$36,3,FALSE())*X$1)*IF(OR(AN186="K",AN186="P"),2,1)</f>
        <v>0</v>
      </c>
      <c r="CL186" s="73">
        <f>IF(AO186="",0,VLOOKUP(C186,Tables!$B$3:$D$36,3,FALSE())*Y$1)*IF(OR(AO186="K",AO186="P"),2,1)</f>
        <v>0</v>
      </c>
      <c r="CM186" s="73">
        <f>IF(AP186="",0,VLOOKUP(D186,Tables!$B$3:$D$36,3,FALSE())*Z$1)*IF(OR(AP186="K",AP186="P"),2,1)</f>
        <v>0</v>
      </c>
      <c r="CN186" s="87">
        <f>IF(AQ186="",0,VLOOKUP(E186,Tables!$B$3:$D$36,3,FALSE())*AA$1)</f>
        <v>0</v>
      </c>
      <c r="CO186" s="73">
        <f>IF(AR186="",0,VLOOKUP(F186,Tables!$B$3:$D$36,3,FALSE())*AB$1)</f>
        <v>0</v>
      </c>
      <c r="CP186" s="73">
        <f>IF(AS186="",0,VLOOKUP(G186,Tables!$B$3:$D$36,3,FALSE())*AC$1)</f>
        <v>0</v>
      </c>
      <c r="CQ186" s="73">
        <f>IF(AT186="",0,VLOOKUP(H186,Tables!$B$3:$D$36,3,FALSE())*AD$1)</f>
        <v>0</v>
      </c>
      <c r="CR186" s="73">
        <f>IF(AU186="",0,VLOOKUP(I186,Tables!$B$3:$D$36,3,FALSE())*AE$1)</f>
        <v>0</v>
      </c>
      <c r="CS186" s="87">
        <f>IF(AV186="",0,VLOOKUP(J186,Tables!$B$3:$D$36,3,FALSE())*AF$1)</f>
        <v>0</v>
      </c>
      <c r="CT186" s="73">
        <f>IF(AW186="",0,VLOOKUP(K186,Tables!$B$3:$D$36,3,FALSE())*AG$1)</f>
        <v>0</v>
      </c>
      <c r="CU186" s="73">
        <f>IF(AX186="",0,VLOOKUP(L186,Tables!$B$3:$D$36,3,FALSE())*AH$1)</f>
        <v>0.25</v>
      </c>
      <c r="CV186" s="87">
        <f>IF(AY186="",0,VLOOKUP(M186,Tables!$B$3:$D$36,3,FALSE())*AI$1)</f>
        <v>0.35000000000000003</v>
      </c>
      <c r="CW186" s="73">
        <f>IF(AZ186="",0,VLOOKUP(N186,Tables!$B$3:$D$36,3,FALSE())*AJ$1)</f>
        <v>7.4999999999999997E-2</v>
      </c>
      <c r="CX186" s="73">
        <f>IF(BA186="",0,VLOOKUP(O186,Tables!$B$3:$D$36,3,FALSE())*AK$1)</f>
        <v>0.3</v>
      </c>
      <c r="CY186" s="88">
        <f>IF(BB186="",0,VLOOKUP(P186,Tables!$B$3:$D$36,3,FALSE())*AL$1)</f>
        <v>0</v>
      </c>
      <c r="CZ186" s="89">
        <f t="shared" si="152"/>
        <v>0</v>
      </c>
      <c r="DA186" s="75">
        <f t="shared" si="153"/>
        <v>0</v>
      </c>
      <c r="DB186" s="75">
        <f t="shared" si="154"/>
        <v>0</v>
      </c>
      <c r="DC186" s="89">
        <f t="shared" si="155"/>
        <v>0</v>
      </c>
      <c r="DD186" s="75">
        <f t="shared" si="156"/>
        <v>0</v>
      </c>
      <c r="DE186" s="75">
        <f t="shared" si="157"/>
        <v>0</v>
      </c>
      <c r="DF186" s="75">
        <f t="shared" si="158"/>
        <v>0</v>
      </c>
      <c r="DG186" s="75">
        <f t="shared" si="159"/>
        <v>0</v>
      </c>
      <c r="DH186" s="89">
        <f t="shared" si="160"/>
        <v>0</v>
      </c>
      <c r="DI186" s="75">
        <f t="shared" si="161"/>
        <v>0</v>
      </c>
      <c r="DJ186" s="75">
        <f t="shared" si="162"/>
        <v>1</v>
      </c>
      <c r="DK186" s="89">
        <f t="shared" si="163"/>
        <v>1</v>
      </c>
      <c r="DL186" s="75">
        <f t="shared" si="164"/>
        <v>1</v>
      </c>
      <c r="DM186" s="75">
        <f t="shared" si="165"/>
        <v>1</v>
      </c>
      <c r="DN186" s="90">
        <f t="shared" si="166"/>
        <v>0</v>
      </c>
      <c r="DO186" s="91">
        <f>IF(AN186="",0,VLOOKUP(B186,Tables!$B$3:$M$36,11,FALSE())*X$1)</f>
        <v>0</v>
      </c>
      <c r="DP186" s="92">
        <f>IF(AO186="",0,VLOOKUP(C186,Tables!$B$3:$M$36,11,FALSE())*Y$1)</f>
        <v>0</v>
      </c>
      <c r="DQ186" s="92">
        <f>IF(AP186="",0,VLOOKUP(D186,Tables!$B$3:$M$36,11,FALSE())*Z$1)</f>
        <v>0</v>
      </c>
      <c r="DR186" s="91">
        <f>IF(AQ186="",0,VLOOKUP(E186,Tables!$B$3:$M$36,11,FALSE())*AA$1)</f>
        <v>0</v>
      </c>
      <c r="DS186" s="92">
        <f>IF(AR186="",0,VLOOKUP(F186,Tables!$B$3:$M$36,11,FALSE())*AB$1)</f>
        <v>0</v>
      </c>
      <c r="DT186" s="92">
        <f>IF(AS186="",0,VLOOKUP(G186,Tables!$B$3:$M$36,11,FALSE())*AC$1)</f>
        <v>0</v>
      </c>
      <c r="DU186" s="92">
        <f>IF(AT186="",0,VLOOKUP(H186,Tables!$B$3:$M$36,11,FALSE())*AD$1)</f>
        <v>0</v>
      </c>
      <c r="DV186" s="92">
        <f>IF(AU186="",0,VLOOKUP(I186,Tables!$B$3:$M$36,11,FALSE())*AE$1)</f>
        <v>0</v>
      </c>
      <c r="DW186" s="91">
        <f>IF(AV186="",0,VLOOKUP(J186,Tables!$B$3:$M$36,11,FALSE())*AF$1)</f>
        <v>0</v>
      </c>
      <c r="DX186" s="92">
        <f>IF(AW186="",0,VLOOKUP(K186,Tables!$B$3:$M$36,11,FALSE())*AG$1)</f>
        <v>0</v>
      </c>
      <c r="DY186" s="92">
        <f>IF(AX186="",0,VLOOKUP(L186,Tables!$B$3:$M$36,11,FALSE())*AH$1)</f>
        <v>2</v>
      </c>
      <c r="DZ186" s="91">
        <f>IF(AY186="",0,VLOOKUP(M186,Tables!$B$3:$M$36,11,FALSE())*AI$1)</f>
        <v>2.8000000000000003</v>
      </c>
      <c r="EA186" s="92">
        <f>IF(AZ186="",0,VLOOKUP(N186,Tables!$B$3:$M$36,11,FALSE())*AJ$1)</f>
        <v>0.6</v>
      </c>
      <c r="EB186" s="92">
        <f>IF(BA186="",0,VLOOKUP(O186,Tables!$B$3:$M$36,11,FALSE())*AK$1)</f>
        <v>2.4</v>
      </c>
      <c r="EC186" s="93">
        <f>IF(BB186="",0,VLOOKUP(P186,Tables!$B$3:$M$36,11,FALSE())*AL$1)</f>
        <v>0</v>
      </c>
      <c r="ED186" s="91">
        <f>IF(AN186="",0,VLOOKUP(B186,Tables!$B$3:$M$36,12,FALSE())*X$1)</f>
        <v>0</v>
      </c>
      <c r="EE186" s="92">
        <f>IF(AO186="",0,VLOOKUP(C186,Tables!$B$3:$M$36,12,FALSE())*Y$1)</f>
        <v>0</v>
      </c>
      <c r="EF186" s="92">
        <f>IF(AP186="",0,VLOOKUP(D186,Tables!$B$3:$M$36,12,FALSE())*Z$1)</f>
        <v>0</v>
      </c>
      <c r="EG186" s="91">
        <f>IF(AQ186="",0,VLOOKUP(E186,Tables!$B$3:$M$36,12,FALSE())*AA$1)</f>
        <v>0</v>
      </c>
      <c r="EH186" s="92">
        <f>IF(AR186="",0,VLOOKUP(F186,Tables!$B$3:$M$36,12,FALSE())*AB$1)</f>
        <v>0</v>
      </c>
      <c r="EI186" s="92">
        <f>IF(AS186="",0,VLOOKUP(G186,Tables!$B$3:$M$36,12,FALSE())*AC$1)</f>
        <v>0</v>
      </c>
      <c r="EJ186" s="92">
        <f>IF(AT186="",0,VLOOKUP(H186,Tables!$B$3:$M$36,12,FALSE())*AD$1)</f>
        <v>0</v>
      </c>
      <c r="EK186" s="92">
        <f>IF(AU186="",0,VLOOKUP(I186,Tables!$B$3:$M$36,12,FALSE())*AE$1)</f>
        <v>0</v>
      </c>
      <c r="EL186" s="91">
        <f>IF(AV186="",0,VLOOKUP(J186,Tables!$B$3:$M$36,12,FALSE())*AF$1)</f>
        <v>0</v>
      </c>
      <c r="EM186" s="92">
        <f>IF(AW186="",0,VLOOKUP(K186,Tables!$B$3:$M$36,12,FALSE())*AG$1)</f>
        <v>0</v>
      </c>
      <c r="EN186" s="92">
        <f>IF(AX186="",0,VLOOKUP(L186,Tables!$B$3:$M$36,12,FALSE())*AH$1)</f>
        <v>60</v>
      </c>
      <c r="EO186" s="91">
        <f>IF(AY186="",0,VLOOKUP(M186,Tables!$B$3:$M$36,12,FALSE())*AI$1)</f>
        <v>84.000000000000014</v>
      </c>
      <c r="EP186" s="92">
        <f>IF(AZ186="",0,VLOOKUP(N186,Tables!$B$3:$M$36,12,FALSE())*AJ$1)</f>
        <v>18</v>
      </c>
      <c r="EQ186" s="92">
        <f>IF(BA186="",0,VLOOKUP(O186,Tables!$B$3:$M$36,12,FALSE())*AK$1)</f>
        <v>72</v>
      </c>
      <c r="ER186" s="93">
        <f>IF(BB186="",0,VLOOKUP(P186,Tables!$B$3:$M$36,12,FALSE())*AL$1)</f>
        <v>0</v>
      </c>
      <c r="ES186" s="94">
        <f t="shared" si="167"/>
        <v>0</v>
      </c>
      <c r="ET186" s="95">
        <f>IF(AN186="",10,MIN(VLOOKUP(B186,MATERIAL,13,FALSE()),'Item Builder'!$W186))</f>
        <v>10</v>
      </c>
      <c r="EU186" s="95">
        <f>IF(AO186="",10,MIN(VLOOKUP(C186,MATERIAL,13,FALSE()),'Item Builder'!$W186))</f>
        <v>10</v>
      </c>
      <c r="EV186" s="95">
        <f>IF(AP186="",10,MIN(VLOOKUP(D186,MATERIAL,13,FALSE()),'Item Builder'!$W186))</f>
        <v>10</v>
      </c>
      <c r="EW186" s="95">
        <f>IF(AQ186="",10,MIN(VLOOKUP(E186,MATERIAL,13,FALSE()),'Item Builder'!$W186))</f>
        <v>10</v>
      </c>
      <c r="EX186" s="95">
        <f>IF(AR186="",10,MIN(VLOOKUP(F186,MATERIAL,13,FALSE()),'Item Builder'!$W186))</f>
        <v>10</v>
      </c>
      <c r="EY186" s="95">
        <f>IF(AS186="",10,MIN(VLOOKUP(G186,MATERIAL,13,FALSE()),'Item Builder'!$W186))</f>
        <v>10</v>
      </c>
      <c r="EZ186" s="95">
        <f>IF(AT186="",10,MIN(VLOOKUP(H186,MATERIAL,13,FALSE()),'Item Builder'!$W186))</f>
        <v>10</v>
      </c>
      <c r="FA186" s="95">
        <f>IF(AU186="",10,MIN(VLOOKUP(I186,MATERIAL,13,FALSE()),'Item Builder'!$W186))</f>
        <v>10</v>
      </c>
      <c r="FB186" s="95">
        <f>IF(AV186="",10,MIN(VLOOKUP(J186,MATERIAL,13,FALSE()),'Item Builder'!$W186))</f>
        <v>10</v>
      </c>
      <c r="FC186" s="95">
        <f>IF(AW186="",10,MIN(VLOOKUP(K186,MATERIAL,13,FALSE()),'Item Builder'!$W186))</f>
        <v>10</v>
      </c>
      <c r="FD186" s="95">
        <f>IF(AX186="",10,MIN(VLOOKUP(L186,MATERIAL,13,FALSE()),'Item Builder'!$W186))</f>
        <v>0</v>
      </c>
      <c r="FE186" s="95">
        <f>IF(AY186="",10,MIN(VLOOKUP(M186,MATERIAL,13,FALSE()),'Item Builder'!$W186))</f>
        <v>0</v>
      </c>
      <c r="FF186" s="95">
        <f>IF(AZ186="",10,MIN(VLOOKUP(N186,MATERIAL,13,FALSE()),'Item Builder'!$W186))</f>
        <v>0</v>
      </c>
      <c r="FG186" s="95">
        <f>IF(BA186="",10,MIN(VLOOKUP(O186,MATERIAL,13,FALSE()),'Item Builder'!$W186))</f>
        <v>0</v>
      </c>
      <c r="FH186" s="95">
        <f>IF(BB186="",10,MIN(VLOOKUP(P186,MATERIAL,13,FALSE()),'Item Builder'!$W186))</f>
        <v>10</v>
      </c>
    </row>
    <row r="187" spans="1:164" x14ac:dyDescent="0.25">
      <c r="A187" s="67" t="s">
        <v>327</v>
      </c>
      <c r="B187" s="68"/>
      <c r="C187" s="69"/>
      <c r="D187" s="70"/>
      <c r="E187" s="68"/>
      <c r="F187" s="69"/>
      <c r="G187" s="69"/>
      <c r="H187" s="69"/>
      <c r="I187" s="70"/>
      <c r="J187" s="68"/>
      <c r="K187" s="69"/>
      <c r="L187" s="70"/>
      <c r="M187" s="68" t="s">
        <v>175</v>
      </c>
      <c r="N187" s="69" t="s">
        <v>175</v>
      </c>
      <c r="O187" s="69" t="s">
        <v>175</v>
      </c>
      <c r="P187" s="71" t="s">
        <v>175</v>
      </c>
      <c r="Q187" s="72">
        <f>SUM(BV187:CJ187)*VLOOKUP(W187,Tables!$W$3:$Z$8,4)</f>
        <v>252</v>
      </c>
      <c r="R187" s="73">
        <f t="shared" si="112"/>
        <v>0.90000000000000013</v>
      </c>
      <c r="S187" s="74">
        <f t="shared" si="113"/>
        <v>0</v>
      </c>
      <c r="T187" s="74">
        <f t="shared" si="114"/>
        <v>0</v>
      </c>
      <c r="U187" s="75">
        <f t="shared" si="115"/>
        <v>7.2000000000000011</v>
      </c>
      <c r="V187" s="76">
        <f t="shared" si="116"/>
        <v>216</v>
      </c>
      <c r="W187" s="77">
        <v>0</v>
      </c>
      <c r="X187" s="78">
        <f t="shared" si="117"/>
        <v>0</v>
      </c>
      <c r="Y187" s="79">
        <f t="shared" si="118"/>
        <v>0</v>
      </c>
      <c r="Z187" s="79">
        <f t="shared" si="119"/>
        <v>0</v>
      </c>
      <c r="AA187" s="78">
        <f t="shared" si="120"/>
        <v>0</v>
      </c>
      <c r="AB187" s="79">
        <f t="shared" si="121"/>
        <v>0</v>
      </c>
      <c r="AC187" s="79">
        <f t="shared" si="122"/>
        <v>0</v>
      </c>
      <c r="AD187" s="79">
        <f t="shared" si="123"/>
        <v>0</v>
      </c>
      <c r="AE187" s="79">
        <f t="shared" si="124"/>
        <v>0</v>
      </c>
      <c r="AF187" s="78">
        <f t="shared" si="125"/>
        <v>0</v>
      </c>
      <c r="AG187" s="79">
        <f t="shared" si="126"/>
        <v>0</v>
      </c>
      <c r="AH187" s="79">
        <f t="shared" si="127"/>
        <v>0</v>
      </c>
      <c r="AI187" s="78">
        <f t="shared" si="128"/>
        <v>1</v>
      </c>
      <c r="AJ187" s="79">
        <f t="shared" si="129"/>
        <v>1</v>
      </c>
      <c r="AK187" s="79">
        <f t="shared" si="130"/>
        <v>1</v>
      </c>
      <c r="AL187" s="80">
        <f t="shared" si="131"/>
        <v>1</v>
      </c>
      <c r="AM187" s="81">
        <f t="shared" si="132"/>
        <v>0.36000000000000004</v>
      </c>
      <c r="AN187" s="82" t="str">
        <f t="shared" si="133"/>
        <v/>
      </c>
      <c r="AO187" s="79" t="str">
        <f t="shared" si="134"/>
        <v/>
      </c>
      <c r="AP187" t="str">
        <f t="shared" si="135"/>
        <v/>
      </c>
      <c r="AQ187" s="82" t="str">
        <f t="shared" si="136"/>
        <v/>
      </c>
      <c r="AR187" t="str">
        <f t="shared" si="137"/>
        <v/>
      </c>
      <c r="AS187" t="str">
        <f t="shared" si="138"/>
        <v/>
      </c>
      <c r="AT187" t="str">
        <f t="shared" si="139"/>
        <v/>
      </c>
      <c r="AU187" t="str">
        <f t="shared" si="140"/>
        <v/>
      </c>
      <c r="AV187" s="82" t="str">
        <f t="shared" si="141"/>
        <v/>
      </c>
      <c r="AW187" t="str">
        <f t="shared" si="142"/>
        <v/>
      </c>
      <c r="AX187" t="str">
        <f t="shared" si="143"/>
        <v/>
      </c>
      <c r="AY187" s="82" t="str">
        <f t="shared" si="144"/>
        <v>X</v>
      </c>
      <c r="AZ187" t="str">
        <f t="shared" si="145"/>
        <v>X</v>
      </c>
      <c r="BA187" t="str">
        <f t="shared" si="146"/>
        <v>X</v>
      </c>
      <c r="BB187" s="83" t="str">
        <f t="shared" si="147"/>
        <v>X</v>
      </c>
      <c r="BC187" s="84">
        <f t="shared" si="148"/>
        <v>0</v>
      </c>
      <c r="BD187" s="84">
        <f t="shared" si="149"/>
        <v>0</v>
      </c>
      <c r="BE187" s="84">
        <f t="shared" si="150"/>
        <v>0</v>
      </c>
      <c r="BF187" s="84">
        <f t="shared" si="151"/>
        <v>1</v>
      </c>
      <c r="BG187" s="78">
        <f>IF(AN187="",0,VLOOKUP(AN187,Tables!$AB$3:$AC$12,2))</f>
        <v>0</v>
      </c>
      <c r="BH187" s="79">
        <f>IF(AO187="",0,VLOOKUP(AO187,Tables!$AB$3:$AC$12,2))</f>
        <v>0</v>
      </c>
      <c r="BI187" s="79">
        <f>IF(AP187="",0,VLOOKUP(AP187,Tables!$AB$3:$AC$12,2))</f>
        <v>0</v>
      </c>
      <c r="BJ187" s="78">
        <f>IF(AQ187="",0,VLOOKUP(AQ187,Tables!$AB$3:$AC$12,2))</f>
        <v>0</v>
      </c>
      <c r="BK187" s="79">
        <f>IF(AR187="",0,VLOOKUP(AR187,Tables!$AB$3:$AC$12,2))</f>
        <v>0</v>
      </c>
      <c r="BL187" s="79">
        <f>IF(AS187="",0,VLOOKUP(AS187,Tables!$AB$3:$AC$12,2))</f>
        <v>0</v>
      </c>
      <c r="BM187" s="79">
        <f>IF(AT187="",0,VLOOKUP(AT187,Tables!$AB$3:$AC$12,2))</f>
        <v>0</v>
      </c>
      <c r="BN187" s="79">
        <f>IF(AU187="",0,VLOOKUP(AU187,Tables!$AB$3:$AC$12,2))</f>
        <v>0</v>
      </c>
      <c r="BO187" s="78">
        <f>IF(AV187="",0,VLOOKUP(AV187,Tables!$AB$3:$AC$12,2))</f>
        <v>0</v>
      </c>
      <c r="BP187" s="79">
        <f>IF(AW187="",0,VLOOKUP(AW187,Tables!$AB$3:$AC$12,2))</f>
        <v>0</v>
      </c>
      <c r="BQ187" s="79">
        <f>IF(AX187="",0,VLOOKUP(AX187,Tables!$AB$3:$AC$12,2))</f>
        <v>0</v>
      </c>
      <c r="BR187" s="78">
        <f>IF(AY187="",0,VLOOKUP(AY187,Tables!$AB$3:$AC$12,2))</f>
        <v>1</v>
      </c>
      <c r="BS187" s="79">
        <f>IF(AZ187="",0,VLOOKUP(AZ187,Tables!$AB$3:$AC$12,2))</f>
        <v>1</v>
      </c>
      <c r="BT187" s="79">
        <f>IF(BA187="",0,VLOOKUP(BA187,Tables!$AB$3:$AC$12,2))</f>
        <v>1</v>
      </c>
      <c r="BU187" s="80">
        <f>IF(BB187="",0,VLOOKUP(BB187,Tables!$AB$3:$AC$12,2))</f>
        <v>1</v>
      </c>
      <c r="BV187" s="85">
        <f>IF(AN187="",0,VLOOKUP(B187,Tables!$B$3:$D$36,2,FALSE())*X$1)</f>
        <v>0</v>
      </c>
      <c r="BW187" s="72">
        <f>IF(AO187="",0,VLOOKUP(C187,Tables!$B$3:$D$36,2,FALSE())*Y$1)</f>
        <v>0</v>
      </c>
      <c r="BX187" s="72">
        <f>IF(AP187="",0,VLOOKUP(D187,Tables!$B$3:$D$36,2,FALSE())*Z$1)</f>
        <v>0</v>
      </c>
      <c r="BY187" s="85">
        <f>IF(AQ187="",0,VLOOKUP(E187,Tables!$B$3:$D$36,2,FALSE())*AA$1)</f>
        <v>0</v>
      </c>
      <c r="BZ187" s="72">
        <f>IF(AR187="",0,VLOOKUP(F187,Tables!$B$3:$D$36,2,FALSE())*AB$1)</f>
        <v>0</v>
      </c>
      <c r="CA187" s="72">
        <f>IF(AS187="",0,VLOOKUP(G187,Tables!$B$3:$D$36,2,FALSE())*AC$1)</f>
        <v>0</v>
      </c>
      <c r="CB187" s="72">
        <f>IF(AT187="",0,VLOOKUP(H187,Tables!$B$3:$D$36,2,FALSE())*AD$1)</f>
        <v>0</v>
      </c>
      <c r="CC187" s="72">
        <f>IF(AU187="",0,VLOOKUP(I187,Tables!$B$3:$D$36,2,FALSE())*AE$1)</f>
        <v>0</v>
      </c>
      <c r="CD187" s="85">
        <f>IF(AV187="",0,VLOOKUP(J187,Tables!$B$3:$D$36,2,FALSE())*AF$1)</f>
        <v>0</v>
      </c>
      <c r="CE187" s="72">
        <f>IF(AW187="",0,VLOOKUP(K187,Tables!$B$3:$D$36,2,FALSE())*AG$1)</f>
        <v>0</v>
      </c>
      <c r="CF187" s="72">
        <f>IF(AX187="",0,VLOOKUP(L187,Tables!$B$3:$D$36,2,FALSE())*AH$1)</f>
        <v>0</v>
      </c>
      <c r="CG187" s="85">
        <f>IF(AY187="",0,VLOOKUP(M187,Tables!$B$3:$D$36,2,FALSE())*AI$1)</f>
        <v>98.000000000000014</v>
      </c>
      <c r="CH187" s="72">
        <f>IF(AZ187="",0,VLOOKUP(N187,Tables!$B$3:$D$36,2,FALSE())*AJ$1)</f>
        <v>21</v>
      </c>
      <c r="CI187" s="72">
        <f>IF(BA187="",0,VLOOKUP(O187,Tables!$B$3:$D$36,2,FALSE())*AK$1)</f>
        <v>84</v>
      </c>
      <c r="CJ187" s="86">
        <f>IF(BB187="",0,VLOOKUP(P187,Tables!$B$3:$D$36,2,FALSE())*AL$1)</f>
        <v>49.000000000000007</v>
      </c>
      <c r="CK187" s="87">
        <f>IF(AN187="",0,VLOOKUP(B187,Tables!$B$3:$D$36,3,FALSE())*X$1)*IF(OR(AN187="K",AN187="P"),2,1)</f>
        <v>0</v>
      </c>
      <c r="CL187" s="73">
        <f>IF(AO187="",0,VLOOKUP(C187,Tables!$B$3:$D$36,3,FALSE())*Y$1)*IF(OR(AO187="K",AO187="P"),2,1)</f>
        <v>0</v>
      </c>
      <c r="CM187" s="73">
        <f>IF(AP187="",0,VLOOKUP(D187,Tables!$B$3:$D$36,3,FALSE())*Z$1)*IF(OR(AP187="K",AP187="P"),2,1)</f>
        <v>0</v>
      </c>
      <c r="CN187" s="87">
        <f>IF(AQ187="",0,VLOOKUP(E187,Tables!$B$3:$D$36,3,FALSE())*AA$1)</f>
        <v>0</v>
      </c>
      <c r="CO187" s="73">
        <f>IF(AR187="",0,VLOOKUP(F187,Tables!$B$3:$D$36,3,FALSE())*AB$1)</f>
        <v>0</v>
      </c>
      <c r="CP187" s="73">
        <f>IF(AS187="",0,VLOOKUP(G187,Tables!$B$3:$D$36,3,FALSE())*AC$1)</f>
        <v>0</v>
      </c>
      <c r="CQ187" s="73">
        <f>IF(AT187="",0,VLOOKUP(H187,Tables!$B$3:$D$36,3,FALSE())*AD$1)</f>
        <v>0</v>
      </c>
      <c r="CR187" s="73">
        <f>IF(AU187="",0,VLOOKUP(I187,Tables!$B$3:$D$36,3,FALSE())*AE$1)</f>
        <v>0</v>
      </c>
      <c r="CS187" s="87">
        <f>IF(AV187="",0,VLOOKUP(J187,Tables!$B$3:$D$36,3,FALSE())*AF$1)</f>
        <v>0</v>
      </c>
      <c r="CT187" s="73">
        <f>IF(AW187="",0,VLOOKUP(K187,Tables!$B$3:$D$36,3,FALSE())*AG$1)</f>
        <v>0</v>
      </c>
      <c r="CU187" s="73">
        <f>IF(AX187="",0,VLOOKUP(L187,Tables!$B$3:$D$36,3,FALSE())*AH$1)</f>
        <v>0</v>
      </c>
      <c r="CV187" s="87">
        <f>IF(AY187="",0,VLOOKUP(M187,Tables!$B$3:$D$36,3,FALSE())*AI$1)</f>
        <v>0.35000000000000003</v>
      </c>
      <c r="CW187" s="73">
        <f>IF(AZ187="",0,VLOOKUP(N187,Tables!$B$3:$D$36,3,FALSE())*AJ$1)</f>
        <v>7.4999999999999997E-2</v>
      </c>
      <c r="CX187" s="73">
        <f>IF(BA187="",0,VLOOKUP(O187,Tables!$B$3:$D$36,3,FALSE())*AK$1)</f>
        <v>0.3</v>
      </c>
      <c r="CY187" s="88">
        <f>IF(BB187="",0,VLOOKUP(P187,Tables!$B$3:$D$36,3,FALSE())*AL$1)</f>
        <v>0.17500000000000002</v>
      </c>
      <c r="CZ187" s="89">
        <f t="shared" si="152"/>
        <v>0</v>
      </c>
      <c r="DA187" s="75">
        <f t="shared" si="153"/>
        <v>0</v>
      </c>
      <c r="DB187" s="75">
        <f t="shared" si="154"/>
        <v>0</v>
      </c>
      <c r="DC187" s="89">
        <f t="shared" si="155"/>
        <v>0</v>
      </c>
      <c r="DD187" s="75">
        <f t="shared" si="156"/>
        <v>0</v>
      </c>
      <c r="DE187" s="75">
        <f t="shared" si="157"/>
        <v>0</v>
      </c>
      <c r="DF187" s="75">
        <f t="shared" si="158"/>
        <v>0</v>
      </c>
      <c r="DG187" s="75">
        <f t="shared" si="159"/>
        <v>0</v>
      </c>
      <c r="DH187" s="89">
        <f t="shared" si="160"/>
        <v>0</v>
      </c>
      <c r="DI187" s="75">
        <f t="shared" si="161"/>
        <v>0</v>
      </c>
      <c r="DJ187" s="75">
        <f t="shared" si="162"/>
        <v>0</v>
      </c>
      <c r="DK187" s="89">
        <f t="shared" si="163"/>
        <v>1</v>
      </c>
      <c r="DL187" s="75">
        <f t="shared" si="164"/>
        <v>1</v>
      </c>
      <c r="DM187" s="75">
        <f t="shared" si="165"/>
        <v>1</v>
      </c>
      <c r="DN187" s="90">
        <f t="shared" si="166"/>
        <v>1</v>
      </c>
      <c r="DO187" s="91">
        <f>IF(AN187="",0,VLOOKUP(B187,Tables!$B$3:$M$36,11,FALSE())*X$1)</f>
        <v>0</v>
      </c>
      <c r="DP187" s="92">
        <f>IF(AO187="",0,VLOOKUP(C187,Tables!$B$3:$M$36,11,FALSE())*Y$1)</f>
        <v>0</v>
      </c>
      <c r="DQ187" s="92">
        <f>IF(AP187="",0,VLOOKUP(D187,Tables!$B$3:$M$36,11,FALSE())*Z$1)</f>
        <v>0</v>
      </c>
      <c r="DR187" s="91">
        <f>IF(AQ187="",0,VLOOKUP(E187,Tables!$B$3:$M$36,11,FALSE())*AA$1)</f>
        <v>0</v>
      </c>
      <c r="DS187" s="92">
        <f>IF(AR187="",0,VLOOKUP(F187,Tables!$B$3:$M$36,11,FALSE())*AB$1)</f>
        <v>0</v>
      </c>
      <c r="DT187" s="92">
        <f>IF(AS187="",0,VLOOKUP(G187,Tables!$B$3:$M$36,11,FALSE())*AC$1)</f>
        <v>0</v>
      </c>
      <c r="DU187" s="92">
        <f>IF(AT187="",0,VLOOKUP(H187,Tables!$B$3:$M$36,11,FALSE())*AD$1)</f>
        <v>0</v>
      </c>
      <c r="DV187" s="92">
        <f>IF(AU187="",0,VLOOKUP(I187,Tables!$B$3:$M$36,11,FALSE())*AE$1)</f>
        <v>0</v>
      </c>
      <c r="DW187" s="91">
        <f>IF(AV187="",0,VLOOKUP(J187,Tables!$B$3:$M$36,11,FALSE())*AF$1)</f>
        <v>0</v>
      </c>
      <c r="DX187" s="92">
        <f>IF(AW187="",0,VLOOKUP(K187,Tables!$B$3:$M$36,11,FALSE())*AG$1)</f>
        <v>0</v>
      </c>
      <c r="DY187" s="92">
        <f>IF(AX187="",0,VLOOKUP(L187,Tables!$B$3:$M$36,11,FALSE())*AH$1)</f>
        <v>0</v>
      </c>
      <c r="DZ187" s="91">
        <f>IF(AY187="",0,VLOOKUP(M187,Tables!$B$3:$M$36,11,FALSE())*AI$1)</f>
        <v>2.8000000000000003</v>
      </c>
      <c r="EA187" s="92">
        <f>IF(AZ187="",0,VLOOKUP(N187,Tables!$B$3:$M$36,11,FALSE())*AJ$1)</f>
        <v>0.6</v>
      </c>
      <c r="EB187" s="92">
        <f>IF(BA187="",0,VLOOKUP(O187,Tables!$B$3:$M$36,11,FALSE())*AK$1)</f>
        <v>2.4</v>
      </c>
      <c r="EC187" s="93">
        <f>IF(BB187="",0,VLOOKUP(P187,Tables!$B$3:$M$36,11,FALSE())*AL$1)</f>
        <v>1.4000000000000001</v>
      </c>
      <c r="ED187" s="91">
        <f>IF(AN187="",0,VLOOKUP(B187,Tables!$B$3:$M$36,12,FALSE())*X$1)</f>
        <v>0</v>
      </c>
      <c r="EE187" s="92">
        <f>IF(AO187="",0,VLOOKUP(C187,Tables!$B$3:$M$36,12,FALSE())*Y$1)</f>
        <v>0</v>
      </c>
      <c r="EF187" s="92">
        <f>IF(AP187="",0,VLOOKUP(D187,Tables!$B$3:$M$36,12,FALSE())*Z$1)</f>
        <v>0</v>
      </c>
      <c r="EG187" s="91">
        <f>IF(AQ187="",0,VLOOKUP(E187,Tables!$B$3:$M$36,12,FALSE())*AA$1)</f>
        <v>0</v>
      </c>
      <c r="EH187" s="92">
        <f>IF(AR187="",0,VLOOKUP(F187,Tables!$B$3:$M$36,12,FALSE())*AB$1)</f>
        <v>0</v>
      </c>
      <c r="EI187" s="92">
        <f>IF(AS187="",0,VLOOKUP(G187,Tables!$B$3:$M$36,12,FALSE())*AC$1)</f>
        <v>0</v>
      </c>
      <c r="EJ187" s="92">
        <f>IF(AT187="",0,VLOOKUP(H187,Tables!$B$3:$M$36,12,FALSE())*AD$1)</f>
        <v>0</v>
      </c>
      <c r="EK187" s="92">
        <f>IF(AU187="",0,VLOOKUP(I187,Tables!$B$3:$M$36,12,FALSE())*AE$1)</f>
        <v>0</v>
      </c>
      <c r="EL187" s="91">
        <f>IF(AV187="",0,VLOOKUP(J187,Tables!$B$3:$M$36,12,FALSE())*AF$1)</f>
        <v>0</v>
      </c>
      <c r="EM187" s="92">
        <f>IF(AW187="",0,VLOOKUP(K187,Tables!$B$3:$M$36,12,FALSE())*AG$1)</f>
        <v>0</v>
      </c>
      <c r="EN187" s="92">
        <f>IF(AX187="",0,VLOOKUP(L187,Tables!$B$3:$M$36,12,FALSE())*AH$1)</f>
        <v>0</v>
      </c>
      <c r="EO187" s="91">
        <f>IF(AY187="",0,VLOOKUP(M187,Tables!$B$3:$M$36,12,FALSE())*AI$1)</f>
        <v>84.000000000000014</v>
      </c>
      <c r="EP187" s="92">
        <f>IF(AZ187="",0,VLOOKUP(N187,Tables!$B$3:$M$36,12,FALSE())*AJ$1)</f>
        <v>18</v>
      </c>
      <c r="EQ187" s="92">
        <f>IF(BA187="",0,VLOOKUP(O187,Tables!$B$3:$M$36,12,FALSE())*AK$1)</f>
        <v>72</v>
      </c>
      <c r="ER187" s="93">
        <f>IF(BB187="",0,VLOOKUP(P187,Tables!$B$3:$M$36,12,FALSE())*AL$1)</f>
        <v>42.000000000000007</v>
      </c>
      <c r="ES187" s="94">
        <f t="shared" si="167"/>
        <v>0</v>
      </c>
      <c r="ET187" s="95">
        <f>IF(AN187="",10,MIN(VLOOKUP(B187,MATERIAL,13,FALSE()),'Item Builder'!$W187))</f>
        <v>10</v>
      </c>
      <c r="EU187" s="95">
        <f>IF(AO187="",10,MIN(VLOOKUP(C187,MATERIAL,13,FALSE()),'Item Builder'!$W187))</f>
        <v>10</v>
      </c>
      <c r="EV187" s="95">
        <f>IF(AP187="",10,MIN(VLOOKUP(D187,MATERIAL,13,FALSE()),'Item Builder'!$W187))</f>
        <v>10</v>
      </c>
      <c r="EW187" s="95">
        <f>IF(AQ187="",10,MIN(VLOOKUP(E187,MATERIAL,13,FALSE()),'Item Builder'!$W187))</f>
        <v>10</v>
      </c>
      <c r="EX187" s="95">
        <f>IF(AR187="",10,MIN(VLOOKUP(F187,MATERIAL,13,FALSE()),'Item Builder'!$W187))</f>
        <v>10</v>
      </c>
      <c r="EY187" s="95">
        <f>IF(AS187="",10,MIN(VLOOKUP(G187,MATERIAL,13,FALSE()),'Item Builder'!$W187))</f>
        <v>10</v>
      </c>
      <c r="EZ187" s="95">
        <f>IF(AT187="",10,MIN(VLOOKUP(H187,MATERIAL,13,FALSE()),'Item Builder'!$W187))</f>
        <v>10</v>
      </c>
      <c r="FA187" s="95">
        <f>IF(AU187="",10,MIN(VLOOKUP(I187,MATERIAL,13,FALSE()),'Item Builder'!$W187))</f>
        <v>10</v>
      </c>
      <c r="FB187" s="95">
        <f>IF(AV187="",10,MIN(VLOOKUP(J187,MATERIAL,13,FALSE()),'Item Builder'!$W187))</f>
        <v>10</v>
      </c>
      <c r="FC187" s="95">
        <f>IF(AW187="",10,MIN(VLOOKUP(K187,MATERIAL,13,FALSE()),'Item Builder'!$W187))</f>
        <v>10</v>
      </c>
      <c r="FD187" s="95">
        <f>IF(AX187="",10,MIN(VLOOKUP(L187,MATERIAL,13,FALSE()),'Item Builder'!$W187))</f>
        <v>10</v>
      </c>
      <c r="FE187" s="95">
        <f>IF(AY187="",10,MIN(VLOOKUP(M187,MATERIAL,13,FALSE()),'Item Builder'!$W187))</f>
        <v>0</v>
      </c>
      <c r="FF187" s="95">
        <f>IF(AZ187="",10,MIN(VLOOKUP(N187,MATERIAL,13,FALSE()),'Item Builder'!$W187))</f>
        <v>0</v>
      </c>
      <c r="FG187" s="95">
        <f>IF(BA187="",10,MIN(VLOOKUP(O187,MATERIAL,13,FALSE()),'Item Builder'!$W187))</f>
        <v>0</v>
      </c>
      <c r="FH187" s="95">
        <f>IF(BB187="",10,MIN(VLOOKUP(P187,MATERIAL,13,FALSE()),'Item Builder'!$W187))</f>
        <v>0</v>
      </c>
    </row>
    <row r="188" spans="1:164" x14ac:dyDescent="0.25">
      <c r="A188" s="67" t="s">
        <v>328</v>
      </c>
      <c r="B188" s="68" t="s">
        <v>146</v>
      </c>
      <c r="C188" s="69"/>
      <c r="D188" s="70"/>
      <c r="E188" s="68"/>
      <c r="F188" s="69"/>
      <c r="G188" s="69"/>
      <c r="H188" s="69"/>
      <c r="I188" s="70"/>
      <c r="J188" s="68"/>
      <c r="K188" s="69"/>
      <c r="L188" s="70"/>
      <c r="M188" s="68"/>
      <c r="N188" s="69"/>
      <c r="O188" s="69"/>
      <c r="P188" s="71"/>
      <c r="Q188" s="72">
        <f>SUM(BV188:CJ188)*VLOOKUP(W188,Tables!$W$3:$Z$8,4)</f>
        <v>2.4</v>
      </c>
      <c r="R188" s="73">
        <f t="shared" si="112"/>
        <v>0.1</v>
      </c>
      <c r="S188" s="74">
        <f t="shared" si="113"/>
        <v>0</v>
      </c>
      <c r="T188" s="74">
        <f t="shared" si="114"/>
        <v>0</v>
      </c>
      <c r="U188" s="75">
        <f t="shared" si="115"/>
        <v>0.8</v>
      </c>
      <c r="V188" s="76">
        <f t="shared" si="116"/>
        <v>1.8</v>
      </c>
      <c r="W188" s="77">
        <v>0</v>
      </c>
      <c r="X188" s="78">
        <f t="shared" si="117"/>
        <v>1</v>
      </c>
      <c r="Y188" s="79">
        <f t="shared" si="118"/>
        <v>0</v>
      </c>
      <c r="Z188" s="79">
        <f t="shared" si="119"/>
        <v>0</v>
      </c>
      <c r="AA188" s="78">
        <f t="shared" si="120"/>
        <v>0</v>
      </c>
      <c r="AB188" s="79">
        <f t="shared" si="121"/>
        <v>0</v>
      </c>
      <c r="AC188" s="79">
        <f t="shared" si="122"/>
        <v>0</v>
      </c>
      <c r="AD188" s="79">
        <f t="shared" si="123"/>
        <v>0</v>
      </c>
      <c r="AE188" s="79">
        <f t="shared" si="124"/>
        <v>0</v>
      </c>
      <c r="AF188" s="78">
        <f t="shared" si="125"/>
        <v>0</v>
      </c>
      <c r="AG188" s="79">
        <f t="shared" si="126"/>
        <v>0</v>
      </c>
      <c r="AH188" s="79">
        <f t="shared" si="127"/>
        <v>0</v>
      </c>
      <c r="AI188" s="78">
        <f t="shared" si="128"/>
        <v>0</v>
      </c>
      <c r="AJ188" s="79">
        <f t="shared" si="129"/>
        <v>0</v>
      </c>
      <c r="AK188" s="79">
        <f t="shared" si="130"/>
        <v>0</v>
      </c>
      <c r="AL188" s="80">
        <f t="shared" si="131"/>
        <v>0</v>
      </c>
      <c r="AM188" s="81">
        <f t="shared" si="132"/>
        <v>0.04</v>
      </c>
      <c r="AN188" s="82" t="str">
        <f t="shared" si="133"/>
        <v>X</v>
      </c>
      <c r="AO188" s="79" t="str">
        <f t="shared" si="134"/>
        <v/>
      </c>
      <c r="AP188" t="str">
        <f t="shared" si="135"/>
        <v/>
      </c>
      <c r="AQ188" s="82" t="str">
        <f t="shared" si="136"/>
        <v/>
      </c>
      <c r="AR188" t="str">
        <f t="shared" si="137"/>
        <v/>
      </c>
      <c r="AS188" t="str">
        <f t="shared" si="138"/>
        <v/>
      </c>
      <c r="AT188" t="str">
        <f t="shared" si="139"/>
        <v/>
      </c>
      <c r="AU188" t="str">
        <f t="shared" si="140"/>
        <v/>
      </c>
      <c r="AV188" s="82" t="str">
        <f t="shared" si="141"/>
        <v/>
      </c>
      <c r="AW188" t="str">
        <f t="shared" si="142"/>
        <v/>
      </c>
      <c r="AX188" t="str">
        <f t="shared" si="143"/>
        <v/>
      </c>
      <c r="AY188" s="82" t="str">
        <f t="shared" si="144"/>
        <v/>
      </c>
      <c r="AZ188" t="str">
        <f t="shared" si="145"/>
        <v/>
      </c>
      <c r="BA188" t="str">
        <f t="shared" si="146"/>
        <v/>
      </c>
      <c r="BB188" s="83" t="str">
        <f t="shared" si="147"/>
        <v/>
      </c>
      <c r="BC188" s="84">
        <f t="shared" si="148"/>
        <v>0.44444444444444442</v>
      </c>
      <c r="BD188" s="84">
        <f t="shared" si="149"/>
        <v>0</v>
      </c>
      <c r="BE188" s="84">
        <f t="shared" si="150"/>
        <v>0</v>
      </c>
      <c r="BF188" s="84">
        <f t="shared" si="151"/>
        <v>0</v>
      </c>
      <c r="BG188" s="78">
        <f>IF(AN188="",0,VLOOKUP(AN188,Tables!$AB$3:$AC$12,2))</f>
        <v>1</v>
      </c>
      <c r="BH188" s="79">
        <f>IF(AO188="",0,VLOOKUP(AO188,Tables!$AB$3:$AC$12,2))</f>
        <v>0</v>
      </c>
      <c r="BI188" s="79">
        <f>IF(AP188="",0,VLOOKUP(AP188,Tables!$AB$3:$AC$12,2))</f>
        <v>0</v>
      </c>
      <c r="BJ188" s="78">
        <f>IF(AQ188="",0,VLOOKUP(AQ188,Tables!$AB$3:$AC$12,2))</f>
        <v>0</v>
      </c>
      <c r="BK188" s="79">
        <f>IF(AR188="",0,VLOOKUP(AR188,Tables!$AB$3:$AC$12,2))</f>
        <v>0</v>
      </c>
      <c r="BL188" s="79">
        <f>IF(AS188="",0,VLOOKUP(AS188,Tables!$AB$3:$AC$12,2))</f>
        <v>0</v>
      </c>
      <c r="BM188" s="79">
        <f>IF(AT188="",0,VLOOKUP(AT188,Tables!$AB$3:$AC$12,2))</f>
        <v>0</v>
      </c>
      <c r="BN188" s="79">
        <f>IF(AU188="",0,VLOOKUP(AU188,Tables!$AB$3:$AC$12,2))</f>
        <v>0</v>
      </c>
      <c r="BO188" s="78">
        <f>IF(AV188="",0,VLOOKUP(AV188,Tables!$AB$3:$AC$12,2))</f>
        <v>0</v>
      </c>
      <c r="BP188" s="79">
        <f>IF(AW188="",0,VLOOKUP(AW188,Tables!$AB$3:$AC$12,2))</f>
        <v>0</v>
      </c>
      <c r="BQ188" s="79">
        <f>IF(AX188="",0,VLOOKUP(AX188,Tables!$AB$3:$AC$12,2))</f>
        <v>0</v>
      </c>
      <c r="BR188" s="78">
        <f>IF(AY188="",0,VLOOKUP(AY188,Tables!$AB$3:$AC$12,2))</f>
        <v>0</v>
      </c>
      <c r="BS188" s="79">
        <f>IF(AZ188="",0,VLOOKUP(AZ188,Tables!$AB$3:$AC$12,2))</f>
        <v>0</v>
      </c>
      <c r="BT188" s="79">
        <f>IF(BA188="",0,VLOOKUP(BA188,Tables!$AB$3:$AC$12,2))</f>
        <v>0</v>
      </c>
      <c r="BU188" s="80">
        <f>IF(BB188="",0,VLOOKUP(BB188,Tables!$AB$3:$AC$12,2))</f>
        <v>0</v>
      </c>
      <c r="BV188" s="85">
        <f>IF(AN188="",0,VLOOKUP(B188,Tables!$B$3:$D$36,2,FALSE())*X$1)</f>
        <v>2.4</v>
      </c>
      <c r="BW188" s="72">
        <f>IF(AO188="",0,VLOOKUP(C188,Tables!$B$3:$D$36,2,FALSE())*Y$1)</f>
        <v>0</v>
      </c>
      <c r="BX188" s="72">
        <f>IF(AP188="",0,VLOOKUP(D188,Tables!$B$3:$D$36,2,FALSE())*Z$1)</f>
        <v>0</v>
      </c>
      <c r="BY188" s="85">
        <f>IF(AQ188="",0,VLOOKUP(E188,Tables!$B$3:$D$36,2,FALSE())*AA$1)</f>
        <v>0</v>
      </c>
      <c r="BZ188" s="72">
        <f>IF(AR188="",0,VLOOKUP(F188,Tables!$B$3:$D$36,2,FALSE())*AB$1)</f>
        <v>0</v>
      </c>
      <c r="CA188" s="72">
        <f>IF(AS188="",0,VLOOKUP(G188,Tables!$B$3:$D$36,2,FALSE())*AC$1)</f>
        <v>0</v>
      </c>
      <c r="CB188" s="72">
        <f>IF(AT188="",0,VLOOKUP(H188,Tables!$B$3:$D$36,2,FALSE())*AD$1)</f>
        <v>0</v>
      </c>
      <c r="CC188" s="72">
        <f>IF(AU188="",0,VLOOKUP(I188,Tables!$B$3:$D$36,2,FALSE())*AE$1)</f>
        <v>0</v>
      </c>
      <c r="CD188" s="85">
        <f>IF(AV188="",0,VLOOKUP(J188,Tables!$B$3:$D$36,2,FALSE())*AF$1)</f>
        <v>0</v>
      </c>
      <c r="CE188" s="72">
        <f>IF(AW188="",0,VLOOKUP(K188,Tables!$B$3:$D$36,2,FALSE())*AG$1)</f>
        <v>0</v>
      </c>
      <c r="CF188" s="72">
        <f>IF(AX188="",0,VLOOKUP(L188,Tables!$B$3:$D$36,2,FALSE())*AH$1)</f>
        <v>0</v>
      </c>
      <c r="CG188" s="85">
        <f>IF(AY188="",0,VLOOKUP(M188,Tables!$B$3:$D$36,2,FALSE())*AI$1)</f>
        <v>0</v>
      </c>
      <c r="CH188" s="72">
        <f>IF(AZ188="",0,VLOOKUP(N188,Tables!$B$3:$D$36,2,FALSE())*AJ$1)</f>
        <v>0</v>
      </c>
      <c r="CI188" s="72">
        <f>IF(BA188="",0,VLOOKUP(O188,Tables!$B$3:$D$36,2,FALSE())*AK$1)</f>
        <v>0</v>
      </c>
      <c r="CJ188" s="86">
        <f>IF(BB188="",0,VLOOKUP(P188,Tables!$B$3:$D$36,2,FALSE())*AL$1)</f>
        <v>0</v>
      </c>
      <c r="CK188" s="87">
        <f>IF(AN188="",0,VLOOKUP(B188,Tables!$B$3:$D$36,3,FALSE())*X$1)*IF(OR(AN188="K",AN188="P"),2,1)</f>
        <v>0.1</v>
      </c>
      <c r="CL188" s="73">
        <f>IF(AO188="",0,VLOOKUP(C188,Tables!$B$3:$D$36,3,FALSE())*Y$1)*IF(OR(AO188="K",AO188="P"),2,1)</f>
        <v>0</v>
      </c>
      <c r="CM188" s="73">
        <f>IF(AP188="",0,VLOOKUP(D188,Tables!$B$3:$D$36,3,FALSE())*Z$1)*IF(OR(AP188="K",AP188="P"),2,1)</f>
        <v>0</v>
      </c>
      <c r="CN188" s="87">
        <f>IF(AQ188="",0,VLOOKUP(E188,Tables!$B$3:$D$36,3,FALSE())*AA$1)</f>
        <v>0</v>
      </c>
      <c r="CO188" s="73">
        <f>IF(AR188="",0,VLOOKUP(F188,Tables!$B$3:$D$36,3,FALSE())*AB$1)</f>
        <v>0</v>
      </c>
      <c r="CP188" s="73">
        <f>IF(AS188="",0,VLOOKUP(G188,Tables!$B$3:$D$36,3,FALSE())*AC$1)</f>
        <v>0</v>
      </c>
      <c r="CQ188" s="73">
        <f>IF(AT188="",0,VLOOKUP(H188,Tables!$B$3:$D$36,3,FALSE())*AD$1)</f>
        <v>0</v>
      </c>
      <c r="CR188" s="73">
        <f>IF(AU188="",0,VLOOKUP(I188,Tables!$B$3:$D$36,3,FALSE())*AE$1)</f>
        <v>0</v>
      </c>
      <c r="CS188" s="87">
        <f>IF(AV188="",0,VLOOKUP(J188,Tables!$B$3:$D$36,3,FALSE())*AF$1)</f>
        <v>0</v>
      </c>
      <c r="CT188" s="73">
        <f>IF(AW188="",0,VLOOKUP(K188,Tables!$B$3:$D$36,3,FALSE())*AG$1)</f>
        <v>0</v>
      </c>
      <c r="CU188" s="73">
        <f>IF(AX188="",0,VLOOKUP(L188,Tables!$B$3:$D$36,3,FALSE())*AH$1)</f>
        <v>0</v>
      </c>
      <c r="CV188" s="87">
        <f>IF(AY188="",0,VLOOKUP(M188,Tables!$B$3:$D$36,3,FALSE())*AI$1)</f>
        <v>0</v>
      </c>
      <c r="CW188" s="73">
        <f>IF(AZ188="",0,VLOOKUP(N188,Tables!$B$3:$D$36,3,FALSE())*AJ$1)</f>
        <v>0</v>
      </c>
      <c r="CX188" s="73">
        <f>IF(BA188="",0,VLOOKUP(O188,Tables!$B$3:$D$36,3,FALSE())*AK$1)</f>
        <v>0</v>
      </c>
      <c r="CY188" s="88">
        <f>IF(BB188="",0,VLOOKUP(P188,Tables!$B$3:$D$36,3,FALSE())*AL$1)</f>
        <v>0</v>
      </c>
      <c r="CZ188" s="89">
        <f t="shared" si="152"/>
        <v>1</v>
      </c>
      <c r="DA188" s="75">
        <f t="shared" si="153"/>
        <v>0</v>
      </c>
      <c r="DB188" s="75">
        <f t="shared" si="154"/>
        <v>0</v>
      </c>
      <c r="DC188" s="89">
        <f t="shared" si="155"/>
        <v>0</v>
      </c>
      <c r="DD188" s="75">
        <f t="shared" si="156"/>
        <v>0</v>
      </c>
      <c r="DE188" s="75">
        <f t="shared" si="157"/>
        <v>0</v>
      </c>
      <c r="DF188" s="75">
        <f t="shared" si="158"/>
        <v>0</v>
      </c>
      <c r="DG188" s="75">
        <f t="shared" si="159"/>
        <v>0</v>
      </c>
      <c r="DH188" s="89">
        <f t="shared" si="160"/>
        <v>0</v>
      </c>
      <c r="DI188" s="75">
        <f t="shared" si="161"/>
        <v>0</v>
      </c>
      <c r="DJ188" s="75">
        <f t="shared" si="162"/>
        <v>0</v>
      </c>
      <c r="DK188" s="89">
        <f t="shared" si="163"/>
        <v>0</v>
      </c>
      <c r="DL188" s="75">
        <f t="shared" si="164"/>
        <v>0</v>
      </c>
      <c r="DM188" s="75">
        <f t="shared" si="165"/>
        <v>0</v>
      </c>
      <c r="DN188" s="90">
        <f t="shared" si="166"/>
        <v>0</v>
      </c>
      <c r="DO188" s="91">
        <f>IF(AN188="",0,VLOOKUP(B188,Tables!$B$3:$M$36,11,FALSE())*X$1)</f>
        <v>0.8</v>
      </c>
      <c r="DP188" s="92">
        <f>IF(AO188="",0,VLOOKUP(C188,Tables!$B$3:$M$36,11,FALSE())*Y$1)</f>
        <v>0</v>
      </c>
      <c r="DQ188" s="92">
        <f>IF(AP188="",0,VLOOKUP(D188,Tables!$B$3:$M$36,11,FALSE())*Z$1)</f>
        <v>0</v>
      </c>
      <c r="DR188" s="91">
        <f>IF(AQ188="",0,VLOOKUP(E188,Tables!$B$3:$M$36,11,FALSE())*AA$1)</f>
        <v>0</v>
      </c>
      <c r="DS188" s="92">
        <f>IF(AR188="",0,VLOOKUP(F188,Tables!$B$3:$M$36,11,FALSE())*AB$1)</f>
        <v>0</v>
      </c>
      <c r="DT188" s="92">
        <f>IF(AS188="",0,VLOOKUP(G188,Tables!$B$3:$M$36,11,FALSE())*AC$1)</f>
        <v>0</v>
      </c>
      <c r="DU188" s="92">
        <f>IF(AT188="",0,VLOOKUP(H188,Tables!$B$3:$M$36,11,FALSE())*AD$1)</f>
        <v>0</v>
      </c>
      <c r="DV188" s="92">
        <f>IF(AU188="",0,VLOOKUP(I188,Tables!$B$3:$M$36,11,FALSE())*AE$1)</f>
        <v>0</v>
      </c>
      <c r="DW188" s="91">
        <f>IF(AV188="",0,VLOOKUP(J188,Tables!$B$3:$M$36,11,FALSE())*AF$1)</f>
        <v>0</v>
      </c>
      <c r="DX188" s="92">
        <f>IF(AW188="",0,VLOOKUP(K188,Tables!$B$3:$M$36,11,FALSE())*AG$1)</f>
        <v>0</v>
      </c>
      <c r="DY188" s="92">
        <f>IF(AX188="",0,VLOOKUP(L188,Tables!$B$3:$M$36,11,FALSE())*AH$1)</f>
        <v>0</v>
      </c>
      <c r="DZ188" s="91">
        <f>IF(AY188="",0,VLOOKUP(M188,Tables!$B$3:$M$36,11,FALSE())*AI$1)</f>
        <v>0</v>
      </c>
      <c r="EA188" s="92">
        <f>IF(AZ188="",0,VLOOKUP(N188,Tables!$B$3:$M$36,11,FALSE())*AJ$1)</f>
        <v>0</v>
      </c>
      <c r="EB188" s="92">
        <f>IF(BA188="",0,VLOOKUP(O188,Tables!$B$3:$M$36,11,FALSE())*AK$1)</f>
        <v>0</v>
      </c>
      <c r="EC188" s="93">
        <f>IF(BB188="",0,VLOOKUP(P188,Tables!$B$3:$M$36,11,FALSE())*AL$1)</f>
        <v>0</v>
      </c>
      <c r="ED188" s="91">
        <f>IF(AN188="",0,VLOOKUP(B188,Tables!$B$3:$M$36,12,FALSE())*X$1)</f>
        <v>1.8</v>
      </c>
      <c r="EE188" s="92">
        <f>IF(AO188="",0,VLOOKUP(C188,Tables!$B$3:$M$36,12,FALSE())*Y$1)</f>
        <v>0</v>
      </c>
      <c r="EF188" s="92">
        <f>IF(AP188="",0,VLOOKUP(D188,Tables!$B$3:$M$36,12,FALSE())*Z$1)</f>
        <v>0</v>
      </c>
      <c r="EG188" s="91">
        <f>IF(AQ188="",0,VLOOKUP(E188,Tables!$B$3:$M$36,12,FALSE())*AA$1)</f>
        <v>0</v>
      </c>
      <c r="EH188" s="92">
        <f>IF(AR188="",0,VLOOKUP(F188,Tables!$B$3:$M$36,12,FALSE())*AB$1)</f>
        <v>0</v>
      </c>
      <c r="EI188" s="92">
        <f>IF(AS188="",0,VLOOKUP(G188,Tables!$B$3:$M$36,12,FALSE())*AC$1)</f>
        <v>0</v>
      </c>
      <c r="EJ188" s="92">
        <f>IF(AT188="",0,VLOOKUP(H188,Tables!$B$3:$M$36,12,FALSE())*AD$1)</f>
        <v>0</v>
      </c>
      <c r="EK188" s="92">
        <f>IF(AU188="",0,VLOOKUP(I188,Tables!$B$3:$M$36,12,FALSE())*AE$1)</f>
        <v>0</v>
      </c>
      <c r="EL188" s="91">
        <f>IF(AV188="",0,VLOOKUP(J188,Tables!$B$3:$M$36,12,FALSE())*AF$1)</f>
        <v>0</v>
      </c>
      <c r="EM188" s="92">
        <f>IF(AW188="",0,VLOOKUP(K188,Tables!$B$3:$M$36,12,FALSE())*AG$1)</f>
        <v>0</v>
      </c>
      <c r="EN188" s="92">
        <f>IF(AX188="",0,VLOOKUP(L188,Tables!$B$3:$M$36,12,FALSE())*AH$1)</f>
        <v>0</v>
      </c>
      <c r="EO188" s="91">
        <f>IF(AY188="",0,VLOOKUP(M188,Tables!$B$3:$M$36,12,FALSE())*AI$1)</f>
        <v>0</v>
      </c>
      <c r="EP188" s="92">
        <f>IF(AZ188="",0,VLOOKUP(N188,Tables!$B$3:$M$36,12,FALSE())*AJ$1)</f>
        <v>0</v>
      </c>
      <c r="EQ188" s="92">
        <f>IF(BA188="",0,VLOOKUP(O188,Tables!$B$3:$M$36,12,FALSE())*AK$1)</f>
        <v>0</v>
      </c>
      <c r="ER188" s="93">
        <f>IF(BB188="",0,VLOOKUP(P188,Tables!$B$3:$M$36,12,FALSE())*AL$1)</f>
        <v>0</v>
      </c>
      <c r="ES188" s="94">
        <f t="shared" si="167"/>
        <v>0</v>
      </c>
      <c r="ET188" s="95">
        <f>IF(AN188="",10,MIN(VLOOKUP(B188,MATERIAL,13,FALSE()),'Item Builder'!$W188))</f>
        <v>0</v>
      </c>
      <c r="EU188" s="95">
        <f>IF(AO188="",10,MIN(VLOOKUP(C188,MATERIAL,13,FALSE()),'Item Builder'!$W188))</f>
        <v>10</v>
      </c>
      <c r="EV188" s="95">
        <f>IF(AP188="",10,MIN(VLOOKUP(D188,MATERIAL,13,FALSE()),'Item Builder'!$W188))</f>
        <v>10</v>
      </c>
      <c r="EW188" s="95">
        <f>IF(AQ188="",10,MIN(VLOOKUP(E188,MATERIAL,13,FALSE()),'Item Builder'!$W188))</f>
        <v>10</v>
      </c>
      <c r="EX188" s="95">
        <f>IF(AR188="",10,MIN(VLOOKUP(F188,MATERIAL,13,FALSE()),'Item Builder'!$W188))</f>
        <v>10</v>
      </c>
      <c r="EY188" s="95">
        <f>IF(AS188="",10,MIN(VLOOKUP(G188,MATERIAL,13,FALSE()),'Item Builder'!$W188))</f>
        <v>10</v>
      </c>
      <c r="EZ188" s="95">
        <f>IF(AT188="",10,MIN(VLOOKUP(H188,MATERIAL,13,FALSE()),'Item Builder'!$W188))</f>
        <v>10</v>
      </c>
      <c r="FA188" s="95">
        <f>IF(AU188="",10,MIN(VLOOKUP(I188,MATERIAL,13,FALSE()),'Item Builder'!$W188))</f>
        <v>10</v>
      </c>
      <c r="FB188" s="95">
        <f>IF(AV188="",10,MIN(VLOOKUP(J188,MATERIAL,13,FALSE()),'Item Builder'!$W188))</f>
        <v>10</v>
      </c>
      <c r="FC188" s="95">
        <f>IF(AW188="",10,MIN(VLOOKUP(K188,MATERIAL,13,FALSE()),'Item Builder'!$W188))</f>
        <v>10</v>
      </c>
      <c r="FD188" s="95">
        <f>IF(AX188="",10,MIN(VLOOKUP(L188,MATERIAL,13,FALSE()),'Item Builder'!$W188))</f>
        <v>10</v>
      </c>
      <c r="FE188" s="95">
        <f>IF(AY188="",10,MIN(VLOOKUP(M188,MATERIAL,13,FALSE()),'Item Builder'!$W188))</f>
        <v>10</v>
      </c>
      <c r="FF188" s="95">
        <f>IF(AZ188="",10,MIN(VLOOKUP(N188,MATERIAL,13,FALSE()),'Item Builder'!$W188))</f>
        <v>10</v>
      </c>
      <c r="FG188" s="95">
        <f>IF(BA188="",10,MIN(VLOOKUP(O188,MATERIAL,13,FALSE()),'Item Builder'!$W188))</f>
        <v>10</v>
      </c>
      <c r="FH188" s="95">
        <f>IF(BB188="",10,MIN(VLOOKUP(P188,MATERIAL,13,FALSE()),'Item Builder'!$W188))</f>
        <v>10</v>
      </c>
    </row>
    <row r="189" spans="1:164" x14ac:dyDescent="0.25">
      <c r="A189" s="67" t="s">
        <v>329</v>
      </c>
      <c r="B189" s="68" t="s">
        <v>146</v>
      </c>
      <c r="C189" s="69"/>
      <c r="D189" s="70" t="s">
        <v>146</v>
      </c>
      <c r="E189" s="68"/>
      <c r="F189" s="69"/>
      <c r="G189" s="69"/>
      <c r="H189" s="69"/>
      <c r="I189" s="70"/>
      <c r="J189" s="68"/>
      <c r="K189" s="69"/>
      <c r="L189" s="70"/>
      <c r="M189" s="68"/>
      <c r="N189" s="69"/>
      <c r="O189" s="69"/>
      <c r="P189" s="71"/>
      <c r="Q189" s="72">
        <f>SUM(BV189:CJ189)*VLOOKUP(W189,Tables!$W$3:$Z$8,4)</f>
        <v>3.5999999999999996</v>
      </c>
      <c r="R189" s="73">
        <f t="shared" si="112"/>
        <v>0.15000000000000002</v>
      </c>
      <c r="S189" s="74">
        <f t="shared" si="113"/>
        <v>0</v>
      </c>
      <c r="T189" s="74">
        <f t="shared" si="114"/>
        <v>5</v>
      </c>
      <c r="U189" s="75">
        <f t="shared" si="115"/>
        <v>1.2000000000000002</v>
      </c>
      <c r="V189" s="76">
        <f t="shared" si="116"/>
        <v>2.7</v>
      </c>
      <c r="W189" s="77">
        <v>0</v>
      </c>
      <c r="X189" s="78">
        <f t="shared" si="117"/>
        <v>1</v>
      </c>
      <c r="Y189" s="79">
        <f t="shared" si="118"/>
        <v>0</v>
      </c>
      <c r="Z189" s="79">
        <f t="shared" si="119"/>
        <v>1</v>
      </c>
      <c r="AA189" s="78">
        <f t="shared" si="120"/>
        <v>0</v>
      </c>
      <c r="AB189" s="79">
        <f t="shared" si="121"/>
        <v>0</v>
      </c>
      <c r="AC189" s="79">
        <f t="shared" si="122"/>
        <v>0</v>
      </c>
      <c r="AD189" s="79">
        <f t="shared" si="123"/>
        <v>0</v>
      </c>
      <c r="AE189" s="79">
        <f t="shared" si="124"/>
        <v>0</v>
      </c>
      <c r="AF189" s="78">
        <f t="shared" si="125"/>
        <v>0</v>
      </c>
      <c r="AG189" s="79">
        <f t="shared" si="126"/>
        <v>0</v>
      </c>
      <c r="AH189" s="79">
        <f t="shared" si="127"/>
        <v>0</v>
      </c>
      <c r="AI189" s="78">
        <f t="shared" si="128"/>
        <v>0</v>
      </c>
      <c r="AJ189" s="79">
        <f t="shared" si="129"/>
        <v>0</v>
      </c>
      <c r="AK189" s="79">
        <f t="shared" si="130"/>
        <v>0</v>
      </c>
      <c r="AL189" s="80">
        <f t="shared" si="131"/>
        <v>0</v>
      </c>
      <c r="AM189" s="81">
        <f t="shared" si="132"/>
        <v>0.06</v>
      </c>
      <c r="AN189" s="82" t="str">
        <f t="shared" si="133"/>
        <v>X</v>
      </c>
      <c r="AO189" s="79" t="str">
        <f t="shared" si="134"/>
        <v/>
      </c>
      <c r="AP189" t="str">
        <f t="shared" si="135"/>
        <v>X</v>
      </c>
      <c r="AQ189" s="82" t="str">
        <f t="shared" si="136"/>
        <v/>
      </c>
      <c r="AR189" t="str">
        <f t="shared" si="137"/>
        <v/>
      </c>
      <c r="AS189" t="str">
        <f t="shared" si="138"/>
        <v/>
      </c>
      <c r="AT189" t="str">
        <f t="shared" si="139"/>
        <v/>
      </c>
      <c r="AU189" t="str">
        <f t="shared" si="140"/>
        <v/>
      </c>
      <c r="AV189" s="82" t="str">
        <f t="shared" si="141"/>
        <v/>
      </c>
      <c r="AW189" t="str">
        <f t="shared" si="142"/>
        <v/>
      </c>
      <c r="AX189" t="str">
        <f t="shared" si="143"/>
        <v/>
      </c>
      <c r="AY189" s="82" t="str">
        <f t="shared" si="144"/>
        <v/>
      </c>
      <c r="AZ189" t="str">
        <f t="shared" si="145"/>
        <v/>
      </c>
      <c r="BA189" t="str">
        <f t="shared" si="146"/>
        <v/>
      </c>
      <c r="BB189" s="83" t="str">
        <f t="shared" si="147"/>
        <v/>
      </c>
      <c r="BC189" s="84">
        <f t="shared" si="148"/>
        <v>0.66666666666666652</v>
      </c>
      <c r="BD189" s="84">
        <f t="shared" si="149"/>
        <v>0</v>
      </c>
      <c r="BE189" s="84">
        <f t="shared" si="150"/>
        <v>0</v>
      </c>
      <c r="BF189" s="84">
        <f t="shared" si="151"/>
        <v>0</v>
      </c>
      <c r="BG189" s="78">
        <f>IF(AN189="",0,VLOOKUP(AN189,Tables!$AB$3:$AC$12,2))</f>
        <v>1</v>
      </c>
      <c r="BH189" s="79">
        <f>IF(AO189="",0,VLOOKUP(AO189,Tables!$AB$3:$AC$12,2))</f>
        <v>0</v>
      </c>
      <c r="BI189" s="79">
        <f>IF(AP189="",0,VLOOKUP(AP189,Tables!$AB$3:$AC$12,2))</f>
        <v>1</v>
      </c>
      <c r="BJ189" s="78">
        <f>IF(AQ189="",0,VLOOKUP(AQ189,Tables!$AB$3:$AC$12,2))</f>
        <v>0</v>
      </c>
      <c r="BK189" s="79">
        <f>IF(AR189="",0,VLOOKUP(AR189,Tables!$AB$3:$AC$12,2))</f>
        <v>0</v>
      </c>
      <c r="BL189" s="79">
        <f>IF(AS189="",0,VLOOKUP(AS189,Tables!$AB$3:$AC$12,2))</f>
        <v>0</v>
      </c>
      <c r="BM189" s="79">
        <f>IF(AT189="",0,VLOOKUP(AT189,Tables!$AB$3:$AC$12,2))</f>
        <v>0</v>
      </c>
      <c r="BN189" s="79">
        <f>IF(AU189="",0,VLOOKUP(AU189,Tables!$AB$3:$AC$12,2))</f>
        <v>0</v>
      </c>
      <c r="BO189" s="78">
        <f>IF(AV189="",0,VLOOKUP(AV189,Tables!$AB$3:$AC$12,2))</f>
        <v>0</v>
      </c>
      <c r="BP189" s="79">
        <f>IF(AW189="",0,VLOOKUP(AW189,Tables!$AB$3:$AC$12,2))</f>
        <v>0</v>
      </c>
      <c r="BQ189" s="79">
        <f>IF(AX189="",0,VLOOKUP(AX189,Tables!$AB$3:$AC$12,2))</f>
        <v>0</v>
      </c>
      <c r="BR189" s="78">
        <f>IF(AY189="",0,VLOOKUP(AY189,Tables!$AB$3:$AC$12,2))</f>
        <v>0</v>
      </c>
      <c r="BS189" s="79">
        <f>IF(AZ189="",0,VLOOKUP(AZ189,Tables!$AB$3:$AC$12,2))</f>
        <v>0</v>
      </c>
      <c r="BT189" s="79">
        <f>IF(BA189="",0,VLOOKUP(BA189,Tables!$AB$3:$AC$12,2))</f>
        <v>0</v>
      </c>
      <c r="BU189" s="80">
        <f>IF(BB189="",0,VLOOKUP(BB189,Tables!$AB$3:$AC$12,2))</f>
        <v>0</v>
      </c>
      <c r="BV189" s="85">
        <f>IF(AN189="",0,VLOOKUP(B189,Tables!$B$3:$D$36,2,FALSE())*X$1)</f>
        <v>2.4</v>
      </c>
      <c r="BW189" s="72">
        <f>IF(AO189="",0,VLOOKUP(C189,Tables!$B$3:$D$36,2,FALSE())*Y$1)</f>
        <v>0</v>
      </c>
      <c r="BX189" s="72">
        <f>IF(AP189="",0,VLOOKUP(D189,Tables!$B$3:$D$36,2,FALSE())*Z$1)</f>
        <v>1.2</v>
      </c>
      <c r="BY189" s="85">
        <f>IF(AQ189="",0,VLOOKUP(E189,Tables!$B$3:$D$36,2,FALSE())*AA$1)</f>
        <v>0</v>
      </c>
      <c r="BZ189" s="72">
        <f>IF(AR189="",0,VLOOKUP(F189,Tables!$B$3:$D$36,2,FALSE())*AB$1)</f>
        <v>0</v>
      </c>
      <c r="CA189" s="72">
        <f>IF(AS189="",0,VLOOKUP(G189,Tables!$B$3:$D$36,2,FALSE())*AC$1)</f>
        <v>0</v>
      </c>
      <c r="CB189" s="72">
        <f>IF(AT189="",0,VLOOKUP(H189,Tables!$B$3:$D$36,2,FALSE())*AD$1)</f>
        <v>0</v>
      </c>
      <c r="CC189" s="72">
        <f>IF(AU189="",0,VLOOKUP(I189,Tables!$B$3:$D$36,2,FALSE())*AE$1)</f>
        <v>0</v>
      </c>
      <c r="CD189" s="85">
        <f>IF(AV189="",0,VLOOKUP(J189,Tables!$B$3:$D$36,2,FALSE())*AF$1)</f>
        <v>0</v>
      </c>
      <c r="CE189" s="72">
        <f>IF(AW189="",0,VLOOKUP(K189,Tables!$B$3:$D$36,2,FALSE())*AG$1)</f>
        <v>0</v>
      </c>
      <c r="CF189" s="72">
        <f>IF(AX189="",0,VLOOKUP(L189,Tables!$B$3:$D$36,2,FALSE())*AH$1)</f>
        <v>0</v>
      </c>
      <c r="CG189" s="85">
        <f>IF(AY189="",0,VLOOKUP(M189,Tables!$B$3:$D$36,2,FALSE())*AI$1)</f>
        <v>0</v>
      </c>
      <c r="CH189" s="72">
        <f>IF(AZ189="",0,VLOOKUP(N189,Tables!$B$3:$D$36,2,FALSE())*AJ$1)</f>
        <v>0</v>
      </c>
      <c r="CI189" s="72">
        <f>IF(BA189="",0,VLOOKUP(O189,Tables!$B$3:$D$36,2,FALSE())*AK$1)</f>
        <v>0</v>
      </c>
      <c r="CJ189" s="86">
        <f>IF(BB189="",0,VLOOKUP(P189,Tables!$B$3:$D$36,2,FALSE())*AL$1)</f>
        <v>0</v>
      </c>
      <c r="CK189" s="87">
        <f>IF(AN189="",0,VLOOKUP(B189,Tables!$B$3:$D$36,3,FALSE())*X$1)*IF(OR(AN189="K",AN189="P"),2,1)</f>
        <v>0.1</v>
      </c>
      <c r="CL189" s="73">
        <f>IF(AO189="",0,VLOOKUP(C189,Tables!$B$3:$D$36,3,FALSE())*Y$1)*IF(OR(AO189="K",AO189="P"),2,1)</f>
        <v>0</v>
      </c>
      <c r="CM189" s="73">
        <f>IF(AP189="",0,VLOOKUP(D189,Tables!$B$3:$D$36,3,FALSE())*Z$1)*IF(OR(AP189="K",AP189="P"),2,1)</f>
        <v>0.05</v>
      </c>
      <c r="CN189" s="87">
        <f>IF(AQ189="",0,VLOOKUP(E189,Tables!$B$3:$D$36,3,FALSE())*AA$1)</f>
        <v>0</v>
      </c>
      <c r="CO189" s="73">
        <f>IF(AR189="",0,VLOOKUP(F189,Tables!$B$3:$D$36,3,FALSE())*AB$1)</f>
        <v>0</v>
      </c>
      <c r="CP189" s="73">
        <f>IF(AS189="",0,VLOOKUP(G189,Tables!$B$3:$D$36,3,FALSE())*AC$1)</f>
        <v>0</v>
      </c>
      <c r="CQ189" s="73">
        <f>IF(AT189="",0,VLOOKUP(H189,Tables!$B$3:$D$36,3,FALSE())*AD$1)</f>
        <v>0</v>
      </c>
      <c r="CR189" s="73">
        <f>IF(AU189="",0,VLOOKUP(I189,Tables!$B$3:$D$36,3,FALSE())*AE$1)</f>
        <v>0</v>
      </c>
      <c r="CS189" s="87">
        <f>IF(AV189="",0,VLOOKUP(J189,Tables!$B$3:$D$36,3,FALSE())*AF$1)</f>
        <v>0</v>
      </c>
      <c r="CT189" s="73">
        <f>IF(AW189="",0,VLOOKUP(K189,Tables!$B$3:$D$36,3,FALSE())*AG$1)</f>
        <v>0</v>
      </c>
      <c r="CU189" s="73">
        <f>IF(AX189="",0,VLOOKUP(L189,Tables!$B$3:$D$36,3,FALSE())*AH$1)</f>
        <v>0</v>
      </c>
      <c r="CV189" s="87">
        <f>IF(AY189="",0,VLOOKUP(M189,Tables!$B$3:$D$36,3,FALSE())*AI$1)</f>
        <v>0</v>
      </c>
      <c r="CW189" s="73">
        <f>IF(AZ189="",0,VLOOKUP(N189,Tables!$B$3:$D$36,3,FALSE())*AJ$1)</f>
        <v>0</v>
      </c>
      <c r="CX189" s="73">
        <f>IF(BA189="",0,VLOOKUP(O189,Tables!$B$3:$D$36,3,FALSE())*AK$1)</f>
        <v>0</v>
      </c>
      <c r="CY189" s="88">
        <f>IF(BB189="",0,VLOOKUP(P189,Tables!$B$3:$D$36,3,FALSE())*AL$1)</f>
        <v>0</v>
      </c>
      <c r="CZ189" s="89">
        <f t="shared" si="152"/>
        <v>1</v>
      </c>
      <c r="DA189" s="75">
        <f t="shared" si="153"/>
        <v>0</v>
      </c>
      <c r="DB189" s="75">
        <f t="shared" si="154"/>
        <v>1</v>
      </c>
      <c r="DC189" s="89">
        <f t="shared" si="155"/>
        <v>0</v>
      </c>
      <c r="DD189" s="75">
        <f t="shared" si="156"/>
        <v>0</v>
      </c>
      <c r="DE189" s="75">
        <f t="shared" si="157"/>
        <v>0</v>
      </c>
      <c r="DF189" s="75">
        <f t="shared" si="158"/>
        <v>0</v>
      </c>
      <c r="DG189" s="75">
        <f t="shared" si="159"/>
        <v>0</v>
      </c>
      <c r="DH189" s="89">
        <f t="shared" si="160"/>
        <v>0</v>
      </c>
      <c r="DI189" s="75">
        <f t="shared" si="161"/>
        <v>0</v>
      </c>
      <c r="DJ189" s="75">
        <f t="shared" si="162"/>
        <v>0</v>
      </c>
      <c r="DK189" s="89">
        <f t="shared" si="163"/>
        <v>0</v>
      </c>
      <c r="DL189" s="75">
        <f t="shared" si="164"/>
        <v>0</v>
      </c>
      <c r="DM189" s="75">
        <f t="shared" si="165"/>
        <v>0</v>
      </c>
      <c r="DN189" s="90">
        <f t="shared" si="166"/>
        <v>0</v>
      </c>
      <c r="DO189" s="91">
        <f>IF(AN189="",0,VLOOKUP(B189,Tables!$B$3:$M$36,11,FALSE())*X$1)</f>
        <v>0.8</v>
      </c>
      <c r="DP189" s="92">
        <f>IF(AO189="",0,VLOOKUP(C189,Tables!$B$3:$M$36,11,FALSE())*Y$1)</f>
        <v>0</v>
      </c>
      <c r="DQ189" s="92">
        <f>IF(AP189="",0,VLOOKUP(D189,Tables!$B$3:$M$36,11,FALSE())*Z$1)</f>
        <v>0.4</v>
      </c>
      <c r="DR189" s="91">
        <f>IF(AQ189="",0,VLOOKUP(E189,Tables!$B$3:$M$36,11,FALSE())*AA$1)</f>
        <v>0</v>
      </c>
      <c r="DS189" s="92">
        <f>IF(AR189="",0,VLOOKUP(F189,Tables!$B$3:$M$36,11,FALSE())*AB$1)</f>
        <v>0</v>
      </c>
      <c r="DT189" s="92">
        <f>IF(AS189="",0,VLOOKUP(G189,Tables!$B$3:$M$36,11,FALSE())*AC$1)</f>
        <v>0</v>
      </c>
      <c r="DU189" s="92">
        <f>IF(AT189="",0,VLOOKUP(H189,Tables!$B$3:$M$36,11,FALSE())*AD$1)</f>
        <v>0</v>
      </c>
      <c r="DV189" s="92">
        <f>IF(AU189="",0,VLOOKUP(I189,Tables!$B$3:$M$36,11,FALSE())*AE$1)</f>
        <v>0</v>
      </c>
      <c r="DW189" s="91">
        <f>IF(AV189="",0,VLOOKUP(J189,Tables!$B$3:$M$36,11,FALSE())*AF$1)</f>
        <v>0</v>
      </c>
      <c r="DX189" s="92">
        <f>IF(AW189="",0,VLOOKUP(K189,Tables!$B$3:$M$36,11,FALSE())*AG$1)</f>
        <v>0</v>
      </c>
      <c r="DY189" s="92">
        <f>IF(AX189="",0,VLOOKUP(L189,Tables!$B$3:$M$36,11,FALSE())*AH$1)</f>
        <v>0</v>
      </c>
      <c r="DZ189" s="91">
        <f>IF(AY189="",0,VLOOKUP(M189,Tables!$B$3:$M$36,11,FALSE())*AI$1)</f>
        <v>0</v>
      </c>
      <c r="EA189" s="92">
        <f>IF(AZ189="",0,VLOOKUP(N189,Tables!$B$3:$M$36,11,FALSE())*AJ$1)</f>
        <v>0</v>
      </c>
      <c r="EB189" s="92">
        <f>IF(BA189="",0,VLOOKUP(O189,Tables!$B$3:$M$36,11,FALSE())*AK$1)</f>
        <v>0</v>
      </c>
      <c r="EC189" s="93">
        <f>IF(BB189="",0,VLOOKUP(P189,Tables!$B$3:$M$36,11,FALSE())*AL$1)</f>
        <v>0</v>
      </c>
      <c r="ED189" s="91">
        <f>IF(AN189="",0,VLOOKUP(B189,Tables!$B$3:$M$36,12,FALSE())*X$1)</f>
        <v>1.8</v>
      </c>
      <c r="EE189" s="92">
        <f>IF(AO189="",0,VLOOKUP(C189,Tables!$B$3:$M$36,12,FALSE())*Y$1)</f>
        <v>0</v>
      </c>
      <c r="EF189" s="92">
        <f>IF(AP189="",0,VLOOKUP(D189,Tables!$B$3:$M$36,12,FALSE())*Z$1)</f>
        <v>0.9</v>
      </c>
      <c r="EG189" s="91">
        <f>IF(AQ189="",0,VLOOKUP(E189,Tables!$B$3:$M$36,12,FALSE())*AA$1)</f>
        <v>0</v>
      </c>
      <c r="EH189" s="92">
        <f>IF(AR189="",0,VLOOKUP(F189,Tables!$B$3:$M$36,12,FALSE())*AB$1)</f>
        <v>0</v>
      </c>
      <c r="EI189" s="92">
        <f>IF(AS189="",0,VLOOKUP(G189,Tables!$B$3:$M$36,12,FALSE())*AC$1)</f>
        <v>0</v>
      </c>
      <c r="EJ189" s="92">
        <f>IF(AT189="",0,VLOOKUP(H189,Tables!$B$3:$M$36,12,FALSE())*AD$1)</f>
        <v>0</v>
      </c>
      <c r="EK189" s="92">
        <f>IF(AU189="",0,VLOOKUP(I189,Tables!$B$3:$M$36,12,FALSE())*AE$1)</f>
        <v>0</v>
      </c>
      <c r="EL189" s="91">
        <f>IF(AV189="",0,VLOOKUP(J189,Tables!$B$3:$M$36,12,FALSE())*AF$1)</f>
        <v>0</v>
      </c>
      <c r="EM189" s="92">
        <f>IF(AW189="",0,VLOOKUP(K189,Tables!$B$3:$M$36,12,FALSE())*AG$1)</f>
        <v>0</v>
      </c>
      <c r="EN189" s="92">
        <f>IF(AX189="",0,VLOOKUP(L189,Tables!$B$3:$M$36,12,FALSE())*AH$1)</f>
        <v>0</v>
      </c>
      <c r="EO189" s="91">
        <f>IF(AY189="",0,VLOOKUP(M189,Tables!$B$3:$M$36,12,FALSE())*AI$1)</f>
        <v>0</v>
      </c>
      <c r="EP189" s="92">
        <f>IF(AZ189="",0,VLOOKUP(N189,Tables!$B$3:$M$36,12,FALSE())*AJ$1)</f>
        <v>0</v>
      </c>
      <c r="EQ189" s="92">
        <f>IF(BA189="",0,VLOOKUP(O189,Tables!$B$3:$M$36,12,FALSE())*AK$1)</f>
        <v>0</v>
      </c>
      <c r="ER189" s="93">
        <f>IF(BB189="",0,VLOOKUP(P189,Tables!$B$3:$M$36,12,FALSE())*AL$1)</f>
        <v>0</v>
      </c>
      <c r="ES189" s="94">
        <f t="shared" si="167"/>
        <v>0</v>
      </c>
      <c r="ET189" s="95">
        <f>IF(AN189="",10,MIN(VLOOKUP(B189,MATERIAL,13,FALSE()),'Item Builder'!$W189))</f>
        <v>0</v>
      </c>
      <c r="EU189" s="95">
        <f>IF(AO189="",10,MIN(VLOOKUP(C189,MATERIAL,13,FALSE()),'Item Builder'!$W189))</f>
        <v>10</v>
      </c>
      <c r="EV189" s="95">
        <f>IF(AP189="",10,MIN(VLOOKUP(D189,MATERIAL,13,FALSE()),'Item Builder'!$W189))</f>
        <v>0</v>
      </c>
      <c r="EW189" s="95">
        <f>IF(AQ189="",10,MIN(VLOOKUP(E189,MATERIAL,13,FALSE()),'Item Builder'!$W189))</f>
        <v>10</v>
      </c>
      <c r="EX189" s="95">
        <f>IF(AR189="",10,MIN(VLOOKUP(F189,MATERIAL,13,FALSE()),'Item Builder'!$W189))</f>
        <v>10</v>
      </c>
      <c r="EY189" s="95">
        <f>IF(AS189="",10,MIN(VLOOKUP(G189,MATERIAL,13,FALSE()),'Item Builder'!$W189))</f>
        <v>10</v>
      </c>
      <c r="EZ189" s="95">
        <f>IF(AT189="",10,MIN(VLOOKUP(H189,MATERIAL,13,FALSE()),'Item Builder'!$W189))</f>
        <v>10</v>
      </c>
      <c r="FA189" s="95">
        <f>IF(AU189="",10,MIN(VLOOKUP(I189,MATERIAL,13,FALSE()),'Item Builder'!$W189))</f>
        <v>10</v>
      </c>
      <c r="FB189" s="95">
        <f>IF(AV189="",10,MIN(VLOOKUP(J189,MATERIAL,13,FALSE()),'Item Builder'!$W189))</f>
        <v>10</v>
      </c>
      <c r="FC189" s="95">
        <f>IF(AW189="",10,MIN(VLOOKUP(K189,MATERIAL,13,FALSE()),'Item Builder'!$W189))</f>
        <v>10</v>
      </c>
      <c r="FD189" s="95">
        <f>IF(AX189="",10,MIN(VLOOKUP(L189,MATERIAL,13,FALSE()),'Item Builder'!$W189))</f>
        <v>10</v>
      </c>
      <c r="FE189" s="95">
        <f>IF(AY189="",10,MIN(VLOOKUP(M189,MATERIAL,13,FALSE()),'Item Builder'!$W189))</f>
        <v>10</v>
      </c>
      <c r="FF189" s="95">
        <f>IF(AZ189="",10,MIN(VLOOKUP(N189,MATERIAL,13,FALSE()),'Item Builder'!$W189))</f>
        <v>10</v>
      </c>
      <c r="FG189" s="95">
        <f>IF(BA189="",10,MIN(VLOOKUP(O189,MATERIAL,13,FALSE()),'Item Builder'!$W189))</f>
        <v>10</v>
      </c>
      <c r="FH189" s="95">
        <f>IF(BB189="",10,MIN(VLOOKUP(P189,MATERIAL,13,FALSE()),'Item Builder'!$W189))</f>
        <v>10</v>
      </c>
    </row>
    <row r="190" spans="1:164" x14ac:dyDescent="0.25">
      <c r="A190" s="67" t="s">
        <v>330</v>
      </c>
      <c r="B190" s="68"/>
      <c r="C190" s="69"/>
      <c r="D190" s="70"/>
      <c r="E190" s="68"/>
      <c r="F190" s="69"/>
      <c r="G190" s="69"/>
      <c r="H190" s="69"/>
      <c r="I190" s="70" t="s">
        <v>146</v>
      </c>
      <c r="J190" s="68"/>
      <c r="K190" s="69"/>
      <c r="L190" s="70"/>
      <c r="M190" s="68"/>
      <c r="N190" s="69"/>
      <c r="O190" s="69"/>
      <c r="P190" s="71"/>
      <c r="Q190" s="72">
        <f>SUM(BV190:CJ190)*VLOOKUP(W190,Tables!$W$3:$Z$8,4)</f>
        <v>3</v>
      </c>
      <c r="R190" s="73">
        <f t="shared" si="112"/>
        <v>0.125</v>
      </c>
      <c r="S190" s="74">
        <f t="shared" si="113"/>
        <v>0</v>
      </c>
      <c r="T190" s="74">
        <f t="shared" si="114"/>
        <v>0</v>
      </c>
      <c r="U190" s="75">
        <f t="shared" si="115"/>
        <v>1</v>
      </c>
      <c r="V190" s="76">
        <f t="shared" si="116"/>
        <v>2.25</v>
      </c>
      <c r="W190" s="77">
        <v>0</v>
      </c>
      <c r="X190" s="78">
        <f t="shared" si="117"/>
        <v>0</v>
      </c>
      <c r="Y190" s="79">
        <f t="shared" si="118"/>
        <v>0</v>
      </c>
      <c r="Z190" s="79">
        <f t="shared" si="119"/>
        <v>0</v>
      </c>
      <c r="AA190" s="78">
        <f t="shared" si="120"/>
        <v>0</v>
      </c>
      <c r="AB190" s="79">
        <f t="shared" si="121"/>
        <v>0</v>
      </c>
      <c r="AC190" s="79">
        <f t="shared" si="122"/>
        <v>0</v>
      </c>
      <c r="AD190" s="79">
        <f t="shared" si="123"/>
        <v>0</v>
      </c>
      <c r="AE190" s="79">
        <f t="shared" si="124"/>
        <v>1</v>
      </c>
      <c r="AF190" s="78">
        <f t="shared" si="125"/>
        <v>0</v>
      </c>
      <c r="AG190" s="79">
        <f t="shared" si="126"/>
        <v>0</v>
      </c>
      <c r="AH190" s="79">
        <f t="shared" si="127"/>
        <v>0</v>
      </c>
      <c r="AI190" s="78">
        <f t="shared" si="128"/>
        <v>0</v>
      </c>
      <c r="AJ190" s="79">
        <f t="shared" si="129"/>
        <v>0</v>
      </c>
      <c r="AK190" s="79">
        <f t="shared" si="130"/>
        <v>0</v>
      </c>
      <c r="AL190" s="80">
        <f t="shared" si="131"/>
        <v>0</v>
      </c>
      <c r="AM190" s="81">
        <f t="shared" si="132"/>
        <v>0.05</v>
      </c>
      <c r="AN190" s="82" t="str">
        <f t="shared" si="133"/>
        <v/>
      </c>
      <c r="AO190" s="79" t="str">
        <f t="shared" si="134"/>
        <v/>
      </c>
      <c r="AP190" t="str">
        <f t="shared" si="135"/>
        <v/>
      </c>
      <c r="AQ190" s="82" t="str">
        <f t="shared" si="136"/>
        <v/>
      </c>
      <c r="AR190" t="str">
        <f t="shared" si="137"/>
        <v/>
      </c>
      <c r="AS190" t="str">
        <f t="shared" si="138"/>
        <v/>
      </c>
      <c r="AT190" t="str">
        <f t="shared" si="139"/>
        <v/>
      </c>
      <c r="AU190" t="str">
        <f t="shared" si="140"/>
        <v>X</v>
      </c>
      <c r="AV190" s="82" t="str">
        <f t="shared" si="141"/>
        <v/>
      </c>
      <c r="AW190" t="str">
        <f t="shared" si="142"/>
        <v/>
      </c>
      <c r="AX190" t="str">
        <f t="shared" si="143"/>
        <v/>
      </c>
      <c r="AY190" s="82" t="str">
        <f t="shared" si="144"/>
        <v/>
      </c>
      <c r="AZ190" t="str">
        <f t="shared" si="145"/>
        <v/>
      </c>
      <c r="BA190" t="str">
        <f t="shared" si="146"/>
        <v/>
      </c>
      <c r="BB190" s="83" t="str">
        <f t="shared" si="147"/>
        <v/>
      </c>
      <c r="BC190" s="84">
        <f t="shared" si="148"/>
        <v>0</v>
      </c>
      <c r="BD190" s="84">
        <f t="shared" si="149"/>
        <v>0.23809523809523808</v>
      </c>
      <c r="BE190" s="84">
        <f t="shared" si="150"/>
        <v>0</v>
      </c>
      <c r="BF190" s="84">
        <f t="shared" si="151"/>
        <v>0</v>
      </c>
      <c r="BG190" s="78">
        <f>IF(AN190="",0,VLOOKUP(AN190,Tables!$AB$3:$AC$12,2))</f>
        <v>0</v>
      </c>
      <c r="BH190" s="79">
        <f>IF(AO190="",0,VLOOKUP(AO190,Tables!$AB$3:$AC$12,2))</f>
        <v>0</v>
      </c>
      <c r="BI190" s="79">
        <f>IF(AP190="",0,VLOOKUP(AP190,Tables!$AB$3:$AC$12,2))</f>
        <v>0</v>
      </c>
      <c r="BJ190" s="78">
        <f>IF(AQ190="",0,VLOOKUP(AQ190,Tables!$AB$3:$AC$12,2))</f>
        <v>0</v>
      </c>
      <c r="BK190" s="79">
        <f>IF(AR190="",0,VLOOKUP(AR190,Tables!$AB$3:$AC$12,2))</f>
        <v>0</v>
      </c>
      <c r="BL190" s="79">
        <f>IF(AS190="",0,VLOOKUP(AS190,Tables!$AB$3:$AC$12,2))</f>
        <v>0</v>
      </c>
      <c r="BM190" s="79">
        <f>IF(AT190="",0,VLOOKUP(AT190,Tables!$AB$3:$AC$12,2))</f>
        <v>0</v>
      </c>
      <c r="BN190" s="79">
        <f>IF(AU190="",0,VLOOKUP(AU190,Tables!$AB$3:$AC$12,2))</f>
        <v>1</v>
      </c>
      <c r="BO190" s="78">
        <f>IF(AV190="",0,VLOOKUP(AV190,Tables!$AB$3:$AC$12,2))</f>
        <v>0</v>
      </c>
      <c r="BP190" s="79">
        <f>IF(AW190="",0,VLOOKUP(AW190,Tables!$AB$3:$AC$12,2))</f>
        <v>0</v>
      </c>
      <c r="BQ190" s="79">
        <f>IF(AX190="",0,VLOOKUP(AX190,Tables!$AB$3:$AC$12,2))</f>
        <v>0</v>
      </c>
      <c r="BR190" s="78">
        <f>IF(AY190="",0,VLOOKUP(AY190,Tables!$AB$3:$AC$12,2))</f>
        <v>0</v>
      </c>
      <c r="BS190" s="79">
        <f>IF(AZ190="",0,VLOOKUP(AZ190,Tables!$AB$3:$AC$12,2))</f>
        <v>0</v>
      </c>
      <c r="BT190" s="79">
        <f>IF(BA190="",0,VLOOKUP(BA190,Tables!$AB$3:$AC$12,2))</f>
        <v>0</v>
      </c>
      <c r="BU190" s="80">
        <f>IF(BB190="",0,VLOOKUP(BB190,Tables!$AB$3:$AC$12,2))</f>
        <v>0</v>
      </c>
      <c r="BV190" s="85">
        <f>IF(AN190="",0,VLOOKUP(B190,Tables!$B$3:$D$36,2,FALSE())*X$1)</f>
        <v>0</v>
      </c>
      <c r="BW190" s="72">
        <f>IF(AO190="",0,VLOOKUP(C190,Tables!$B$3:$D$36,2,FALSE())*Y$1)</f>
        <v>0</v>
      </c>
      <c r="BX190" s="72">
        <f>IF(AP190="",0,VLOOKUP(D190,Tables!$B$3:$D$36,2,FALSE())*Z$1)</f>
        <v>0</v>
      </c>
      <c r="BY190" s="85">
        <f>IF(AQ190="",0,VLOOKUP(E190,Tables!$B$3:$D$36,2,FALSE())*AA$1)</f>
        <v>0</v>
      </c>
      <c r="BZ190" s="72">
        <f>IF(AR190="",0,VLOOKUP(F190,Tables!$B$3:$D$36,2,FALSE())*AB$1)</f>
        <v>0</v>
      </c>
      <c r="CA190" s="72">
        <f>IF(AS190="",0,VLOOKUP(G190,Tables!$B$3:$D$36,2,FALSE())*AC$1)</f>
        <v>0</v>
      </c>
      <c r="CB190" s="72">
        <f>IF(AT190="",0,VLOOKUP(H190,Tables!$B$3:$D$36,2,FALSE())*AD$1)</f>
        <v>0</v>
      </c>
      <c r="CC190" s="72">
        <f>IF(AU190="",0,VLOOKUP(I190,Tables!$B$3:$D$36,2,FALSE())*AE$1)</f>
        <v>3</v>
      </c>
      <c r="CD190" s="85">
        <f>IF(AV190="",0,VLOOKUP(J190,Tables!$B$3:$D$36,2,FALSE())*AF$1)</f>
        <v>0</v>
      </c>
      <c r="CE190" s="72">
        <f>IF(AW190="",0,VLOOKUP(K190,Tables!$B$3:$D$36,2,FALSE())*AG$1)</f>
        <v>0</v>
      </c>
      <c r="CF190" s="72">
        <f>IF(AX190="",0,VLOOKUP(L190,Tables!$B$3:$D$36,2,FALSE())*AH$1)</f>
        <v>0</v>
      </c>
      <c r="CG190" s="85">
        <f>IF(AY190="",0,VLOOKUP(M190,Tables!$B$3:$D$36,2,FALSE())*AI$1)</f>
        <v>0</v>
      </c>
      <c r="CH190" s="72">
        <f>IF(AZ190="",0,VLOOKUP(N190,Tables!$B$3:$D$36,2,FALSE())*AJ$1)</f>
        <v>0</v>
      </c>
      <c r="CI190" s="72">
        <f>IF(BA190="",0,VLOOKUP(O190,Tables!$B$3:$D$36,2,FALSE())*AK$1)</f>
        <v>0</v>
      </c>
      <c r="CJ190" s="86">
        <f>IF(BB190="",0,VLOOKUP(P190,Tables!$B$3:$D$36,2,FALSE())*AL$1)</f>
        <v>0</v>
      </c>
      <c r="CK190" s="87">
        <f>IF(AN190="",0,VLOOKUP(B190,Tables!$B$3:$D$36,3,FALSE())*X$1)*IF(OR(AN190="K",AN190="P"),2,1)</f>
        <v>0</v>
      </c>
      <c r="CL190" s="73">
        <f>IF(AO190="",0,VLOOKUP(C190,Tables!$B$3:$D$36,3,FALSE())*Y$1)*IF(OR(AO190="K",AO190="P"),2,1)</f>
        <v>0</v>
      </c>
      <c r="CM190" s="73">
        <f>IF(AP190="",0,VLOOKUP(D190,Tables!$B$3:$D$36,3,FALSE())*Z$1)*IF(OR(AP190="K",AP190="P"),2,1)</f>
        <v>0</v>
      </c>
      <c r="CN190" s="87">
        <f>IF(AQ190="",0,VLOOKUP(E190,Tables!$B$3:$D$36,3,FALSE())*AA$1)</f>
        <v>0</v>
      </c>
      <c r="CO190" s="73">
        <f>IF(AR190="",0,VLOOKUP(F190,Tables!$B$3:$D$36,3,FALSE())*AB$1)</f>
        <v>0</v>
      </c>
      <c r="CP190" s="73">
        <f>IF(AS190="",0,VLOOKUP(G190,Tables!$B$3:$D$36,3,FALSE())*AC$1)</f>
        <v>0</v>
      </c>
      <c r="CQ190" s="73">
        <f>IF(AT190="",0,VLOOKUP(H190,Tables!$B$3:$D$36,3,FALSE())*AD$1)</f>
        <v>0</v>
      </c>
      <c r="CR190" s="73">
        <f>IF(AU190="",0,VLOOKUP(I190,Tables!$B$3:$D$36,3,FALSE())*AE$1)</f>
        <v>0.125</v>
      </c>
      <c r="CS190" s="87">
        <f>IF(AV190="",0,VLOOKUP(J190,Tables!$B$3:$D$36,3,FALSE())*AF$1)</f>
        <v>0</v>
      </c>
      <c r="CT190" s="73">
        <f>IF(AW190="",0,VLOOKUP(K190,Tables!$B$3:$D$36,3,FALSE())*AG$1)</f>
        <v>0</v>
      </c>
      <c r="CU190" s="73">
        <f>IF(AX190="",0,VLOOKUP(L190,Tables!$B$3:$D$36,3,FALSE())*AH$1)</f>
        <v>0</v>
      </c>
      <c r="CV190" s="87">
        <f>IF(AY190="",0,VLOOKUP(M190,Tables!$B$3:$D$36,3,FALSE())*AI$1)</f>
        <v>0</v>
      </c>
      <c r="CW190" s="73">
        <f>IF(AZ190="",0,VLOOKUP(N190,Tables!$B$3:$D$36,3,FALSE())*AJ$1)</f>
        <v>0</v>
      </c>
      <c r="CX190" s="73">
        <f>IF(BA190="",0,VLOOKUP(O190,Tables!$B$3:$D$36,3,FALSE())*AK$1)</f>
        <v>0</v>
      </c>
      <c r="CY190" s="88">
        <f>IF(BB190="",0,VLOOKUP(P190,Tables!$B$3:$D$36,3,FALSE())*AL$1)</f>
        <v>0</v>
      </c>
      <c r="CZ190" s="89">
        <f t="shared" si="152"/>
        <v>0</v>
      </c>
      <c r="DA190" s="75">
        <f t="shared" si="153"/>
        <v>0</v>
      </c>
      <c r="DB190" s="75">
        <f t="shared" si="154"/>
        <v>0</v>
      </c>
      <c r="DC190" s="89">
        <f t="shared" si="155"/>
        <v>0</v>
      </c>
      <c r="DD190" s="75">
        <f t="shared" si="156"/>
        <v>0</v>
      </c>
      <c r="DE190" s="75">
        <f t="shared" si="157"/>
        <v>0</v>
      </c>
      <c r="DF190" s="75">
        <f t="shared" si="158"/>
        <v>0</v>
      </c>
      <c r="DG190" s="75">
        <f t="shared" si="159"/>
        <v>1</v>
      </c>
      <c r="DH190" s="89">
        <f t="shared" si="160"/>
        <v>0</v>
      </c>
      <c r="DI190" s="75">
        <f t="shared" si="161"/>
        <v>0</v>
      </c>
      <c r="DJ190" s="75">
        <f t="shared" si="162"/>
        <v>0</v>
      </c>
      <c r="DK190" s="89">
        <f t="shared" si="163"/>
        <v>0</v>
      </c>
      <c r="DL190" s="75">
        <f t="shared" si="164"/>
        <v>0</v>
      </c>
      <c r="DM190" s="75">
        <f t="shared" si="165"/>
        <v>0</v>
      </c>
      <c r="DN190" s="90">
        <f t="shared" si="166"/>
        <v>0</v>
      </c>
      <c r="DO190" s="91">
        <f>IF(AN190="",0,VLOOKUP(B190,Tables!$B$3:$M$36,11,FALSE())*X$1)</f>
        <v>0</v>
      </c>
      <c r="DP190" s="92">
        <f>IF(AO190="",0,VLOOKUP(C190,Tables!$B$3:$M$36,11,FALSE())*Y$1)</f>
        <v>0</v>
      </c>
      <c r="DQ190" s="92">
        <f>IF(AP190="",0,VLOOKUP(D190,Tables!$B$3:$M$36,11,FALSE())*Z$1)</f>
        <v>0</v>
      </c>
      <c r="DR190" s="91">
        <f>IF(AQ190="",0,VLOOKUP(E190,Tables!$B$3:$M$36,11,FALSE())*AA$1)</f>
        <v>0</v>
      </c>
      <c r="DS190" s="92">
        <f>IF(AR190="",0,VLOOKUP(F190,Tables!$B$3:$M$36,11,FALSE())*AB$1)</f>
        <v>0</v>
      </c>
      <c r="DT190" s="92">
        <f>IF(AS190="",0,VLOOKUP(G190,Tables!$B$3:$M$36,11,FALSE())*AC$1)</f>
        <v>0</v>
      </c>
      <c r="DU190" s="92">
        <f>IF(AT190="",0,VLOOKUP(H190,Tables!$B$3:$M$36,11,FALSE())*AD$1)</f>
        <v>0</v>
      </c>
      <c r="DV190" s="92">
        <f>IF(AU190="",0,VLOOKUP(I190,Tables!$B$3:$M$36,11,FALSE())*AE$1)</f>
        <v>1</v>
      </c>
      <c r="DW190" s="91">
        <f>IF(AV190="",0,VLOOKUP(J190,Tables!$B$3:$M$36,11,FALSE())*AF$1)</f>
        <v>0</v>
      </c>
      <c r="DX190" s="92">
        <f>IF(AW190="",0,VLOOKUP(K190,Tables!$B$3:$M$36,11,FALSE())*AG$1)</f>
        <v>0</v>
      </c>
      <c r="DY190" s="92">
        <f>IF(AX190="",0,VLOOKUP(L190,Tables!$B$3:$M$36,11,FALSE())*AH$1)</f>
        <v>0</v>
      </c>
      <c r="DZ190" s="91">
        <f>IF(AY190="",0,VLOOKUP(M190,Tables!$B$3:$M$36,11,FALSE())*AI$1)</f>
        <v>0</v>
      </c>
      <c r="EA190" s="92">
        <f>IF(AZ190="",0,VLOOKUP(N190,Tables!$B$3:$M$36,11,FALSE())*AJ$1)</f>
        <v>0</v>
      </c>
      <c r="EB190" s="92">
        <f>IF(BA190="",0,VLOOKUP(O190,Tables!$B$3:$M$36,11,FALSE())*AK$1)</f>
        <v>0</v>
      </c>
      <c r="EC190" s="93">
        <f>IF(BB190="",0,VLOOKUP(P190,Tables!$B$3:$M$36,11,FALSE())*AL$1)</f>
        <v>0</v>
      </c>
      <c r="ED190" s="91">
        <f>IF(AN190="",0,VLOOKUP(B190,Tables!$B$3:$M$36,12,FALSE())*X$1)</f>
        <v>0</v>
      </c>
      <c r="EE190" s="92">
        <f>IF(AO190="",0,VLOOKUP(C190,Tables!$B$3:$M$36,12,FALSE())*Y$1)</f>
        <v>0</v>
      </c>
      <c r="EF190" s="92">
        <f>IF(AP190="",0,VLOOKUP(D190,Tables!$B$3:$M$36,12,FALSE())*Z$1)</f>
        <v>0</v>
      </c>
      <c r="EG190" s="91">
        <f>IF(AQ190="",0,VLOOKUP(E190,Tables!$B$3:$M$36,12,FALSE())*AA$1)</f>
        <v>0</v>
      </c>
      <c r="EH190" s="92">
        <f>IF(AR190="",0,VLOOKUP(F190,Tables!$B$3:$M$36,12,FALSE())*AB$1)</f>
        <v>0</v>
      </c>
      <c r="EI190" s="92">
        <f>IF(AS190="",0,VLOOKUP(G190,Tables!$B$3:$M$36,12,FALSE())*AC$1)</f>
        <v>0</v>
      </c>
      <c r="EJ190" s="92">
        <f>IF(AT190="",0,VLOOKUP(H190,Tables!$B$3:$M$36,12,FALSE())*AD$1)</f>
        <v>0</v>
      </c>
      <c r="EK190" s="92">
        <f>IF(AU190="",0,VLOOKUP(I190,Tables!$B$3:$M$36,12,FALSE())*AE$1)</f>
        <v>2.25</v>
      </c>
      <c r="EL190" s="91">
        <f>IF(AV190="",0,VLOOKUP(J190,Tables!$B$3:$M$36,12,FALSE())*AF$1)</f>
        <v>0</v>
      </c>
      <c r="EM190" s="92">
        <f>IF(AW190="",0,VLOOKUP(K190,Tables!$B$3:$M$36,12,FALSE())*AG$1)</f>
        <v>0</v>
      </c>
      <c r="EN190" s="92">
        <f>IF(AX190="",0,VLOOKUP(L190,Tables!$B$3:$M$36,12,FALSE())*AH$1)</f>
        <v>0</v>
      </c>
      <c r="EO190" s="91">
        <f>IF(AY190="",0,VLOOKUP(M190,Tables!$B$3:$M$36,12,FALSE())*AI$1)</f>
        <v>0</v>
      </c>
      <c r="EP190" s="92">
        <f>IF(AZ190="",0,VLOOKUP(N190,Tables!$B$3:$M$36,12,FALSE())*AJ$1)</f>
        <v>0</v>
      </c>
      <c r="EQ190" s="92">
        <f>IF(BA190="",0,VLOOKUP(O190,Tables!$B$3:$M$36,12,FALSE())*AK$1)</f>
        <v>0</v>
      </c>
      <c r="ER190" s="93">
        <f>IF(BB190="",0,VLOOKUP(P190,Tables!$B$3:$M$36,12,FALSE())*AL$1)</f>
        <v>0</v>
      </c>
      <c r="ES190" s="94">
        <f t="shared" si="167"/>
        <v>0</v>
      </c>
      <c r="ET190" s="95">
        <f>IF(AN190="",10,MIN(VLOOKUP(B190,MATERIAL,13,FALSE()),'Item Builder'!$W190))</f>
        <v>10</v>
      </c>
      <c r="EU190" s="95">
        <f>IF(AO190="",10,MIN(VLOOKUP(C190,MATERIAL,13,FALSE()),'Item Builder'!$W190))</f>
        <v>10</v>
      </c>
      <c r="EV190" s="95">
        <f>IF(AP190="",10,MIN(VLOOKUP(D190,MATERIAL,13,FALSE()),'Item Builder'!$W190))</f>
        <v>10</v>
      </c>
      <c r="EW190" s="95">
        <f>IF(AQ190="",10,MIN(VLOOKUP(E190,MATERIAL,13,FALSE()),'Item Builder'!$W190))</f>
        <v>10</v>
      </c>
      <c r="EX190" s="95">
        <f>IF(AR190="",10,MIN(VLOOKUP(F190,MATERIAL,13,FALSE()),'Item Builder'!$W190))</f>
        <v>10</v>
      </c>
      <c r="EY190" s="95">
        <f>IF(AS190="",10,MIN(VLOOKUP(G190,MATERIAL,13,FALSE()),'Item Builder'!$W190))</f>
        <v>10</v>
      </c>
      <c r="EZ190" s="95">
        <f>IF(AT190="",10,MIN(VLOOKUP(H190,MATERIAL,13,FALSE()),'Item Builder'!$W190))</f>
        <v>10</v>
      </c>
      <c r="FA190" s="95">
        <f>IF(AU190="",10,MIN(VLOOKUP(I190,MATERIAL,13,FALSE()),'Item Builder'!$W190))</f>
        <v>0</v>
      </c>
      <c r="FB190" s="95">
        <f>IF(AV190="",10,MIN(VLOOKUP(J190,MATERIAL,13,FALSE()),'Item Builder'!$W190))</f>
        <v>10</v>
      </c>
      <c r="FC190" s="95">
        <f>IF(AW190="",10,MIN(VLOOKUP(K190,MATERIAL,13,FALSE()),'Item Builder'!$W190))</f>
        <v>10</v>
      </c>
      <c r="FD190" s="95">
        <f>IF(AX190="",10,MIN(VLOOKUP(L190,MATERIAL,13,FALSE()),'Item Builder'!$W190))</f>
        <v>10</v>
      </c>
      <c r="FE190" s="95">
        <f>IF(AY190="",10,MIN(VLOOKUP(M190,MATERIAL,13,FALSE()),'Item Builder'!$W190))</f>
        <v>10</v>
      </c>
      <c r="FF190" s="95">
        <f>IF(AZ190="",10,MIN(VLOOKUP(N190,MATERIAL,13,FALSE()),'Item Builder'!$W190))</f>
        <v>10</v>
      </c>
      <c r="FG190" s="95">
        <f>IF(BA190="",10,MIN(VLOOKUP(O190,MATERIAL,13,FALSE()),'Item Builder'!$W190))</f>
        <v>10</v>
      </c>
      <c r="FH190" s="95">
        <f>IF(BB190="",10,MIN(VLOOKUP(P190,MATERIAL,13,FALSE()),'Item Builder'!$W190))</f>
        <v>10</v>
      </c>
    </row>
    <row r="191" spans="1:164" x14ac:dyDescent="0.25">
      <c r="A191" s="67" t="s">
        <v>331</v>
      </c>
      <c r="B191" s="68"/>
      <c r="C191" s="69"/>
      <c r="D191" s="70"/>
      <c r="E191" s="68"/>
      <c r="F191" s="69"/>
      <c r="G191" s="69"/>
      <c r="H191" s="69"/>
      <c r="I191" s="70"/>
      <c r="J191" s="68" t="s">
        <v>146</v>
      </c>
      <c r="K191" s="69" t="s">
        <v>146</v>
      </c>
      <c r="L191" s="70"/>
      <c r="M191" s="68"/>
      <c r="N191" s="69"/>
      <c r="O191" s="69"/>
      <c r="P191" s="71"/>
      <c r="Q191" s="72">
        <f>SUM(BV191:CJ191)*VLOOKUP(W191,Tables!$W$3:$Z$8,4)</f>
        <v>14.399999999999999</v>
      </c>
      <c r="R191" s="73">
        <f t="shared" si="112"/>
        <v>0.6</v>
      </c>
      <c r="S191" s="74">
        <f t="shared" si="113"/>
        <v>0</v>
      </c>
      <c r="T191" s="74">
        <f t="shared" si="114"/>
        <v>0</v>
      </c>
      <c r="U191" s="75">
        <f t="shared" si="115"/>
        <v>4.8</v>
      </c>
      <c r="V191" s="76">
        <f t="shared" si="116"/>
        <v>10.799999999999999</v>
      </c>
      <c r="W191" s="77">
        <v>0</v>
      </c>
      <c r="X191" s="78">
        <f t="shared" si="117"/>
        <v>0</v>
      </c>
      <c r="Y191" s="79">
        <f t="shared" si="118"/>
        <v>0</v>
      </c>
      <c r="Z191" s="79">
        <f t="shared" si="119"/>
        <v>0</v>
      </c>
      <c r="AA191" s="78">
        <f t="shared" si="120"/>
        <v>0</v>
      </c>
      <c r="AB191" s="79">
        <f t="shared" si="121"/>
        <v>0</v>
      </c>
      <c r="AC191" s="79">
        <f t="shared" si="122"/>
        <v>0</v>
      </c>
      <c r="AD191" s="79">
        <f t="shared" si="123"/>
        <v>0</v>
      </c>
      <c r="AE191" s="79">
        <f t="shared" si="124"/>
        <v>0</v>
      </c>
      <c r="AF191" s="78">
        <f t="shared" si="125"/>
        <v>1</v>
      </c>
      <c r="AG191" s="79">
        <f t="shared" si="126"/>
        <v>1</v>
      </c>
      <c r="AH191" s="79">
        <f t="shared" si="127"/>
        <v>0</v>
      </c>
      <c r="AI191" s="78">
        <f t="shared" si="128"/>
        <v>0</v>
      </c>
      <c r="AJ191" s="79">
        <f t="shared" si="129"/>
        <v>0</v>
      </c>
      <c r="AK191" s="79">
        <f t="shared" si="130"/>
        <v>0</v>
      </c>
      <c r="AL191" s="80">
        <f t="shared" si="131"/>
        <v>0</v>
      </c>
      <c r="AM191" s="81">
        <f t="shared" si="132"/>
        <v>0.24</v>
      </c>
      <c r="AN191" s="82" t="str">
        <f t="shared" si="133"/>
        <v/>
      </c>
      <c r="AO191" s="79" t="str">
        <f t="shared" si="134"/>
        <v/>
      </c>
      <c r="AP191" t="str">
        <f t="shared" si="135"/>
        <v/>
      </c>
      <c r="AQ191" s="82" t="str">
        <f t="shared" si="136"/>
        <v/>
      </c>
      <c r="AR191" t="str">
        <f t="shared" si="137"/>
        <v/>
      </c>
      <c r="AS191" t="str">
        <f t="shared" si="138"/>
        <v/>
      </c>
      <c r="AT191" t="str">
        <f t="shared" si="139"/>
        <v/>
      </c>
      <c r="AU191" t="str">
        <f t="shared" si="140"/>
        <v/>
      </c>
      <c r="AV191" s="82" t="str">
        <f t="shared" si="141"/>
        <v>X</v>
      </c>
      <c r="AW191" t="str">
        <f t="shared" si="142"/>
        <v>X</v>
      </c>
      <c r="AX191" t="str">
        <f t="shared" si="143"/>
        <v/>
      </c>
      <c r="AY191" s="82" t="str">
        <f t="shared" si="144"/>
        <v/>
      </c>
      <c r="AZ191" t="str">
        <f t="shared" si="145"/>
        <v/>
      </c>
      <c r="BA191" t="str">
        <f t="shared" si="146"/>
        <v/>
      </c>
      <c r="BB191" s="83" t="str">
        <f t="shared" si="147"/>
        <v/>
      </c>
      <c r="BC191" s="84">
        <f t="shared" si="148"/>
        <v>0</v>
      </c>
      <c r="BD191" s="84">
        <f t="shared" si="149"/>
        <v>0</v>
      </c>
      <c r="BE191" s="84">
        <f t="shared" si="150"/>
        <v>0.70588235294117652</v>
      </c>
      <c r="BF191" s="84">
        <f t="shared" si="151"/>
        <v>0</v>
      </c>
      <c r="BG191" s="78">
        <f>IF(AN191="",0,VLOOKUP(AN191,Tables!$AB$3:$AC$12,2))</f>
        <v>0</v>
      </c>
      <c r="BH191" s="79">
        <f>IF(AO191="",0,VLOOKUP(AO191,Tables!$AB$3:$AC$12,2))</f>
        <v>0</v>
      </c>
      <c r="BI191" s="79">
        <f>IF(AP191="",0,VLOOKUP(AP191,Tables!$AB$3:$AC$12,2))</f>
        <v>0</v>
      </c>
      <c r="BJ191" s="78">
        <f>IF(AQ191="",0,VLOOKUP(AQ191,Tables!$AB$3:$AC$12,2))</f>
        <v>0</v>
      </c>
      <c r="BK191" s="79">
        <f>IF(AR191="",0,VLOOKUP(AR191,Tables!$AB$3:$AC$12,2))</f>
        <v>0</v>
      </c>
      <c r="BL191" s="79">
        <f>IF(AS191="",0,VLOOKUP(AS191,Tables!$AB$3:$AC$12,2))</f>
        <v>0</v>
      </c>
      <c r="BM191" s="79">
        <f>IF(AT191="",0,VLOOKUP(AT191,Tables!$AB$3:$AC$12,2))</f>
        <v>0</v>
      </c>
      <c r="BN191" s="79">
        <f>IF(AU191="",0,VLOOKUP(AU191,Tables!$AB$3:$AC$12,2))</f>
        <v>0</v>
      </c>
      <c r="BO191" s="78">
        <f>IF(AV191="",0,VLOOKUP(AV191,Tables!$AB$3:$AC$12,2))</f>
        <v>1</v>
      </c>
      <c r="BP191" s="79">
        <f>IF(AW191="",0,VLOOKUP(AW191,Tables!$AB$3:$AC$12,2))</f>
        <v>1</v>
      </c>
      <c r="BQ191" s="79">
        <f>IF(AX191="",0,VLOOKUP(AX191,Tables!$AB$3:$AC$12,2))</f>
        <v>0</v>
      </c>
      <c r="BR191" s="78">
        <f>IF(AY191="",0,VLOOKUP(AY191,Tables!$AB$3:$AC$12,2))</f>
        <v>0</v>
      </c>
      <c r="BS191" s="79">
        <f>IF(AZ191="",0,VLOOKUP(AZ191,Tables!$AB$3:$AC$12,2))</f>
        <v>0</v>
      </c>
      <c r="BT191" s="79">
        <f>IF(BA191="",0,VLOOKUP(BA191,Tables!$AB$3:$AC$12,2))</f>
        <v>0</v>
      </c>
      <c r="BU191" s="80">
        <f>IF(BB191="",0,VLOOKUP(BB191,Tables!$AB$3:$AC$12,2))</f>
        <v>0</v>
      </c>
      <c r="BV191" s="85">
        <f>IF(AN191="",0,VLOOKUP(B191,Tables!$B$3:$D$36,2,FALSE())*X$1)</f>
        <v>0</v>
      </c>
      <c r="BW191" s="72">
        <f>IF(AO191="",0,VLOOKUP(C191,Tables!$B$3:$D$36,2,FALSE())*Y$1)</f>
        <v>0</v>
      </c>
      <c r="BX191" s="72">
        <f>IF(AP191="",0,VLOOKUP(D191,Tables!$B$3:$D$36,2,FALSE())*Z$1)</f>
        <v>0</v>
      </c>
      <c r="BY191" s="85">
        <f>IF(AQ191="",0,VLOOKUP(E191,Tables!$B$3:$D$36,2,FALSE())*AA$1)</f>
        <v>0</v>
      </c>
      <c r="BZ191" s="72">
        <f>IF(AR191="",0,VLOOKUP(F191,Tables!$B$3:$D$36,2,FALSE())*AB$1)</f>
        <v>0</v>
      </c>
      <c r="CA191" s="72">
        <f>IF(AS191="",0,VLOOKUP(G191,Tables!$B$3:$D$36,2,FALSE())*AC$1)</f>
        <v>0</v>
      </c>
      <c r="CB191" s="72">
        <f>IF(AT191="",0,VLOOKUP(H191,Tables!$B$3:$D$36,2,FALSE())*AD$1)</f>
        <v>0</v>
      </c>
      <c r="CC191" s="72">
        <f>IF(AU191="",0,VLOOKUP(I191,Tables!$B$3:$D$36,2,FALSE())*AE$1)</f>
        <v>0</v>
      </c>
      <c r="CD191" s="85">
        <f>IF(AV191="",0,VLOOKUP(J191,Tables!$B$3:$D$36,2,FALSE())*AF$1)</f>
        <v>7.1999999999999993</v>
      </c>
      <c r="CE191" s="72">
        <f>IF(AW191="",0,VLOOKUP(K191,Tables!$B$3:$D$36,2,FALSE())*AG$1)</f>
        <v>7.1999999999999993</v>
      </c>
      <c r="CF191" s="72">
        <f>IF(AX191="",0,VLOOKUP(L191,Tables!$B$3:$D$36,2,FALSE())*AH$1)</f>
        <v>0</v>
      </c>
      <c r="CG191" s="85">
        <f>IF(AY191="",0,VLOOKUP(M191,Tables!$B$3:$D$36,2,FALSE())*AI$1)</f>
        <v>0</v>
      </c>
      <c r="CH191" s="72">
        <f>IF(AZ191="",0,VLOOKUP(N191,Tables!$B$3:$D$36,2,FALSE())*AJ$1)</f>
        <v>0</v>
      </c>
      <c r="CI191" s="72">
        <f>IF(BA191="",0,VLOOKUP(O191,Tables!$B$3:$D$36,2,FALSE())*AK$1)</f>
        <v>0</v>
      </c>
      <c r="CJ191" s="86">
        <f>IF(BB191="",0,VLOOKUP(P191,Tables!$B$3:$D$36,2,FALSE())*AL$1)</f>
        <v>0</v>
      </c>
      <c r="CK191" s="87">
        <f>IF(AN191="",0,VLOOKUP(B191,Tables!$B$3:$D$36,3,FALSE())*X$1)*IF(OR(AN191="K",AN191="P"),2,1)</f>
        <v>0</v>
      </c>
      <c r="CL191" s="73">
        <f>IF(AO191="",0,VLOOKUP(C191,Tables!$B$3:$D$36,3,FALSE())*Y$1)*IF(OR(AO191="K",AO191="P"),2,1)</f>
        <v>0</v>
      </c>
      <c r="CM191" s="73">
        <f>IF(AP191="",0,VLOOKUP(D191,Tables!$B$3:$D$36,3,FALSE())*Z$1)*IF(OR(AP191="K",AP191="P"),2,1)</f>
        <v>0</v>
      </c>
      <c r="CN191" s="87">
        <f>IF(AQ191="",0,VLOOKUP(E191,Tables!$B$3:$D$36,3,FALSE())*AA$1)</f>
        <v>0</v>
      </c>
      <c r="CO191" s="73">
        <f>IF(AR191="",0,VLOOKUP(F191,Tables!$B$3:$D$36,3,FALSE())*AB$1)</f>
        <v>0</v>
      </c>
      <c r="CP191" s="73">
        <f>IF(AS191="",0,VLOOKUP(G191,Tables!$B$3:$D$36,3,FALSE())*AC$1)</f>
        <v>0</v>
      </c>
      <c r="CQ191" s="73">
        <f>IF(AT191="",0,VLOOKUP(H191,Tables!$B$3:$D$36,3,FALSE())*AD$1)</f>
        <v>0</v>
      </c>
      <c r="CR191" s="73">
        <f>IF(AU191="",0,VLOOKUP(I191,Tables!$B$3:$D$36,3,FALSE())*AE$1)</f>
        <v>0</v>
      </c>
      <c r="CS191" s="87">
        <f>IF(AV191="",0,VLOOKUP(J191,Tables!$B$3:$D$36,3,FALSE())*AF$1)</f>
        <v>0.3</v>
      </c>
      <c r="CT191" s="73">
        <f>IF(AW191="",0,VLOOKUP(K191,Tables!$B$3:$D$36,3,FALSE())*AG$1)</f>
        <v>0.3</v>
      </c>
      <c r="CU191" s="73">
        <f>IF(AX191="",0,VLOOKUP(L191,Tables!$B$3:$D$36,3,FALSE())*AH$1)</f>
        <v>0</v>
      </c>
      <c r="CV191" s="87">
        <f>IF(AY191="",0,VLOOKUP(M191,Tables!$B$3:$D$36,3,FALSE())*AI$1)</f>
        <v>0</v>
      </c>
      <c r="CW191" s="73">
        <f>IF(AZ191="",0,VLOOKUP(N191,Tables!$B$3:$D$36,3,FALSE())*AJ$1)</f>
        <v>0</v>
      </c>
      <c r="CX191" s="73">
        <f>IF(BA191="",0,VLOOKUP(O191,Tables!$B$3:$D$36,3,FALSE())*AK$1)</f>
        <v>0</v>
      </c>
      <c r="CY191" s="88">
        <f>IF(BB191="",0,VLOOKUP(P191,Tables!$B$3:$D$36,3,FALSE())*AL$1)</f>
        <v>0</v>
      </c>
      <c r="CZ191" s="89">
        <f t="shared" si="152"/>
        <v>0</v>
      </c>
      <c r="DA191" s="75">
        <f t="shared" si="153"/>
        <v>0</v>
      </c>
      <c r="DB191" s="75">
        <f t="shared" si="154"/>
        <v>0</v>
      </c>
      <c r="DC191" s="89">
        <f t="shared" si="155"/>
        <v>0</v>
      </c>
      <c r="DD191" s="75">
        <f t="shared" si="156"/>
        <v>0</v>
      </c>
      <c r="DE191" s="75">
        <f t="shared" si="157"/>
        <v>0</v>
      </c>
      <c r="DF191" s="75">
        <f t="shared" si="158"/>
        <v>0</v>
      </c>
      <c r="DG191" s="75">
        <f t="shared" si="159"/>
        <v>0</v>
      </c>
      <c r="DH191" s="89">
        <f t="shared" si="160"/>
        <v>1</v>
      </c>
      <c r="DI191" s="75">
        <f t="shared" si="161"/>
        <v>1</v>
      </c>
      <c r="DJ191" s="75">
        <f t="shared" si="162"/>
        <v>0</v>
      </c>
      <c r="DK191" s="89">
        <f t="shared" si="163"/>
        <v>0</v>
      </c>
      <c r="DL191" s="75">
        <f t="shared" si="164"/>
        <v>0</v>
      </c>
      <c r="DM191" s="75">
        <f t="shared" si="165"/>
        <v>0</v>
      </c>
      <c r="DN191" s="90">
        <f t="shared" si="166"/>
        <v>0</v>
      </c>
      <c r="DO191" s="91">
        <f>IF(AN191="",0,VLOOKUP(B191,Tables!$B$3:$M$36,11,FALSE())*X$1)</f>
        <v>0</v>
      </c>
      <c r="DP191" s="92">
        <f>IF(AO191="",0,VLOOKUP(C191,Tables!$B$3:$M$36,11,FALSE())*Y$1)</f>
        <v>0</v>
      </c>
      <c r="DQ191" s="92">
        <f>IF(AP191="",0,VLOOKUP(D191,Tables!$B$3:$M$36,11,FALSE())*Z$1)</f>
        <v>0</v>
      </c>
      <c r="DR191" s="91">
        <f>IF(AQ191="",0,VLOOKUP(E191,Tables!$B$3:$M$36,11,FALSE())*AA$1)</f>
        <v>0</v>
      </c>
      <c r="DS191" s="92">
        <f>IF(AR191="",0,VLOOKUP(F191,Tables!$B$3:$M$36,11,FALSE())*AB$1)</f>
        <v>0</v>
      </c>
      <c r="DT191" s="92">
        <f>IF(AS191="",0,VLOOKUP(G191,Tables!$B$3:$M$36,11,FALSE())*AC$1)</f>
        <v>0</v>
      </c>
      <c r="DU191" s="92">
        <f>IF(AT191="",0,VLOOKUP(H191,Tables!$B$3:$M$36,11,FALSE())*AD$1)</f>
        <v>0</v>
      </c>
      <c r="DV191" s="92">
        <f>IF(AU191="",0,VLOOKUP(I191,Tables!$B$3:$M$36,11,FALSE())*AE$1)</f>
        <v>0</v>
      </c>
      <c r="DW191" s="91">
        <f>IF(AV191="",0,VLOOKUP(J191,Tables!$B$3:$M$36,11,FALSE())*AF$1)</f>
        <v>2.4</v>
      </c>
      <c r="DX191" s="92">
        <f>IF(AW191="",0,VLOOKUP(K191,Tables!$B$3:$M$36,11,FALSE())*AG$1)</f>
        <v>2.4</v>
      </c>
      <c r="DY191" s="92">
        <f>IF(AX191="",0,VLOOKUP(L191,Tables!$B$3:$M$36,11,FALSE())*AH$1)</f>
        <v>0</v>
      </c>
      <c r="DZ191" s="91">
        <f>IF(AY191="",0,VLOOKUP(M191,Tables!$B$3:$M$36,11,FALSE())*AI$1)</f>
        <v>0</v>
      </c>
      <c r="EA191" s="92">
        <f>IF(AZ191="",0,VLOOKUP(N191,Tables!$B$3:$M$36,11,FALSE())*AJ$1)</f>
        <v>0</v>
      </c>
      <c r="EB191" s="92">
        <f>IF(BA191="",0,VLOOKUP(O191,Tables!$B$3:$M$36,11,FALSE())*AK$1)</f>
        <v>0</v>
      </c>
      <c r="EC191" s="93">
        <f>IF(BB191="",0,VLOOKUP(P191,Tables!$B$3:$M$36,11,FALSE())*AL$1)</f>
        <v>0</v>
      </c>
      <c r="ED191" s="91">
        <f>IF(AN191="",0,VLOOKUP(B191,Tables!$B$3:$M$36,12,FALSE())*X$1)</f>
        <v>0</v>
      </c>
      <c r="EE191" s="92">
        <f>IF(AO191="",0,VLOOKUP(C191,Tables!$B$3:$M$36,12,FALSE())*Y$1)</f>
        <v>0</v>
      </c>
      <c r="EF191" s="92">
        <f>IF(AP191="",0,VLOOKUP(D191,Tables!$B$3:$M$36,12,FALSE())*Z$1)</f>
        <v>0</v>
      </c>
      <c r="EG191" s="91">
        <f>IF(AQ191="",0,VLOOKUP(E191,Tables!$B$3:$M$36,12,FALSE())*AA$1)</f>
        <v>0</v>
      </c>
      <c r="EH191" s="92">
        <f>IF(AR191="",0,VLOOKUP(F191,Tables!$B$3:$M$36,12,FALSE())*AB$1)</f>
        <v>0</v>
      </c>
      <c r="EI191" s="92">
        <f>IF(AS191="",0,VLOOKUP(G191,Tables!$B$3:$M$36,12,FALSE())*AC$1)</f>
        <v>0</v>
      </c>
      <c r="EJ191" s="92">
        <f>IF(AT191="",0,VLOOKUP(H191,Tables!$B$3:$M$36,12,FALSE())*AD$1)</f>
        <v>0</v>
      </c>
      <c r="EK191" s="92">
        <f>IF(AU191="",0,VLOOKUP(I191,Tables!$B$3:$M$36,12,FALSE())*AE$1)</f>
        <v>0</v>
      </c>
      <c r="EL191" s="91">
        <f>IF(AV191="",0,VLOOKUP(J191,Tables!$B$3:$M$36,12,FALSE())*AF$1)</f>
        <v>5.3999999999999995</v>
      </c>
      <c r="EM191" s="92">
        <f>IF(AW191="",0,VLOOKUP(K191,Tables!$B$3:$M$36,12,FALSE())*AG$1)</f>
        <v>5.3999999999999995</v>
      </c>
      <c r="EN191" s="92">
        <f>IF(AX191="",0,VLOOKUP(L191,Tables!$B$3:$M$36,12,FALSE())*AH$1)</f>
        <v>0</v>
      </c>
      <c r="EO191" s="91">
        <f>IF(AY191="",0,VLOOKUP(M191,Tables!$B$3:$M$36,12,FALSE())*AI$1)</f>
        <v>0</v>
      </c>
      <c r="EP191" s="92">
        <f>IF(AZ191="",0,VLOOKUP(N191,Tables!$B$3:$M$36,12,FALSE())*AJ$1)</f>
        <v>0</v>
      </c>
      <c r="EQ191" s="92">
        <f>IF(BA191="",0,VLOOKUP(O191,Tables!$B$3:$M$36,12,FALSE())*AK$1)</f>
        <v>0</v>
      </c>
      <c r="ER191" s="93">
        <f>IF(BB191="",0,VLOOKUP(P191,Tables!$B$3:$M$36,12,FALSE())*AL$1)</f>
        <v>0</v>
      </c>
      <c r="ES191" s="94">
        <f t="shared" si="167"/>
        <v>0</v>
      </c>
      <c r="ET191" s="95">
        <f>IF(AN191="",10,MIN(VLOOKUP(B191,MATERIAL,13,FALSE()),'Item Builder'!$W191))</f>
        <v>10</v>
      </c>
      <c r="EU191" s="95">
        <f>IF(AO191="",10,MIN(VLOOKUP(C191,MATERIAL,13,FALSE()),'Item Builder'!$W191))</f>
        <v>10</v>
      </c>
      <c r="EV191" s="95">
        <f>IF(AP191="",10,MIN(VLOOKUP(D191,MATERIAL,13,FALSE()),'Item Builder'!$W191))</f>
        <v>10</v>
      </c>
      <c r="EW191" s="95">
        <f>IF(AQ191="",10,MIN(VLOOKUP(E191,MATERIAL,13,FALSE()),'Item Builder'!$W191))</f>
        <v>10</v>
      </c>
      <c r="EX191" s="95">
        <f>IF(AR191="",10,MIN(VLOOKUP(F191,MATERIAL,13,FALSE()),'Item Builder'!$W191))</f>
        <v>10</v>
      </c>
      <c r="EY191" s="95">
        <f>IF(AS191="",10,MIN(VLOOKUP(G191,MATERIAL,13,FALSE()),'Item Builder'!$W191))</f>
        <v>10</v>
      </c>
      <c r="EZ191" s="95">
        <f>IF(AT191="",10,MIN(VLOOKUP(H191,MATERIAL,13,FALSE()),'Item Builder'!$W191))</f>
        <v>10</v>
      </c>
      <c r="FA191" s="95">
        <f>IF(AU191="",10,MIN(VLOOKUP(I191,MATERIAL,13,FALSE()),'Item Builder'!$W191))</f>
        <v>10</v>
      </c>
      <c r="FB191" s="95">
        <f>IF(AV191="",10,MIN(VLOOKUP(J191,MATERIAL,13,FALSE()),'Item Builder'!$W191))</f>
        <v>0</v>
      </c>
      <c r="FC191" s="95">
        <f>IF(AW191="",10,MIN(VLOOKUP(K191,MATERIAL,13,FALSE()),'Item Builder'!$W191))</f>
        <v>0</v>
      </c>
      <c r="FD191" s="95">
        <f>IF(AX191="",10,MIN(VLOOKUP(L191,MATERIAL,13,FALSE()),'Item Builder'!$W191))</f>
        <v>10</v>
      </c>
      <c r="FE191" s="95">
        <f>IF(AY191="",10,MIN(VLOOKUP(M191,MATERIAL,13,FALSE()),'Item Builder'!$W191))</f>
        <v>10</v>
      </c>
      <c r="FF191" s="95">
        <f>IF(AZ191="",10,MIN(VLOOKUP(N191,MATERIAL,13,FALSE()),'Item Builder'!$W191))</f>
        <v>10</v>
      </c>
      <c r="FG191" s="95">
        <f>IF(BA191="",10,MIN(VLOOKUP(O191,MATERIAL,13,FALSE()),'Item Builder'!$W191))</f>
        <v>10</v>
      </c>
      <c r="FH191" s="95">
        <f>IF(BB191="",10,MIN(VLOOKUP(P191,MATERIAL,13,FALSE()),'Item Builder'!$W191))</f>
        <v>10</v>
      </c>
    </row>
    <row r="192" spans="1:164" x14ac:dyDescent="0.25">
      <c r="A192" s="67" t="s">
        <v>332</v>
      </c>
      <c r="B192" s="68"/>
      <c r="C192" s="69"/>
      <c r="D192" s="70"/>
      <c r="E192" s="68" t="s">
        <v>146</v>
      </c>
      <c r="F192" s="69" t="s">
        <v>146</v>
      </c>
      <c r="G192" s="69"/>
      <c r="H192" s="69"/>
      <c r="I192" s="70"/>
      <c r="J192" s="68" t="s">
        <v>146</v>
      </c>
      <c r="K192" s="69" t="s">
        <v>146</v>
      </c>
      <c r="L192" s="70"/>
      <c r="M192" s="68"/>
      <c r="N192" s="69"/>
      <c r="O192" s="69"/>
      <c r="P192" s="71"/>
      <c r="Q192" s="72">
        <f>SUM(BV192:CJ192)*VLOOKUP(W192,Tables!$W$3:$Z$8,4)</f>
        <v>19.799999999999997</v>
      </c>
      <c r="R192" s="73">
        <f t="shared" si="112"/>
        <v>0.82499999999999996</v>
      </c>
      <c r="S192" s="74">
        <f t="shared" si="113"/>
        <v>0</v>
      </c>
      <c r="T192" s="74">
        <f t="shared" si="114"/>
        <v>0</v>
      </c>
      <c r="U192" s="75">
        <f t="shared" si="115"/>
        <v>6.6</v>
      </c>
      <c r="V192" s="76">
        <f t="shared" si="116"/>
        <v>14.849999999999998</v>
      </c>
      <c r="W192" s="77">
        <v>0</v>
      </c>
      <c r="X192" s="78">
        <f t="shared" si="117"/>
        <v>0</v>
      </c>
      <c r="Y192" s="79">
        <f t="shared" si="118"/>
        <v>0</v>
      </c>
      <c r="Z192" s="79">
        <f t="shared" si="119"/>
        <v>0</v>
      </c>
      <c r="AA192" s="78">
        <f t="shared" si="120"/>
        <v>1</v>
      </c>
      <c r="AB192" s="79">
        <f t="shared" si="121"/>
        <v>1</v>
      </c>
      <c r="AC192" s="79">
        <f t="shared" si="122"/>
        <v>0</v>
      </c>
      <c r="AD192" s="79">
        <f t="shared" si="123"/>
        <v>0</v>
      </c>
      <c r="AE192" s="79">
        <f t="shared" si="124"/>
        <v>0</v>
      </c>
      <c r="AF192" s="78">
        <f t="shared" si="125"/>
        <v>1</v>
      </c>
      <c r="AG192" s="79">
        <f t="shared" si="126"/>
        <v>1</v>
      </c>
      <c r="AH192" s="79">
        <f t="shared" si="127"/>
        <v>0</v>
      </c>
      <c r="AI192" s="78">
        <f t="shared" si="128"/>
        <v>0</v>
      </c>
      <c r="AJ192" s="79">
        <f t="shared" si="129"/>
        <v>0</v>
      </c>
      <c r="AK192" s="79">
        <f t="shared" si="130"/>
        <v>0</v>
      </c>
      <c r="AL192" s="80">
        <f t="shared" si="131"/>
        <v>0</v>
      </c>
      <c r="AM192" s="81">
        <f t="shared" si="132"/>
        <v>0.32999999999999996</v>
      </c>
      <c r="AN192" s="82" t="str">
        <f t="shared" si="133"/>
        <v/>
      </c>
      <c r="AO192" s="79" t="str">
        <f t="shared" si="134"/>
        <v/>
      </c>
      <c r="AP192" t="str">
        <f t="shared" si="135"/>
        <v/>
      </c>
      <c r="AQ192" s="82" t="str">
        <f t="shared" si="136"/>
        <v>X</v>
      </c>
      <c r="AR192" t="str">
        <f t="shared" si="137"/>
        <v>X</v>
      </c>
      <c r="AS192" t="str">
        <f t="shared" si="138"/>
        <v/>
      </c>
      <c r="AT192" t="str">
        <f t="shared" si="139"/>
        <v/>
      </c>
      <c r="AU192" t="str">
        <f t="shared" si="140"/>
        <v/>
      </c>
      <c r="AV192" s="82" t="str">
        <f t="shared" si="141"/>
        <v>X</v>
      </c>
      <c r="AW192" t="str">
        <f t="shared" si="142"/>
        <v>X</v>
      </c>
      <c r="AX192" t="str">
        <f t="shared" si="143"/>
        <v/>
      </c>
      <c r="AY192" s="82" t="str">
        <f t="shared" si="144"/>
        <v/>
      </c>
      <c r="AZ192" t="str">
        <f t="shared" si="145"/>
        <v/>
      </c>
      <c r="BA192" t="str">
        <f t="shared" si="146"/>
        <v/>
      </c>
      <c r="BB192" s="83" t="str">
        <f t="shared" si="147"/>
        <v/>
      </c>
      <c r="BC192" s="84">
        <f t="shared" si="148"/>
        <v>0</v>
      </c>
      <c r="BD192" s="84">
        <f t="shared" si="149"/>
        <v>0.42857142857142849</v>
      </c>
      <c r="BE192" s="84">
        <f t="shared" si="150"/>
        <v>0.70588235294117652</v>
      </c>
      <c r="BF192" s="84">
        <f t="shared" si="151"/>
        <v>0</v>
      </c>
      <c r="BG192" s="78">
        <f>IF(AN192="",0,VLOOKUP(AN192,Tables!$AB$3:$AC$12,2))</f>
        <v>0</v>
      </c>
      <c r="BH192" s="79">
        <f>IF(AO192="",0,VLOOKUP(AO192,Tables!$AB$3:$AC$12,2))</f>
        <v>0</v>
      </c>
      <c r="BI192" s="79">
        <f>IF(AP192="",0,VLOOKUP(AP192,Tables!$AB$3:$AC$12,2))</f>
        <v>0</v>
      </c>
      <c r="BJ192" s="78">
        <f>IF(AQ192="",0,VLOOKUP(AQ192,Tables!$AB$3:$AC$12,2))</f>
        <v>1</v>
      </c>
      <c r="BK192" s="79">
        <f>IF(AR192="",0,VLOOKUP(AR192,Tables!$AB$3:$AC$12,2))</f>
        <v>1</v>
      </c>
      <c r="BL192" s="79">
        <f>IF(AS192="",0,VLOOKUP(AS192,Tables!$AB$3:$AC$12,2))</f>
        <v>0</v>
      </c>
      <c r="BM192" s="79">
        <f>IF(AT192="",0,VLOOKUP(AT192,Tables!$AB$3:$AC$12,2))</f>
        <v>0</v>
      </c>
      <c r="BN192" s="79">
        <f>IF(AU192="",0,VLOOKUP(AU192,Tables!$AB$3:$AC$12,2))</f>
        <v>0</v>
      </c>
      <c r="BO192" s="78">
        <f>IF(AV192="",0,VLOOKUP(AV192,Tables!$AB$3:$AC$12,2))</f>
        <v>1</v>
      </c>
      <c r="BP192" s="79">
        <f>IF(AW192="",0,VLOOKUP(AW192,Tables!$AB$3:$AC$12,2))</f>
        <v>1</v>
      </c>
      <c r="BQ192" s="79">
        <f>IF(AX192="",0,VLOOKUP(AX192,Tables!$AB$3:$AC$12,2))</f>
        <v>0</v>
      </c>
      <c r="BR192" s="78">
        <f>IF(AY192="",0,VLOOKUP(AY192,Tables!$AB$3:$AC$12,2))</f>
        <v>0</v>
      </c>
      <c r="BS192" s="79">
        <f>IF(AZ192="",0,VLOOKUP(AZ192,Tables!$AB$3:$AC$12,2))</f>
        <v>0</v>
      </c>
      <c r="BT192" s="79">
        <f>IF(BA192="",0,VLOOKUP(BA192,Tables!$AB$3:$AC$12,2))</f>
        <v>0</v>
      </c>
      <c r="BU192" s="80">
        <f>IF(BB192="",0,VLOOKUP(BB192,Tables!$AB$3:$AC$12,2))</f>
        <v>0</v>
      </c>
      <c r="BV192" s="85">
        <f>IF(AN192="",0,VLOOKUP(B192,Tables!$B$3:$D$36,2,FALSE())*X$1)</f>
        <v>0</v>
      </c>
      <c r="BW192" s="72">
        <f>IF(AO192="",0,VLOOKUP(C192,Tables!$B$3:$D$36,2,FALSE())*Y$1)</f>
        <v>0</v>
      </c>
      <c r="BX192" s="72">
        <f>IF(AP192="",0,VLOOKUP(D192,Tables!$B$3:$D$36,2,FALSE())*Z$1)</f>
        <v>0</v>
      </c>
      <c r="BY192" s="85">
        <f>IF(AQ192="",0,VLOOKUP(E192,Tables!$B$3:$D$36,2,FALSE())*AA$1)</f>
        <v>1.7999999999999998</v>
      </c>
      <c r="BZ192" s="72">
        <f>IF(AR192="",0,VLOOKUP(F192,Tables!$B$3:$D$36,2,FALSE())*AB$1)</f>
        <v>3.5999999999999996</v>
      </c>
      <c r="CA192" s="72">
        <f>IF(AS192="",0,VLOOKUP(G192,Tables!$B$3:$D$36,2,FALSE())*AC$1)</f>
        <v>0</v>
      </c>
      <c r="CB192" s="72">
        <f>IF(AT192="",0,VLOOKUP(H192,Tables!$B$3:$D$36,2,FALSE())*AD$1)</f>
        <v>0</v>
      </c>
      <c r="CC192" s="72">
        <f>IF(AU192="",0,VLOOKUP(I192,Tables!$B$3:$D$36,2,FALSE())*AE$1)</f>
        <v>0</v>
      </c>
      <c r="CD192" s="85">
        <f>IF(AV192="",0,VLOOKUP(J192,Tables!$B$3:$D$36,2,FALSE())*AF$1)</f>
        <v>7.1999999999999993</v>
      </c>
      <c r="CE192" s="72">
        <f>IF(AW192="",0,VLOOKUP(K192,Tables!$B$3:$D$36,2,FALSE())*AG$1)</f>
        <v>7.1999999999999993</v>
      </c>
      <c r="CF192" s="72">
        <f>IF(AX192="",0,VLOOKUP(L192,Tables!$B$3:$D$36,2,FALSE())*AH$1)</f>
        <v>0</v>
      </c>
      <c r="CG192" s="85">
        <f>IF(AY192="",0,VLOOKUP(M192,Tables!$B$3:$D$36,2,FALSE())*AI$1)</f>
        <v>0</v>
      </c>
      <c r="CH192" s="72">
        <f>IF(AZ192="",0,VLOOKUP(N192,Tables!$B$3:$D$36,2,FALSE())*AJ$1)</f>
        <v>0</v>
      </c>
      <c r="CI192" s="72">
        <f>IF(BA192="",0,VLOOKUP(O192,Tables!$B$3:$D$36,2,FALSE())*AK$1)</f>
        <v>0</v>
      </c>
      <c r="CJ192" s="86">
        <f>IF(BB192="",0,VLOOKUP(P192,Tables!$B$3:$D$36,2,FALSE())*AL$1)</f>
        <v>0</v>
      </c>
      <c r="CK192" s="87">
        <f>IF(AN192="",0,VLOOKUP(B192,Tables!$B$3:$D$36,3,FALSE())*X$1)*IF(OR(AN192="K",AN192="P"),2,1)</f>
        <v>0</v>
      </c>
      <c r="CL192" s="73">
        <f>IF(AO192="",0,VLOOKUP(C192,Tables!$B$3:$D$36,3,FALSE())*Y$1)*IF(OR(AO192="K",AO192="P"),2,1)</f>
        <v>0</v>
      </c>
      <c r="CM192" s="73">
        <f>IF(AP192="",0,VLOOKUP(D192,Tables!$B$3:$D$36,3,FALSE())*Z$1)*IF(OR(AP192="K",AP192="P"),2,1)</f>
        <v>0</v>
      </c>
      <c r="CN192" s="87">
        <f>IF(AQ192="",0,VLOOKUP(E192,Tables!$B$3:$D$36,3,FALSE())*AA$1)</f>
        <v>7.4999999999999997E-2</v>
      </c>
      <c r="CO192" s="73">
        <f>IF(AR192="",0,VLOOKUP(F192,Tables!$B$3:$D$36,3,FALSE())*AB$1)</f>
        <v>0.15</v>
      </c>
      <c r="CP192" s="73">
        <f>IF(AS192="",0,VLOOKUP(G192,Tables!$B$3:$D$36,3,FALSE())*AC$1)</f>
        <v>0</v>
      </c>
      <c r="CQ192" s="73">
        <f>IF(AT192="",0,VLOOKUP(H192,Tables!$B$3:$D$36,3,FALSE())*AD$1)</f>
        <v>0</v>
      </c>
      <c r="CR192" s="73">
        <f>IF(AU192="",0,VLOOKUP(I192,Tables!$B$3:$D$36,3,FALSE())*AE$1)</f>
        <v>0</v>
      </c>
      <c r="CS192" s="87">
        <f>IF(AV192="",0,VLOOKUP(J192,Tables!$B$3:$D$36,3,FALSE())*AF$1)</f>
        <v>0.3</v>
      </c>
      <c r="CT192" s="73">
        <f>IF(AW192="",0,VLOOKUP(K192,Tables!$B$3:$D$36,3,FALSE())*AG$1)</f>
        <v>0.3</v>
      </c>
      <c r="CU192" s="73">
        <f>IF(AX192="",0,VLOOKUP(L192,Tables!$B$3:$D$36,3,FALSE())*AH$1)</f>
        <v>0</v>
      </c>
      <c r="CV192" s="87">
        <f>IF(AY192="",0,VLOOKUP(M192,Tables!$B$3:$D$36,3,FALSE())*AI$1)</f>
        <v>0</v>
      </c>
      <c r="CW192" s="73">
        <f>IF(AZ192="",0,VLOOKUP(N192,Tables!$B$3:$D$36,3,FALSE())*AJ$1)</f>
        <v>0</v>
      </c>
      <c r="CX192" s="73">
        <f>IF(BA192="",0,VLOOKUP(O192,Tables!$B$3:$D$36,3,FALSE())*AK$1)</f>
        <v>0</v>
      </c>
      <c r="CY192" s="88">
        <f>IF(BB192="",0,VLOOKUP(P192,Tables!$B$3:$D$36,3,FALSE())*AL$1)</f>
        <v>0</v>
      </c>
      <c r="CZ192" s="89">
        <f t="shared" si="152"/>
        <v>0</v>
      </c>
      <c r="DA192" s="75">
        <f t="shared" si="153"/>
        <v>0</v>
      </c>
      <c r="DB192" s="75">
        <f t="shared" si="154"/>
        <v>0</v>
      </c>
      <c r="DC192" s="89">
        <f t="shared" si="155"/>
        <v>1</v>
      </c>
      <c r="DD192" s="75">
        <f t="shared" si="156"/>
        <v>1</v>
      </c>
      <c r="DE192" s="75">
        <f t="shared" si="157"/>
        <v>0</v>
      </c>
      <c r="DF192" s="75">
        <f t="shared" si="158"/>
        <v>0</v>
      </c>
      <c r="DG192" s="75">
        <f t="shared" si="159"/>
        <v>0</v>
      </c>
      <c r="DH192" s="89">
        <f t="shared" si="160"/>
        <v>1</v>
      </c>
      <c r="DI192" s="75">
        <f t="shared" si="161"/>
        <v>1</v>
      </c>
      <c r="DJ192" s="75">
        <f t="shared" si="162"/>
        <v>0</v>
      </c>
      <c r="DK192" s="89">
        <f t="shared" si="163"/>
        <v>0</v>
      </c>
      <c r="DL192" s="75">
        <f t="shared" si="164"/>
        <v>0</v>
      </c>
      <c r="DM192" s="75">
        <f t="shared" si="165"/>
        <v>0</v>
      </c>
      <c r="DN192" s="90">
        <f t="shared" si="166"/>
        <v>0</v>
      </c>
      <c r="DO192" s="91">
        <f>IF(AN192="",0,VLOOKUP(B192,Tables!$B$3:$M$36,11,FALSE())*X$1)</f>
        <v>0</v>
      </c>
      <c r="DP192" s="92">
        <f>IF(AO192="",0,VLOOKUP(C192,Tables!$B$3:$M$36,11,FALSE())*Y$1)</f>
        <v>0</v>
      </c>
      <c r="DQ192" s="92">
        <f>IF(AP192="",0,VLOOKUP(D192,Tables!$B$3:$M$36,11,FALSE())*Z$1)</f>
        <v>0</v>
      </c>
      <c r="DR192" s="91">
        <f>IF(AQ192="",0,VLOOKUP(E192,Tables!$B$3:$M$36,11,FALSE())*AA$1)</f>
        <v>0.6</v>
      </c>
      <c r="DS192" s="92">
        <f>IF(AR192="",0,VLOOKUP(F192,Tables!$B$3:$M$36,11,FALSE())*AB$1)</f>
        <v>1.2</v>
      </c>
      <c r="DT192" s="92">
        <f>IF(AS192="",0,VLOOKUP(G192,Tables!$B$3:$M$36,11,FALSE())*AC$1)</f>
        <v>0</v>
      </c>
      <c r="DU192" s="92">
        <f>IF(AT192="",0,VLOOKUP(H192,Tables!$B$3:$M$36,11,FALSE())*AD$1)</f>
        <v>0</v>
      </c>
      <c r="DV192" s="92">
        <f>IF(AU192="",0,VLOOKUP(I192,Tables!$B$3:$M$36,11,FALSE())*AE$1)</f>
        <v>0</v>
      </c>
      <c r="DW192" s="91">
        <f>IF(AV192="",0,VLOOKUP(J192,Tables!$B$3:$M$36,11,FALSE())*AF$1)</f>
        <v>2.4</v>
      </c>
      <c r="DX192" s="92">
        <f>IF(AW192="",0,VLOOKUP(K192,Tables!$B$3:$M$36,11,FALSE())*AG$1)</f>
        <v>2.4</v>
      </c>
      <c r="DY192" s="92">
        <f>IF(AX192="",0,VLOOKUP(L192,Tables!$B$3:$M$36,11,FALSE())*AH$1)</f>
        <v>0</v>
      </c>
      <c r="DZ192" s="91">
        <f>IF(AY192="",0,VLOOKUP(M192,Tables!$B$3:$M$36,11,FALSE())*AI$1)</f>
        <v>0</v>
      </c>
      <c r="EA192" s="92">
        <f>IF(AZ192="",0,VLOOKUP(N192,Tables!$B$3:$M$36,11,FALSE())*AJ$1)</f>
        <v>0</v>
      </c>
      <c r="EB192" s="92">
        <f>IF(BA192="",0,VLOOKUP(O192,Tables!$B$3:$M$36,11,FALSE())*AK$1)</f>
        <v>0</v>
      </c>
      <c r="EC192" s="93">
        <f>IF(BB192="",0,VLOOKUP(P192,Tables!$B$3:$M$36,11,FALSE())*AL$1)</f>
        <v>0</v>
      </c>
      <c r="ED192" s="91">
        <f>IF(AN192="",0,VLOOKUP(B192,Tables!$B$3:$M$36,12,FALSE())*X$1)</f>
        <v>0</v>
      </c>
      <c r="EE192" s="92">
        <f>IF(AO192="",0,VLOOKUP(C192,Tables!$B$3:$M$36,12,FALSE())*Y$1)</f>
        <v>0</v>
      </c>
      <c r="EF192" s="92">
        <f>IF(AP192="",0,VLOOKUP(D192,Tables!$B$3:$M$36,12,FALSE())*Z$1)</f>
        <v>0</v>
      </c>
      <c r="EG192" s="91">
        <f>IF(AQ192="",0,VLOOKUP(E192,Tables!$B$3:$M$36,12,FALSE())*AA$1)</f>
        <v>1.3499999999999999</v>
      </c>
      <c r="EH192" s="92">
        <f>IF(AR192="",0,VLOOKUP(F192,Tables!$B$3:$M$36,12,FALSE())*AB$1)</f>
        <v>2.6999999999999997</v>
      </c>
      <c r="EI192" s="92">
        <f>IF(AS192="",0,VLOOKUP(G192,Tables!$B$3:$M$36,12,FALSE())*AC$1)</f>
        <v>0</v>
      </c>
      <c r="EJ192" s="92">
        <f>IF(AT192="",0,VLOOKUP(H192,Tables!$B$3:$M$36,12,FALSE())*AD$1)</f>
        <v>0</v>
      </c>
      <c r="EK192" s="92">
        <f>IF(AU192="",0,VLOOKUP(I192,Tables!$B$3:$M$36,12,FALSE())*AE$1)</f>
        <v>0</v>
      </c>
      <c r="EL192" s="91">
        <f>IF(AV192="",0,VLOOKUP(J192,Tables!$B$3:$M$36,12,FALSE())*AF$1)</f>
        <v>5.3999999999999995</v>
      </c>
      <c r="EM192" s="92">
        <f>IF(AW192="",0,VLOOKUP(K192,Tables!$B$3:$M$36,12,FALSE())*AG$1)</f>
        <v>5.3999999999999995</v>
      </c>
      <c r="EN192" s="92">
        <f>IF(AX192="",0,VLOOKUP(L192,Tables!$B$3:$M$36,12,FALSE())*AH$1)</f>
        <v>0</v>
      </c>
      <c r="EO192" s="91">
        <f>IF(AY192="",0,VLOOKUP(M192,Tables!$B$3:$M$36,12,FALSE())*AI$1)</f>
        <v>0</v>
      </c>
      <c r="EP192" s="92">
        <f>IF(AZ192="",0,VLOOKUP(N192,Tables!$B$3:$M$36,12,FALSE())*AJ$1)</f>
        <v>0</v>
      </c>
      <c r="EQ192" s="92">
        <f>IF(BA192="",0,VLOOKUP(O192,Tables!$B$3:$M$36,12,FALSE())*AK$1)</f>
        <v>0</v>
      </c>
      <c r="ER192" s="93">
        <f>IF(BB192="",0,VLOOKUP(P192,Tables!$B$3:$M$36,12,FALSE())*AL$1)</f>
        <v>0</v>
      </c>
      <c r="ES192" s="94">
        <f t="shared" si="167"/>
        <v>0</v>
      </c>
      <c r="ET192" s="95">
        <f>IF(AN192="",10,MIN(VLOOKUP(B192,MATERIAL,13,FALSE()),'Item Builder'!$W192))</f>
        <v>10</v>
      </c>
      <c r="EU192" s="95">
        <f>IF(AO192="",10,MIN(VLOOKUP(C192,MATERIAL,13,FALSE()),'Item Builder'!$W192))</f>
        <v>10</v>
      </c>
      <c r="EV192" s="95">
        <f>IF(AP192="",10,MIN(VLOOKUP(D192,MATERIAL,13,FALSE()),'Item Builder'!$W192))</f>
        <v>10</v>
      </c>
      <c r="EW192" s="95">
        <f>IF(AQ192="",10,MIN(VLOOKUP(E192,MATERIAL,13,FALSE()),'Item Builder'!$W192))</f>
        <v>0</v>
      </c>
      <c r="EX192" s="95">
        <f>IF(AR192="",10,MIN(VLOOKUP(F192,MATERIAL,13,FALSE()),'Item Builder'!$W192))</f>
        <v>0</v>
      </c>
      <c r="EY192" s="95">
        <f>IF(AS192="",10,MIN(VLOOKUP(G192,MATERIAL,13,FALSE()),'Item Builder'!$W192))</f>
        <v>10</v>
      </c>
      <c r="EZ192" s="95">
        <f>IF(AT192="",10,MIN(VLOOKUP(H192,MATERIAL,13,FALSE()),'Item Builder'!$W192))</f>
        <v>10</v>
      </c>
      <c r="FA192" s="95">
        <f>IF(AU192="",10,MIN(VLOOKUP(I192,MATERIAL,13,FALSE()),'Item Builder'!$W192))</f>
        <v>10</v>
      </c>
      <c r="FB192" s="95">
        <f>IF(AV192="",10,MIN(VLOOKUP(J192,MATERIAL,13,FALSE()),'Item Builder'!$W192))</f>
        <v>0</v>
      </c>
      <c r="FC192" s="95">
        <f>IF(AW192="",10,MIN(VLOOKUP(K192,MATERIAL,13,FALSE()),'Item Builder'!$W192))</f>
        <v>0</v>
      </c>
      <c r="FD192" s="95">
        <f>IF(AX192="",10,MIN(VLOOKUP(L192,MATERIAL,13,FALSE()),'Item Builder'!$W192))</f>
        <v>10</v>
      </c>
      <c r="FE192" s="95">
        <f>IF(AY192="",10,MIN(VLOOKUP(M192,MATERIAL,13,FALSE()),'Item Builder'!$W192))</f>
        <v>10</v>
      </c>
      <c r="FF192" s="95">
        <f>IF(AZ192="",10,MIN(VLOOKUP(N192,MATERIAL,13,FALSE()),'Item Builder'!$W192))</f>
        <v>10</v>
      </c>
      <c r="FG192" s="95">
        <f>IF(BA192="",10,MIN(VLOOKUP(O192,MATERIAL,13,FALSE()),'Item Builder'!$W192))</f>
        <v>10</v>
      </c>
      <c r="FH192" s="95">
        <f>IF(BB192="",10,MIN(VLOOKUP(P192,MATERIAL,13,FALSE()),'Item Builder'!$W192))</f>
        <v>10</v>
      </c>
    </row>
    <row r="193" spans="1:164" x14ac:dyDescent="0.25">
      <c r="A193" s="67" t="s">
        <v>333</v>
      </c>
      <c r="B193" s="68"/>
      <c r="C193" s="69"/>
      <c r="D193" s="70"/>
      <c r="E193" s="68" t="s">
        <v>146</v>
      </c>
      <c r="F193" s="69" t="s">
        <v>146</v>
      </c>
      <c r="G193" s="69" t="s">
        <v>146</v>
      </c>
      <c r="H193" s="69"/>
      <c r="I193" s="70"/>
      <c r="J193" s="68" t="s">
        <v>146</v>
      </c>
      <c r="K193" s="69" t="s">
        <v>146</v>
      </c>
      <c r="L193" s="70" t="s">
        <v>146</v>
      </c>
      <c r="M193" s="68"/>
      <c r="N193" s="69"/>
      <c r="O193" s="69"/>
      <c r="P193" s="71"/>
      <c r="Q193" s="72">
        <f>SUM(BV193:CJ193)*VLOOKUP(W193,Tables!$W$3:$Z$8,4)</f>
        <v>27</v>
      </c>
      <c r="R193" s="73">
        <f t="shared" si="112"/>
        <v>1.125</v>
      </c>
      <c r="S193" s="74">
        <f t="shared" si="113"/>
        <v>0</v>
      </c>
      <c r="T193" s="74">
        <f t="shared" si="114"/>
        <v>0</v>
      </c>
      <c r="U193" s="75">
        <f t="shared" si="115"/>
        <v>9</v>
      </c>
      <c r="V193" s="76">
        <f t="shared" si="116"/>
        <v>20.25</v>
      </c>
      <c r="W193" s="77">
        <v>0</v>
      </c>
      <c r="X193" s="78">
        <f t="shared" si="117"/>
        <v>0</v>
      </c>
      <c r="Y193" s="79">
        <f t="shared" si="118"/>
        <v>0</v>
      </c>
      <c r="Z193" s="79">
        <f t="shared" si="119"/>
        <v>0</v>
      </c>
      <c r="AA193" s="78">
        <f t="shared" si="120"/>
        <v>1</v>
      </c>
      <c r="AB193" s="79">
        <f t="shared" si="121"/>
        <v>1</v>
      </c>
      <c r="AC193" s="79">
        <f t="shared" si="122"/>
        <v>1</v>
      </c>
      <c r="AD193" s="79">
        <f t="shared" si="123"/>
        <v>0</v>
      </c>
      <c r="AE193" s="79">
        <f t="shared" si="124"/>
        <v>0</v>
      </c>
      <c r="AF193" s="78">
        <f t="shared" si="125"/>
        <v>1</v>
      </c>
      <c r="AG193" s="79">
        <f t="shared" si="126"/>
        <v>1</v>
      </c>
      <c r="AH193" s="79">
        <f t="shared" si="127"/>
        <v>1</v>
      </c>
      <c r="AI193" s="78">
        <f t="shared" si="128"/>
        <v>0</v>
      </c>
      <c r="AJ193" s="79">
        <f t="shared" si="129"/>
        <v>0</v>
      </c>
      <c r="AK193" s="79">
        <f t="shared" si="130"/>
        <v>0</v>
      </c>
      <c r="AL193" s="80">
        <f t="shared" si="131"/>
        <v>0</v>
      </c>
      <c r="AM193" s="81">
        <f t="shared" si="132"/>
        <v>0.44999999999999996</v>
      </c>
      <c r="AN193" s="82" t="str">
        <f t="shared" si="133"/>
        <v/>
      </c>
      <c r="AO193" s="79" t="str">
        <f t="shared" si="134"/>
        <v/>
      </c>
      <c r="AP193" t="str">
        <f t="shared" si="135"/>
        <v/>
      </c>
      <c r="AQ193" s="82" t="str">
        <f t="shared" si="136"/>
        <v>X</v>
      </c>
      <c r="AR193" t="str">
        <f t="shared" si="137"/>
        <v>X</v>
      </c>
      <c r="AS193" t="str">
        <f t="shared" si="138"/>
        <v>X</v>
      </c>
      <c r="AT193" t="str">
        <f t="shared" si="139"/>
        <v/>
      </c>
      <c r="AU193" t="str">
        <f t="shared" si="140"/>
        <v/>
      </c>
      <c r="AV193" s="82" t="str">
        <f t="shared" si="141"/>
        <v>X</v>
      </c>
      <c r="AW193" t="str">
        <f t="shared" si="142"/>
        <v>X</v>
      </c>
      <c r="AX193" t="str">
        <f t="shared" si="143"/>
        <v>X</v>
      </c>
      <c r="AY193" s="82" t="str">
        <f t="shared" si="144"/>
        <v/>
      </c>
      <c r="AZ193" t="str">
        <f t="shared" si="145"/>
        <v/>
      </c>
      <c r="BA193" t="str">
        <f t="shared" si="146"/>
        <v/>
      </c>
      <c r="BB193" s="83" t="str">
        <f t="shared" si="147"/>
        <v/>
      </c>
      <c r="BC193" s="84">
        <f t="shared" si="148"/>
        <v>0</v>
      </c>
      <c r="BD193" s="84">
        <f t="shared" si="149"/>
        <v>0.52380952380952372</v>
      </c>
      <c r="BE193" s="84">
        <f t="shared" si="150"/>
        <v>1</v>
      </c>
      <c r="BF193" s="84">
        <f t="shared" si="151"/>
        <v>0</v>
      </c>
      <c r="BG193" s="78">
        <f>IF(AN193="",0,VLOOKUP(AN193,Tables!$AB$3:$AC$12,2))</f>
        <v>0</v>
      </c>
      <c r="BH193" s="79">
        <f>IF(AO193="",0,VLOOKUP(AO193,Tables!$AB$3:$AC$12,2))</f>
        <v>0</v>
      </c>
      <c r="BI193" s="79">
        <f>IF(AP193="",0,VLOOKUP(AP193,Tables!$AB$3:$AC$12,2))</f>
        <v>0</v>
      </c>
      <c r="BJ193" s="78">
        <f>IF(AQ193="",0,VLOOKUP(AQ193,Tables!$AB$3:$AC$12,2))</f>
        <v>1</v>
      </c>
      <c r="BK193" s="79">
        <f>IF(AR193="",0,VLOOKUP(AR193,Tables!$AB$3:$AC$12,2))</f>
        <v>1</v>
      </c>
      <c r="BL193" s="79">
        <f>IF(AS193="",0,VLOOKUP(AS193,Tables!$AB$3:$AC$12,2))</f>
        <v>1</v>
      </c>
      <c r="BM193" s="79">
        <f>IF(AT193="",0,VLOOKUP(AT193,Tables!$AB$3:$AC$12,2))</f>
        <v>0</v>
      </c>
      <c r="BN193" s="79">
        <f>IF(AU193="",0,VLOOKUP(AU193,Tables!$AB$3:$AC$12,2))</f>
        <v>0</v>
      </c>
      <c r="BO193" s="78">
        <f>IF(AV193="",0,VLOOKUP(AV193,Tables!$AB$3:$AC$12,2))</f>
        <v>1</v>
      </c>
      <c r="BP193" s="79">
        <f>IF(AW193="",0,VLOOKUP(AW193,Tables!$AB$3:$AC$12,2))</f>
        <v>1</v>
      </c>
      <c r="BQ193" s="79">
        <f>IF(AX193="",0,VLOOKUP(AX193,Tables!$AB$3:$AC$12,2))</f>
        <v>1</v>
      </c>
      <c r="BR193" s="78">
        <f>IF(AY193="",0,VLOOKUP(AY193,Tables!$AB$3:$AC$12,2))</f>
        <v>0</v>
      </c>
      <c r="BS193" s="79">
        <f>IF(AZ193="",0,VLOOKUP(AZ193,Tables!$AB$3:$AC$12,2))</f>
        <v>0</v>
      </c>
      <c r="BT193" s="79">
        <f>IF(BA193="",0,VLOOKUP(BA193,Tables!$AB$3:$AC$12,2))</f>
        <v>0</v>
      </c>
      <c r="BU193" s="80">
        <f>IF(BB193="",0,VLOOKUP(BB193,Tables!$AB$3:$AC$12,2))</f>
        <v>0</v>
      </c>
      <c r="BV193" s="85">
        <f>IF(AN193="",0,VLOOKUP(B193,Tables!$B$3:$D$36,2,FALSE())*X$1)</f>
        <v>0</v>
      </c>
      <c r="BW193" s="72">
        <f>IF(AO193="",0,VLOOKUP(C193,Tables!$B$3:$D$36,2,FALSE())*Y$1)</f>
        <v>0</v>
      </c>
      <c r="BX193" s="72">
        <f>IF(AP193="",0,VLOOKUP(D193,Tables!$B$3:$D$36,2,FALSE())*Z$1)</f>
        <v>0</v>
      </c>
      <c r="BY193" s="85">
        <f>IF(AQ193="",0,VLOOKUP(E193,Tables!$B$3:$D$36,2,FALSE())*AA$1)</f>
        <v>1.7999999999999998</v>
      </c>
      <c r="BZ193" s="72">
        <f>IF(AR193="",0,VLOOKUP(F193,Tables!$B$3:$D$36,2,FALSE())*AB$1)</f>
        <v>3.5999999999999996</v>
      </c>
      <c r="CA193" s="72">
        <f>IF(AS193="",0,VLOOKUP(G193,Tables!$B$3:$D$36,2,FALSE())*AC$1)</f>
        <v>1.2</v>
      </c>
      <c r="CB193" s="72">
        <f>IF(AT193="",0,VLOOKUP(H193,Tables!$B$3:$D$36,2,FALSE())*AD$1)</f>
        <v>0</v>
      </c>
      <c r="CC193" s="72">
        <f>IF(AU193="",0,VLOOKUP(I193,Tables!$B$3:$D$36,2,FALSE())*AE$1)</f>
        <v>0</v>
      </c>
      <c r="CD193" s="85">
        <f>IF(AV193="",0,VLOOKUP(J193,Tables!$B$3:$D$36,2,FALSE())*AF$1)</f>
        <v>7.1999999999999993</v>
      </c>
      <c r="CE193" s="72">
        <f>IF(AW193="",0,VLOOKUP(K193,Tables!$B$3:$D$36,2,FALSE())*AG$1)</f>
        <v>7.1999999999999993</v>
      </c>
      <c r="CF193" s="72">
        <f>IF(AX193="",0,VLOOKUP(L193,Tables!$B$3:$D$36,2,FALSE())*AH$1)</f>
        <v>6</v>
      </c>
      <c r="CG193" s="85">
        <f>IF(AY193="",0,VLOOKUP(M193,Tables!$B$3:$D$36,2,FALSE())*AI$1)</f>
        <v>0</v>
      </c>
      <c r="CH193" s="72">
        <f>IF(AZ193="",0,VLOOKUP(N193,Tables!$B$3:$D$36,2,FALSE())*AJ$1)</f>
        <v>0</v>
      </c>
      <c r="CI193" s="72">
        <f>IF(BA193="",0,VLOOKUP(O193,Tables!$B$3:$D$36,2,FALSE())*AK$1)</f>
        <v>0</v>
      </c>
      <c r="CJ193" s="86">
        <f>IF(BB193="",0,VLOOKUP(P193,Tables!$B$3:$D$36,2,FALSE())*AL$1)</f>
        <v>0</v>
      </c>
      <c r="CK193" s="87">
        <f>IF(AN193="",0,VLOOKUP(B193,Tables!$B$3:$D$36,3,FALSE())*X$1)*IF(OR(AN193="K",AN193="P"),2,1)</f>
        <v>0</v>
      </c>
      <c r="CL193" s="73">
        <f>IF(AO193="",0,VLOOKUP(C193,Tables!$B$3:$D$36,3,FALSE())*Y$1)*IF(OR(AO193="K",AO193="P"),2,1)</f>
        <v>0</v>
      </c>
      <c r="CM193" s="73">
        <f>IF(AP193="",0,VLOOKUP(D193,Tables!$B$3:$D$36,3,FALSE())*Z$1)*IF(OR(AP193="K",AP193="P"),2,1)</f>
        <v>0</v>
      </c>
      <c r="CN193" s="87">
        <f>IF(AQ193="",0,VLOOKUP(E193,Tables!$B$3:$D$36,3,FALSE())*AA$1)</f>
        <v>7.4999999999999997E-2</v>
      </c>
      <c r="CO193" s="73">
        <f>IF(AR193="",0,VLOOKUP(F193,Tables!$B$3:$D$36,3,FALSE())*AB$1)</f>
        <v>0.15</v>
      </c>
      <c r="CP193" s="73">
        <f>IF(AS193="",0,VLOOKUP(G193,Tables!$B$3:$D$36,3,FALSE())*AC$1)</f>
        <v>0.05</v>
      </c>
      <c r="CQ193" s="73">
        <f>IF(AT193="",0,VLOOKUP(H193,Tables!$B$3:$D$36,3,FALSE())*AD$1)</f>
        <v>0</v>
      </c>
      <c r="CR193" s="73">
        <f>IF(AU193="",0,VLOOKUP(I193,Tables!$B$3:$D$36,3,FALSE())*AE$1)</f>
        <v>0</v>
      </c>
      <c r="CS193" s="87">
        <f>IF(AV193="",0,VLOOKUP(J193,Tables!$B$3:$D$36,3,FALSE())*AF$1)</f>
        <v>0.3</v>
      </c>
      <c r="CT193" s="73">
        <f>IF(AW193="",0,VLOOKUP(K193,Tables!$B$3:$D$36,3,FALSE())*AG$1)</f>
        <v>0.3</v>
      </c>
      <c r="CU193" s="73">
        <f>IF(AX193="",0,VLOOKUP(L193,Tables!$B$3:$D$36,3,FALSE())*AH$1)</f>
        <v>0.25</v>
      </c>
      <c r="CV193" s="87">
        <f>IF(AY193="",0,VLOOKUP(M193,Tables!$B$3:$D$36,3,FALSE())*AI$1)</f>
        <v>0</v>
      </c>
      <c r="CW193" s="73">
        <f>IF(AZ193="",0,VLOOKUP(N193,Tables!$B$3:$D$36,3,FALSE())*AJ$1)</f>
        <v>0</v>
      </c>
      <c r="CX193" s="73">
        <f>IF(BA193="",0,VLOOKUP(O193,Tables!$B$3:$D$36,3,FALSE())*AK$1)</f>
        <v>0</v>
      </c>
      <c r="CY193" s="88">
        <f>IF(BB193="",0,VLOOKUP(P193,Tables!$B$3:$D$36,3,FALSE())*AL$1)</f>
        <v>0</v>
      </c>
      <c r="CZ193" s="89">
        <f t="shared" si="152"/>
        <v>0</v>
      </c>
      <c r="DA193" s="75">
        <f t="shared" si="153"/>
        <v>0</v>
      </c>
      <c r="DB193" s="75">
        <f t="shared" si="154"/>
        <v>0</v>
      </c>
      <c r="DC193" s="89">
        <f t="shared" si="155"/>
        <v>1</v>
      </c>
      <c r="DD193" s="75">
        <f t="shared" si="156"/>
        <v>1</v>
      </c>
      <c r="DE193" s="75">
        <f t="shared" si="157"/>
        <v>1</v>
      </c>
      <c r="DF193" s="75">
        <f t="shared" si="158"/>
        <v>0</v>
      </c>
      <c r="DG193" s="75">
        <f t="shared" si="159"/>
        <v>0</v>
      </c>
      <c r="DH193" s="89">
        <f t="shared" si="160"/>
        <v>1</v>
      </c>
      <c r="DI193" s="75">
        <f t="shared" si="161"/>
        <v>1</v>
      </c>
      <c r="DJ193" s="75">
        <f t="shared" si="162"/>
        <v>1</v>
      </c>
      <c r="DK193" s="89">
        <f t="shared" si="163"/>
        <v>0</v>
      </c>
      <c r="DL193" s="75">
        <f t="shared" si="164"/>
        <v>0</v>
      </c>
      <c r="DM193" s="75">
        <f t="shared" si="165"/>
        <v>0</v>
      </c>
      <c r="DN193" s="90">
        <f t="shared" si="166"/>
        <v>0</v>
      </c>
      <c r="DO193" s="91">
        <f>IF(AN193="",0,VLOOKUP(B193,Tables!$B$3:$M$36,11,FALSE())*X$1)</f>
        <v>0</v>
      </c>
      <c r="DP193" s="92">
        <f>IF(AO193="",0,VLOOKUP(C193,Tables!$B$3:$M$36,11,FALSE())*Y$1)</f>
        <v>0</v>
      </c>
      <c r="DQ193" s="92">
        <f>IF(AP193="",0,VLOOKUP(D193,Tables!$B$3:$M$36,11,FALSE())*Z$1)</f>
        <v>0</v>
      </c>
      <c r="DR193" s="91">
        <f>IF(AQ193="",0,VLOOKUP(E193,Tables!$B$3:$M$36,11,FALSE())*AA$1)</f>
        <v>0.6</v>
      </c>
      <c r="DS193" s="92">
        <f>IF(AR193="",0,VLOOKUP(F193,Tables!$B$3:$M$36,11,FALSE())*AB$1)</f>
        <v>1.2</v>
      </c>
      <c r="DT193" s="92">
        <f>IF(AS193="",0,VLOOKUP(G193,Tables!$B$3:$M$36,11,FALSE())*AC$1)</f>
        <v>0.4</v>
      </c>
      <c r="DU193" s="92">
        <f>IF(AT193="",0,VLOOKUP(H193,Tables!$B$3:$M$36,11,FALSE())*AD$1)</f>
        <v>0</v>
      </c>
      <c r="DV193" s="92">
        <f>IF(AU193="",0,VLOOKUP(I193,Tables!$B$3:$M$36,11,FALSE())*AE$1)</f>
        <v>0</v>
      </c>
      <c r="DW193" s="91">
        <f>IF(AV193="",0,VLOOKUP(J193,Tables!$B$3:$M$36,11,FALSE())*AF$1)</f>
        <v>2.4</v>
      </c>
      <c r="DX193" s="92">
        <f>IF(AW193="",0,VLOOKUP(K193,Tables!$B$3:$M$36,11,FALSE())*AG$1)</f>
        <v>2.4</v>
      </c>
      <c r="DY193" s="92">
        <f>IF(AX193="",0,VLOOKUP(L193,Tables!$B$3:$M$36,11,FALSE())*AH$1)</f>
        <v>2</v>
      </c>
      <c r="DZ193" s="91">
        <f>IF(AY193="",0,VLOOKUP(M193,Tables!$B$3:$M$36,11,FALSE())*AI$1)</f>
        <v>0</v>
      </c>
      <c r="EA193" s="92">
        <f>IF(AZ193="",0,VLOOKUP(N193,Tables!$B$3:$M$36,11,FALSE())*AJ$1)</f>
        <v>0</v>
      </c>
      <c r="EB193" s="92">
        <f>IF(BA193="",0,VLOOKUP(O193,Tables!$B$3:$M$36,11,FALSE())*AK$1)</f>
        <v>0</v>
      </c>
      <c r="EC193" s="93">
        <f>IF(BB193="",0,VLOOKUP(P193,Tables!$B$3:$M$36,11,FALSE())*AL$1)</f>
        <v>0</v>
      </c>
      <c r="ED193" s="91">
        <f>IF(AN193="",0,VLOOKUP(B193,Tables!$B$3:$M$36,12,FALSE())*X$1)</f>
        <v>0</v>
      </c>
      <c r="EE193" s="92">
        <f>IF(AO193="",0,VLOOKUP(C193,Tables!$B$3:$M$36,12,FALSE())*Y$1)</f>
        <v>0</v>
      </c>
      <c r="EF193" s="92">
        <f>IF(AP193="",0,VLOOKUP(D193,Tables!$B$3:$M$36,12,FALSE())*Z$1)</f>
        <v>0</v>
      </c>
      <c r="EG193" s="91">
        <f>IF(AQ193="",0,VLOOKUP(E193,Tables!$B$3:$M$36,12,FALSE())*AA$1)</f>
        <v>1.3499999999999999</v>
      </c>
      <c r="EH193" s="92">
        <f>IF(AR193="",0,VLOOKUP(F193,Tables!$B$3:$M$36,12,FALSE())*AB$1)</f>
        <v>2.6999999999999997</v>
      </c>
      <c r="EI193" s="92">
        <f>IF(AS193="",0,VLOOKUP(G193,Tables!$B$3:$M$36,12,FALSE())*AC$1)</f>
        <v>0.9</v>
      </c>
      <c r="EJ193" s="92">
        <f>IF(AT193="",0,VLOOKUP(H193,Tables!$B$3:$M$36,12,FALSE())*AD$1)</f>
        <v>0</v>
      </c>
      <c r="EK193" s="92">
        <f>IF(AU193="",0,VLOOKUP(I193,Tables!$B$3:$M$36,12,FALSE())*AE$1)</f>
        <v>0</v>
      </c>
      <c r="EL193" s="91">
        <f>IF(AV193="",0,VLOOKUP(J193,Tables!$B$3:$M$36,12,FALSE())*AF$1)</f>
        <v>5.3999999999999995</v>
      </c>
      <c r="EM193" s="92">
        <f>IF(AW193="",0,VLOOKUP(K193,Tables!$B$3:$M$36,12,FALSE())*AG$1)</f>
        <v>5.3999999999999995</v>
      </c>
      <c r="EN193" s="92">
        <f>IF(AX193="",0,VLOOKUP(L193,Tables!$B$3:$M$36,12,FALSE())*AH$1)</f>
        <v>4.5</v>
      </c>
      <c r="EO193" s="91">
        <f>IF(AY193="",0,VLOOKUP(M193,Tables!$B$3:$M$36,12,FALSE())*AI$1)</f>
        <v>0</v>
      </c>
      <c r="EP193" s="92">
        <f>IF(AZ193="",0,VLOOKUP(N193,Tables!$B$3:$M$36,12,FALSE())*AJ$1)</f>
        <v>0</v>
      </c>
      <c r="EQ193" s="92">
        <f>IF(BA193="",0,VLOOKUP(O193,Tables!$B$3:$M$36,12,FALSE())*AK$1)</f>
        <v>0</v>
      </c>
      <c r="ER193" s="93">
        <f>IF(BB193="",0,VLOOKUP(P193,Tables!$B$3:$M$36,12,FALSE())*AL$1)</f>
        <v>0</v>
      </c>
      <c r="ES193" s="94">
        <f t="shared" si="167"/>
        <v>0</v>
      </c>
      <c r="ET193" s="95">
        <f>IF(AN193="",10,MIN(VLOOKUP(B193,MATERIAL,13,FALSE()),'Item Builder'!$W193))</f>
        <v>10</v>
      </c>
      <c r="EU193" s="95">
        <f>IF(AO193="",10,MIN(VLOOKUP(C193,MATERIAL,13,FALSE()),'Item Builder'!$W193))</f>
        <v>10</v>
      </c>
      <c r="EV193" s="95">
        <f>IF(AP193="",10,MIN(VLOOKUP(D193,MATERIAL,13,FALSE()),'Item Builder'!$W193))</f>
        <v>10</v>
      </c>
      <c r="EW193" s="95">
        <f>IF(AQ193="",10,MIN(VLOOKUP(E193,MATERIAL,13,FALSE()),'Item Builder'!$W193))</f>
        <v>0</v>
      </c>
      <c r="EX193" s="95">
        <f>IF(AR193="",10,MIN(VLOOKUP(F193,MATERIAL,13,FALSE()),'Item Builder'!$W193))</f>
        <v>0</v>
      </c>
      <c r="EY193" s="95">
        <f>IF(AS193="",10,MIN(VLOOKUP(G193,MATERIAL,13,FALSE()),'Item Builder'!$W193))</f>
        <v>0</v>
      </c>
      <c r="EZ193" s="95">
        <f>IF(AT193="",10,MIN(VLOOKUP(H193,MATERIAL,13,FALSE()),'Item Builder'!$W193))</f>
        <v>10</v>
      </c>
      <c r="FA193" s="95">
        <f>IF(AU193="",10,MIN(VLOOKUP(I193,MATERIAL,13,FALSE()),'Item Builder'!$W193))</f>
        <v>10</v>
      </c>
      <c r="FB193" s="95">
        <f>IF(AV193="",10,MIN(VLOOKUP(J193,MATERIAL,13,FALSE()),'Item Builder'!$W193))</f>
        <v>0</v>
      </c>
      <c r="FC193" s="95">
        <f>IF(AW193="",10,MIN(VLOOKUP(K193,MATERIAL,13,FALSE()),'Item Builder'!$W193))</f>
        <v>0</v>
      </c>
      <c r="FD193" s="95">
        <f>IF(AX193="",10,MIN(VLOOKUP(L193,MATERIAL,13,FALSE()),'Item Builder'!$W193))</f>
        <v>0</v>
      </c>
      <c r="FE193" s="95">
        <f>IF(AY193="",10,MIN(VLOOKUP(M193,MATERIAL,13,FALSE()),'Item Builder'!$W193))</f>
        <v>10</v>
      </c>
      <c r="FF193" s="95">
        <f>IF(AZ193="",10,MIN(VLOOKUP(N193,MATERIAL,13,FALSE()),'Item Builder'!$W193))</f>
        <v>10</v>
      </c>
      <c r="FG193" s="95">
        <f>IF(BA193="",10,MIN(VLOOKUP(O193,MATERIAL,13,FALSE()),'Item Builder'!$W193))</f>
        <v>10</v>
      </c>
      <c r="FH193" s="95">
        <f>IF(BB193="",10,MIN(VLOOKUP(P193,MATERIAL,13,FALSE()),'Item Builder'!$W193))</f>
        <v>10</v>
      </c>
    </row>
    <row r="194" spans="1:164" x14ac:dyDescent="0.25">
      <c r="A194" s="67" t="s">
        <v>334</v>
      </c>
      <c r="B194" s="68"/>
      <c r="C194" s="69"/>
      <c r="D194" s="70"/>
      <c r="E194" s="68" t="s">
        <v>146</v>
      </c>
      <c r="F194" s="69" t="s">
        <v>146</v>
      </c>
      <c r="G194" s="69" t="s">
        <v>146</v>
      </c>
      <c r="H194" s="69" t="s">
        <v>146</v>
      </c>
      <c r="I194" s="70"/>
      <c r="J194" s="68" t="s">
        <v>146</v>
      </c>
      <c r="K194" s="69" t="s">
        <v>146</v>
      </c>
      <c r="L194" s="70" t="s">
        <v>146</v>
      </c>
      <c r="M194" s="68"/>
      <c r="N194" s="69"/>
      <c r="O194" s="69"/>
      <c r="P194" s="71"/>
      <c r="Q194" s="72">
        <f>SUM(BV194:CJ194)*VLOOKUP(W194,Tables!$W$3:$Z$8,4)</f>
        <v>29.999999999999996</v>
      </c>
      <c r="R194" s="73">
        <f t="shared" si="112"/>
        <v>1.25</v>
      </c>
      <c r="S194" s="74">
        <f t="shared" si="113"/>
        <v>0</v>
      </c>
      <c r="T194" s="74">
        <f t="shared" si="114"/>
        <v>0</v>
      </c>
      <c r="U194" s="75">
        <f t="shared" si="115"/>
        <v>10</v>
      </c>
      <c r="V194" s="76">
        <f t="shared" si="116"/>
        <v>22.5</v>
      </c>
      <c r="W194" s="77">
        <v>0</v>
      </c>
      <c r="X194" s="78">
        <f t="shared" si="117"/>
        <v>0</v>
      </c>
      <c r="Y194" s="79">
        <f t="shared" si="118"/>
        <v>0</v>
      </c>
      <c r="Z194" s="79">
        <f t="shared" si="119"/>
        <v>0</v>
      </c>
      <c r="AA194" s="78">
        <f t="shared" si="120"/>
        <v>1</v>
      </c>
      <c r="AB194" s="79">
        <f t="shared" si="121"/>
        <v>1</v>
      </c>
      <c r="AC194" s="79">
        <f t="shared" si="122"/>
        <v>1</v>
      </c>
      <c r="AD194" s="79">
        <f t="shared" si="123"/>
        <v>1</v>
      </c>
      <c r="AE194" s="79">
        <f t="shared" si="124"/>
        <v>0</v>
      </c>
      <c r="AF194" s="78">
        <f t="shared" si="125"/>
        <v>1</v>
      </c>
      <c r="AG194" s="79">
        <f t="shared" si="126"/>
        <v>1</v>
      </c>
      <c r="AH194" s="79">
        <f t="shared" si="127"/>
        <v>1</v>
      </c>
      <c r="AI194" s="78">
        <f t="shared" si="128"/>
        <v>0</v>
      </c>
      <c r="AJ194" s="79">
        <f t="shared" si="129"/>
        <v>0</v>
      </c>
      <c r="AK194" s="79">
        <f t="shared" si="130"/>
        <v>0</v>
      </c>
      <c r="AL194" s="80">
        <f t="shared" si="131"/>
        <v>0</v>
      </c>
      <c r="AM194" s="81">
        <f t="shared" si="132"/>
        <v>0.5</v>
      </c>
      <c r="AN194" s="82" t="str">
        <f t="shared" si="133"/>
        <v/>
      </c>
      <c r="AO194" s="79" t="str">
        <f t="shared" si="134"/>
        <v/>
      </c>
      <c r="AP194" t="str">
        <f t="shared" si="135"/>
        <v/>
      </c>
      <c r="AQ194" s="82" t="str">
        <f t="shared" si="136"/>
        <v>X</v>
      </c>
      <c r="AR194" t="str">
        <f t="shared" si="137"/>
        <v>X</v>
      </c>
      <c r="AS194" t="str">
        <f t="shared" si="138"/>
        <v>X</v>
      </c>
      <c r="AT194" t="str">
        <f t="shared" si="139"/>
        <v>X</v>
      </c>
      <c r="AU194" t="str">
        <f t="shared" si="140"/>
        <v/>
      </c>
      <c r="AV194" s="82" t="str">
        <f t="shared" si="141"/>
        <v>X</v>
      </c>
      <c r="AW194" t="str">
        <f t="shared" si="142"/>
        <v>X</v>
      </c>
      <c r="AX194" t="str">
        <f t="shared" si="143"/>
        <v>X</v>
      </c>
      <c r="AY194" s="82" t="str">
        <f t="shared" si="144"/>
        <v/>
      </c>
      <c r="AZ194" t="str">
        <f t="shared" si="145"/>
        <v/>
      </c>
      <c r="BA194" t="str">
        <f t="shared" si="146"/>
        <v/>
      </c>
      <c r="BB194" s="83" t="str">
        <f t="shared" si="147"/>
        <v/>
      </c>
      <c r="BC194" s="84">
        <f t="shared" si="148"/>
        <v>0</v>
      </c>
      <c r="BD194" s="84">
        <f t="shared" si="149"/>
        <v>0.76190476190476186</v>
      </c>
      <c r="BE194" s="84">
        <f t="shared" si="150"/>
        <v>1</v>
      </c>
      <c r="BF194" s="84">
        <f t="shared" si="151"/>
        <v>0</v>
      </c>
      <c r="BG194" s="78">
        <f>IF(AN194="",0,VLOOKUP(AN194,Tables!$AB$3:$AC$12,2))</f>
        <v>0</v>
      </c>
      <c r="BH194" s="79">
        <f>IF(AO194="",0,VLOOKUP(AO194,Tables!$AB$3:$AC$12,2))</f>
        <v>0</v>
      </c>
      <c r="BI194" s="79">
        <f>IF(AP194="",0,VLOOKUP(AP194,Tables!$AB$3:$AC$12,2))</f>
        <v>0</v>
      </c>
      <c r="BJ194" s="78">
        <f>IF(AQ194="",0,VLOOKUP(AQ194,Tables!$AB$3:$AC$12,2))</f>
        <v>1</v>
      </c>
      <c r="BK194" s="79">
        <f>IF(AR194="",0,VLOOKUP(AR194,Tables!$AB$3:$AC$12,2))</f>
        <v>1</v>
      </c>
      <c r="BL194" s="79">
        <f>IF(AS194="",0,VLOOKUP(AS194,Tables!$AB$3:$AC$12,2))</f>
        <v>1</v>
      </c>
      <c r="BM194" s="79">
        <f>IF(AT194="",0,VLOOKUP(AT194,Tables!$AB$3:$AC$12,2))</f>
        <v>1</v>
      </c>
      <c r="BN194" s="79">
        <f>IF(AU194="",0,VLOOKUP(AU194,Tables!$AB$3:$AC$12,2))</f>
        <v>0</v>
      </c>
      <c r="BO194" s="78">
        <f>IF(AV194="",0,VLOOKUP(AV194,Tables!$AB$3:$AC$12,2))</f>
        <v>1</v>
      </c>
      <c r="BP194" s="79">
        <f>IF(AW194="",0,VLOOKUP(AW194,Tables!$AB$3:$AC$12,2))</f>
        <v>1</v>
      </c>
      <c r="BQ194" s="79">
        <f>IF(AX194="",0,VLOOKUP(AX194,Tables!$AB$3:$AC$12,2))</f>
        <v>1</v>
      </c>
      <c r="BR194" s="78">
        <f>IF(AY194="",0,VLOOKUP(AY194,Tables!$AB$3:$AC$12,2))</f>
        <v>0</v>
      </c>
      <c r="BS194" s="79">
        <f>IF(AZ194="",0,VLOOKUP(AZ194,Tables!$AB$3:$AC$12,2))</f>
        <v>0</v>
      </c>
      <c r="BT194" s="79">
        <f>IF(BA194="",0,VLOOKUP(BA194,Tables!$AB$3:$AC$12,2))</f>
        <v>0</v>
      </c>
      <c r="BU194" s="80">
        <f>IF(BB194="",0,VLOOKUP(BB194,Tables!$AB$3:$AC$12,2))</f>
        <v>0</v>
      </c>
      <c r="BV194" s="85">
        <f>IF(AN194="",0,VLOOKUP(B194,Tables!$B$3:$D$36,2,FALSE())*X$1)</f>
        <v>0</v>
      </c>
      <c r="BW194" s="72">
        <f>IF(AO194="",0,VLOOKUP(C194,Tables!$B$3:$D$36,2,FALSE())*Y$1)</f>
        <v>0</v>
      </c>
      <c r="BX194" s="72">
        <f>IF(AP194="",0,VLOOKUP(D194,Tables!$B$3:$D$36,2,FALSE())*Z$1)</f>
        <v>0</v>
      </c>
      <c r="BY194" s="85">
        <f>IF(AQ194="",0,VLOOKUP(E194,Tables!$B$3:$D$36,2,FALSE())*AA$1)</f>
        <v>1.7999999999999998</v>
      </c>
      <c r="BZ194" s="72">
        <f>IF(AR194="",0,VLOOKUP(F194,Tables!$B$3:$D$36,2,FALSE())*AB$1)</f>
        <v>3.5999999999999996</v>
      </c>
      <c r="CA194" s="72">
        <f>IF(AS194="",0,VLOOKUP(G194,Tables!$B$3:$D$36,2,FALSE())*AC$1)</f>
        <v>1.2</v>
      </c>
      <c r="CB194" s="72">
        <f>IF(AT194="",0,VLOOKUP(H194,Tables!$B$3:$D$36,2,FALSE())*AD$1)</f>
        <v>3</v>
      </c>
      <c r="CC194" s="72">
        <f>IF(AU194="",0,VLOOKUP(I194,Tables!$B$3:$D$36,2,FALSE())*AE$1)</f>
        <v>0</v>
      </c>
      <c r="CD194" s="85">
        <f>IF(AV194="",0,VLOOKUP(J194,Tables!$B$3:$D$36,2,FALSE())*AF$1)</f>
        <v>7.1999999999999993</v>
      </c>
      <c r="CE194" s="72">
        <f>IF(AW194="",0,VLOOKUP(K194,Tables!$B$3:$D$36,2,FALSE())*AG$1)</f>
        <v>7.1999999999999993</v>
      </c>
      <c r="CF194" s="72">
        <f>IF(AX194="",0,VLOOKUP(L194,Tables!$B$3:$D$36,2,FALSE())*AH$1)</f>
        <v>6</v>
      </c>
      <c r="CG194" s="85">
        <f>IF(AY194="",0,VLOOKUP(M194,Tables!$B$3:$D$36,2,FALSE())*AI$1)</f>
        <v>0</v>
      </c>
      <c r="CH194" s="72">
        <f>IF(AZ194="",0,VLOOKUP(N194,Tables!$B$3:$D$36,2,FALSE())*AJ$1)</f>
        <v>0</v>
      </c>
      <c r="CI194" s="72">
        <f>IF(BA194="",0,VLOOKUP(O194,Tables!$B$3:$D$36,2,FALSE())*AK$1)</f>
        <v>0</v>
      </c>
      <c r="CJ194" s="86">
        <f>IF(BB194="",0,VLOOKUP(P194,Tables!$B$3:$D$36,2,FALSE())*AL$1)</f>
        <v>0</v>
      </c>
      <c r="CK194" s="87">
        <f>IF(AN194="",0,VLOOKUP(B194,Tables!$B$3:$D$36,3,FALSE())*X$1)*IF(OR(AN194="K",AN194="P"),2,1)</f>
        <v>0</v>
      </c>
      <c r="CL194" s="73">
        <f>IF(AO194="",0,VLOOKUP(C194,Tables!$B$3:$D$36,3,FALSE())*Y$1)*IF(OR(AO194="K",AO194="P"),2,1)</f>
        <v>0</v>
      </c>
      <c r="CM194" s="73">
        <f>IF(AP194="",0,VLOOKUP(D194,Tables!$B$3:$D$36,3,FALSE())*Z$1)*IF(OR(AP194="K",AP194="P"),2,1)</f>
        <v>0</v>
      </c>
      <c r="CN194" s="87">
        <f>IF(AQ194="",0,VLOOKUP(E194,Tables!$B$3:$D$36,3,FALSE())*AA$1)</f>
        <v>7.4999999999999997E-2</v>
      </c>
      <c r="CO194" s="73">
        <f>IF(AR194="",0,VLOOKUP(F194,Tables!$B$3:$D$36,3,FALSE())*AB$1)</f>
        <v>0.15</v>
      </c>
      <c r="CP194" s="73">
        <f>IF(AS194="",0,VLOOKUP(G194,Tables!$B$3:$D$36,3,FALSE())*AC$1)</f>
        <v>0.05</v>
      </c>
      <c r="CQ194" s="73">
        <f>IF(AT194="",0,VLOOKUP(H194,Tables!$B$3:$D$36,3,FALSE())*AD$1)</f>
        <v>0.125</v>
      </c>
      <c r="CR194" s="73">
        <f>IF(AU194="",0,VLOOKUP(I194,Tables!$B$3:$D$36,3,FALSE())*AE$1)</f>
        <v>0</v>
      </c>
      <c r="CS194" s="87">
        <f>IF(AV194="",0,VLOOKUP(J194,Tables!$B$3:$D$36,3,FALSE())*AF$1)</f>
        <v>0.3</v>
      </c>
      <c r="CT194" s="73">
        <f>IF(AW194="",0,VLOOKUP(K194,Tables!$B$3:$D$36,3,FALSE())*AG$1)</f>
        <v>0.3</v>
      </c>
      <c r="CU194" s="73">
        <f>IF(AX194="",0,VLOOKUP(L194,Tables!$B$3:$D$36,3,FALSE())*AH$1)</f>
        <v>0.25</v>
      </c>
      <c r="CV194" s="87">
        <f>IF(AY194="",0,VLOOKUP(M194,Tables!$B$3:$D$36,3,FALSE())*AI$1)</f>
        <v>0</v>
      </c>
      <c r="CW194" s="73">
        <f>IF(AZ194="",0,VLOOKUP(N194,Tables!$B$3:$D$36,3,FALSE())*AJ$1)</f>
        <v>0</v>
      </c>
      <c r="CX194" s="73">
        <f>IF(BA194="",0,VLOOKUP(O194,Tables!$B$3:$D$36,3,FALSE())*AK$1)</f>
        <v>0</v>
      </c>
      <c r="CY194" s="88">
        <f>IF(BB194="",0,VLOOKUP(P194,Tables!$B$3:$D$36,3,FALSE())*AL$1)</f>
        <v>0</v>
      </c>
      <c r="CZ194" s="89">
        <f t="shared" si="152"/>
        <v>0</v>
      </c>
      <c r="DA194" s="75">
        <f t="shared" si="153"/>
        <v>0</v>
      </c>
      <c r="DB194" s="75">
        <f t="shared" si="154"/>
        <v>0</v>
      </c>
      <c r="DC194" s="89">
        <f t="shared" si="155"/>
        <v>1</v>
      </c>
      <c r="DD194" s="75">
        <f t="shared" si="156"/>
        <v>1</v>
      </c>
      <c r="DE194" s="75">
        <f t="shared" si="157"/>
        <v>1</v>
      </c>
      <c r="DF194" s="75">
        <f t="shared" si="158"/>
        <v>1</v>
      </c>
      <c r="DG194" s="75">
        <f t="shared" si="159"/>
        <v>0</v>
      </c>
      <c r="DH194" s="89">
        <f t="shared" si="160"/>
        <v>1</v>
      </c>
      <c r="DI194" s="75">
        <f t="shared" si="161"/>
        <v>1</v>
      </c>
      <c r="DJ194" s="75">
        <f t="shared" si="162"/>
        <v>1</v>
      </c>
      <c r="DK194" s="89">
        <f t="shared" si="163"/>
        <v>0</v>
      </c>
      <c r="DL194" s="75">
        <f t="shared" si="164"/>
        <v>0</v>
      </c>
      <c r="DM194" s="75">
        <f t="shared" si="165"/>
        <v>0</v>
      </c>
      <c r="DN194" s="90">
        <f t="shared" si="166"/>
        <v>0</v>
      </c>
      <c r="DO194" s="91">
        <f>IF(AN194="",0,VLOOKUP(B194,Tables!$B$3:$M$36,11,FALSE())*X$1)</f>
        <v>0</v>
      </c>
      <c r="DP194" s="92">
        <f>IF(AO194="",0,VLOOKUP(C194,Tables!$B$3:$M$36,11,FALSE())*Y$1)</f>
        <v>0</v>
      </c>
      <c r="DQ194" s="92">
        <f>IF(AP194="",0,VLOOKUP(D194,Tables!$B$3:$M$36,11,FALSE())*Z$1)</f>
        <v>0</v>
      </c>
      <c r="DR194" s="91">
        <f>IF(AQ194="",0,VLOOKUP(E194,Tables!$B$3:$M$36,11,FALSE())*AA$1)</f>
        <v>0.6</v>
      </c>
      <c r="DS194" s="92">
        <f>IF(AR194="",0,VLOOKUP(F194,Tables!$B$3:$M$36,11,FALSE())*AB$1)</f>
        <v>1.2</v>
      </c>
      <c r="DT194" s="92">
        <f>IF(AS194="",0,VLOOKUP(G194,Tables!$B$3:$M$36,11,FALSE())*AC$1)</f>
        <v>0.4</v>
      </c>
      <c r="DU194" s="92">
        <f>IF(AT194="",0,VLOOKUP(H194,Tables!$B$3:$M$36,11,FALSE())*AD$1)</f>
        <v>1</v>
      </c>
      <c r="DV194" s="92">
        <f>IF(AU194="",0,VLOOKUP(I194,Tables!$B$3:$M$36,11,FALSE())*AE$1)</f>
        <v>0</v>
      </c>
      <c r="DW194" s="91">
        <f>IF(AV194="",0,VLOOKUP(J194,Tables!$B$3:$M$36,11,FALSE())*AF$1)</f>
        <v>2.4</v>
      </c>
      <c r="DX194" s="92">
        <f>IF(AW194="",0,VLOOKUP(K194,Tables!$B$3:$M$36,11,FALSE())*AG$1)</f>
        <v>2.4</v>
      </c>
      <c r="DY194" s="92">
        <f>IF(AX194="",0,VLOOKUP(L194,Tables!$B$3:$M$36,11,FALSE())*AH$1)</f>
        <v>2</v>
      </c>
      <c r="DZ194" s="91">
        <f>IF(AY194="",0,VLOOKUP(M194,Tables!$B$3:$M$36,11,FALSE())*AI$1)</f>
        <v>0</v>
      </c>
      <c r="EA194" s="92">
        <f>IF(AZ194="",0,VLOOKUP(N194,Tables!$B$3:$M$36,11,FALSE())*AJ$1)</f>
        <v>0</v>
      </c>
      <c r="EB194" s="92">
        <f>IF(BA194="",0,VLOOKUP(O194,Tables!$B$3:$M$36,11,FALSE())*AK$1)</f>
        <v>0</v>
      </c>
      <c r="EC194" s="93">
        <f>IF(BB194="",0,VLOOKUP(P194,Tables!$B$3:$M$36,11,FALSE())*AL$1)</f>
        <v>0</v>
      </c>
      <c r="ED194" s="91">
        <f>IF(AN194="",0,VLOOKUP(B194,Tables!$B$3:$M$36,12,FALSE())*X$1)</f>
        <v>0</v>
      </c>
      <c r="EE194" s="92">
        <f>IF(AO194="",0,VLOOKUP(C194,Tables!$B$3:$M$36,12,FALSE())*Y$1)</f>
        <v>0</v>
      </c>
      <c r="EF194" s="92">
        <f>IF(AP194="",0,VLOOKUP(D194,Tables!$B$3:$M$36,12,FALSE())*Z$1)</f>
        <v>0</v>
      </c>
      <c r="EG194" s="91">
        <f>IF(AQ194="",0,VLOOKUP(E194,Tables!$B$3:$M$36,12,FALSE())*AA$1)</f>
        <v>1.3499999999999999</v>
      </c>
      <c r="EH194" s="92">
        <f>IF(AR194="",0,VLOOKUP(F194,Tables!$B$3:$M$36,12,FALSE())*AB$1)</f>
        <v>2.6999999999999997</v>
      </c>
      <c r="EI194" s="92">
        <f>IF(AS194="",0,VLOOKUP(G194,Tables!$B$3:$M$36,12,FALSE())*AC$1)</f>
        <v>0.9</v>
      </c>
      <c r="EJ194" s="92">
        <f>IF(AT194="",0,VLOOKUP(H194,Tables!$B$3:$M$36,12,FALSE())*AD$1)</f>
        <v>2.25</v>
      </c>
      <c r="EK194" s="92">
        <f>IF(AU194="",0,VLOOKUP(I194,Tables!$B$3:$M$36,12,FALSE())*AE$1)</f>
        <v>0</v>
      </c>
      <c r="EL194" s="91">
        <f>IF(AV194="",0,VLOOKUP(J194,Tables!$B$3:$M$36,12,FALSE())*AF$1)</f>
        <v>5.3999999999999995</v>
      </c>
      <c r="EM194" s="92">
        <f>IF(AW194="",0,VLOOKUP(K194,Tables!$B$3:$M$36,12,FALSE())*AG$1)</f>
        <v>5.3999999999999995</v>
      </c>
      <c r="EN194" s="92">
        <f>IF(AX194="",0,VLOOKUP(L194,Tables!$B$3:$M$36,12,FALSE())*AH$1)</f>
        <v>4.5</v>
      </c>
      <c r="EO194" s="91">
        <f>IF(AY194="",0,VLOOKUP(M194,Tables!$B$3:$M$36,12,FALSE())*AI$1)</f>
        <v>0</v>
      </c>
      <c r="EP194" s="92">
        <f>IF(AZ194="",0,VLOOKUP(N194,Tables!$B$3:$M$36,12,FALSE())*AJ$1)</f>
        <v>0</v>
      </c>
      <c r="EQ194" s="92">
        <f>IF(BA194="",0,VLOOKUP(O194,Tables!$B$3:$M$36,12,FALSE())*AK$1)</f>
        <v>0</v>
      </c>
      <c r="ER194" s="93">
        <f>IF(BB194="",0,VLOOKUP(P194,Tables!$B$3:$M$36,12,FALSE())*AL$1)</f>
        <v>0</v>
      </c>
      <c r="ES194" s="94">
        <f t="shared" si="167"/>
        <v>0</v>
      </c>
      <c r="ET194" s="95">
        <f>IF(AN194="",10,MIN(VLOOKUP(B194,MATERIAL,13,FALSE()),'Item Builder'!$W194))</f>
        <v>10</v>
      </c>
      <c r="EU194" s="95">
        <f>IF(AO194="",10,MIN(VLOOKUP(C194,MATERIAL,13,FALSE()),'Item Builder'!$W194))</f>
        <v>10</v>
      </c>
      <c r="EV194" s="95">
        <f>IF(AP194="",10,MIN(VLOOKUP(D194,MATERIAL,13,FALSE()),'Item Builder'!$W194))</f>
        <v>10</v>
      </c>
      <c r="EW194" s="95">
        <f>IF(AQ194="",10,MIN(VLOOKUP(E194,MATERIAL,13,FALSE()),'Item Builder'!$W194))</f>
        <v>0</v>
      </c>
      <c r="EX194" s="95">
        <f>IF(AR194="",10,MIN(VLOOKUP(F194,MATERIAL,13,FALSE()),'Item Builder'!$W194))</f>
        <v>0</v>
      </c>
      <c r="EY194" s="95">
        <f>IF(AS194="",10,MIN(VLOOKUP(G194,MATERIAL,13,FALSE()),'Item Builder'!$W194))</f>
        <v>0</v>
      </c>
      <c r="EZ194" s="95">
        <f>IF(AT194="",10,MIN(VLOOKUP(H194,MATERIAL,13,FALSE()),'Item Builder'!$W194))</f>
        <v>0</v>
      </c>
      <c r="FA194" s="95">
        <f>IF(AU194="",10,MIN(VLOOKUP(I194,MATERIAL,13,FALSE()),'Item Builder'!$W194))</f>
        <v>10</v>
      </c>
      <c r="FB194" s="95">
        <f>IF(AV194="",10,MIN(VLOOKUP(J194,MATERIAL,13,FALSE()),'Item Builder'!$W194))</f>
        <v>0</v>
      </c>
      <c r="FC194" s="95">
        <f>IF(AW194="",10,MIN(VLOOKUP(K194,MATERIAL,13,FALSE()),'Item Builder'!$W194))</f>
        <v>0</v>
      </c>
      <c r="FD194" s="95">
        <f>IF(AX194="",10,MIN(VLOOKUP(L194,MATERIAL,13,FALSE()),'Item Builder'!$W194))</f>
        <v>0</v>
      </c>
      <c r="FE194" s="95">
        <f>IF(AY194="",10,MIN(VLOOKUP(M194,MATERIAL,13,FALSE()),'Item Builder'!$W194))</f>
        <v>10</v>
      </c>
      <c r="FF194" s="95">
        <f>IF(AZ194="",10,MIN(VLOOKUP(N194,MATERIAL,13,FALSE()),'Item Builder'!$W194))</f>
        <v>10</v>
      </c>
      <c r="FG194" s="95">
        <f>IF(BA194="",10,MIN(VLOOKUP(O194,MATERIAL,13,FALSE()),'Item Builder'!$W194))</f>
        <v>10</v>
      </c>
      <c r="FH194" s="95">
        <f>IF(BB194="",10,MIN(VLOOKUP(P194,MATERIAL,13,FALSE()),'Item Builder'!$W194))</f>
        <v>10</v>
      </c>
    </row>
    <row r="195" spans="1:164" x14ac:dyDescent="0.25">
      <c r="A195" s="67" t="s">
        <v>335</v>
      </c>
      <c r="B195" s="68"/>
      <c r="C195" s="69"/>
      <c r="D195" s="70"/>
      <c r="E195" s="68" t="s">
        <v>146</v>
      </c>
      <c r="F195" s="69" t="s">
        <v>146</v>
      </c>
      <c r="G195" s="69" t="s">
        <v>146</v>
      </c>
      <c r="H195" s="69" t="s">
        <v>146</v>
      </c>
      <c r="I195" s="70"/>
      <c r="J195" s="68" t="s">
        <v>146</v>
      </c>
      <c r="K195" s="69" t="s">
        <v>146</v>
      </c>
      <c r="L195" s="70" t="s">
        <v>146</v>
      </c>
      <c r="M195" s="68" t="s">
        <v>146</v>
      </c>
      <c r="N195" s="69"/>
      <c r="O195" s="69"/>
      <c r="P195" s="71"/>
      <c r="Q195" s="72">
        <f>SUM(BV195:CJ195)*VLOOKUP(W195,Tables!$W$3:$Z$8,4)</f>
        <v>38.4</v>
      </c>
      <c r="R195" s="73">
        <f t="shared" si="112"/>
        <v>1.6</v>
      </c>
      <c r="S195" s="74">
        <f t="shared" si="113"/>
        <v>0</v>
      </c>
      <c r="T195" s="74">
        <f t="shared" si="114"/>
        <v>0</v>
      </c>
      <c r="U195" s="75">
        <f t="shared" si="115"/>
        <v>12.8</v>
      </c>
      <c r="V195" s="76">
        <f t="shared" si="116"/>
        <v>28.8</v>
      </c>
      <c r="W195" s="77">
        <v>0</v>
      </c>
      <c r="X195" s="78">
        <f t="shared" si="117"/>
        <v>0</v>
      </c>
      <c r="Y195" s="79">
        <f t="shared" si="118"/>
        <v>0</v>
      </c>
      <c r="Z195" s="79">
        <f t="shared" si="119"/>
        <v>0</v>
      </c>
      <c r="AA195" s="78">
        <f t="shared" si="120"/>
        <v>1</v>
      </c>
      <c r="AB195" s="79">
        <f t="shared" si="121"/>
        <v>1</v>
      </c>
      <c r="AC195" s="79">
        <f t="shared" si="122"/>
        <v>1</v>
      </c>
      <c r="AD195" s="79">
        <f t="shared" si="123"/>
        <v>1</v>
      </c>
      <c r="AE195" s="79">
        <f t="shared" si="124"/>
        <v>0</v>
      </c>
      <c r="AF195" s="78">
        <f t="shared" si="125"/>
        <v>1</v>
      </c>
      <c r="AG195" s="79">
        <f t="shared" si="126"/>
        <v>1</v>
      </c>
      <c r="AH195" s="79">
        <f t="shared" si="127"/>
        <v>1</v>
      </c>
      <c r="AI195" s="78">
        <f t="shared" si="128"/>
        <v>1</v>
      </c>
      <c r="AJ195" s="79">
        <f t="shared" si="129"/>
        <v>0</v>
      </c>
      <c r="AK195" s="79">
        <f t="shared" si="130"/>
        <v>0</v>
      </c>
      <c r="AL195" s="80">
        <f t="shared" si="131"/>
        <v>0</v>
      </c>
      <c r="AM195" s="81">
        <f t="shared" si="132"/>
        <v>0.64</v>
      </c>
      <c r="AN195" s="82" t="str">
        <f t="shared" si="133"/>
        <v/>
      </c>
      <c r="AO195" s="79" t="str">
        <f t="shared" si="134"/>
        <v/>
      </c>
      <c r="AP195" t="str">
        <f t="shared" si="135"/>
        <v/>
      </c>
      <c r="AQ195" s="82" t="str">
        <f t="shared" si="136"/>
        <v>X</v>
      </c>
      <c r="AR195" t="str">
        <f t="shared" si="137"/>
        <v>X</v>
      </c>
      <c r="AS195" t="str">
        <f t="shared" si="138"/>
        <v>X</v>
      </c>
      <c r="AT195" t="str">
        <f t="shared" si="139"/>
        <v>X</v>
      </c>
      <c r="AU195" t="str">
        <f t="shared" si="140"/>
        <v/>
      </c>
      <c r="AV195" s="82" t="str">
        <f t="shared" si="141"/>
        <v>X</v>
      </c>
      <c r="AW195" t="str">
        <f t="shared" si="142"/>
        <v>X</v>
      </c>
      <c r="AX195" t="str">
        <f t="shared" si="143"/>
        <v>X</v>
      </c>
      <c r="AY195" s="82" t="str">
        <f t="shared" si="144"/>
        <v>X</v>
      </c>
      <c r="AZ195" t="str">
        <f t="shared" si="145"/>
        <v/>
      </c>
      <c r="BA195" t="str">
        <f t="shared" si="146"/>
        <v/>
      </c>
      <c r="BB195" s="83" t="str">
        <f t="shared" si="147"/>
        <v/>
      </c>
      <c r="BC195" s="84">
        <f t="shared" si="148"/>
        <v>0</v>
      </c>
      <c r="BD195" s="84">
        <f t="shared" si="149"/>
        <v>0.76190476190476186</v>
      </c>
      <c r="BE195" s="84">
        <f t="shared" si="150"/>
        <v>1</v>
      </c>
      <c r="BF195" s="84">
        <f t="shared" si="151"/>
        <v>0.3888888888888889</v>
      </c>
      <c r="BG195" s="78">
        <f>IF(AN195="",0,VLOOKUP(AN195,Tables!$AB$3:$AC$12,2))</f>
        <v>0</v>
      </c>
      <c r="BH195" s="79">
        <f>IF(AO195="",0,VLOOKUP(AO195,Tables!$AB$3:$AC$12,2))</f>
        <v>0</v>
      </c>
      <c r="BI195" s="79">
        <f>IF(AP195="",0,VLOOKUP(AP195,Tables!$AB$3:$AC$12,2))</f>
        <v>0</v>
      </c>
      <c r="BJ195" s="78">
        <f>IF(AQ195="",0,VLOOKUP(AQ195,Tables!$AB$3:$AC$12,2))</f>
        <v>1</v>
      </c>
      <c r="BK195" s="79">
        <f>IF(AR195="",0,VLOOKUP(AR195,Tables!$AB$3:$AC$12,2))</f>
        <v>1</v>
      </c>
      <c r="BL195" s="79">
        <f>IF(AS195="",0,VLOOKUP(AS195,Tables!$AB$3:$AC$12,2))</f>
        <v>1</v>
      </c>
      <c r="BM195" s="79">
        <f>IF(AT195="",0,VLOOKUP(AT195,Tables!$AB$3:$AC$12,2))</f>
        <v>1</v>
      </c>
      <c r="BN195" s="79">
        <f>IF(AU195="",0,VLOOKUP(AU195,Tables!$AB$3:$AC$12,2))</f>
        <v>0</v>
      </c>
      <c r="BO195" s="78">
        <f>IF(AV195="",0,VLOOKUP(AV195,Tables!$AB$3:$AC$12,2))</f>
        <v>1</v>
      </c>
      <c r="BP195" s="79">
        <f>IF(AW195="",0,VLOOKUP(AW195,Tables!$AB$3:$AC$12,2))</f>
        <v>1</v>
      </c>
      <c r="BQ195" s="79">
        <f>IF(AX195="",0,VLOOKUP(AX195,Tables!$AB$3:$AC$12,2))</f>
        <v>1</v>
      </c>
      <c r="BR195" s="78">
        <f>IF(AY195="",0,VLOOKUP(AY195,Tables!$AB$3:$AC$12,2))</f>
        <v>1</v>
      </c>
      <c r="BS195" s="79">
        <f>IF(AZ195="",0,VLOOKUP(AZ195,Tables!$AB$3:$AC$12,2))</f>
        <v>0</v>
      </c>
      <c r="BT195" s="79">
        <f>IF(BA195="",0,VLOOKUP(BA195,Tables!$AB$3:$AC$12,2))</f>
        <v>0</v>
      </c>
      <c r="BU195" s="80">
        <f>IF(BB195="",0,VLOOKUP(BB195,Tables!$AB$3:$AC$12,2))</f>
        <v>0</v>
      </c>
      <c r="BV195" s="85">
        <f>IF(AN195="",0,VLOOKUP(B195,Tables!$B$3:$D$36,2,FALSE())*X$1)</f>
        <v>0</v>
      </c>
      <c r="BW195" s="72">
        <f>IF(AO195="",0,VLOOKUP(C195,Tables!$B$3:$D$36,2,FALSE())*Y$1)</f>
        <v>0</v>
      </c>
      <c r="BX195" s="72">
        <f>IF(AP195="",0,VLOOKUP(D195,Tables!$B$3:$D$36,2,FALSE())*Z$1)</f>
        <v>0</v>
      </c>
      <c r="BY195" s="85">
        <f>IF(AQ195="",0,VLOOKUP(E195,Tables!$B$3:$D$36,2,FALSE())*AA$1)</f>
        <v>1.7999999999999998</v>
      </c>
      <c r="BZ195" s="72">
        <f>IF(AR195="",0,VLOOKUP(F195,Tables!$B$3:$D$36,2,FALSE())*AB$1)</f>
        <v>3.5999999999999996</v>
      </c>
      <c r="CA195" s="72">
        <f>IF(AS195="",0,VLOOKUP(G195,Tables!$B$3:$D$36,2,FALSE())*AC$1)</f>
        <v>1.2</v>
      </c>
      <c r="CB195" s="72">
        <f>IF(AT195="",0,VLOOKUP(H195,Tables!$B$3:$D$36,2,FALSE())*AD$1)</f>
        <v>3</v>
      </c>
      <c r="CC195" s="72">
        <f>IF(AU195="",0,VLOOKUP(I195,Tables!$B$3:$D$36,2,FALSE())*AE$1)</f>
        <v>0</v>
      </c>
      <c r="CD195" s="85">
        <f>IF(AV195="",0,VLOOKUP(J195,Tables!$B$3:$D$36,2,FALSE())*AF$1)</f>
        <v>7.1999999999999993</v>
      </c>
      <c r="CE195" s="72">
        <f>IF(AW195="",0,VLOOKUP(K195,Tables!$B$3:$D$36,2,FALSE())*AG$1)</f>
        <v>7.1999999999999993</v>
      </c>
      <c r="CF195" s="72">
        <f>IF(AX195="",0,VLOOKUP(L195,Tables!$B$3:$D$36,2,FALSE())*AH$1)</f>
        <v>6</v>
      </c>
      <c r="CG195" s="85">
        <f>IF(AY195="",0,VLOOKUP(M195,Tables!$B$3:$D$36,2,FALSE())*AI$1)</f>
        <v>8.4</v>
      </c>
      <c r="CH195" s="72">
        <f>IF(AZ195="",0,VLOOKUP(N195,Tables!$B$3:$D$36,2,FALSE())*AJ$1)</f>
        <v>0</v>
      </c>
      <c r="CI195" s="72">
        <f>IF(BA195="",0,VLOOKUP(O195,Tables!$B$3:$D$36,2,FALSE())*AK$1)</f>
        <v>0</v>
      </c>
      <c r="CJ195" s="86">
        <f>IF(BB195="",0,VLOOKUP(P195,Tables!$B$3:$D$36,2,FALSE())*AL$1)</f>
        <v>0</v>
      </c>
      <c r="CK195" s="87">
        <f>IF(AN195="",0,VLOOKUP(B195,Tables!$B$3:$D$36,3,FALSE())*X$1)*IF(OR(AN195="K",AN195="P"),2,1)</f>
        <v>0</v>
      </c>
      <c r="CL195" s="73">
        <f>IF(AO195="",0,VLOOKUP(C195,Tables!$B$3:$D$36,3,FALSE())*Y$1)*IF(OR(AO195="K",AO195="P"),2,1)</f>
        <v>0</v>
      </c>
      <c r="CM195" s="73">
        <f>IF(AP195="",0,VLOOKUP(D195,Tables!$B$3:$D$36,3,FALSE())*Z$1)*IF(OR(AP195="K",AP195="P"),2,1)</f>
        <v>0</v>
      </c>
      <c r="CN195" s="87">
        <f>IF(AQ195="",0,VLOOKUP(E195,Tables!$B$3:$D$36,3,FALSE())*AA$1)</f>
        <v>7.4999999999999997E-2</v>
      </c>
      <c r="CO195" s="73">
        <f>IF(AR195="",0,VLOOKUP(F195,Tables!$B$3:$D$36,3,FALSE())*AB$1)</f>
        <v>0.15</v>
      </c>
      <c r="CP195" s="73">
        <f>IF(AS195="",0,VLOOKUP(G195,Tables!$B$3:$D$36,3,FALSE())*AC$1)</f>
        <v>0.05</v>
      </c>
      <c r="CQ195" s="73">
        <f>IF(AT195="",0,VLOOKUP(H195,Tables!$B$3:$D$36,3,FALSE())*AD$1)</f>
        <v>0.125</v>
      </c>
      <c r="CR195" s="73">
        <f>IF(AU195="",0,VLOOKUP(I195,Tables!$B$3:$D$36,3,FALSE())*AE$1)</f>
        <v>0</v>
      </c>
      <c r="CS195" s="87">
        <f>IF(AV195="",0,VLOOKUP(J195,Tables!$B$3:$D$36,3,FALSE())*AF$1)</f>
        <v>0.3</v>
      </c>
      <c r="CT195" s="73">
        <f>IF(AW195="",0,VLOOKUP(K195,Tables!$B$3:$D$36,3,FALSE())*AG$1)</f>
        <v>0.3</v>
      </c>
      <c r="CU195" s="73">
        <f>IF(AX195="",0,VLOOKUP(L195,Tables!$B$3:$D$36,3,FALSE())*AH$1)</f>
        <v>0.25</v>
      </c>
      <c r="CV195" s="87">
        <f>IF(AY195="",0,VLOOKUP(M195,Tables!$B$3:$D$36,3,FALSE())*AI$1)</f>
        <v>0.35000000000000003</v>
      </c>
      <c r="CW195" s="73">
        <f>IF(AZ195="",0,VLOOKUP(N195,Tables!$B$3:$D$36,3,FALSE())*AJ$1)</f>
        <v>0</v>
      </c>
      <c r="CX195" s="73">
        <f>IF(BA195="",0,VLOOKUP(O195,Tables!$B$3:$D$36,3,FALSE())*AK$1)</f>
        <v>0</v>
      </c>
      <c r="CY195" s="88">
        <f>IF(BB195="",0,VLOOKUP(P195,Tables!$B$3:$D$36,3,FALSE())*AL$1)</f>
        <v>0</v>
      </c>
      <c r="CZ195" s="89">
        <f t="shared" si="152"/>
        <v>0</v>
      </c>
      <c r="DA195" s="75">
        <f t="shared" si="153"/>
        <v>0</v>
      </c>
      <c r="DB195" s="75">
        <f t="shared" si="154"/>
        <v>0</v>
      </c>
      <c r="DC195" s="89">
        <f t="shared" si="155"/>
        <v>1</v>
      </c>
      <c r="DD195" s="75">
        <f t="shared" si="156"/>
        <v>1</v>
      </c>
      <c r="DE195" s="75">
        <f t="shared" si="157"/>
        <v>1</v>
      </c>
      <c r="DF195" s="75">
        <f t="shared" si="158"/>
        <v>1</v>
      </c>
      <c r="DG195" s="75">
        <f t="shared" si="159"/>
        <v>0</v>
      </c>
      <c r="DH195" s="89">
        <f t="shared" si="160"/>
        <v>1</v>
      </c>
      <c r="DI195" s="75">
        <f t="shared" si="161"/>
        <v>1</v>
      </c>
      <c r="DJ195" s="75">
        <f t="shared" si="162"/>
        <v>1</v>
      </c>
      <c r="DK195" s="89">
        <f t="shared" si="163"/>
        <v>1</v>
      </c>
      <c r="DL195" s="75">
        <f t="shared" si="164"/>
        <v>0</v>
      </c>
      <c r="DM195" s="75">
        <f t="shared" si="165"/>
        <v>0</v>
      </c>
      <c r="DN195" s="90">
        <f t="shared" si="166"/>
        <v>0</v>
      </c>
      <c r="DO195" s="91">
        <f>IF(AN195="",0,VLOOKUP(B195,Tables!$B$3:$M$36,11,FALSE())*X$1)</f>
        <v>0</v>
      </c>
      <c r="DP195" s="92">
        <f>IF(AO195="",0,VLOOKUP(C195,Tables!$B$3:$M$36,11,FALSE())*Y$1)</f>
        <v>0</v>
      </c>
      <c r="DQ195" s="92">
        <f>IF(AP195="",0,VLOOKUP(D195,Tables!$B$3:$M$36,11,FALSE())*Z$1)</f>
        <v>0</v>
      </c>
      <c r="DR195" s="91">
        <f>IF(AQ195="",0,VLOOKUP(E195,Tables!$B$3:$M$36,11,FALSE())*AA$1)</f>
        <v>0.6</v>
      </c>
      <c r="DS195" s="92">
        <f>IF(AR195="",0,VLOOKUP(F195,Tables!$B$3:$M$36,11,FALSE())*AB$1)</f>
        <v>1.2</v>
      </c>
      <c r="DT195" s="92">
        <f>IF(AS195="",0,VLOOKUP(G195,Tables!$B$3:$M$36,11,FALSE())*AC$1)</f>
        <v>0.4</v>
      </c>
      <c r="DU195" s="92">
        <f>IF(AT195="",0,VLOOKUP(H195,Tables!$B$3:$M$36,11,FALSE())*AD$1)</f>
        <v>1</v>
      </c>
      <c r="DV195" s="92">
        <f>IF(AU195="",0,VLOOKUP(I195,Tables!$B$3:$M$36,11,FALSE())*AE$1)</f>
        <v>0</v>
      </c>
      <c r="DW195" s="91">
        <f>IF(AV195="",0,VLOOKUP(J195,Tables!$B$3:$M$36,11,FALSE())*AF$1)</f>
        <v>2.4</v>
      </c>
      <c r="DX195" s="92">
        <f>IF(AW195="",0,VLOOKUP(K195,Tables!$B$3:$M$36,11,FALSE())*AG$1)</f>
        <v>2.4</v>
      </c>
      <c r="DY195" s="92">
        <f>IF(AX195="",0,VLOOKUP(L195,Tables!$B$3:$M$36,11,FALSE())*AH$1)</f>
        <v>2</v>
      </c>
      <c r="DZ195" s="91">
        <f>IF(AY195="",0,VLOOKUP(M195,Tables!$B$3:$M$36,11,FALSE())*AI$1)</f>
        <v>2.8000000000000003</v>
      </c>
      <c r="EA195" s="92">
        <f>IF(AZ195="",0,VLOOKUP(N195,Tables!$B$3:$M$36,11,FALSE())*AJ$1)</f>
        <v>0</v>
      </c>
      <c r="EB195" s="92">
        <f>IF(BA195="",0,VLOOKUP(O195,Tables!$B$3:$M$36,11,FALSE())*AK$1)</f>
        <v>0</v>
      </c>
      <c r="EC195" s="93">
        <f>IF(BB195="",0,VLOOKUP(P195,Tables!$B$3:$M$36,11,FALSE())*AL$1)</f>
        <v>0</v>
      </c>
      <c r="ED195" s="91">
        <f>IF(AN195="",0,VLOOKUP(B195,Tables!$B$3:$M$36,12,FALSE())*X$1)</f>
        <v>0</v>
      </c>
      <c r="EE195" s="92">
        <f>IF(AO195="",0,VLOOKUP(C195,Tables!$B$3:$M$36,12,FALSE())*Y$1)</f>
        <v>0</v>
      </c>
      <c r="EF195" s="92">
        <f>IF(AP195="",0,VLOOKUP(D195,Tables!$B$3:$M$36,12,FALSE())*Z$1)</f>
        <v>0</v>
      </c>
      <c r="EG195" s="91">
        <f>IF(AQ195="",0,VLOOKUP(E195,Tables!$B$3:$M$36,12,FALSE())*AA$1)</f>
        <v>1.3499999999999999</v>
      </c>
      <c r="EH195" s="92">
        <f>IF(AR195="",0,VLOOKUP(F195,Tables!$B$3:$M$36,12,FALSE())*AB$1)</f>
        <v>2.6999999999999997</v>
      </c>
      <c r="EI195" s="92">
        <f>IF(AS195="",0,VLOOKUP(G195,Tables!$B$3:$M$36,12,FALSE())*AC$1)</f>
        <v>0.9</v>
      </c>
      <c r="EJ195" s="92">
        <f>IF(AT195="",0,VLOOKUP(H195,Tables!$B$3:$M$36,12,FALSE())*AD$1)</f>
        <v>2.25</v>
      </c>
      <c r="EK195" s="92">
        <f>IF(AU195="",0,VLOOKUP(I195,Tables!$B$3:$M$36,12,FALSE())*AE$1)</f>
        <v>0</v>
      </c>
      <c r="EL195" s="91">
        <f>IF(AV195="",0,VLOOKUP(J195,Tables!$B$3:$M$36,12,FALSE())*AF$1)</f>
        <v>5.3999999999999995</v>
      </c>
      <c r="EM195" s="92">
        <f>IF(AW195="",0,VLOOKUP(K195,Tables!$B$3:$M$36,12,FALSE())*AG$1)</f>
        <v>5.3999999999999995</v>
      </c>
      <c r="EN195" s="92">
        <f>IF(AX195="",0,VLOOKUP(L195,Tables!$B$3:$M$36,12,FALSE())*AH$1)</f>
        <v>4.5</v>
      </c>
      <c r="EO195" s="91">
        <f>IF(AY195="",0,VLOOKUP(M195,Tables!$B$3:$M$36,12,FALSE())*AI$1)</f>
        <v>6.3000000000000007</v>
      </c>
      <c r="EP195" s="92">
        <f>IF(AZ195="",0,VLOOKUP(N195,Tables!$B$3:$M$36,12,FALSE())*AJ$1)</f>
        <v>0</v>
      </c>
      <c r="EQ195" s="92">
        <f>IF(BA195="",0,VLOOKUP(O195,Tables!$B$3:$M$36,12,FALSE())*AK$1)</f>
        <v>0</v>
      </c>
      <c r="ER195" s="93">
        <f>IF(BB195="",0,VLOOKUP(P195,Tables!$B$3:$M$36,12,FALSE())*AL$1)</f>
        <v>0</v>
      </c>
      <c r="ES195" s="94">
        <f t="shared" si="167"/>
        <v>0</v>
      </c>
      <c r="ET195" s="95">
        <f>IF(AN195="",10,MIN(VLOOKUP(B195,MATERIAL,13,FALSE()),'Item Builder'!$W195))</f>
        <v>10</v>
      </c>
      <c r="EU195" s="95">
        <f>IF(AO195="",10,MIN(VLOOKUP(C195,MATERIAL,13,FALSE()),'Item Builder'!$W195))</f>
        <v>10</v>
      </c>
      <c r="EV195" s="95">
        <f>IF(AP195="",10,MIN(VLOOKUP(D195,MATERIAL,13,FALSE()),'Item Builder'!$W195))</f>
        <v>10</v>
      </c>
      <c r="EW195" s="95">
        <f>IF(AQ195="",10,MIN(VLOOKUP(E195,MATERIAL,13,FALSE()),'Item Builder'!$W195))</f>
        <v>0</v>
      </c>
      <c r="EX195" s="95">
        <f>IF(AR195="",10,MIN(VLOOKUP(F195,MATERIAL,13,FALSE()),'Item Builder'!$W195))</f>
        <v>0</v>
      </c>
      <c r="EY195" s="95">
        <f>IF(AS195="",10,MIN(VLOOKUP(G195,MATERIAL,13,FALSE()),'Item Builder'!$W195))</f>
        <v>0</v>
      </c>
      <c r="EZ195" s="95">
        <f>IF(AT195="",10,MIN(VLOOKUP(H195,MATERIAL,13,FALSE()),'Item Builder'!$W195))</f>
        <v>0</v>
      </c>
      <c r="FA195" s="95">
        <f>IF(AU195="",10,MIN(VLOOKUP(I195,MATERIAL,13,FALSE()),'Item Builder'!$W195))</f>
        <v>10</v>
      </c>
      <c r="FB195" s="95">
        <f>IF(AV195="",10,MIN(VLOOKUP(J195,MATERIAL,13,FALSE()),'Item Builder'!$W195))</f>
        <v>0</v>
      </c>
      <c r="FC195" s="95">
        <f>IF(AW195="",10,MIN(VLOOKUP(K195,MATERIAL,13,FALSE()),'Item Builder'!$W195))</f>
        <v>0</v>
      </c>
      <c r="FD195" s="95">
        <f>IF(AX195="",10,MIN(VLOOKUP(L195,MATERIAL,13,FALSE()),'Item Builder'!$W195))</f>
        <v>0</v>
      </c>
      <c r="FE195" s="95">
        <f>IF(AY195="",10,MIN(VLOOKUP(M195,MATERIAL,13,FALSE()),'Item Builder'!$W195))</f>
        <v>0</v>
      </c>
      <c r="FF195" s="95">
        <f>IF(AZ195="",10,MIN(VLOOKUP(N195,MATERIAL,13,FALSE()),'Item Builder'!$W195))</f>
        <v>10</v>
      </c>
      <c r="FG195" s="95">
        <f>IF(BA195="",10,MIN(VLOOKUP(O195,MATERIAL,13,FALSE()),'Item Builder'!$W195))</f>
        <v>10</v>
      </c>
      <c r="FH195" s="95">
        <f>IF(BB195="",10,MIN(VLOOKUP(P195,MATERIAL,13,FALSE()),'Item Builder'!$W195))</f>
        <v>10</v>
      </c>
    </row>
    <row r="196" spans="1:164" x14ac:dyDescent="0.25">
      <c r="A196" s="67" t="s">
        <v>336</v>
      </c>
      <c r="B196" s="68"/>
      <c r="C196" s="69"/>
      <c r="D196" s="70"/>
      <c r="E196" s="68" t="s">
        <v>146</v>
      </c>
      <c r="F196" s="69" t="s">
        <v>146</v>
      </c>
      <c r="G196" s="69" t="s">
        <v>146</v>
      </c>
      <c r="H196" s="69" t="s">
        <v>146</v>
      </c>
      <c r="I196" s="70"/>
      <c r="J196" s="68" t="s">
        <v>146</v>
      </c>
      <c r="K196" s="69" t="s">
        <v>146</v>
      </c>
      <c r="L196" s="70" t="s">
        <v>146</v>
      </c>
      <c r="M196" s="68" t="s">
        <v>146</v>
      </c>
      <c r="N196" s="69" t="s">
        <v>146</v>
      </c>
      <c r="O196" s="69" t="s">
        <v>146</v>
      </c>
      <c r="P196" s="71"/>
      <c r="Q196" s="72">
        <f>SUM(BV196:CJ196)*VLOOKUP(W196,Tables!$W$3:$Z$8,4)</f>
        <v>47.399999999999991</v>
      </c>
      <c r="R196" s="73">
        <f t="shared" ref="R196:R251" si="168">SUM(CK196:CY196)</f>
        <v>1.9750000000000001</v>
      </c>
      <c r="S196" s="74">
        <f t="shared" ref="S196:S251" si="169">ROUND(SUMPRODUCT(CK196:CY196,CZ196:DN196,$CK$1:$CY$1)/$S$2,0)*5</f>
        <v>0</v>
      </c>
      <c r="T196" s="74">
        <f t="shared" ref="T196:T251" si="170">IF(OR(B196="",D196=""),0,5)+IF(C196="",0,5)</f>
        <v>0</v>
      </c>
      <c r="U196" s="75">
        <f t="shared" ref="U196:U251" si="171">SUM(DO196:EC196)</f>
        <v>15.8</v>
      </c>
      <c r="V196" s="76">
        <f t="shared" ref="V196:V251" si="172">SUM(ED196:ER196)</f>
        <v>35.550000000000004</v>
      </c>
      <c r="W196" s="77">
        <v>0</v>
      </c>
      <c r="X196" s="78">
        <f t="shared" ref="X196:X251" si="173">COUNTA(B196)</f>
        <v>0</v>
      </c>
      <c r="Y196" s="79">
        <f t="shared" ref="Y196:Y251" si="174">COUNTA(C196)</f>
        <v>0</v>
      </c>
      <c r="Z196" s="79">
        <f t="shared" ref="Z196:Z251" si="175">COUNTA(D196)</f>
        <v>0</v>
      </c>
      <c r="AA196" s="78">
        <f t="shared" ref="AA196:AA251" si="176">COUNTA(E196)</f>
        <v>1</v>
      </c>
      <c r="AB196" s="79">
        <f t="shared" ref="AB196:AB251" si="177">COUNTA(F196)</f>
        <v>1</v>
      </c>
      <c r="AC196" s="79">
        <f t="shared" ref="AC196:AC251" si="178">COUNTA(G196)</f>
        <v>1</v>
      </c>
      <c r="AD196" s="79">
        <f t="shared" ref="AD196:AD251" si="179">COUNTA(H196)</f>
        <v>1</v>
      </c>
      <c r="AE196" s="79">
        <f t="shared" ref="AE196:AE251" si="180">COUNTA(I196)</f>
        <v>0</v>
      </c>
      <c r="AF196" s="78">
        <f t="shared" ref="AF196:AF251" si="181">COUNTA(J196)</f>
        <v>1</v>
      </c>
      <c r="AG196" s="79">
        <f t="shared" ref="AG196:AG251" si="182">COUNTA(K196)</f>
        <v>1</v>
      </c>
      <c r="AH196" s="79">
        <f t="shared" ref="AH196:AH251" si="183">COUNTA(L196)</f>
        <v>1</v>
      </c>
      <c r="AI196" s="78">
        <f t="shared" ref="AI196:AI251" si="184">COUNTA(M196)</f>
        <v>1</v>
      </c>
      <c r="AJ196" s="79">
        <f t="shared" ref="AJ196:AJ251" si="185">COUNTA(N196)</f>
        <v>1</v>
      </c>
      <c r="AK196" s="79">
        <f t="shared" ref="AK196:AK251" si="186">COUNTA(O196)</f>
        <v>1</v>
      </c>
      <c r="AL196" s="80">
        <f t="shared" ref="AL196:AL251" si="187">COUNTA(P196)</f>
        <v>0</v>
      </c>
      <c r="AM196" s="81">
        <f t="shared" ref="AM196:AM259" si="188">SUMPRODUCT(X196:AL196,$X$1:$AL$1)</f>
        <v>0.79</v>
      </c>
      <c r="AN196" s="82" t="str">
        <f t="shared" ref="AN196:AN251" si="189">LEFT(B196,1)</f>
        <v/>
      </c>
      <c r="AO196" s="79" t="str">
        <f t="shared" ref="AO196:AO251" si="190">LEFT(C196,1)</f>
        <v/>
      </c>
      <c r="AP196" t="str">
        <f t="shared" ref="AP196:AP251" si="191">LEFT(D196,1)</f>
        <v/>
      </c>
      <c r="AQ196" s="82" t="str">
        <f t="shared" ref="AQ196:AQ251" si="192">LEFT(E196,1)</f>
        <v>X</v>
      </c>
      <c r="AR196" t="str">
        <f t="shared" ref="AR196:AR251" si="193">LEFT(F196,1)</f>
        <v>X</v>
      </c>
      <c r="AS196" t="str">
        <f t="shared" ref="AS196:AS251" si="194">LEFT(G196,1)</f>
        <v>X</v>
      </c>
      <c r="AT196" t="str">
        <f t="shared" ref="AT196:AT251" si="195">LEFT(H196,1)</f>
        <v>X</v>
      </c>
      <c r="AU196" t="str">
        <f t="shared" ref="AU196:AU251" si="196">LEFT(I196,1)</f>
        <v/>
      </c>
      <c r="AV196" s="82" t="str">
        <f t="shared" ref="AV196:AV251" si="197">LEFT(J196,1)</f>
        <v>X</v>
      </c>
      <c r="AW196" t="str">
        <f t="shared" ref="AW196:AW251" si="198">LEFT(K196,1)</f>
        <v>X</v>
      </c>
      <c r="AX196" t="str">
        <f t="shared" ref="AX196:AX251" si="199">LEFT(L196,1)</f>
        <v>X</v>
      </c>
      <c r="AY196" s="82" t="str">
        <f t="shared" ref="AY196:AY251" si="200">LEFT(M196,1)</f>
        <v>X</v>
      </c>
      <c r="AZ196" t="str">
        <f t="shared" ref="AZ196:AZ251" si="201">LEFT(N196,1)</f>
        <v>X</v>
      </c>
      <c r="BA196" t="str">
        <f t="shared" ref="BA196:BA251" si="202">LEFT(O196,1)</f>
        <v>X</v>
      </c>
      <c r="BB196" s="83" t="str">
        <f t="shared" ref="BB196:BB251" si="203">LEFT(P196,1)</f>
        <v/>
      </c>
      <c r="BC196" s="84">
        <f t="shared" ref="BC196:BC251" si="204">SUMPRODUCT(X196:Z196,$X$1:$Z$1)/SUM($X$1:$Z$1)</f>
        <v>0</v>
      </c>
      <c r="BD196" s="84">
        <f t="shared" ref="BD196:BD251" si="205">SUMPRODUCT(AA196:AE196,$AA$1:$AE$1)/SUM($AA$1:$AE$1)</f>
        <v>0.76190476190476186</v>
      </c>
      <c r="BE196" s="84">
        <f t="shared" ref="BE196:BE251" si="206">SUMPRODUCT(AF196:AH196,$AF$1:$AH$1)/SUM($AF$1:$AH$1)</f>
        <v>1</v>
      </c>
      <c r="BF196" s="84">
        <f t="shared" ref="BF196:BF251" si="207">SUMPRODUCT(AI196:AL196,$AI$1:$AL$1)/SUM($AI$1:$AL$1)</f>
        <v>0.80555555555555558</v>
      </c>
      <c r="BG196" s="78">
        <f>IF(AN196="",0,VLOOKUP(AN196,Tables!$AB$3:$AC$12,2))</f>
        <v>0</v>
      </c>
      <c r="BH196" s="79">
        <f>IF(AO196="",0,VLOOKUP(AO196,Tables!$AB$3:$AC$12,2))</f>
        <v>0</v>
      </c>
      <c r="BI196" s="79">
        <f>IF(AP196="",0,VLOOKUP(AP196,Tables!$AB$3:$AC$12,2))</f>
        <v>0</v>
      </c>
      <c r="BJ196" s="78">
        <f>IF(AQ196="",0,VLOOKUP(AQ196,Tables!$AB$3:$AC$12,2))</f>
        <v>1</v>
      </c>
      <c r="BK196" s="79">
        <f>IF(AR196="",0,VLOOKUP(AR196,Tables!$AB$3:$AC$12,2))</f>
        <v>1</v>
      </c>
      <c r="BL196" s="79">
        <f>IF(AS196="",0,VLOOKUP(AS196,Tables!$AB$3:$AC$12,2))</f>
        <v>1</v>
      </c>
      <c r="BM196" s="79">
        <f>IF(AT196="",0,VLOOKUP(AT196,Tables!$AB$3:$AC$12,2))</f>
        <v>1</v>
      </c>
      <c r="BN196" s="79">
        <f>IF(AU196="",0,VLOOKUP(AU196,Tables!$AB$3:$AC$12,2))</f>
        <v>0</v>
      </c>
      <c r="BO196" s="78">
        <f>IF(AV196="",0,VLOOKUP(AV196,Tables!$AB$3:$AC$12,2))</f>
        <v>1</v>
      </c>
      <c r="BP196" s="79">
        <f>IF(AW196="",0,VLOOKUP(AW196,Tables!$AB$3:$AC$12,2))</f>
        <v>1</v>
      </c>
      <c r="BQ196" s="79">
        <f>IF(AX196="",0,VLOOKUP(AX196,Tables!$AB$3:$AC$12,2))</f>
        <v>1</v>
      </c>
      <c r="BR196" s="78">
        <f>IF(AY196="",0,VLOOKUP(AY196,Tables!$AB$3:$AC$12,2))</f>
        <v>1</v>
      </c>
      <c r="BS196" s="79">
        <f>IF(AZ196="",0,VLOOKUP(AZ196,Tables!$AB$3:$AC$12,2))</f>
        <v>1</v>
      </c>
      <c r="BT196" s="79">
        <f>IF(BA196="",0,VLOOKUP(BA196,Tables!$AB$3:$AC$12,2))</f>
        <v>1</v>
      </c>
      <c r="BU196" s="80">
        <f>IF(BB196="",0,VLOOKUP(BB196,Tables!$AB$3:$AC$12,2))</f>
        <v>0</v>
      </c>
      <c r="BV196" s="85">
        <f>IF(AN196="",0,VLOOKUP(B196,Tables!$B$3:$D$36,2,FALSE())*X$1)</f>
        <v>0</v>
      </c>
      <c r="BW196" s="72">
        <f>IF(AO196="",0,VLOOKUP(C196,Tables!$B$3:$D$36,2,FALSE())*Y$1)</f>
        <v>0</v>
      </c>
      <c r="BX196" s="72">
        <f>IF(AP196="",0,VLOOKUP(D196,Tables!$B$3:$D$36,2,FALSE())*Z$1)</f>
        <v>0</v>
      </c>
      <c r="BY196" s="85">
        <f>IF(AQ196="",0,VLOOKUP(E196,Tables!$B$3:$D$36,2,FALSE())*AA$1)</f>
        <v>1.7999999999999998</v>
      </c>
      <c r="BZ196" s="72">
        <f>IF(AR196="",0,VLOOKUP(F196,Tables!$B$3:$D$36,2,FALSE())*AB$1)</f>
        <v>3.5999999999999996</v>
      </c>
      <c r="CA196" s="72">
        <f>IF(AS196="",0,VLOOKUP(G196,Tables!$B$3:$D$36,2,FALSE())*AC$1)</f>
        <v>1.2</v>
      </c>
      <c r="CB196" s="72">
        <f>IF(AT196="",0,VLOOKUP(H196,Tables!$B$3:$D$36,2,FALSE())*AD$1)</f>
        <v>3</v>
      </c>
      <c r="CC196" s="72">
        <f>IF(AU196="",0,VLOOKUP(I196,Tables!$B$3:$D$36,2,FALSE())*AE$1)</f>
        <v>0</v>
      </c>
      <c r="CD196" s="85">
        <f>IF(AV196="",0,VLOOKUP(J196,Tables!$B$3:$D$36,2,FALSE())*AF$1)</f>
        <v>7.1999999999999993</v>
      </c>
      <c r="CE196" s="72">
        <f>IF(AW196="",0,VLOOKUP(K196,Tables!$B$3:$D$36,2,FALSE())*AG$1)</f>
        <v>7.1999999999999993</v>
      </c>
      <c r="CF196" s="72">
        <f>IF(AX196="",0,VLOOKUP(L196,Tables!$B$3:$D$36,2,FALSE())*AH$1)</f>
        <v>6</v>
      </c>
      <c r="CG196" s="85">
        <f>IF(AY196="",0,VLOOKUP(M196,Tables!$B$3:$D$36,2,FALSE())*AI$1)</f>
        <v>8.4</v>
      </c>
      <c r="CH196" s="72">
        <f>IF(AZ196="",0,VLOOKUP(N196,Tables!$B$3:$D$36,2,FALSE())*AJ$1)</f>
        <v>1.7999999999999998</v>
      </c>
      <c r="CI196" s="72">
        <f>IF(BA196="",0,VLOOKUP(O196,Tables!$B$3:$D$36,2,FALSE())*AK$1)</f>
        <v>7.1999999999999993</v>
      </c>
      <c r="CJ196" s="86">
        <f>IF(BB196="",0,VLOOKUP(P196,Tables!$B$3:$D$36,2,FALSE())*AL$1)</f>
        <v>0</v>
      </c>
      <c r="CK196" s="87">
        <f>IF(AN196="",0,VLOOKUP(B196,Tables!$B$3:$D$36,3,FALSE())*X$1)*IF(OR(AN196="K",AN196="P"),2,1)</f>
        <v>0</v>
      </c>
      <c r="CL196" s="73">
        <f>IF(AO196="",0,VLOOKUP(C196,Tables!$B$3:$D$36,3,FALSE())*Y$1)*IF(OR(AO196="K",AO196="P"),2,1)</f>
        <v>0</v>
      </c>
      <c r="CM196" s="73">
        <f>IF(AP196="",0,VLOOKUP(D196,Tables!$B$3:$D$36,3,FALSE())*Z$1)*IF(OR(AP196="K",AP196="P"),2,1)</f>
        <v>0</v>
      </c>
      <c r="CN196" s="87">
        <f>IF(AQ196="",0,VLOOKUP(E196,Tables!$B$3:$D$36,3,FALSE())*AA$1)</f>
        <v>7.4999999999999997E-2</v>
      </c>
      <c r="CO196" s="73">
        <f>IF(AR196="",0,VLOOKUP(F196,Tables!$B$3:$D$36,3,FALSE())*AB$1)</f>
        <v>0.15</v>
      </c>
      <c r="CP196" s="73">
        <f>IF(AS196="",0,VLOOKUP(G196,Tables!$B$3:$D$36,3,FALSE())*AC$1)</f>
        <v>0.05</v>
      </c>
      <c r="CQ196" s="73">
        <f>IF(AT196="",0,VLOOKUP(H196,Tables!$B$3:$D$36,3,FALSE())*AD$1)</f>
        <v>0.125</v>
      </c>
      <c r="CR196" s="73">
        <f>IF(AU196="",0,VLOOKUP(I196,Tables!$B$3:$D$36,3,FALSE())*AE$1)</f>
        <v>0</v>
      </c>
      <c r="CS196" s="87">
        <f>IF(AV196="",0,VLOOKUP(J196,Tables!$B$3:$D$36,3,FALSE())*AF$1)</f>
        <v>0.3</v>
      </c>
      <c r="CT196" s="73">
        <f>IF(AW196="",0,VLOOKUP(K196,Tables!$B$3:$D$36,3,FALSE())*AG$1)</f>
        <v>0.3</v>
      </c>
      <c r="CU196" s="73">
        <f>IF(AX196="",0,VLOOKUP(L196,Tables!$B$3:$D$36,3,FALSE())*AH$1)</f>
        <v>0.25</v>
      </c>
      <c r="CV196" s="87">
        <f>IF(AY196="",0,VLOOKUP(M196,Tables!$B$3:$D$36,3,FALSE())*AI$1)</f>
        <v>0.35000000000000003</v>
      </c>
      <c r="CW196" s="73">
        <f>IF(AZ196="",0,VLOOKUP(N196,Tables!$B$3:$D$36,3,FALSE())*AJ$1)</f>
        <v>7.4999999999999997E-2</v>
      </c>
      <c r="CX196" s="73">
        <f>IF(BA196="",0,VLOOKUP(O196,Tables!$B$3:$D$36,3,FALSE())*AK$1)</f>
        <v>0.3</v>
      </c>
      <c r="CY196" s="88">
        <f>IF(BB196="",0,VLOOKUP(P196,Tables!$B$3:$D$36,3,FALSE())*AL$1)</f>
        <v>0</v>
      </c>
      <c r="CZ196" s="89">
        <f t="shared" ref="CZ196:CZ251" si="208">IF(B196="",0,VLOOKUP(B196,MATERIAL,10,FALSE()))</f>
        <v>0</v>
      </c>
      <c r="DA196" s="75">
        <f t="shared" ref="DA196:DA251" si="209">IF(C196="",0,VLOOKUP(C196,MATERIAL,10,FALSE()))</f>
        <v>0</v>
      </c>
      <c r="DB196" s="75">
        <f t="shared" ref="DB196:DB251" si="210">IF(D196="",0,VLOOKUP(D196,MATERIAL,10,FALSE()))</f>
        <v>0</v>
      </c>
      <c r="DC196" s="89">
        <f t="shared" ref="DC196:DC251" si="211">IF(E196="",0,VLOOKUP(E196,MATERIAL,10,FALSE()))</f>
        <v>1</v>
      </c>
      <c r="DD196" s="75">
        <f t="shared" ref="DD196:DD251" si="212">IF(F196="",0,VLOOKUP(F196,MATERIAL,10,FALSE()))</f>
        <v>1</v>
      </c>
      <c r="DE196" s="75">
        <f t="shared" ref="DE196:DE251" si="213">IF(G196="",0,VLOOKUP(G196,MATERIAL,10,FALSE()))</f>
        <v>1</v>
      </c>
      <c r="DF196" s="75">
        <f t="shared" ref="DF196:DF251" si="214">IF(H196="",0,VLOOKUP(H196,MATERIAL,10,FALSE()))</f>
        <v>1</v>
      </c>
      <c r="DG196" s="75">
        <f t="shared" ref="DG196:DG251" si="215">IF(I196="",0,VLOOKUP(I196,MATERIAL,10,FALSE()))</f>
        <v>0</v>
      </c>
      <c r="DH196" s="89">
        <f t="shared" ref="DH196:DH251" si="216">IF(J196="",0,VLOOKUP(J196,MATERIAL,10,FALSE()))</f>
        <v>1</v>
      </c>
      <c r="DI196" s="75">
        <f t="shared" ref="DI196:DI251" si="217">IF(K196="",0,VLOOKUP(K196,MATERIAL,10,FALSE()))</f>
        <v>1</v>
      </c>
      <c r="DJ196" s="75">
        <f t="shared" ref="DJ196:DJ251" si="218">IF(L196="",0,VLOOKUP(L196,MATERIAL,10,FALSE()))</f>
        <v>1</v>
      </c>
      <c r="DK196" s="89">
        <f t="shared" ref="DK196:DK251" si="219">IF(M196="",0,VLOOKUP(M196,MATERIAL,10,FALSE()))</f>
        <v>1</v>
      </c>
      <c r="DL196" s="75">
        <f t="shared" ref="DL196:DL251" si="220">IF(N196="",0,VLOOKUP(N196,MATERIAL,10,FALSE()))</f>
        <v>1</v>
      </c>
      <c r="DM196" s="75">
        <f t="shared" ref="DM196:DM251" si="221">IF(O196="",0,VLOOKUP(O196,MATERIAL,10,FALSE()))</f>
        <v>1</v>
      </c>
      <c r="DN196" s="90">
        <f t="shared" ref="DN196:DN251" si="222">IF(P196="",0,VLOOKUP(P196,MATERIAL,10,FALSE()))</f>
        <v>0</v>
      </c>
      <c r="DO196" s="91">
        <f>IF(AN196="",0,VLOOKUP(B196,Tables!$B$3:$M$36,11,FALSE())*X$1)</f>
        <v>0</v>
      </c>
      <c r="DP196" s="92">
        <f>IF(AO196="",0,VLOOKUP(C196,Tables!$B$3:$M$36,11,FALSE())*Y$1)</f>
        <v>0</v>
      </c>
      <c r="DQ196" s="92">
        <f>IF(AP196="",0,VLOOKUP(D196,Tables!$B$3:$M$36,11,FALSE())*Z$1)</f>
        <v>0</v>
      </c>
      <c r="DR196" s="91">
        <f>IF(AQ196="",0,VLOOKUP(E196,Tables!$B$3:$M$36,11,FALSE())*AA$1)</f>
        <v>0.6</v>
      </c>
      <c r="DS196" s="92">
        <f>IF(AR196="",0,VLOOKUP(F196,Tables!$B$3:$M$36,11,FALSE())*AB$1)</f>
        <v>1.2</v>
      </c>
      <c r="DT196" s="92">
        <f>IF(AS196="",0,VLOOKUP(G196,Tables!$B$3:$M$36,11,FALSE())*AC$1)</f>
        <v>0.4</v>
      </c>
      <c r="DU196" s="92">
        <f>IF(AT196="",0,VLOOKUP(H196,Tables!$B$3:$M$36,11,FALSE())*AD$1)</f>
        <v>1</v>
      </c>
      <c r="DV196" s="92">
        <f>IF(AU196="",0,VLOOKUP(I196,Tables!$B$3:$M$36,11,FALSE())*AE$1)</f>
        <v>0</v>
      </c>
      <c r="DW196" s="91">
        <f>IF(AV196="",0,VLOOKUP(J196,Tables!$B$3:$M$36,11,FALSE())*AF$1)</f>
        <v>2.4</v>
      </c>
      <c r="DX196" s="92">
        <f>IF(AW196="",0,VLOOKUP(K196,Tables!$B$3:$M$36,11,FALSE())*AG$1)</f>
        <v>2.4</v>
      </c>
      <c r="DY196" s="92">
        <f>IF(AX196="",0,VLOOKUP(L196,Tables!$B$3:$M$36,11,FALSE())*AH$1)</f>
        <v>2</v>
      </c>
      <c r="DZ196" s="91">
        <f>IF(AY196="",0,VLOOKUP(M196,Tables!$B$3:$M$36,11,FALSE())*AI$1)</f>
        <v>2.8000000000000003</v>
      </c>
      <c r="EA196" s="92">
        <f>IF(AZ196="",0,VLOOKUP(N196,Tables!$B$3:$M$36,11,FALSE())*AJ$1)</f>
        <v>0.6</v>
      </c>
      <c r="EB196" s="92">
        <f>IF(BA196="",0,VLOOKUP(O196,Tables!$B$3:$M$36,11,FALSE())*AK$1)</f>
        <v>2.4</v>
      </c>
      <c r="EC196" s="93">
        <f>IF(BB196="",0,VLOOKUP(P196,Tables!$B$3:$M$36,11,FALSE())*AL$1)</f>
        <v>0</v>
      </c>
      <c r="ED196" s="91">
        <f>IF(AN196="",0,VLOOKUP(B196,Tables!$B$3:$M$36,12,FALSE())*X$1)</f>
        <v>0</v>
      </c>
      <c r="EE196" s="92">
        <f>IF(AO196="",0,VLOOKUP(C196,Tables!$B$3:$M$36,12,FALSE())*Y$1)</f>
        <v>0</v>
      </c>
      <c r="EF196" s="92">
        <f>IF(AP196="",0,VLOOKUP(D196,Tables!$B$3:$M$36,12,FALSE())*Z$1)</f>
        <v>0</v>
      </c>
      <c r="EG196" s="91">
        <f>IF(AQ196="",0,VLOOKUP(E196,Tables!$B$3:$M$36,12,FALSE())*AA$1)</f>
        <v>1.3499999999999999</v>
      </c>
      <c r="EH196" s="92">
        <f>IF(AR196="",0,VLOOKUP(F196,Tables!$B$3:$M$36,12,FALSE())*AB$1)</f>
        <v>2.6999999999999997</v>
      </c>
      <c r="EI196" s="92">
        <f>IF(AS196="",0,VLOOKUP(G196,Tables!$B$3:$M$36,12,FALSE())*AC$1)</f>
        <v>0.9</v>
      </c>
      <c r="EJ196" s="92">
        <f>IF(AT196="",0,VLOOKUP(H196,Tables!$B$3:$M$36,12,FALSE())*AD$1)</f>
        <v>2.25</v>
      </c>
      <c r="EK196" s="92">
        <f>IF(AU196="",0,VLOOKUP(I196,Tables!$B$3:$M$36,12,FALSE())*AE$1)</f>
        <v>0</v>
      </c>
      <c r="EL196" s="91">
        <f>IF(AV196="",0,VLOOKUP(J196,Tables!$B$3:$M$36,12,FALSE())*AF$1)</f>
        <v>5.3999999999999995</v>
      </c>
      <c r="EM196" s="92">
        <f>IF(AW196="",0,VLOOKUP(K196,Tables!$B$3:$M$36,12,FALSE())*AG$1)</f>
        <v>5.3999999999999995</v>
      </c>
      <c r="EN196" s="92">
        <f>IF(AX196="",0,VLOOKUP(L196,Tables!$B$3:$M$36,12,FALSE())*AH$1)</f>
        <v>4.5</v>
      </c>
      <c r="EO196" s="91">
        <f>IF(AY196="",0,VLOOKUP(M196,Tables!$B$3:$M$36,12,FALSE())*AI$1)</f>
        <v>6.3000000000000007</v>
      </c>
      <c r="EP196" s="92">
        <f>IF(AZ196="",0,VLOOKUP(N196,Tables!$B$3:$M$36,12,FALSE())*AJ$1)</f>
        <v>1.3499999999999999</v>
      </c>
      <c r="EQ196" s="92">
        <f>IF(BA196="",0,VLOOKUP(O196,Tables!$B$3:$M$36,12,FALSE())*AK$1)</f>
        <v>5.3999999999999995</v>
      </c>
      <c r="ER196" s="93">
        <f>IF(BB196="",0,VLOOKUP(P196,Tables!$B$3:$M$36,12,FALSE())*AL$1)</f>
        <v>0</v>
      </c>
      <c r="ES196" s="94">
        <f t="shared" ref="ES196:ES259" si="223">IF(MIN(ET196:FH196)=10,0,MIN(ET196:FH196))</f>
        <v>0</v>
      </c>
      <c r="ET196" s="95">
        <f>IF(AN196="",10,MIN(VLOOKUP(B196,MATERIAL,13,FALSE()),'Item Builder'!$W196))</f>
        <v>10</v>
      </c>
      <c r="EU196" s="95">
        <f>IF(AO196="",10,MIN(VLOOKUP(C196,MATERIAL,13,FALSE()),'Item Builder'!$W196))</f>
        <v>10</v>
      </c>
      <c r="EV196" s="95">
        <f>IF(AP196="",10,MIN(VLOOKUP(D196,MATERIAL,13,FALSE()),'Item Builder'!$W196))</f>
        <v>10</v>
      </c>
      <c r="EW196" s="95">
        <f>IF(AQ196="",10,MIN(VLOOKUP(E196,MATERIAL,13,FALSE()),'Item Builder'!$W196))</f>
        <v>0</v>
      </c>
      <c r="EX196" s="95">
        <f>IF(AR196="",10,MIN(VLOOKUP(F196,MATERIAL,13,FALSE()),'Item Builder'!$W196))</f>
        <v>0</v>
      </c>
      <c r="EY196" s="95">
        <f>IF(AS196="",10,MIN(VLOOKUP(G196,MATERIAL,13,FALSE()),'Item Builder'!$W196))</f>
        <v>0</v>
      </c>
      <c r="EZ196" s="95">
        <f>IF(AT196="",10,MIN(VLOOKUP(H196,MATERIAL,13,FALSE()),'Item Builder'!$W196))</f>
        <v>0</v>
      </c>
      <c r="FA196" s="95">
        <f>IF(AU196="",10,MIN(VLOOKUP(I196,MATERIAL,13,FALSE()),'Item Builder'!$W196))</f>
        <v>10</v>
      </c>
      <c r="FB196" s="95">
        <f>IF(AV196="",10,MIN(VLOOKUP(J196,MATERIAL,13,FALSE()),'Item Builder'!$W196))</f>
        <v>0</v>
      </c>
      <c r="FC196" s="95">
        <f>IF(AW196="",10,MIN(VLOOKUP(K196,MATERIAL,13,FALSE()),'Item Builder'!$W196))</f>
        <v>0</v>
      </c>
      <c r="FD196" s="95">
        <f>IF(AX196="",10,MIN(VLOOKUP(L196,MATERIAL,13,FALSE()),'Item Builder'!$W196))</f>
        <v>0</v>
      </c>
      <c r="FE196" s="95">
        <f>IF(AY196="",10,MIN(VLOOKUP(M196,MATERIAL,13,FALSE()),'Item Builder'!$W196))</f>
        <v>0</v>
      </c>
      <c r="FF196" s="95">
        <f>IF(AZ196="",10,MIN(VLOOKUP(N196,MATERIAL,13,FALSE()),'Item Builder'!$W196))</f>
        <v>0</v>
      </c>
      <c r="FG196" s="95">
        <f>IF(BA196="",10,MIN(VLOOKUP(O196,MATERIAL,13,FALSE()),'Item Builder'!$W196))</f>
        <v>0</v>
      </c>
      <c r="FH196" s="95">
        <f>IF(BB196="",10,MIN(VLOOKUP(P196,MATERIAL,13,FALSE()),'Item Builder'!$W196))</f>
        <v>10</v>
      </c>
    </row>
    <row r="197" spans="1:164" x14ac:dyDescent="0.25">
      <c r="A197" s="67" t="s">
        <v>337</v>
      </c>
      <c r="B197" s="68"/>
      <c r="C197" s="69"/>
      <c r="D197" s="70"/>
      <c r="E197" s="68"/>
      <c r="F197" s="69"/>
      <c r="G197" s="69"/>
      <c r="H197" s="69"/>
      <c r="I197" s="70"/>
      <c r="J197" s="68"/>
      <c r="K197" s="69"/>
      <c r="L197" s="70" t="s">
        <v>146</v>
      </c>
      <c r="M197" s="68" t="s">
        <v>146</v>
      </c>
      <c r="N197" s="69" t="s">
        <v>146</v>
      </c>
      <c r="O197" s="69"/>
      <c r="P197" s="71"/>
      <c r="Q197" s="72">
        <f>SUM(BV197:CJ197)*VLOOKUP(W197,Tables!$W$3:$Z$8,4)</f>
        <v>16.2</v>
      </c>
      <c r="R197" s="73">
        <f t="shared" si="168"/>
        <v>0.67500000000000004</v>
      </c>
      <c r="S197" s="74">
        <f t="shared" si="169"/>
        <v>0</v>
      </c>
      <c r="T197" s="74">
        <f t="shared" si="170"/>
        <v>0</v>
      </c>
      <c r="U197" s="75">
        <f t="shared" si="171"/>
        <v>5.4</v>
      </c>
      <c r="V197" s="76">
        <f t="shared" si="172"/>
        <v>12.15</v>
      </c>
      <c r="W197" s="77">
        <v>0</v>
      </c>
      <c r="X197" s="78">
        <f t="shared" si="173"/>
        <v>0</v>
      </c>
      <c r="Y197" s="79">
        <f t="shared" si="174"/>
        <v>0</v>
      </c>
      <c r="Z197" s="79">
        <f t="shared" si="175"/>
        <v>0</v>
      </c>
      <c r="AA197" s="78">
        <f t="shared" si="176"/>
        <v>0</v>
      </c>
      <c r="AB197" s="79">
        <f t="shared" si="177"/>
        <v>0</v>
      </c>
      <c r="AC197" s="79">
        <f t="shared" si="178"/>
        <v>0</v>
      </c>
      <c r="AD197" s="79">
        <f t="shared" si="179"/>
        <v>0</v>
      </c>
      <c r="AE197" s="79">
        <f t="shared" si="180"/>
        <v>0</v>
      </c>
      <c r="AF197" s="78">
        <f t="shared" si="181"/>
        <v>0</v>
      </c>
      <c r="AG197" s="79">
        <f t="shared" si="182"/>
        <v>0</v>
      </c>
      <c r="AH197" s="79">
        <f t="shared" si="183"/>
        <v>1</v>
      </c>
      <c r="AI197" s="78">
        <f t="shared" si="184"/>
        <v>1</v>
      </c>
      <c r="AJ197" s="79">
        <f t="shared" si="185"/>
        <v>1</v>
      </c>
      <c r="AK197" s="79">
        <f t="shared" si="186"/>
        <v>0</v>
      </c>
      <c r="AL197" s="80">
        <f t="shared" si="187"/>
        <v>0</v>
      </c>
      <c r="AM197" s="81">
        <f t="shared" si="188"/>
        <v>0.27</v>
      </c>
      <c r="AN197" s="82" t="str">
        <f t="shared" si="189"/>
        <v/>
      </c>
      <c r="AO197" s="79" t="str">
        <f t="shared" si="190"/>
        <v/>
      </c>
      <c r="AP197" t="str">
        <f t="shared" si="191"/>
        <v/>
      </c>
      <c r="AQ197" s="82" t="str">
        <f t="shared" si="192"/>
        <v/>
      </c>
      <c r="AR197" t="str">
        <f t="shared" si="193"/>
        <v/>
      </c>
      <c r="AS197" t="str">
        <f t="shared" si="194"/>
        <v/>
      </c>
      <c r="AT197" t="str">
        <f t="shared" si="195"/>
        <v/>
      </c>
      <c r="AU197" t="str">
        <f t="shared" si="196"/>
        <v/>
      </c>
      <c r="AV197" s="82" t="str">
        <f t="shared" si="197"/>
        <v/>
      </c>
      <c r="AW197" t="str">
        <f t="shared" si="198"/>
        <v/>
      </c>
      <c r="AX197" t="str">
        <f t="shared" si="199"/>
        <v>X</v>
      </c>
      <c r="AY197" s="82" t="str">
        <f t="shared" si="200"/>
        <v>X</v>
      </c>
      <c r="AZ197" t="str">
        <f t="shared" si="201"/>
        <v>X</v>
      </c>
      <c r="BA197" t="str">
        <f t="shared" si="202"/>
        <v/>
      </c>
      <c r="BB197" s="83" t="str">
        <f t="shared" si="203"/>
        <v/>
      </c>
      <c r="BC197" s="84">
        <f t="shared" si="204"/>
        <v>0</v>
      </c>
      <c r="BD197" s="84">
        <f t="shared" si="205"/>
        <v>0</v>
      </c>
      <c r="BE197" s="84">
        <f t="shared" si="206"/>
        <v>0.29411764705882359</v>
      </c>
      <c r="BF197" s="84">
        <f t="shared" si="207"/>
        <v>0.47222222222222221</v>
      </c>
      <c r="BG197" s="78">
        <f>IF(AN197="",0,VLOOKUP(AN197,Tables!$AB$3:$AC$12,2))</f>
        <v>0</v>
      </c>
      <c r="BH197" s="79">
        <f>IF(AO197="",0,VLOOKUP(AO197,Tables!$AB$3:$AC$12,2))</f>
        <v>0</v>
      </c>
      <c r="BI197" s="79">
        <f>IF(AP197="",0,VLOOKUP(AP197,Tables!$AB$3:$AC$12,2))</f>
        <v>0</v>
      </c>
      <c r="BJ197" s="78">
        <f>IF(AQ197="",0,VLOOKUP(AQ197,Tables!$AB$3:$AC$12,2))</f>
        <v>0</v>
      </c>
      <c r="BK197" s="79">
        <f>IF(AR197="",0,VLOOKUP(AR197,Tables!$AB$3:$AC$12,2))</f>
        <v>0</v>
      </c>
      <c r="BL197" s="79">
        <f>IF(AS197="",0,VLOOKUP(AS197,Tables!$AB$3:$AC$12,2))</f>
        <v>0</v>
      </c>
      <c r="BM197" s="79">
        <f>IF(AT197="",0,VLOOKUP(AT197,Tables!$AB$3:$AC$12,2))</f>
        <v>0</v>
      </c>
      <c r="BN197" s="79">
        <f>IF(AU197="",0,VLOOKUP(AU197,Tables!$AB$3:$AC$12,2))</f>
        <v>0</v>
      </c>
      <c r="BO197" s="78">
        <f>IF(AV197="",0,VLOOKUP(AV197,Tables!$AB$3:$AC$12,2))</f>
        <v>0</v>
      </c>
      <c r="BP197" s="79">
        <f>IF(AW197="",0,VLOOKUP(AW197,Tables!$AB$3:$AC$12,2))</f>
        <v>0</v>
      </c>
      <c r="BQ197" s="79">
        <f>IF(AX197="",0,VLOOKUP(AX197,Tables!$AB$3:$AC$12,2))</f>
        <v>1</v>
      </c>
      <c r="BR197" s="78">
        <f>IF(AY197="",0,VLOOKUP(AY197,Tables!$AB$3:$AC$12,2))</f>
        <v>1</v>
      </c>
      <c r="BS197" s="79">
        <f>IF(AZ197="",0,VLOOKUP(AZ197,Tables!$AB$3:$AC$12,2))</f>
        <v>1</v>
      </c>
      <c r="BT197" s="79">
        <f>IF(BA197="",0,VLOOKUP(BA197,Tables!$AB$3:$AC$12,2))</f>
        <v>0</v>
      </c>
      <c r="BU197" s="80">
        <f>IF(BB197="",0,VLOOKUP(BB197,Tables!$AB$3:$AC$12,2))</f>
        <v>0</v>
      </c>
      <c r="BV197" s="85">
        <f>IF(AN197="",0,VLOOKUP(B197,Tables!$B$3:$D$36,2,FALSE())*X$1)</f>
        <v>0</v>
      </c>
      <c r="BW197" s="72">
        <f>IF(AO197="",0,VLOOKUP(C197,Tables!$B$3:$D$36,2,FALSE())*Y$1)</f>
        <v>0</v>
      </c>
      <c r="BX197" s="72">
        <f>IF(AP197="",0,VLOOKUP(D197,Tables!$B$3:$D$36,2,FALSE())*Z$1)</f>
        <v>0</v>
      </c>
      <c r="BY197" s="85">
        <f>IF(AQ197="",0,VLOOKUP(E197,Tables!$B$3:$D$36,2,FALSE())*AA$1)</f>
        <v>0</v>
      </c>
      <c r="BZ197" s="72">
        <f>IF(AR197="",0,VLOOKUP(F197,Tables!$B$3:$D$36,2,FALSE())*AB$1)</f>
        <v>0</v>
      </c>
      <c r="CA197" s="72">
        <f>IF(AS197="",0,VLOOKUP(G197,Tables!$B$3:$D$36,2,FALSE())*AC$1)</f>
        <v>0</v>
      </c>
      <c r="CB197" s="72">
        <f>IF(AT197="",0,VLOOKUP(H197,Tables!$B$3:$D$36,2,FALSE())*AD$1)</f>
        <v>0</v>
      </c>
      <c r="CC197" s="72">
        <f>IF(AU197="",0,VLOOKUP(I197,Tables!$B$3:$D$36,2,FALSE())*AE$1)</f>
        <v>0</v>
      </c>
      <c r="CD197" s="85">
        <f>IF(AV197="",0,VLOOKUP(J197,Tables!$B$3:$D$36,2,FALSE())*AF$1)</f>
        <v>0</v>
      </c>
      <c r="CE197" s="72">
        <f>IF(AW197="",0,VLOOKUP(K197,Tables!$B$3:$D$36,2,FALSE())*AG$1)</f>
        <v>0</v>
      </c>
      <c r="CF197" s="72">
        <f>IF(AX197="",0,VLOOKUP(L197,Tables!$B$3:$D$36,2,FALSE())*AH$1)</f>
        <v>6</v>
      </c>
      <c r="CG197" s="85">
        <f>IF(AY197="",0,VLOOKUP(M197,Tables!$B$3:$D$36,2,FALSE())*AI$1)</f>
        <v>8.4</v>
      </c>
      <c r="CH197" s="72">
        <f>IF(AZ197="",0,VLOOKUP(N197,Tables!$B$3:$D$36,2,FALSE())*AJ$1)</f>
        <v>1.7999999999999998</v>
      </c>
      <c r="CI197" s="72">
        <f>IF(BA197="",0,VLOOKUP(O197,Tables!$B$3:$D$36,2,FALSE())*AK$1)</f>
        <v>0</v>
      </c>
      <c r="CJ197" s="86">
        <f>IF(BB197="",0,VLOOKUP(P197,Tables!$B$3:$D$36,2,FALSE())*AL$1)</f>
        <v>0</v>
      </c>
      <c r="CK197" s="87">
        <f>IF(AN197="",0,VLOOKUP(B197,Tables!$B$3:$D$36,3,FALSE())*X$1)*IF(OR(AN197="K",AN197="P"),2,1)</f>
        <v>0</v>
      </c>
      <c r="CL197" s="73">
        <f>IF(AO197="",0,VLOOKUP(C197,Tables!$B$3:$D$36,3,FALSE())*Y$1)*IF(OR(AO197="K",AO197="P"),2,1)</f>
        <v>0</v>
      </c>
      <c r="CM197" s="73">
        <f>IF(AP197="",0,VLOOKUP(D197,Tables!$B$3:$D$36,3,FALSE())*Z$1)*IF(OR(AP197="K",AP197="P"),2,1)</f>
        <v>0</v>
      </c>
      <c r="CN197" s="87">
        <f>IF(AQ197="",0,VLOOKUP(E197,Tables!$B$3:$D$36,3,FALSE())*AA$1)</f>
        <v>0</v>
      </c>
      <c r="CO197" s="73">
        <f>IF(AR197="",0,VLOOKUP(F197,Tables!$B$3:$D$36,3,FALSE())*AB$1)</f>
        <v>0</v>
      </c>
      <c r="CP197" s="73">
        <f>IF(AS197="",0,VLOOKUP(G197,Tables!$B$3:$D$36,3,FALSE())*AC$1)</f>
        <v>0</v>
      </c>
      <c r="CQ197" s="73">
        <f>IF(AT197="",0,VLOOKUP(H197,Tables!$B$3:$D$36,3,FALSE())*AD$1)</f>
        <v>0</v>
      </c>
      <c r="CR197" s="73">
        <f>IF(AU197="",0,VLOOKUP(I197,Tables!$B$3:$D$36,3,FALSE())*AE$1)</f>
        <v>0</v>
      </c>
      <c r="CS197" s="87">
        <f>IF(AV197="",0,VLOOKUP(J197,Tables!$B$3:$D$36,3,FALSE())*AF$1)</f>
        <v>0</v>
      </c>
      <c r="CT197" s="73">
        <f>IF(AW197="",0,VLOOKUP(K197,Tables!$B$3:$D$36,3,FALSE())*AG$1)</f>
        <v>0</v>
      </c>
      <c r="CU197" s="73">
        <f>IF(AX197="",0,VLOOKUP(L197,Tables!$B$3:$D$36,3,FALSE())*AH$1)</f>
        <v>0.25</v>
      </c>
      <c r="CV197" s="87">
        <f>IF(AY197="",0,VLOOKUP(M197,Tables!$B$3:$D$36,3,FALSE())*AI$1)</f>
        <v>0.35000000000000003</v>
      </c>
      <c r="CW197" s="73">
        <f>IF(AZ197="",0,VLOOKUP(N197,Tables!$B$3:$D$36,3,FALSE())*AJ$1)</f>
        <v>7.4999999999999997E-2</v>
      </c>
      <c r="CX197" s="73">
        <f>IF(BA197="",0,VLOOKUP(O197,Tables!$B$3:$D$36,3,FALSE())*AK$1)</f>
        <v>0</v>
      </c>
      <c r="CY197" s="88">
        <f>IF(BB197="",0,VLOOKUP(P197,Tables!$B$3:$D$36,3,FALSE())*AL$1)</f>
        <v>0</v>
      </c>
      <c r="CZ197" s="89">
        <f t="shared" si="208"/>
        <v>0</v>
      </c>
      <c r="DA197" s="75">
        <f t="shared" si="209"/>
        <v>0</v>
      </c>
      <c r="DB197" s="75">
        <f t="shared" si="210"/>
        <v>0</v>
      </c>
      <c r="DC197" s="89">
        <f t="shared" si="211"/>
        <v>0</v>
      </c>
      <c r="DD197" s="75">
        <f t="shared" si="212"/>
        <v>0</v>
      </c>
      <c r="DE197" s="75">
        <f t="shared" si="213"/>
        <v>0</v>
      </c>
      <c r="DF197" s="75">
        <f t="shared" si="214"/>
        <v>0</v>
      </c>
      <c r="DG197" s="75">
        <f t="shared" si="215"/>
        <v>0</v>
      </c>
      <c r="DH197" s="89">
        <f t="shared" si="216"/>
        <v>0</v>
      </c>
      <c r="DI197" s="75">
        <f t="shared" si="217"/>
        <v>0</v>
      </c>
      <c r="DJ197" s="75">
        <f t="shared" si="218"/>
        <v>1</v>
      </c>
      <c r="DK197" s="89">
        <f t="shared" si="219"/>
        <v>1</v>
      </c>
      <c r="DL197" s="75">
        <f t="shared" si="220"/>
        <v>1</v>
      </c>
      <c r="DM197" s="75">
        <f t="shared" si="221"/>
        <v>0</v>
      </c>
      <c r="DN197" s="90">
        <f t="shared" si="222"/>
        <v>0</v>
      </c>
      <c r="DO197" s="91">
        <f>IF(AN197="",0,VLOOKUP(B197,Tables!$B$3:$M$36,11,FALSE())*X$1)</f>
        <v>0</v>
      </c>
      <c r="DP197" s="92">
        <f>IF(AO197="",0,VLOOKUP(C197,Tables!$B$3:$M$36,11,FALSE())*Y$1)</f>
        <v>0</v>
      </c>
      <c r="DQ197" s="92">
        <f>IF(AP197="",0,VLOOKUP(D197,Tables!$B$3:$M$36,11,FALSE())*Z$1)</f>
        <v>0</v>
      </c>
      <c r="DR197" s="91">
        <f>IF(AQ197="",0,VLOOKUP(E197,Tables!$B$3:$M$36,11,FALSE())*AA$1)</f>
        <v>0</v>
      </c>
      <c r="DS197" s="92">
        <f>IF(AR197="",0,VLOOKUP(F197,Tables!$B$3:$M$36,11,FALSE())*AB$1)</f>
        <v>0</v>
      </c>
      <c r="DT197" s="92">
        <f>IF(AS197="",0,VLOOKUP(G197,Tables!$B$3:$M$36,11,FALSE())*AC$1)</f>
        <v>0</v>
      </c>
      <c r="DU197" s="92">
        <f>IF(AT197="",0,VLOOKUP(H197,Tables!$B$3:$M$36,11,FALSE())*AD$1)</f>
        <v>0</v>
      </c>
      <c r="DV197" s="92">
        <f>IF(AU197="",0,VLOOKUP(I197,Tables!$B$3:$M$36,11,FALSE())*AE$1)</f>
        <v>0</v>
      </c>
      <c r="DW197" s="91">
        <f>IF(AV197="",0,VLOOKUP(J197,Tables!$B$3:$M$36,11,FALSE())*AF$1)</f>
        <v>0</v>
      </c>
      <c r="DX197" s="92">
        <f>IF(AW197="",0,VLOOKUP(K197,Tables!$B$3:$M$36,11,FALSE())*AG$1)</f>
        <v>0</v>
      </c>
      <c r="DY197" s="92">
        <f>IF(AX197="",0,VLOOKUP(L197,Tables!$B$3:$M$36,11,FALSE())*AH$1)</f>
        <v>2</v>
      </c>
      <c r="DZ197" s="91">
        <f>IF(AY197="",0,VLOOKUP(M197,Tables!$B$3:$M$36,11,FALSE())*AI$1)</f>
        <v>2.8000000000000003</v>
      </c>
      <c r="EA197" s="92">
        <f>IF(AZ197="",0,VLOOKUP(N197,Tables!$B$3:$M$36,11,FALSE())*AJ$1)</f>
        <v>0.6</v>
      </c>
      <c r="EB197" s="92">
        <f>IF(BA197="",0,VLOOKUP(O197,Tables!$B$3:$M$36,11,FALSE())*AK$1)</f>
        <v>0</v>
      </c>
      <c r="EC197" s="93">
        <f>IF(BB197="",0,VLOOKUP(P197,Tables!$B$3:$M$36,11,FALSE())*AL$1)</f>
        <v>0</v>
      </c>
      <c r="ED197" s="91">
        <f>IF(AN197="",0,VLOOKUP(B197,Tables!$B$3:$M$36,12,FALSE())*X$1)</f>
        <v>0</v>
      </c>
      <c r="EE197" s="92">
        <f>IF(AO197="",0,VLOOKUP(C197,Tables!$B$3:$M$36,12,FALSE())*Y$1)</f>
        <v>0</v>
      </c>
      <c r="EF197" s="92">
        <f>IF(AP197="",0,VLOOKUP(D197,Tables!$B$3:$M$36,12,FALSE())*Z$1)</f>
        <v>0</v>
      </c>
      <c r="EG197" s="91">
        <f>IF(AQ197="",0,VLOOKUP(E197,Tables!$B$3:$M$36,12,FALSE())*AA$1)</f>
        <v>0</v>
      </c>
      <c r="EH197" s="92">
        <f>IF(AR197="",0,VLOOKUP(F197,Tables!$B$3:$M$36,12,FALSE())*AB$1)</f>
        <v>0</v>
      </c>
      <c r="EI197" s="92">
        <f>IF(AS197="",0,VLOOKUP(G197,Tables!$B$3:$M$36,12,FALSE())*AC$1)</f>
        <v>0</v>
      </c>
      <c r="EJ197" s="92">
        <f>IF(AT197="",0,VLOOKUP(H197,Tables!$B$3:$M$36,12,FALSE())*AD$1)</f>
        <v>0</v>
      </c>
      <c r="EK197" s="92">
        <f>IF(AU197="",0,VLOOKUP(I197,Tables!$B$3:$M$36,12,FALSE())*AE$1)</f>
        <v>0</v>
      </c>
      <c r="EL197" s="91">
        <f>IF(AV197="",0,VLOOKUP(J197,Tables!$B$3:$M$36,12,FALSE())*AF$1)</f>
        <v>0</v>
      </c>
      <c r="EM197" s="92">
        <f>IF(AW197="",0,VLOOKUP(K197,Tables!$B$3:$M$36,12,FALSE())*AG$1)</f>
        <v>0</v>
      </c>
      <c r="EN197" s="92">
        <f>IF(AX197="",0,VLOOKUP(L197,Tables!$B$3:$M$36,12,FALSE())*AH$1)</f>
        <v>4.5</v>
      </c>
      <c r="EO197" s="91">
        <f>IF(AY197="",0,VLOOKUP(M197,Tables!$B$3:$M$36,12,FALSE())*AI$1)</f>
        <v>6.3000000000000007</v>
      </c>
      <c r="EP197" s="92">
        <f>IF(AZ197="",0,VLOOKUP(N197,Tables!$B$3:$M$36,12,FALSE())*AJ$1)</f>
        <v>1.3499999999999999</v>
      </c>
      <c r="EQ197" s="92">
        <f>IF(BA197="",0,VLOOKUP(O197,Tables!$B$3:$M$36,12,FALSE())*AK$1)</f>
        <v>0</v>
      </c>
      <c r="ER197" s="93">
        <f>IF(BB197="",0,VLOOKUP(P197,Tables!$B$3:$M$36,12,FALSE())*AL$1)</f>
        <v>0</v>
      </c>
      <c r="ES197" s="94">
        <f t="shared" si="223"/>
        <v>0</v>
      </c>
      <c r="ET197" s="95">
        <f>IF(AN197="",10,MIN(VLOOKUP(B197,MATERIAL,13,FALSE()),'Item Builder'!$W197))</f>
        <v>10</v>
      </c>
      <c r="EU197" s="95">
        <f>IF(AO197="",10,MIN(VLOOKUP(C197,MATERIAL,13,FALSE()),'Item Builder'!$W197))</f>
        <v>10</v>
      </c>
      <c r="EV197" s="95">
        <f>IF(AP197="",10,MIN(VLOOKUP(D197,MATERIAL,13,FALSE()),'Item Builder'!$W197))</f>
        <v>10</v>
      </c>
      <c r="EW197" s="95">
        <f>IF(AQ197="",10,MIN(VLOOKUP(E197,MATERIAL,13,FALSE()),'Item Builder'!$W197))</f>
        <v>10</v>
      </c>
      <c r="EX197" s="95">
        <f>IF(AR197="",10,MIN(VLOOKUP(F197,MATERIAL,13,FALSE()),'Item Builder'!$W197))</f>
        <v>10</v>
      </c>
      <c r="EY197" s="95">
        <f>IF(AS197="",10,MIN(VLOOKUP(G197,MATERIAL,13,FALSE()),'Item Builder'!$W197))</f>
        <v>10</v>
      </c>
      <c r="EZ197" s="95">
        <f>IF(AT197="",10,MIN(VLOOKUP(H197,MATERIAL,13,FALSE()),'Item Builder'!$W197))</f>
        <v>10</v>
      </c>
      <c r="FA197" s="95">
        <f>IF(AU197="",10,MIN(VLOOKUP(I197,MATERIAL,13,FALSE()),'Item Builder'!$W197))</f>
        <v>10</v>
      </c>
      <c r="FB197" s="95">
        <f>IF(AV197="",10,MIN(VLOOKUP(J197,MATERIAL,13,FALSE()),'Item Builder'!$W197))</f>
        <v>10</v>
      </c>
      <c r="FC197" s="95">
        <f>IF(AW197="",10,MIN(VLOOKUP(K197,MATERIAL,13,FALSE()),'Item Builder'!$W197))</f>
        <v>10</v>
      </c>
      <c r="FD197" s="95">
        <f>IF(AX197="",10,MIN(VLOOKUP(L197,MATERIAL,13,FALSE()),'Item Builder'!$W197))</f>
        <v>0</v>
      </c>
      <c r="FE197" s="95">
        <f>IF(AY197="",10,MIN(VLOOKUP(M197,MATERIAL,13,FALSE()),'Item Builder'!$W197))</f>
        <v>0</v>
      </c>
      <c r="FF197" s="95">
        <f>IF(AZ197="",10,MIN(VLOOKUP(N197,MATERIAL,13,FALSE()),'Item Builder'!$W197))</f>
        <v>0</v>
      </c>
      <c r="FG197" s="95">
        <f>IF(BA197="",10,MIN(VLOOKUP(O197,MATERIAL,13,FALSE()),'Item Builder'!$W197))</f>
        <v>10</v>
      </c>
      <c r="FH197" s="95">
        <f>IF(BB197="",10,MIN(VLOOKUP(P197,MATERIAL,13,FALSE()),'Item Builder'!$W197))</f>
        <v>10</v>
      </c>
    </row>
    <row r="198" spans="1:164" x14ac:dyDescent="0.25">
      <c r="A198" s="67" t="s">
        <v>338</v>
      </c>
      <c r="B198" s="68"/>
      <c r="C198" s="69"/>
      <c r="D198" s="70"/>
      <c r="E198" s="68"/>
      <c r="F198" s="69"/>
      <c r="G198" s="69"/>
      <c r="H198" s="69"/>
      <c r="I198" s="70"/>
      <c r="J198" s="68"/>
      <c r="K198" s="69"/>
      <c r="L198" s="70" t="s">
        <v>146</v>
      </c>
      <c r="M198" s="68" t="s">
        <v>146</v>
      </c>
      <c r="N198" s="69" t="s">
        <v>146</v>
      </c>
      <c r="O198" s="69" t="s">
        <v>146</v>
      </c>
      <c r="P198" s="71"/>
      <c r="Q198" s="72">
        <f>SUM(BV198:CJ198)*VLOOKUP(W198,Tables!$W$3:$Z$8,4)</f>
        <v>23.4</v>
      </c>
      <c r="R198" s="73">
        <f t="shared" si="168"/>
        <v>0.97500000000000009</v>
      </c>
      <c r="S198" s="74">
        <f t="shared" si="169"/>
        <v>0</v>
      </c>
      <c r="T198" s="74">
        <f t="shared" si="170"/>
        <v>0</v>
      </c>
      <c r="U198" s="75">
        <f t="shared" si="171"/>
        <v>7.8000000000000007</v>
      </c>
      <c r="V198" s="76">
        <f t="shared" si="172"/>
        <v>17.55</v>
      </c>
      <c r="W198" s="77">
        <v>0</v>
      </c>
      <c r="X198" s="78">
        <f t="shared" si="173"/>
        <v>0</v>
      </c>
      <c r="Y198" s="79">
        <f t="shared" si="174"/>
        <v>0</v>
      </c>
      <c r="Z198" s="79">
        <f t="shared" si="175"/>
        <v>0</v>
      </c>
      <c r="AA198" s="78">
        <f t="shared" si="176"/>
        <v>0</v>
      </c>
      <c r="AB198" s="79">
        <f t="shared" si="177"/>
        <v>0</v>
      </c>
      <c r="AC198" s="79">
        <f t="shared" si="178"/>
        <v>0</v>
      </c>
      <c r="AD198" s="79">
        <f t="shared" si="179"/>
        <v>0</v>
      </c>
      <c r="AE198" s="79">
        <f t="shared" si="180"/>
        <v>0</v>
      </c>
      <c r="AF198" s="78">
        <f t="shared" si="181"/>
        <v>0</v>
      </c>
      <c r="AG198" s="79">
        <f t="shared" si="182"/>
        <v>0</v>
      </c>
      <c r="AH198" s="79">
        <f t="shared" si="183"/>
        <v>1</v>
      </c>
      <c r="AI198" s="78">
        <f t="shared" si="184"/>
        <v>1</v>
      </c>
      <c r="AJ198" s="79">
        <f t="shared" si="185"/>
        <v>1</v>
      </c>
      <c r="AK198" s="79">
        <f t="shared" si="186"/>
        <v>1</v>
      </c>
      <c r="AL198" s="80">
        <f t="shared" si="187"/>
        <v>0</v>
      </c>
      <c r="AM198" s="81">
        <f t="shared" si="188"/>
        <v>0.39</v>
      </c>
      <c r="AN198" s="82" t="str">
        <f t="shared" si="189"/>
        <v/>
      </c>
      <c r="AO198" s="79" t="str">
        <f t="shared" si="190"/>
        <v/>
      </c>
      <c r="AP198" t="str">
        <f t="shared" si="191"/>
        <v/>
      </c>
      <c r="AQ198" s="82" t="str">
        <f t="shared" si="192"/>
        <v/>
      </c>
      <c r="AR198" t="str">
        <f t="shared" si="193"/>
        <v/>
      </c>
      <c r="AS198" t="str">
        <f t="shared" si="194"/>
        <v/>
      </c>
      <c r="AT198" t="str">
        <f t="shared" si="195"/>
        <v/>
      </c>
      <c r="AU198" t="str">
        <f t="shared" si="196"/>
        <v/>
      </c>
      <c r="AV198" s="82" t="str">
        <f t="shared" si="197"/>
        <v/>
      </c>
      <c r="AW198" t="str">
        <f t="shared" si="198"/>
        <v/>
      </c>
      <c r="AX198" t="str">
        <f t="shared" si="199"/>
        <v>X</v>
      </c>
      <c r="AY198" s="82" t="str">
        <f t="shared" si="200"/>
        <v>X</v>
      </c>
      <c r="AZ198" t="str">
        <f t="shared" si="201"/>
        <v>X</v>
      </c>
      <c r="BA198" t="str">
        <f t="shared" si="202"/>
        <v>X</v>
      </c>
      <c r="BB198" s="83" t="str">
        <f t="shared" si="203"/>
        <v/>
      </c>
      <c r="BC198" s="84">
        <f t="shared" si="204"/>
        <v>0</v>
      </c>
      <c r="BD198" s="84">
        <f t="shared" si="205"/>
        <v>0</v>
      </c>
      <c r="BE198" s="84">
        <f t="shared" si="206"/>
        <v>0.29411764705882359</v>
      </c>
      <c r="BF198" s="84">
        <f t="shared" si="207"/>
        <v>0.80555555555555558</v>
      </c>
      <c r="BG198" s="78">
        <f>IF(AN198="",0,VLOOKUP(AN198,Tables!$AB$3:$AC$12,2))</f>
        <v>0</v>
      </c>
      <c r="BH198" s="79">
        <f>IF(AO198="",0,VLOOKUP(AO198,Tables!$AB$3:$AC$12,2))</f>
        <v>0</v>
      </c>
      <c r="BI198" s="79">
        <f>IF(AP198="",0,VLOOKUP(AP198,Tables!$AB$3:$AC$12,2))</f>
        <v>0</v>
      </c>
      <c r="BJ198" s="78">
        <f>IF(AQ198="",0,VLOOKUP(AQ198,Tables!$AB$3:$AC$12,2))</f>
        <v>0</v>
      </c>
      <c r="BK198" s="79">
        <f>IF(AR198="",0,VLOOKUP(AR198,Tables!$AB$3:$AC$12,2))</f>
        <v>0</v>
      </c>
      <c r="BL198" s="79">
        <f>IF(AS198="",0,VLOOKUP(AS198,Tables!$AB$3:$AC$12,2))</f>
        <v>0</v>
      </c>
      <c r="BM198" s="79">
        <f>IF(AT198="",0,VLOOKUP(AT198,Tables!$AB$3:$AC$12,2))</f>
        <v>0</v>
      </c>
      <c r="BN198" s="79">
        <f>IF(AU198="",0,VLOOKUP(AU198,Tables!$AB$3:$AC$12,2))</f>
        <v>0</v>
      </c>
      <c r="BO198" s="78">
        <f>IF(AV198="",0,VLOOKUP(AV198,Tables!$AB$3:$AC$12,2))</f>
        <v>0</v>
      </c>
      <c r="BP198" s="79">
        <f>IF(AW198="",0,VLOOKUP(AW198,Tables!$AB$3:$AC$12,2))</f>
        <v>0</v>
      </c>
      <c r="BQ198" s="79">
        <f>IF(AX198="",0,VLOOKUP(AX198,Tables!$AB$3:$AC$12,2))</f>
        <v>1</v>
      </c>
      <c r="BR198" s="78">
        <f>IF(AY198="",0,VLOOKUP(AY198,Tables!$AB$3:$AC$12,2))</f>
        <v>1</v>
      </c>
      <c r="BS198" s="79">
        <f>IF(AZ198="",0,VLOOKUP(AZ198,Tables!$AB$3:$AC$12,2))</f>
        <v>1</v>
      </c>
      <c r="BT198" s="79">
        <f>IF(BA198="",0,VLOOKUP(BA198,Tables!$AB$3:$AC$12,2))</f>
        <v>1</v>
      </c>
      <c r="BU198" s="80">
        <f>IF(BB198="",0,VLOOKUP(BB198,Tables!$AB$3:$AC$12,2))</f>
        <v>0</v>
      </c>
      <c r="BV198" s="85">
        <f>IF(AN198="",0,VLOOKUP(B198,Tables!$B$3:$D$36,2,FALSE())*X$1)</f>
        <v>0</v>
      </c>
      <c r="BW198" s="72">
        <f>IF(AO198="",0,VLOOKUP(C198,Tables!$B$3:$D$36,2,FALSE())*Y$1)</f>
        <v>0</v>
      </c>
      <c r="BX198" s="72">
        <f>IF(AP198="",0,VLOOKUP(D198,Tables!$B$3:$D$36,2,FALSE())*Z$1)</f>
        <v>0</v>
      </c>
      <c r="BY198" s="85">
        <f>IF(AQ198="",0,VLOOKUP(E198,Tables!$B$3:$D$36,2,FALSE())*AA$1)</f>
        <v>0</v>
      </c>
      <c r="BZ198" s="72">
        <f>IF(AR198="",0,VLOOKUP(F198,Tables!$B$3:$D$36,2,FALSE())*AB$1)</f>
        <v>0</v>
      </c>
      <c r="CA198" s="72">
        <f>IF(AS198="",0,VLOOKUP(G198,Tables!$B$3:$D$36,2,FALSE())*AC$1)</f>
        <v>0</v>
      </c>
      <c r="CB198" s="72">
        <f>IF(AT198="",0,VLOOKUP(H198,Tables!$B$3:$D$36,2,FALSE())*AD$1)</f>
        <v>0</v>
      </c>
      <c r="CC198" s="72">
        <f>IF(AU198="",0,VLOOKUP(I198,Tables!$B$3:$D$36,2,FALSE())*AE$1)</f>
        <v>0</v>
      </c>
      <c r="CD198" s="85">
        <f>IF(AV198="",0,VLOOKUP(J198,Tables!$B$3:$D$36,2,FALSE())*AF$1)</f>
        <v>0</v>
      </c>
      <c r="CE198" s="72">
        <f>IF(AW198="",0,VLOOKUP(K198,Tables!$B$3:$D$36,2,FALSE())*AG$1)</f>
        <v>0</v>
      </c>
      <c r="CF198" s="72">
        <f>IF(AX198="",0,VLOOKUP(L198,Tables!$B$3:$D$36,2,FALSE())*AH$1)</f>
        <v>6</v>
      </c>
      <c r="CG198" s="85">
        <f>IF(AY198="",0,VLOOKUP(M198,Tables!$B$3:$D$36,2,FALSE())*AI$1)</f>
        <v>8.4</v>
      </c>
      <c r="CH198" s="72">
        <f>IF(AZ198="",0,VLOOKUP(N198,Tables!$B$3:$D$36,2,FALSE())*AJ$1)</f>
        <v>1.7999999999999998</v>
      </c>
      <c r="CI198" s="72">
        <f>IF(BA198="",0,VLOOKUP(O198,Tables!$B$3:$D$36,2,FALSE())*AK$1)</f>
        <v>7.1999999999999993</v>
      </c>
      <c r="CJ198" s="86">
        <f>IF(BB198="",0,VLOOKUP(P198,Tables!$B$3:$D$36,2,FALSE())*AL$1)</f>
        <v>0</v>
      </c>
      <c r="CK198" s="87">
        <f>IF(AN198="",0,VLOOKUP(B198,Tables!$B$3:$D$36,3,FALSE())*X$1)*IF(OR(AN198="K",AN198="P"),2,1)</f>
        <v>0</v>
      </c>
      <c r="CL198" s="73">
        <f>IF(AO198="",0,VLOOKUP(C198,Tables!$B$3:$D$36,3,FALSE())*Y$1)*IF(OR(AO198="K",AO198="P"),2,1)</f>
        <v>0</v>
      </c>
      <c r="CM198" s="73">
        <f>IF(AP198="",0,VLOOKUP(D198,Tables!$B$3:$D$36,3,FALSE())*Z$1)*IF(OR(AP198="K",AP198="P"),2,1)</f>
        <v>0</v>
      </c>
      <c r="CN198" s="87">
        <f>IF(AQ198="",0,VLOOKUP(E198,Tables!$B$3:$D$36,3,FALSE())*AA$1)</f>
        <v>0</v>
      </c>
      <c r="CO198" s="73">
        <f>IF(AR198="",0,VLOOKUP(F198,Tables!$B$3:$D$36,3,FALSE())*AB$1)</f>
        <v>0</v>
      </c>
      <c r="CP198" s="73">
        <f>IF(AS198="",0,VLOOKUP(G198,Tables!$B$3:$D$36,3,FALSE())*AC$1)</f>
        <v>0</v>
      </c>
      <c r="CQ198" s="73">
        <f>IF(AT198="",0,VLOOKUP(H198,Tables!$B$3:$D$36,3,FALSE())*AD$1)</f>
        <v>0</v>
      </c>
      <c r="CR198" s="73">
        <f>IF(AU198="",0,VLOOKUP(I198,Tables!$B$3:$D$36,3,FALSE())*AE$1)</f>
        <v>0</v>
      </c>
      <c r="CS198" s="87">
        <f>IF(AV198="",0,VLOOKUP(J198,Tables!$B$3:$D$36,3,FALSE())*AF$1)</f>
        <v>0</v>
      </c>
      <c r="CT198" s="73">
        <f>IF(AW198="",0,VLOOKUP(K198,Tables!$B$3:$D$36,3,FALSE())*AG$1)</f>
        <v>0</v>
      </c>
      <c r="CU198" s="73">
        <f>IF(AX198="",0,VLOOKUP(L198,Tables!$B$3:$D$36,3,FALSE())*AH$1)</f>
        <v>0.25</v>
      </c>
      <c r="CV198" s="87">
        <f>IF(AY198="",0,VLOOKUP(M198,Tables!$B$3:$D$36,3,FALSE())*AI$1)</f>
        <v>0.35000000000000003</v>
      </c>
      <c r="CW198" s="73">
        <f>IF(AZ198="",0,VLOOKUP(N198,Tables!$B$3:$D$36,3,FALSE())*AJ$1)</f>
        <v>7.4999999999999997E-2</v>
      </c>
      <c r="CX198" s="73">
        <f>IF(BA198="",0,VLOOKUP(O198,Tables!$B$3:$D$36,3,FALSE())*AK$1)</f>
        <v>0.3</v>
      </c>
      <c r="CY198" s="88">
        <f>IF(BB198="",0,VLOOKUP(P198,Tables!$B$3:$D$36,3,FALSE())*AL$1)</f>
        <v>0</v>
      </c>
      <c r="CZ198" s="89">
        <f t="shared" si="208"/>
        <v>0</v>
      </c>
      <c r="DA198" s="75">
        <f t="shared" si="209"/>
        <v>0</v>
      </c>
      <c r="DB198" s="75">
        <f t="shared" si="210"/>
        <v>0</v>
      </c>
      <c r="DC198" s="89">
        <f t="shared" si="211"/>
        <v>0</v>
      </c>
      <c r="DD198" s="75">
        <f t="shared" si="212"/>
        <v>0</v>
      </c>
      <c r="DE198" s="75">
        <f t="shared" si="213"/>
        <v>0</v>
      </c>
      <c r="DF198" s="75">
        <f t="shared" si="214"/>
        <v>0</v>
      </c>
      <c r="DG198" s="75">
        <f t="shared" si="215"/>
        <v>0</v>
      </c>
      <c r="DH198" s="89">
        <f t="shared" si="216"/>
        <v>0</v>
      </c>
      <c r="DI198" s="75">
        <f t="shared" si="217"/>
        <v>0</v>
      </c>
      <c r="DJ198" s="75">
        <f t="shared" si="218"/>
        <v>1</v>
      </c>
      <c r="DK198" s="89">
        <f t="shared" si="219"/>
        <v>1</v>
      </c>
      <c r="DL198" s="75">
        <f t="shared" si="220"/>
        <v>1</v>
      </c>
      <c r="DM198" s="75">
        <f t="shared" si="221"/>
        <v>1</v>
      </c>
      <c r="DN198" s="90">
        <f t="shared" si="222"/>
        <v>0</v>
      </c>
      <c r="DO198" s="91">
        <f>IF(AN198="",0,VLOOKUP(B198,Tables!$B$3:$M$36,11,FALSE())*X$1)</f>
        <v>0</v>
      </c>
      <c r="DP198" s="92">
        <f>IF(AO198="",0,VLOOKUP(C198,Tables!$B$3:$M$36,11,FALSE())*Y$1)</f>
        <v>0</v>
      </c>
      <c r="DQ198" s="92">
        <f>IF(AP198="",0,VLOOKUP(D198,Tables!$B$3:$M$36,11,FALSE())*Z$1)</f>
        <v>0</v>
      </c>
      <c r="DR198" s="91">
        <f>IF(AQ198="",0,VLOOKUP(E198,Tables!$B$3:$M$36,11,FALSE())*AA$1)</f>
        <v>0</v>
      </c>
      <c r="DS198" s="92">
        <f>IF(AR198="",0,VLOOKUP(F198,Tables!$B$3:$M$36,11,FALSE())*AB$1)</f>
        <v>0</v>
      </c>
      <c r="DT198" s="92">
        <f>IF(AS198="",0,VLOOKUP(G198,Tables!$B$3:$M$36,11,FALSE())*AC$1)</f>
        <v>0</v>
      </c>
      <c r="DU198" s="92">
        <f>IF(AT198="",0,VLOOKUP(H198,Tables!$B$3:$M$36,11,FALSE())*AD$1)</f>
        <v>0</v>
      </c>
      <c r="DV198" s="92">
        <f>IF(AU198="",0,VLOOKUP(I198,Tables!$B$3:$M$36,11,FALSE())*AE$1)</f>
        <v>0</v>
      </c>
      <c r="DW198" s="91">
        <f>IF(AV198="",0,VLOOKUP(J198,Tables!$B$3:$M$36,11,FALSE())*AF$1)</f>
        <v>0</v>
      </c>
      <c r="DX198" s="92">
        <f>IF(AW198="",0,VLOOKUP(K198,Tables!$B$3:$M$36,11,FALSE())*AG$1)</f>
        <v>0</v>
      </c>
      <c r="DY198" s="92">
        <f>IF(AX198="",0,VLOOKUP(L198,Tables!$B$3:$M$36,11,FALSE())*AH$1)</f>
        <v>2</v>
      </c>
      <c r="DZ198" s="91">
        <f>IF(AY198="",0,VLOOKUP(M198,Tables!$B$3:$M$36,11,FALSE())*AI$1)</f>
        <v>2.8000000000000003</v>
      </c>
      <c r="EA198" s="92">
        <f>IF(AZ198="",0,VLOOKUP(N198,Tables!$B$3:$M$36,11,FALSE())*AJ$1)</f>
        <v>0.6</v>
      </c>
      <c r="EB198" s="92">
        <f>IF(BA198="",0,VLOOKUP(O198,Tables!$B$3:$M$36,11,FALSE())*AK$1)</f>
        <v>2.4</v>
      </c>
      <c r="EC198" s="93">
        <f>IF(BB198="",0,VLOOKUP(P198,Tables!$B$3:$M$36,11,FALSE())*AL$1)</f>
        <v>0</v>
      </c>
      <c r="ED198" s="91">
        <f>IF(AN198="",0,VLOOKUP(B198,Tables!$B$3:$M$36,12,FALSE())*X$1)</f>
        <v>0</v>
      </c>
      <c r="EE198" s="92">
        <f>IF(AO198="",0,VLOOKUP(C198,Tables!$B$3:$M$36,12,FALSE())*Y$1)</f>
        <v>0</v>
      </c>
      <c r="EF198" s="92">
        <f>IF(AP198="",0,VLOOKUP(D198,Tables!$B$3:$M$36,12,FALSE())*Z$1)</f>
        <v>0</v>
      </c>
      <c r="EG198" s="91">
        <f>IF(AQ198="",0,VLOOKUP(E198,Tables!$B$3:$M$36,12,FALSE())*AA$1)</f>
        <v>0</v>
      </c>
      <c r="EH198" s="92">
        <f>IF(AR198="",0,VLOOKUP(F198,Tables!$B$3:$M$36,12,FALSE())*AB$1)</f>
        <v>0</v>
      </c>
      <c r="EI198" s="92">
        <f>IF(AS198="",0,VLOOKUP(G198,Tables!$B$3:$M$36,12,FALSE())*AC$1)</f>
        <v>0</v>
      </c>
      <c r="EJ198" s="92">
        <f>IF(AT198="",0,VLOOKUP(H198,Tables!$B$3:$M$36,12,FALSE())*AD$1)</f>
        <v>0</v>
      </c>
      <c r="EK198" s="92">
        <f>IF(AU198="",0,VLOOKUP(I198,Tables!$B$3:$M$36,12,FALSE())*AE$1)</f>
        <v>0</v>
      </c>
      <c r="EL198" s="91">
        <f>IF(AV198="",0,VLOOKUP(J198,Tables!$B$3:$M$36,12,FALSE())*AF$1)</f>
        <v>0</v>
      </c>
      <c r="EM198" s="92">
        <f>IF(AW198="",0,VLOOKUP(K198,Tables!$B$3:$M$36,12,FALSE())*AG$1)</f>
        <v>0</v>
      </c>
      <c r="EN198" s="92">
        <f>IF(AX198="",0,VLOOKUP(L198,Tables!$B$3:$M$36,12,FALSE())*AH$1)</f>
        <v>4.5</v>
      </c>
      <c r="EO198" s="91">
        <f>IF(AY198="",0,VLOOKUP(M198,Tables!$B$3:$M$36,12,FALSE())*AI$1)</f>
        <v>6.3000000000000007</v>
      </c>
      <c r="EP198" s="92">
        <f>IF(AZ198="",0,VLOOKUP(N198,Tables!$B$3:$M$36,12,FALSE())*AJ$1)</f>
        <v>1.3499999999999999</v>
      </c>
      <c r="EQ198" s="92">
        <f>IF(BA198="",0,VLOOKUP(O198,Tables!$B$3:$M$36,12,FALSE())*AK$1)</f>
        <v>5.3999999999999995</v>
      </c>
      <c r="ER198" s="93">
        <f>IF(BB198="",0,VLOOKUP(P198,Tables!$B$3:$M$36,12,FALSE())*AL$1)</f>
        <v>0</v>
      </c>
      <c r="ES198" s="94">
        <f t="shared" si="223"/>
        <v>0</v>
      </c>
      <c r="ET198" s="95">
        <f>IF(AN198="",10,MIN(VLOOKUP(B198,MATERIAL,13,FALSE()),'Item Builder'!$W198))</f>
        <v>10</v>
      </c>
      <c r="EU198" s="95">
        <f>IF(AO198="",10,MIN(VLOOKUP(C198,MATERIAL,13,FALSE()),'Item Builder'!$W198))</f>
        <v>10</v>
      </c>
      <c r="EV198" s="95">
        <f>IF(AP198="",10,MIN(VLOOKUP(D198,MATERIAL,13,FALSE()),'Item Builder'!$W198))</f>
        <v>10</v>
      </c>
      <c r="EW198" s="95">
        <f>IF(AQ198="",10,MIN(VLOOKUP(E198,MATERIAL,13,FALSE()),'Item Builder'!$W198))</f>
        <v>10</v>
      </c>
      <c r="EX198" s="95">
        <f>IF(AR198="",10,MIN(VLOOKUP(F198,MATERIAL,13,FALSE()),'Item Builder'!$W198))</f>
        <v>10</v>
      </c>
      <c r="EY198" s="95">
        <f>IF(AS198="",10,MIN(VLOOKUP(G198,MATERIAL,13,FALSE()),'Item Builder'!$W198))</f>
        <v>10</v>
      </c>
      <c r="EZ198" s="95">
        <f>IF(AT198="",10,MIN(VLOOKUP(H198,MATERIAL,13,FALSE()),'Item Builder'!$W198))</f>
        <v>10</v>
      </c>
      <c r="FA198" s="95">
        <f>IF(AU198="",10,MIN(VLOOKUP(I198,MATERIAL,13,FALSE()),'Item Builder'!$W198))</f>
        <v>10</v>
      </c>
      <c r="FB198" s="95">
        <f>IF(AV198="",10,MIN(VLOOKUP(J198,MATERIAL,13,FALSE()),'Item Builder'!$W198))</f>
        <v>10</v>
      </c>
      <c r="FC198" s="95">
        <f>IF(AW198="",10,MIN(VLOOKUP(K198,MATERIAL,13,FALSE()),'Item Builder'!$W198))</f>
        <v>10</v>
      </c>
      <c r="FD198" s="95">
        <f>IF(AX198="",10,MIN(VLOOKUP(L198,MATERIAL,13,FALSE()),'Item Builder'!$W198))</f>
        <v>0</v>
      </c>
      <c r="FE198" s="95">
        <f>IF(AY198="",10,MIN(VLOOKUP(M198,MATERIAL,13,FALSE()),'Item Builder'!$W198))</f>
        <v>0</v>
      </c>
      <c r="FF198" s="95">
        <f>IF(AZ198="",10,MIN(VLOOKUP(N198,MATERIAL,13,FALSE()),'Item Builder'!$W198))</f>
        <v>0</v>
      </c>
      <c r="FG198" s="95">
        <f>IF(BA198="",10,MIN(VLOOKUP(O198,MATERIAL,13,FALSE()),'Item Builder'!$W198))</f>
        <v>0</v>
      </c>
      <c r="FH198" s="95">
        <f>IF(BB198="",10,MIN(VLOOKUP(P198,MATERIAL,13,FALSE()),'Item Builder'!$W198))</f>
        <v>10</v>
      </c>
    </row>
    <row r="199" spans="1:164" x14ac:dyDescent="0.25">
      <c r="A199" s="67" t="s">
        <v>339</v>
      </c>
      <c r="B199" s="68"/>
      <c r="C199" s="69"/>
      <c r="D199" s="70"/>
      <c r="E199" s="68"/>
      <c r="F199" s="69"/>
      <c r="G199" s="69"/>
      <c r="H199" s="69"/>
      <c r="I199" s="70"/>
      <c r="J199" s="68"/>
      <c r="K199" s="69"/>
      <c r="L199" s="70"/>
      <c r="M199" s="68" t="s">
        <v>146</v>
      </c>
      <c r="N199" s="69" t="s">
        <v>146</v>
      </c>
      <c r="O199" s="69" t="s">
        <v>146</v>
      </c>
      <c r="P199" s="71" t="s">
        <v>146</v>
      </c>
      <c r="Q199" s="72">
        <f>SUM(BV199:CJ199)*VLOOKUP(W199,Tables!$W$3:$Z$8,4)</f>
        <v>21.599999999999998</v>
      </c>
      <c r="R199" s="73">
        <f t="shared" si="168"/>
        <v>0.90000000000000013</v>
      </c>
      <c r="S199" s="74">
        <f t="shared" si="169"/>
        <v>0</v>
      </c>
      <c r="T199" s="74">
        <f t="shared" si="170"/>
        <v>0</v>
      </c>
      <c r="U199" s="75">
        <f t="shared" si="171"/>
        <v>7.2000000000000011</v>
      </c>
      <c r="V199" s="76">
        <f t="shared" si="172"/>
        <v>16.200000000000003</v>
      </c>
      <c r="W199" s="77">
        <v>0</v>
      </c>
      <c r="X199" s="78">
        <f t="shared" si="173"/>
        <v>0</v>
      </c>
      <c r="Y199" s="79">
        <f t="shared" si="174"/>
        <v>0</v>
      </c>
      <c r="Z199" s="79">
        <f t="shared" si="175"/>
        <v>0</v>
      </c>
      <c r="AA199" s="78">
        <f t="shared" si="176"/>
        <v>0</v>
      </c>
      <c r="AB199" s="79">
        <f t="shared" si="177"/>
        <v>0</v>
      </c>
      <c r="AC199" s="79">
        <f t="shared" si="178"/>
        <v>0</v>
      </c>
      <c r="AD199" s="79">
        <f t="shared" si="179"/>
        <v>0</v>
      </c>
      <c r="AE199" s="79">
        <f t="shared" si="180"/>
        <v>0</v>
      </c>
      <c r="AF199" s="78">
        <f t="shared" si="181"/>
        <v>0</v>
      </c>
      <c r="AG199" s="79">
        <f t="shared" si="182"/>
        <v>0</v>
      </c>
      <c r="AH199" s="79">
        <f t="shared" si="183"/>
        <v>0</v>
      </c>
      <c r="AI199" s="78">
        <f t="shared" si="184"/>
        <v>1</v>
      </c>
      <c r="AJ199" s="79">
        <f t="shared" si="185"/>
        <v>1</v>
      </c>
      <c r="AK199" s="79">
        <f t="shared" si="186"/>
        <v>1</v>
      </c>
      <c r="AL199" s="80">
        <f t="shared" si="187"/>
        <v>1</v>
      </c>
      <c r="AM199" s="81">
        <f t="shared" si="188"/>
        <v>0.36000000000000004</v>
      </c>
      <c r="AN199" s="82" t="str">
        <f t="shared" si="189"/>
        <v/>
      </c>
      <c r="AO199" s="79" t="str">
        <f t="shared" si="190"/>
        <v/>
      </c>
      <c r="AP199" t="str">
        <f t="shared" si="191"/>
        <v/>
      </c>
      <c r="AQ199" s="82" t="str">
        <f t="shared" si="192"/>
        <v/>
      </c>
      <c r="AR199" t="str">
        <f t="shared" si="193"/>
        <v/>
      </c>
      <c r="AS199" t="str">
        <f t="shared" si="194"/>
        <v/>
      </c>
      <c r="AT199" t="str">
        <f t="shared" si="195"/>
        <v/>
      </c>
      <c r="AU199" t="str">
        <f t="shared" si="196"/>
        <v/>
      </c>
      <c r="AV199" s="82" t="str">
        <f t="shared" si="197"/>
        <v/>
      </c>
      <c r="AW199" t="str">
        <f t="shared" si="198"/>
        <v/>
      </c>
      <c r="AX199" t="str">
        <f t="shared" si="199"/>
        <v/>
      </c>
      <c r="AY199" s="82" t="str">
        <f t="shared" si="200"/>
        <v>X</v>
      </c>
      <c r="AZ199" t="str">
        <f t="shared" si="201"/>
        <v>X</v>
      </c>
      <c r="BA199" t="str">
        <f t="shared" si="202"/>
        <v>X</v>
      </c>
      <c r="BB199" s="83" t="str">
        <f t="shared" si="203"/>
        <v>X</v>
      </c>
      <c r="BC199" s="84">
        <f t="shared" si="204"/>
        <v>0</v>
      </c>
      <c r="BD199" s="84">
        <f t="shared" si="205"/>
        <v>0</v>
      </c>
      <c r="BE199" s="84">
        <f t="shared" si="206"/>
        <v>0</v>
      </c>
      <c r="BF199" s="84">
        <f t="shared" si="207"/>
        <v>1</v>
      </c>
      <c r="BG199" s="78">
        <f>IF(AN199="",0,VLOOKUP(AN199,Tables!$AB$3:$AC$12,2))</f>
        <v>0</v>
      </c>
      <c r="BH199" s="79">
        <f>IF(AO199="",0,VLOOKUP(AO199,Tables!$AB$3:$AC$12,2))</f>
        <v>0</v>
      </c>
      <c r="BI199" s="79">
        <f>IF(AP199="",0,VLOOKUP(AP199,Tables!$AB$3:$AC$12,2))</f>
        <v>0</v>
      </c>
      <c r="BJ199" s="78">
        <f>IF(AQ199="",0,VLOOKUP(AQ199,Tables!$AB$3:$AC$12,2))</f>
        <v>0</v>
      </c>
      <c r="BK199" s="79">
        <f>IF(AR199="",0,VLOOKUP(AR199,Tables!$AB$3:$AC$12,2))</f>
        <v>0</v>
      </c>
      <c r="BL199" s="79">
        <f>IF(AS199="",0,VLOOKUP(AS199,Tables!$AB$3:$AC$12,2))</f>
        <v>0</v>
      </c>
      <c r="BM199" s="79">
        <f>IF(AT199="",0,VLOOKUP(AT199,Tables!$AB$3:$AC$12,2))</f>
        <v>0</v>
      </c>
      <c r="BN199" s="79">
        <f>IF(AU199="",0,VLOOKUP(AU199,Tables!$AB$3:$AC$12,2))</f>
        <v>0</v>
      </c>
      <c r="BO199" s="78">
        <f>IF(AV199="",0,VLOOKUP(AV199,Tables!$AB$3:$AC$12,2))</f>
        <v>0</v>
      </c>
      <c r="BP199" s="79">
        <f>IF(AW199="",0,VLOOKUP(AW199,Tables!$AB$3:$AC$12,2))</f>
        <v>0</v>
      </c>
      <c r="BQ199" s="79">
        <f>IF(AX199="",0,VLOOKUP(AX199,Tables!$AB$3:$AC$12,2))</f>
        <v>0</v>
      </c>
      <c r="BR199" s="78">
        <f>IF(AY199="",0,VLOOKUP(AY199,Tables!$AB$3:$AC$12,2))</f>
        <v>1</v>
      </c>
      <c r="BS199" s="79">
        <f>IF(AZ199="",0,VLOOKUP(AZ199,Tables!$AB$3:$AC$12,2))</f>
        <v>1</v>
      </c>
      <c r="BT199" s="79">
        <f>IF(BA199="",0,VLOOKUP(BA199,Tables!$AB$3:$AC$12,2))</f>
        <v>1</v>
      </c>
      <c r="BU199" s="80">
        <f>IF(BB199="",0,VLOOKUP(BB199,Tables!$AB$3:$AC$12,2))</f>
        <v>1</v>
      </c>
      <c r="BV199" s="85">
        <f>IF(AN199="",0,VLOOKUP(B199,Tables!$B$3:$D$36,2,FALSE())*X$1)</f>
        <v>0</v>
      </c>
      <c r="BW199" s="72">
        <f>IF(AO199="",0,VLOOKUP(C199,Tables!$B$3:$D$36,2,FALSE())*Y$1)</f>
        <v>0</v>
      </c>
      <c r="BX199" s="72">
        <f>IF(AP199="",0,VLOOKUP(D199,Tables!$B$3:$D$36,2,FALSE())*Z$1)</f>
        <v>0</v>
      </c>
      <c r="BY199" s="85">
        <f>IF(AQ199="",0,VLOOKUP(E199,Tables!$B$3:$D$36,2,FALSE())*AA$1)</f>
        <v>0</v>
      </c>
      <c r="BZ199" s="72">
        <f>IF(AR199="",0,VLOOKUP(F199,Tables!$B$3:$D$36,2,FALSE())*AB$1)</f>
        <v>0</v>
      </c>
      <c r="CA199" s="72">
        <f>IF(AS199="",0,VLOOKUP(G199,Tables!$B$3:$D$36,2,FALSE())*AC$1)</f>
        <v>0</v>
      </c>
      <c r="CB199" s="72">
        <f>IF(AT199="",0,VLOOKUP(H199,Tables!$B$3:$D$36,2,FALSE())*AD$1)</f>
        <v>0</v>
      </c>
      <c r="CC199" s="72">
        <f>IF(AU199="",0,VLOOKUP(I199,Tables!$B$3:$D$36,2,FALSE())*AE$1)</f>
        <v>0</v>
      </c>
      <c r="CD199" s="85">
        <f>IF(AV199="",0,VLOOKUP(J199,Tables!$B$3:$D$36,2,FALSE())*AF$1)</f>
        <v>0</v>
      </c>
      <c r="CE199" s="72">
        <f>IF(AW199="",0,VLOOKUP(K199,Tables!$B$3:$D$36,2,FALSE())*AG$1)</f>
        <v>0</v>
      </c>
      <c r="CF199" s="72">
        <f>IF(AX199="",0,VLOOKUP(L199,Tables!$B$3:$D$36,2,FALSE())*AH$1)</f>
        <v>0</v>
      </c>
      <c r="CG199" s="85">
        <f>IF(AY199="",0,VLOOKUP(M199,Tables!$B$3:$D$36,2,FALSE())*AI$1)</f>
        <v>8.4</v>
      </c>
      <c r="CH199" s="72">
        <f>IF(AZ199="",0,VLOOKUP(N199,Tables!$B$3:$D$36,2,FALSE())*AJ$1)</f>
        <v>1.7999999999999998</v>
      </c>
      <c r="CI199" s="72">
        <f>IF(BA199="",0,VLOOKUP(O199,Tables!$B$3:$D$36,2,FALSE())*AK$1)</f>
        <v>7.1999999999999993</v>
      </c>
      <c r="CJ199" s="86">
        <f>IF(BB199="",0,VLOOKUP(P199,Tables!$B$3:$D$36,2,FALSE())*AL$1)</f>
        <v>4.2</v>
      </c>
      <c r="CK199" s="87">
        <f>IF(AN199="",0,VLOOKUP(B199,Tables!$B$3:$D$36,3,FALSE())*X$1)*IF(OR(AN199="K",AN199="P"),2,1)</f>
        <v>0</v>
      </c>
      <c r="CL199" s="73">
        <f>IF(AO199="",0,VLOOKUP(C199,Tables!$B$3:$D$36,3,FALSE())*Y$1)*IF(OR(AO199="K",AO199="P"),2,1)</f>
        <v>0</v>
      </c>
      <c r="CM199" s="73">
        <f>IF(AP199="",0,VLOOKUP(D199,Tables!$B$3:$D$36,3,FALSE())*Z$1)*IF(OR(AP199="K",AP199="P"),2,1)</f>
        <v>0</v>
      </c>
      <c r="CN199" s="87">
        <f>IF(AQ199="",0,VLOOKUP(E199,Tables!$B$3:$D$36,3,FALSE())*AA$1)</f>
        <v>0</v>
      </c>
      <c r="CO199" s="73">
        <f>IF(AR199="",0,VLOOKUP(F199,Tables!$B$3:$D$36,3,FALSE())*AB$1)</f>
        <v>0</v>
      </c>
      <c r="CP199" s="73">
        <f>IF(AS199="",0,VLOOKUP(G199,Tables!$B$3:$D$36,3,FALSE())*AC$1)</f>
        <v>0</v>
      </c>
      <c r="CQ199" s="73">
        <f>IF(AT199="",0,VLOOKUP(H199,Tables!$B$3:$D$36,3,FALSE())*AD$1)</f>
        <v>0</v>
      </c>
      <c r="CR199" s="73">
        <f>IF(AU199="",0,VLOOKUP(I199,Tables!$B$3:$D$36,3,FALSE())*AE$1)</f>
        <v>0</v>
      </c>
      <c r="CS199" s="87">
        <f>IF(AV199="",0,VLOOKUP(J199,Tables!$B$3:$D$36,3,FALSE())*AF$1)</f>
        <v>0</v>
      </c>
      <c r="CT199" s="73">
        <f>IF(AW199="",0,VLOOKUP(K199,Tables!$B$3:$D$36,3,FALSE())*AG$1)</f>
        <v>0</v>
      </c>
      <c r="CU199" s="73">
        <f>IF(AX199="",0,VLOOKUP(L199,Tables!$B$3:$D$36,3,FALSE())*AH$1)</f>
        <v>0</v>
      </c>
      <c r="CV199" s="87">
        <f>IF(AY199="",0,VLOOKUP(M199,Tables!$B$3:$D$36,3,FALSE())*AI$1)</f>
        <v>0.35000000000000003</v>
      </c>
      <c r="CW199" s="73">
        <f>IF(AZ199="",0,VLOOKUP(N199,Tables!$B$3:$D$36,3,FALSE())*AJ$1)</f>
        <v>7.4999999999999997E-2</v>
      </c>
      <c r="CX199" s="73">
        <f>IF(BA199="",0,VLOOKUP(O199,Tables!$B$3:$D$36,3,FALSE())*AK$1)</f>
        <v>0.3</v>
      </c>
      <c r="CY199" s="88">
        <f>IF(BB199="",0,VLOOKUP(P199,Tables!$B$3:$D$36,3,FALSE())*AL$1)</f>
        <v>0.17500000000000002</v>
      </c>
      <c r="CZ199" s="89">
        <f t="shared" si="208"/>
        <v>0</v>
      </c>
      <c r="DA199" s="75">
        <f t="shared" si="209"/>
        <v>0</v>
      </c>
      <c r="DB199" s="75">
        <f t="shared" si="210"/>
        <v>0</v>
      </c>
      <c r="DC199" s="89">
        <f t="shared" si="211"/>
        <v>0</v>
      </c>
      <c r="DD199" s="75">
        <f t="shared" si="212"/>
        <v>0</v>
      </c>
      <c r="DE199" s="75">
        <f t="shared" si="213"/>
        <v>0</v>
      </c>
      <c r="DF199" s="75">
        <f t="shared" si="214"/>
        <v>0</v>
      </c>
      <c r="DG199" s="75">
        <f t="shared" si="215"/>
        <v>0</v>
      </c>
      <c r="DH199" s="89">
        <f t="shared" si="216"/>
        <v>0</v>
      </c>
      <c r="DI199" s="75">
        <f t="shared" si="217"/>
        <v>0</v>
      </c>
      <c r="DJ199" s="75">
        <f t="shared" si="218"/>
        <v>0</v>
      </c>
      <c r="DK199" s="89">
        <f t="shared" si="219"/>
        <v>1</v>
      </c>
      <c r="DL199" s="75">
        <f t="shared" si="220"/>
        <v>1</v>
      </c>
      <c r="DM199" s="75">
        <f t="shared" si="221"/>
        <v>1</v>
      </c>
      <c r="DN199" s="90">
        <f t="shared" si="222"/>
        <v>1</v>
      </c>
      <c r="DO199" s="91">
        <f>IF(AN199="",0,VLOOKUP(B199,Tables!$B$3:$M$36,11,FALSE())*X$1)</f>
        <v>0</v>
      </c>
      <c r="DP199" s="92">
        <f>IF(AO199="",0,VLOOKUP(C199,Tables!$B$3:$M$36,11,FALSE())*Y$1)</f>
        <v>0</v>
      </c>
      <c r="DQ199" s="92">
        <f>IF(AP199="",0,VLOOKUP(D199,Tables!$B$3:$M$36,11,FALSE())*Z$1)</f>
        <v>0</v>
      </c>
      <c r="DR199" s="91">
        <f>IF(AQ199="",0,VLOOKUP(E199,Tables!$B$3:$M$36,11,FALSE())*AA$1)</f>
        <v>0</v>
      </c>
      <c r="DS199" s="92">
        <f>IF(AR199="",0,VLOOKUP(F199,Tables!$B$3:$M$36,11,FALSE())*AB$1)</f>
        <v>0</v>
      </c>
      <c r="DT199" s="92">
        <f>IF(AS199="",0,VLOOKUP(G199,Tables!$B$3:$M$36,11,FALSE())*AC$1)</f>
        <v>0</v>
      </c>
      <c r="DU199" s="92">
        <f>IF(AT199="",0,VLOOKUP(H199,Tables!$B$3:$M$36,11,FALSE())*AD$1)</f>
        <v>0</v>
      </c>
      <c r="DV199" s="92">
        <f>IF(AU199="",0,VLOOKUP(I199,Tables!$B$3:$M$36,11,FALSE())*AE$1)</f>
        <v>0</v>
      </c>
      <c r="DW199" s="91">
        <f>IF(AV199="",0,VLOOKUP(J199,Tables!$B$3:$M$36,11,FALSE())*AF$1)</f>
        <v>0</v>
      </c>
      <c r="DX199" s="92">
        <f>IF(AW199="",0,VLOOKUP(K199,Tables!$B$3:$M$36,11,FALSE())*AG$1)</f>
        <v>0</v>
      </c>
      <c r="DY199" s="92">
        <f>IF(AX199="",0,VLOOKUP(L199,Tables!$B$3:$M$36,11,FALSE())*AH$1)</f>
        <v>0</v>
      </c>
      <c r="DZ199" s="91">
        <f>IF(AY199="",0,VLOOKUP(M199,Tables!$B$3:$M$36,11,FALSE())*AI$1)</f>
        <v>2.8000000000000003</v>
      </c>
      <c r="EA199" s="92">
        <f>IF(AZ199="",0,VLOOKUP(N199,Tables!$B$3:$M$36,11,FALSE())*AJ$1)</f>
        <v>0.6</v>
      </c>
      <c r="EB199" s="92">
        <f>IF(BA199="",0,VLOOKUP(O199,Tables!$B$3:$M$36,11,FALSE())*AK$1)</f>
        <v>2.4</v>
      </c>
      <c r="EC199" s="93">
        <f>IF(BB199="",0,VLOOKUP(P199,Tables!$B$3:$M$36,11,FALSE())*AL$1)</f>
        <v>1.4000000000000001</v>
      </c>
      <c r="ED199" s="91">
        <f>IF(AN199="",0,VLOOKUP(B199,Tables!$B$3:$M$36,12,FALSE())*X$1)</f>
        <v>0</v>
      </c>
      <c r="EE199" s="92">
        <f>IF(AO199="",0,VLOOKUP(C199,Tables!$B$3:$M$36,12,FALSE())*Y$1)</f>
        <v>0</v>
      </c>
      <c r="EF199" s="92">
        <f>IF(AP199="",0,VLOOKUP(D199,Tables!$B$3:$M$36,12,FALSE())*Z$1)</f>
        <v>0</v>
      </c>
      <c r="EG199" s="91">
        <f>IF(AQ199="",0,VLOOKUP(E199,Tables!$B$3:$M$36,12,FALSE())*AA$1)</f>
        <v>0</v>
      </c>
      <c r="EH199" s="92">
        <f>IF(AR199="",0,VLOOKUP(F199,Tables!$B$3:$M$36,12,FALSE())*AB$1)</f>
        <v>0</v>
      </c>
      <c r="EI199" s="92">
        <f>IF(AS199="",0,VLOOKUP(G199,Tables!$B$3:$M$36,12,FALSE())*AC$1)</f>
        <v>0</v>
      </c>
      <c r="EJ199" s="92">
        <f>IF(AT199="",0,VLOOKUP(H199,Tables!$B$3:$M$36,12,FALSE())*AD$1)</f>
        <v>0</v>
      </c>
      <c r="EK199" s="92">
        <f>IF(AU199="",0,VLOOKUP(I199,Tables!$B$3:$M$36,12,FALSE())*AE$1)</f>
        <v>0</v>
      </c>
      <c r="EL199" s="91">
        <f>IF(AV199="",0,VLOOKUP(J199,Tables!$B$3:$M$36,12,FALSE())*AF$1)</f>
        <v>0</v>
      </c>
      <c r="EM199" s="92">
        <f>IF(AW199="",0,VLOOKUP(K199,Tables!$B$3:$M$36,12,FALSE())*AG$1)</f>
        <v>0</v>
      </c>
      <c r="EN199" s="92">
        <f>IF(AX199="",0,VLOOKUP(L199,Tables!$B$3:$M$36,12,FALSE())*AH$1)</f>
        <v>0</v>
      </c>
      <c r="EO199" s="91">
        <f>IF(AY199="",0,VLOOKUP(M199,Tables!$B$3:$M$36,12,FALSE())*AI$1)</f>
        <v>6.3000000000000007</v>
      </c>
      <c r="EP199" s="92">
        <f>IF(AZ199="",0,VLOOKUP(N199,Tables!$B$3:$M$36,12,FALSE())*AJ$1)</f>
        <v>1.3499999999999999</v>
      </c>
      <c r="EQ199" s="92">
        <f>IF(BA199="",0,VLOOKUP(O199,Tables!$B$3:$M$36,12,FALSE())*AK$1)</f>
        <v>5.3999999999999995</v>
      </c>
      <c r="ER199" s="93">
        <f>IF(BB199="",0,VLOOKUP(P199,Tables!$B$3:$M$36,12,FALSE())*AL$1)</f>
        <v>3.1500000000000004</v>
      </c>
      <c r="ES199" s="94">
        <f t="shared" si="223"/>
        <v>0</v>
      </c>
      <c r="ET199" s="95">
        <f>IF(AN199="",10,MIN(VLOOKUP(B199,MATERIAL,13,FALSE()),'Item Builder'!$W199))</f>
        <v>10</v>
      </c>
      <c r="EU199" s="95">
        <f>IF(AO199="",10,MIN(VLOOKUP(C199,MATERIAL,13,FALSE()),'Item Builder'!$W199))</f>
        <v>10</v>
      </c>
      <c r="EV199" s="95">
        <f>IF(AP199="",10,MIN(VLOOKUP(D199,MATERIAL,13,FALSE()),'Item Builder'!$W199))</f>
        <v>10</v>
      </c>
      <c r="EW199" s="95">
        <f>IF(AQ199="",10,MIN(VLOOKUP(E199,MATERIAL,13,FALSE()),'Item Builder'!$W199))</f>
        <v>10</v>
      </c>
      <c r="EX199" s="95">
        <f>IF(AR199="",10,MIN(VLOOKUP(F199,MATERIAL,13,FALSE()),'Item Builder'!$W199))</f>
        <v>10</v>
      </c>
      <c r="EY199" s="95">
        <f>IF(AS199="",10,MIN(VLOOKUP(G199,MATERIAL,13,FALSE()),'Item Builder'!$W199))</f>
        <v>10</v>
      </c>
      <c r="EZ199" s="95">
        <f>IF(AT199="",10,MIN(VLOOKUP(H199,MATERIAL,13,FALSE()),'Item Builder'!$W199))</f>
        <v>10</v>
      </c>
      <c r="FA199" s="95">
        <f>IF(AU199="",10,MIN(VLOOKUP(I199,MATERIAL,13,FALSE()),'Item Builder'!$W199))</f>
        <v>10</v>
      </c>
      <c r="FB199" s="95">
        <f>IF(AV199="",10,MIN(VLOOKUP(J199,MATERIAL,13,FALSE()),'Item Builder'!$W199))</f>
        <v>10</v>
      </c>
      <c r="FC199" s="95">
        <f>IF(AW199="",10,MIN(VLOOKUP(K199,MATERIAL,13,FALSE()),'Item Builder'!$W199))</f>
        <v>10</v>
      </c>
      <c r="FD199" s="95">
        <f>IF(AX199="",10,MIN(VLOOKUP(L199,MATERIAL,13,FALSE()),'Item Builder'!$W199))</f>
        <v>10</v>
      </c>
      <c r="FE199" s="95">
        <f>IF(AY199="",10,MIN(VLOOKUP(M199,MATERIAL,13,FALSE()),'Item Builder'!$W199))</f>
        <v>0</v>
      </c>
      <c r="FF199" s="95">
        <f>IF(AZ199="",10,MIN(VLOOKUP(N199,MATERIAL,13,FALSE()),'Item Builder'!$W199))</f>
        <v>0</v>
      </c>
      <c r="FG199" s="95">
        <f>IF(BA199="",10,MIN(VLOOKUP(O199,MATERIAL,13,FALSE()),'Item Builder'!$W199))</f>
        <v>0</v>
      </c>
      <c r="FH199" s="95">
        <f>IF(BB199="",10,MIN(VLOOKUP(P199,MATERIAL,13,FALSE()),'Item Builder'!$W199))</f>
        <v>0</v>
      </c>
    </row>
    <row r="200" spans="1:164" x14ac:dyDescent="0.25">
      <c r="A200" s="67" t="s">
        <v>340</v>
      </c>
      <c r="B200" s="68"/>
      <c r="C200" s="69"/>
      <c r="D200" s="70"/>
      <c r="E200" s="68"/>
      <c r="F200" s="69"/>
      <c r="G200" s="69"/>
      <c r="H200" s="69"/>
      <c r="I200" s="70"/>
      <c r="J200" s="68"/>
      <c r="K200" s="69"/>
      <c r="L200" s="70"/>
      <c r="M200" s="68"/>
      <c r="N200" s="69"/>
      <c r="O200" s="69" t="s">
        <v>146</v>
      </c>
      <c r="P200" s="71" t="s">
        <v>146</v>
      </c>
      <c r="Q200" s="72">
        <f>SUM(BV200:CJ200)*VLOOKUP(W200,Tables!$W$3:$Z$8,4)</f>
        <v>11.399999999999999</v>
      </c>
      <c r="R200" s="73">
        <f t="shared" si="168"/>
        <v>0.47499999999999998</v>
      </c>
      <c r="S200" s="74">
        <f t="shared" si="169"/>
        <v>0</v>
      </c>
      <c r="T200" s="74">
        <f t="shared" si="170"/>
        <v>0</v>
      </c>
      <c r="U200" s="75">
        <f t="shared" si="171"/>
        <v>3.8</v>
      </c>
      <c r="V200" s="76">
        <f t="shared" si="172"/>
        <v>8.5500000000000007</v>
      </c>
      <c r="W200" s="77">
        <v>0</v>
      </c>
      <c r="X200" s="78">
        <f t="shared" si="173"/>
        <v>0</v>
      </c>
      <c r="Y200" s="79">
        <f t="shared" si="174"/>
        <v>0</v>
      </c>
      <c r="Z200" s="79">
        <f t="shared" si="175"/>
        <v>0</v>
      </c>
      <c r="AA200" s="78">
        <f t="shared" si="176"/>
        <v>0</v>
      </c>
      <c r="AB200" s="79">
        <f t="shared" si="177"/>
        <v>0</v>
      </c>
      <c r="AC200" s="79">
        <f t="shared" si="178"/>
        <v>0</v>
      </c>
      <c r="AD200" s="79">
        <f t="shared" si="179"/>
        <v>0</v>
      </c>
      <c r="AE200" s="79">
        <f t="shared" si="180"/>
        <v>0</v>
      </c>
      <c r="AF200" s="78">
        <f t="shared" si="181"/>
        <v>0</v>
      </c>
      <c r="AG200" s="79">
        <f t="shared" si="182"/>
        <v>0</v>
      </c>
      <c r="AH200" s="79">
        <f t="shared" si="183"/>
        <v>0</v>
      </c>
      <c r="AI200" s="78">
        <f t="shared" si="184"/>
        <v>0</v>
      </c>
      <c r="AJ200" s="79">
        <f t="shared" si="185"/>
        <v>0</v>
      </c>
      <c r="AK200" s="79">
        <f t="shared" si="186"/>
        <v>1</v>
      </c>
      <c r="AL200" s="80">
        <f t="shared" si="187"/>
        <v>1</v>
      </c>
      <c r="AM200" s="81">
        <f t="shared" si="188"/>
        <v>0.19</v>
      </c>
      <c r="AN200" s="82" t="str">
        <f t="shared" si="189"/>
        <v/>
      </c>
      <c r="AO200" s="79" t="str">
        <f t="shared" si="190"/>
        <v/>
      </c>
      <c r="AP200" t="str">
        <f t="shared" si="191"/>
        <v/>
      </c>
      <c r="AQ200" s="82" t="str">
        <f t="shared" si="192"/>
        <v/>
      </c>
      <c r="AR200" t="str">
        <f t="shared" si="193"/>
        <v/>
      </c>
      <c r="AS200" t="str">
        <f t="shared" si="194"/>
        <v/>
      </c>
      <c r="AT200" t="str">
        <f t="shared" si="195"/>
        <v/>
      </c>
      <c r="AU200" t="str">
        <f t="shared" si="196"/>
        <v/>
      </c>
      <c r="AV200" s="82" t="str">
        <f t="shared" si="197"/>
        <v/>
      </c>
      <c r="AW200" t="str">
        <f t="shared" si="198"/>
        <v/>
      </c>
      <c r="AX200" t="str">
        <f t="shared" si="199"/>
        <v/>
      </c>
      <c r="AY200" s="82" t="str">
        <f t="shared" si="200"/>
        <v/>
      </c>
      <c r="AZ200" t="str">
        <f t="shared" si="201"/>
        <v/>
      </c>
      <c r="BA200" t="str">
        <f t="shared" si="202"/>
        <v>X</v>
      </c>
      <c r="BB200" s="83" t="str">
        <f t="shared" si="203"/>
        <v>X</v>
      </c>
      <c r="BC200" s="84">
        <f t="shared" si="204"/>
        <v>0</v>
      </c>
      <c r="BD200" s="84">
        <f t="shared" si="205"/>
        <v>0</v>
      </c>
      <c r="BE200" s="84">
        <f t="shared" si="206"/>
        <v>0</v>
      </c>
      <c r="BF200" s="84">
        <f t="shared" si="207"/>
        <v>0.52777777777777768</v>
      </c>
      <c r="BG200" s="78">
        <f>IF(AN200="",0,VLOOKUP(AN200,Tables!$AB$3:$AC$12,2))</f>
        <v>0</v>
      </c>
      <c r="BH200" s="79">
        <f>IF(AO200="",0,VLOOKUP(AO200,Tables!$AB$3:$AC$12,2))</f>
        <v>0</v>
      </c>
      <c r="BI200" s="79">
        <f>IF(AP200="",0,VLOOKUP(AP200,Tables!$AB$3:$AC$12,2))</f>
        <v>0</v>
      </c>
      <c r="BJ200" s="78">
        <f>IF(AQ200="",0,VLOOKUP(AQ200,Tables!$AB$3:$AC$12,2))</f>
        <v>0</v>
      </c>
      <c r="BK200" s="79">
        <f>IF(AR200="",0,VLOOKUP(AR200,Tables!$AB$3:$AC$12,2))</f>
        <v>0</v>
      </c>
      <c r="BL200" s="79">
        <f>IF(AS200="",0,VLOOKUP(AS200,Tables!$AB$3:$AC$12,2))</f>
        <v>0</v>
      </c>
      <c r="BM200" s="79">
        <f>IF(AT200="",0,VLOOKUP(AT200,Tables!$AB$3:$AC$12,2))</f>
        <v>0</v>
      </c>
      <c r="BN200" s="79">
        <f>IF(AU200="",0,VLOOKUP(AU200,Tables!$AB$3:$AC$12,2))</f>
        <v>0</v>
      </c>
      <c r="BO200" s="78">
        <f>IF(AV200="",0,VLOOKUP(AV200,Tables!$AB$3:$AC$12,2))</f>
        <v>0</v>
      </c>
      <c r="BP200" s="79">
        <f>IF(AW200="",0,VLOOKUP(AW200,Tables!$AB$3:$AC$12,2))</f>
        <v>0</v>
      </c>
      <c r="BQ200" s="79">
        <f>IF(AX200="",0,VLOOKUP(AX200,Tables!$AB$3:$AC$12,2))</f>
        <v>0</v>
      </c>
      <c r="BR200" s="78">
        <f>IF(AY200="",0,VLOOKUP(AY200,Tables!$AB$3:$AC$12,2))</f>
        <v>0</v>
      </c>
      <c r="BS200" s="79">
        <f>IF(AZ200="",0,VLOOKUP(AZ200,Tables!$AB$3:$AC$12,2))</f>
        <v>0</v>
      </c>
      <c r="BT200" s="79">
        <f>IF(BA200="",0,VLOOKUP(BA200,Tables!$AB$3:$AC$12,2))</f>
        <v>1</v>
      </c>
      <c r="BU200" s="80">
        <f>IF(BB200="",0,VLOOKUP(BB200,Tables!$AB$3:$AC$12,2))</f>
        <v>1</v>
      </c>
      <c r="BV200" s="85">
        <f>IF(AN200="",0,VLOOKUP(B200,Tables!$B$3:$D$36,2,FALSE())*X$1)</f>
        <v>0</v>
      </c>
      <c r="BW200" s="72">
        <f>IF(AO200="",0,VLOOKUP(C200,Tables!$B$3:$D$36,2,FALSE())*Y$1)</f>
        <v>0</v>
      </c>
      <c r="BX200" s="72">
        <f>IF(AP200="",0,VLOOKUP(D200,Tables!$B$3:$D$36,2,FALSE())*Z$1)</f>
        <v>0</v>
      </c>
      <c r="BY200" s="85">
        <f>IF(AQ200="",0,VLOOKUP(E200,Tables!$B$3:$D$36,2,FALSE())*AA$1)</f>
        <v>0</v>
      </c>
      <c r="BZ200" s="72">
        <f>IF(AR200="",0,VLOOKUP(F200,Tables!$B$3:$D$36,2,FALSE())*AB$1)</f>
        <v>0</v>
      </c>
      <c r="CA200" s="72">
        <f>IF(AS200="",0,VLOOKUP(G200,Tables!$B$3:$D$36,2,FALSE())*AC$1)</f>
        <v>0</v>
      </c>
      <c r="CB200" s="72">
        <f>IF(AT200="",0,VLOOKUP(H200,Tables!$B$3:$D$36,2,FALSE())*AD$1)</f>
        <v>0</v>
      </c>
      <c r="CC200" s="72">
        <f>IF(AU200="",0,VLOOKUP(I200,Tables!$B$3:$D$36,2,FALSE())*AE$1)</f>
        <v>0</v>
      </c>
      <c r="CD200" s="85">
        <f>IF(AV200="",0,VLOOKUP(J200,Tables!$B$3:$D$36,2,FALSE())*AF$1)</f>
        <v>0</v>
      </c>
      <c r="CE200" s="72">
        <f>IF(AW200="",0,VLOOKUP(K200,Tables!$B$3:$D$36,2,FALSE())*AG$1)</f>
        <v>0</v>
      </c>
      <c r="CF200" s="72">
        <f>IF(AX200="",0,VLOOKUP(L200,Tables!$B$3:$D$36,2,FALSE())*AH$1)</f>
        <v>0</v>
      </c>
      <c r="CG200" s="85">
        <f>IF(AY200="",0,VLOOKUP(M200,Tables!$B$3:$D$36,2,FALSE())*AI$1)</f>
        <v>0</v>
      </c>
      <c r="CH200" s="72">
        <f>IF(AZ200="",0,VLOOKUP(N200,Tables!$B$3:$D$36,2,FALSE())*AJ$1)</f>
        <v>0</v>
      </c>
      <c r="CI200" s="72">
        <f>IF(BA200="",0,VLOOKUP(O200,Tables!$B$3:$D$36,2,FALSE())*AK$1)</f>
        <v>7.1999999999999993</v>
      </c>
      <c r="CJ200" s="86">
        <f>IF(BB200="",0,VLOOKUP(P200,Tables!$B$3:$D$36,2,FALSE())*AL$1)</f>
        <v>4.2</v>
      </c>
      <c r="CK200" s="87">
        <f>IF(AN200="",0,VLOOKUP(B200,Tables!$B$3:$D$36,3,FALSE())*X$1)*IF(OR(AN200="K",AN200="P"),2,1)</f>
        <v>0</v>
      </c>
      <c r="CL200" s="73">
        <f>IF(AO200="",0,VLOOKUP(C200,Tables!$B$3:$D$36,3,FALSE())*Y$1)*IF(OR(AO200="K",AO200="P"),2,1)</f>
        <v>0</v>
      </c>
      <c r="CM200" s="73">
        <f>IF(AP200="",0,VLOOKUP(D200,Tables!$B$3:$D$36,3,FALSE())*Z$1)*IF(OR(AP200="K",AP200="P"),2,1)</f>
        <v>0</v>
      </c>
      <c r="CN200" s="87">
        <f>IF(AQ200="",0,VLOOKUP(E200,Tables!$B$3:$D$36,3,FALSE())*AA$1)</f>
        <v>0</v>
      </c>
      <c r="CO200" s="73">
        <f>IF(AR200="",0,VLOOKUP(F200,Tables!$B$3:$D$36,3,FALSE())*AB$1)</f>
        <v>0</v>
      </c>
      <c r="CP200" s="73">
        <f>IF(AS200="",0,VLOOKUP(G200,Tables!$B$3:$D$36,3,FALSE())*AC$1)</f>
        <v>0</v>
      </c>
      <c r="CQ200" s="73">
        <f>IF(AT200="",0,VLOOKUP(H200,Tables!$B$3:$D$36,3,FALSE())*AD$1)</f>
        <v>0</v>
      </c>
      <c r="CR200" s="73">
        <f>IF(AU200="",0,VLOOKUP(I200,Tables!$B$3:$D$36,3,FALSE())*AE$1)</f>
        <v>0</v>
      </c>
      <c r="CS200" s="87">
        <f>IF(AV200="",0,VLOOKUP(J200,Tables!$B$3:$D$36,3,FALSE())*AF$1)</f>
        <v>0</v>
      </c>
      <c r="CT200" s="73">
        <f>IF(AW200="",0,VLOOKUP(K200,Tables!$B$3:$D$36,3,FALSE())*AG$1)</f>
        <v>0</v>
      </c>
      <c r="CU200" s="73">
        <f>IF(AX200="",0,VLOOKUP(L200,Tables!$B$3:$D$36,3,FALSE())*AH$1)</f>
        <v>0</v>
      </c>
      <c r="CV200" s="87">
        <f>IF(AY200="",0,VLOOKUP(M200,Tables!$B$3:$D$36,3,FALSE())*AI$1)</f>
        <v>0</v>
      </c>
      <c r="CW200" s="73">
        <f>IF(AZ200="",0,VLOOKUP(N200,Tables!$B$3:$D$36,3,FALSE())*AJ$1)</f>
        <v>0</v>
      </c>
      <c r="CX200" s="73">
        <f>IF(BA200="",0,VLOOKUP(O200,Tables!$B$3:$D$36,3,FALSE())*AK$1)</f>
        <v>0.3</v>
      </c>
      <c r="CY200" s="88">
        <f>IF(BB200="",0,VLOOKUP(P200,Tables!$B$3:$D$36,3,FALSE())*AL$1)</f>
        <v>0.17500000000000002</v>
      </c>
      <c r="CZ200" s="89">
        <f t="shared" si="208"/>
        <v>0</v>
      </c>
      <c r="DA200" s="75">
        <f t="shared" si="209"/>
        <v>0</v>
      </c>
      <c r="DB200" s="75">
        <f t="shared" si="210"/>
        <v>0</v>
      </c>
      <c r="DC200" s="89">
        <f t="shared" si="211"/>
        <v>0</v>
      </c>
      <c r="DD200" s="75">
        <f t="shared" si="212"/>
        <v>0</v>
      </c>
      <c r="DE200" s="75">
        <f t="shared" si="213"/>
        <v>0</v>
      </c>
      <c r="DF200" s="75">
        <f t="shared" si="214"/>
        <v>0</v>
      </c>
      <c r="DG200" s="75">
        <f t="shared" si="215"/>
        <v>0</v>
      </c>
      <c r="DH200" s="89">
        <f t="shared" si="216"/>
        <v>0</v>
      </c>
      <c r="DI200" s="75">
        <f t="shared" si="217"/>
        <v>0</v>
      </c>
      <c r="DJ200" s="75">
        <f t="shared" si="218"/>
        <v>0</v>
      </c>
      <c r="DK200" s="89">
        <f t="shared" si="219"/>
        <v>0</v>
      </c>
      <c r="DL200" s="75">
        <f t="shared" si="220"/>
        <v>0</v>
      </c>
      <c r="DM200" s="75">
        <f t="shared" si="221"/>
        <v>1</v>
      </c>
      <c r="DN200" s="90">
        <f t="shared" si="222"/>
        <v>1</v>
      </c>
      <c r="DO200" s="91">
        <f>IF(AN200="",0,VLOOKUP(B200,Tables!$B$3:$M$36,11,FALSE())*X$1)</f>
        <v>0</v>
      </c>
      <c r="DP200" s="92">
        <f>IF(AO200="",0,VLOOKUP(C200,Tables!$B$3:$M$36,11,FALSE())*Y$1)</f>
        <v>0</v>
      </c>
      <c r="DQ200" s="92">
        <f>IF(AP200="",0,VLOOKUP(D200,Tables!$B$3:$M$36,11,FALSE())*Z$1)</f>
        <v>0</v>
      </c>
      <c r="DR200" s="91">
        <f>IF(AQ200="",0,VLOOKUP(E200,Tables!$B$3:$M$36,11,FALSE())*AA$1)</f>
        <v>0</v>
      </c>
      <c r="DS200" s="92">
        <f>IF(AR200="",0,VLOOKUP(F200,Tables!$B$3:$M$36,11,FALSE())*AB$1)</f>
        <v>0</v>
      </c>
      <c r="DT200" s="92">
        <f>IF(AS200="",0,VLOOKUP(G200,Tables!$B$3:$M$36,11,FALSE())*AC$1)</f>
        <v>0</v>
      </c>
      <c r="DU200" s="92">
        <f>IF(AT200="",0,VLOOKUP(H200,Tables!$B$3:$M$36,11,FALSE())*AD$1)</f>
        <v>0</v>
      </c>
      <c r="DV200" s="92">
        <f>IF(AU200="",0,VLOOKUP(I200,Tables!$B$3:$M$36,11,FALSE())*AE$1)</f>
        <v>0</v>
      </c>
      <c r="DW200" s="91">
        <f>IF(AV200="",0,VLOOKUP(J200,Tables!$B$3:$M$36,11,FALSE())*AF$1)</f>
        <v>0</v>
      </c>
      <c r="DX200" s="92">
        <f>IF(AW200="",0,VLOOKUP(K200,Tables!$B$3:$M$36,11,FALSE())*AG$1)</f>
        <v>0</v>
      </c>
      <c r="DY200" s="92">
        <f>IF(AX200="",0,VLOOKUP(L200,Tables!$B$3:$M$36,11,FALSE())*AH$1)</f>
        <v>0</v>
      </c>
      <c r="DZ200" s="91">
        <f>IF(AY200="",0,VLOOKUP(M200,Tables!$B$3:$M$36,11,FALSE())*AI$1)</f>
        <v>0</v>
      </c>
      <c r="EA200" s="92">
        <f>IF(AZ200="",0,VLOOKUP(N200,Tables!$B$3:$M$36,11,FALSE())*AJ$1)</f>
        <v>0</v>
      </c>
      <c r="EB200" s="92">
        <f>IF(BA200="",0,VLOOKUP(O200,Tables!$B$3:$M$36,11,FALSE())*AK$1)</f>
        <v>2.4</v>
      </c>
      <c r="EC200" s="93">
        <f>IF(BB200="",0,VLOOKUP(P200,Tables!$B$3:$M$36,11,FALSE())*AL$1)</f>
        <v>1.4000000000000001</v>
      </c>
      <c r="ED200" s="91">
        <f>IF(AN200="",0,VLOOKUP(B200,Tables!$B$3:$M$36,12,FALSE())*X$1)</f>
        <v>0</v>
      </c>
      <c r="EE200" s="92">
        <f>IF(AO200="",0,VLOOKUP(C200,Tables!$B$3:$M$36,12,FALSE())*Y$1)</f>
        <v>0</v>
      </c>
      <c r="EF200" s="92">
        <f>IF(AP200="",0,VLOOKUP(D200,Tables!$B$3:$M$36,12,FALSE())*Z$1)</f>
        <v>0</v>
      </c>
      <c r="EG200" s="91">
        <f>IF(AQ200="",0,VLOOKUP(E200,Tables!$B$3:$M$36,12,FALSE())*AA$1)</f>
        <v>0</v>
      </c>
      <c r="EH200" s="92">
        <f>IF(AR200="",0,VLOOKUP(F200,Tables!$B$3:$M$36,12,FALSE())*AB$1)</f>
        <v>0</v>
      </c>
      <c r="EI200" s="92">
        <f>IF(AS200="",0,VLOOKUP(G200,Tables!$B$3:$M$36,12,FALSE())*AC$1)</f>
        <v>0</v>
      </c>
      <c r="EJ200" s="92">
        <f>IF(AT200="",0,VLOOKUP(H200,Tables!$B$3:$M$36,12,FALSE())*AD$1)</f>
        <v>0</v>
      </c>
      <c r="EK200" s="92">
        <f>IF(AU200="",0,VLOOKUP(I200,Tables!$B$3:$M$36,12,FALSE())*AE$1)</f>
        <v>0</v>
      </c>
      <c r="EL200" s="91">
        <f>IF(AV200="",0,VLOOKUP(J200,Tables!$B$3:$M$36,12,FALSE())*AF$1)</f>
        <v>0</v>
      </c>
      <c r="EM200" s="92">
        <f>IF(AW200="",0,VLOOKUP(K200,Tables!$B$3:$M$36,12,FALSE())*AG$1)</f>
        <v>0</v>
      </c>
      <c r="EN200" s="92">
        <f>IF(AX200="",0,VLOOKUP(L200,Tables!$B$3:$M$36,12,FALSE())*AH$1)</f>
        <v>0</v>
      </c>
      <c r="EO200" s="91">
        <f>IF(AY200="",0,VLOOKUP(M200,Tables!$B$3:$M$36,12,FALSE())*AI$1)</f>
        <v>0</v>
      </c>
      <c r="EP200" s="92">
        <f>IF(AZ200="",0,VLOOKUP(N200,Tables!$B$3:$M$36,12,FALSE())*AJ$1)</f>
        <v>0</v>
      </c>
      <c r="EQ200" s="92">
        <f>IF(BA200="",0,VLOOKUP(O200,Tables!$B$3:$M$36,12,FALSE())*AK$1)</f>
        <v>5.3999999999999995</v>
      </c>
      <c r="ER200" s="93">
        <f>IF(BB200="",0,VLOOKUP(P200,Tables!$B$3:$M$36,12,FALSE())*AL$1)</f>
        <v>3.1500000000000004</v>
      </c>
      <c r="ES200" s="94">
        <f t="shared" si="223"/>
        <v>0</v>
      </c>
      <c r="ET200" s="95">
        <f>IF(AN200="",10,MIN(VLOOKUP(B200,MATERIAL,13,FALSE()),'Item Builder'!$W200))</f>
        <v>10</v>
      </c>
      <c r="EU200" s="95">
        <f>IF(AO200="",10,MIN(VLOOKUP(C200,MATERIAL,13,FALSE()),'Item Builder'!$W200))</f>
        <v>10</v>
      </c>
      <c r="EV200" s="95">
        <f>IF(AP200="",10,MIN(VLOOKUP(D200,MATERIAL,13,FALSE()),'Item Builder'!$W200))</f>
        <v>10</v>
      </c>
      <c r="EW200" s="95">
        <f>IF(AQ200="",10,MIN(VLOOKUP(E200,MATERIAL,13,FALSE()),'Item Builder'!$W200))</f>
        <v>10</v>
      </c>
      <c r="EX200" s="95">
        <f>IF(AR200="",10,MIN(VLOOKUP(F200,MATERIAL,13,FALSE()),'Item Builder'!$W200))</f>
        <v>10</v>
      </c>
      <c r="EY200" s="95">
        <f>IF(AS200="",10,MIN(VLOOKUP(G200,MATERIAL,13,FALSE()),'Item Builder'!$W200))</f>
        <v>10</v>
      </c>
      <c r="EZ200" s="95">
        <f>IF(AT200="",10,MIN(VLOOKUP(H200,MATERIAL,13,FALSE()),'Item Builder'!$W200))</f>
        <v>10</v>
      </c>
      <c r="FA200" s="95">
        <f>IF(AU200="",10,MIN(VLOOKUP(I200,MATERIAL,13,FALSE()),'Item Builder'!$W200))</f>
        <v>10</v>
      </c>
      <c r="FB200" s="95">
        <f>IF(AV200="",10,MIN(VLOOKUP(J200,MATERIAL,13,FALSE()),'Item Builder'!$W200))</f>
        <v>10</v>
      </c>
      <c r="FC200" s="95">
        <f>IF(AW200="",10,MIN(VLOOKUP(K200,MATERIAL,13,FALSE()),'Item Builder'!$W200))</f>
        <v>10</v>
      </c>
      <c r="FD200" s="95">
        <f>IF(AX200="",10,MIN(VLOOKUP(L200,MATERIAL,13,FALSE()),'Item Builder'!$W200))</f>
        <v>10</v>
      </c>
      <c r="FE200" s="95">
        <f>IF(AY200="",10,MIN(VLOOKUP(M200,MATERIAL,13,FALSE()),'Item Builder'!$W200))</f>
        <v>10</v>
      </c>
      <c r="FF200" s="95">
        <f>IF(AZ200="",10,MIN(VLOOKUP(N200,MATERIAL,13,FALSE()),'Item Builder'!$W200))</f>
        <v>10</v>
      </c>
      <c r="FG200" s="95">
        <f>IF(BA200="",10,MIN(VLOOKUP(O200,MATERIAL,13,FALSE()),'Item Builder'!$W200))</f>
        <v>0</v>
      </c>
      <c r="FH200" s="95">
        <f>IF(BB200="",10,MIN(VLOOKUP(P200,MATERIAL,13,FALSE()),'Item Builder'!$W200))</f>
        <v>0</v>
      </c>
    </row>
    <row r="201" spans="1:164" x14ac:dyDescent="0.25">
      <c r="A201" s="67" t="s">
        <v>341</v>
      </c>
      <c r="B201" s="68" t="s">
        <v>151</v>
      </c>
      <c r="C201" s="69"/>
      <c r="D201" s="70"/>
      <c r="E201" s="68"/>
      <c r="F201" s="69"/>
      <c r="G201" s="69"/>
      <c r="H201" s="69"/>
      <c r="I201" s="70"/>
      <c r="J201" s="68"/>
      <c r="K201" s="69"/>
      <c r="L201" s="70"/>
      <c r="M201" s="68"/>
      <c r="N201" s="69"/>
      <c r="O201" s="69"/>
      <c r="P201" s="71"/>
      <c r="Q201" s="72">
        <f>SUM(BV201:CJ201)*VLOOKUP(W201,Tables!$W$3:$Z$8,4)</f>
        <v>3.2</v>
      </c>
      <c r="R201" s="73">
        <f t="shared" si="168"/>
        <v>0.2</v>
      </c>
      <c r="S201" s="74">
        <f t="shared" si="169"/>
        <v>0</v>
      </c>
      <c r="T201" s="74">
        <f t="shared" si="170"/>
        <v>0</v>
      </c>
      <c r="U201" s="75">
        <f t="shared" si="171"/>
        <v>0.8</v>
      </c>
      <c r="V201" s="76">
        <f t="shared" si="172"/>
        <v>2.4</v>
      </c>
      <c r="W201" s="77">
        <v>0</v>
      </c>
      <c r="X201" s="78">
        <f t="shared" si="173"/>
        <v>1</v>
      </c>
      <c r="Y201" s="79">
        <f t="shared" si="174"/>
        <v>0</v>
      </c>
      <c r="Z201" s="79">
        <f t="shared" si="175"/>
        <v>0</v>
      </c>
      <c r="AA201" s="78">
        <f t="shared" si="176"/>
        <v>0</v>
      </c>
      <c r="AB201" s="79">
        <f t="shared" si="177"/>
        <v>0</v>
      </c>
      <c r="AC201" s="79">
        <f t="shared" si="178"/>
        <v>0</v>
      </c>
      <c r="AD201" s="79">
        <f t="shared" si="179"/>
        <v>0</v>
      </c>
      <c r="AE201" s="79">
        <f t="shared" si="180"/>
        <v>0</v>
      </c>
      <c r="AF201" s="78">
        <f t="shared" si="181"/>
        <v>0</v>
      </c>
      <c r="AG201" s="79">
        <f t="shared" si="182"/>
        <v>0</v>
      </c>
      <c r="AH201" s="79">
        <f t="shared" si="183"/>
        <v>0</v>
      </c>
      <c r="AI201" s="78">
        <f t="shared" si="184"/>
        <v>0</v>
      </c>
      <c r="AJ201" s="79">
        <f t="shared" si="185"/>
        <v>0</v>
      </c>
      <c r="AK201" s="79">
        <f t="shared" si="186"/>
        <v>0</v>
      </c>
      <c r="AL201" s="80">
        <f t="shared" si="187"/>
        <v>0</v>
      </c>
      <c r="AM201" s="81">
        <f t="shared" si="188"/>
        <v>0.04</v>
      </c>
      <c r="AN201" s="82" t="str">
        <f t="shared" si="189"/>
        <v>C</v>
      </c>
      <c r="AO201" s="79" t="str">
        <f t="shared" si="190"/>
        <v/>
      </c>
      <c r="AP201" t="str">
        <f t="shared" si="191"/>
        <v/>
      </c>
      <c r="AQ201" s="82" t="str">
        <f t="shared" si="192"/>
        <v/>
      </c>
      <c r="AR201" t="str">
        <f t="shared" si="193"/>
        <v/>
      </c>
      <c r="AS201" t="str">
        <f t="shared" si="194"/>
        <v/>
      </c>
      <c r="AT201" t="str">
        <f t="shared" si="195"/>
        <v/>
      </c>
      <c r="AU201" t="str">
        <f t="shared" si="196"/>
        <v/>
      </c>
      <c r="AV201" s="82" t="str">
        <f t="shared" si="197"/>
        <v/>
      </c>
      <c r="AW201" t="str">
        <f t="shared" si="198"/>
        <v/>
      </c>
      <c r="AX201" t="str">
        <f t="shared" si="199"/>
        <v/>
      </c>
      <c r="AY201" s="82" t="str">
        <f t="shared" si="200"/>
        <v/>
      </c>
      <c r="AZ201" t="str">
        <f t="shared" si="201"/>
        <v/>
      </c>
      <c r="BA201" t="str">
        <f t="shared" si="202"/>
        <v/>
      </c>
      <c r="BB201" s="83" t="str">
        <f t="shared" si="203"/>
        <v/>
      </c>
      <c r="BC201" s="84">
        <f t="shared" si="204"/>
        <v>0.44444444444444442</v>
      </c>
      <c r="BD201" s="84">
        <f t="shared" si="205"/>
        <v>0</v>
      </c>
      <c r="BE201" s="84">
        <f t="shared" si="206"/>
        <v>0</v>
      </c>
      <c r="BF201" s="84">
        <f t="shared" si="207"/>
        <v>0</v>
      </c>
      <c r="BG201" s="78">
        <f>IF(AN201="",0,VLOOKUP(AN201,Tables!$AB$3:$AC$12,2))</f>
        <v>1</v>
      </c>
      <c r="BH201" s="79">
        <f>IF(AO201="",0,VLOOKUP(AO201,Tables!$AB$3:$AC$12,2))</f>
        <v>0</v>
      </c>
      <c r="BI201" s="79">
        <f>IF(AP201="",0,VLOOKUP(AP201,Tables!$AB$3:$AC$12,2))</f>
        <v>0</v>
      </c>
      <c r="BJ201" s="78">
        <f>IF(AQ201="",0,VLOOKUP(AQ201,Tables!$AB$3:$AC$12,2))</f>
        <v>0</v>
      </c>
      <c r="BK201" s="79">
        <f>IF(AR201="",0,VLOOKUP(AR201,Tables!$AB$3:$AC$12,2))</f>
        <v>0</v>
      </c>
      <c r="BL201" s="79">
        <f>IF(AS201="",0,VLOOKUP(AS201,Tables!$AB$3:$AC$12,2))</f>
        <v>0</v>
      </c>
      <c r="BM201" s="79">
        <f>IF(AT201="",0,VLOOKUP(AT201,Tables!$AB$3:$AC$12,2))</f>
        <v>0</v>
      </c>
      <c r="BN201" s="79">
        <f>IF(AU201="",0,VLOOKUP(AU201,Tables!$AB$3:$AC$12,2))</f>
        <v>0</v>
      </c>
      <c r="BO201" s="78">
        <f>IF(AV201="",0,VLOOKUP(AV201,Tables!$AB$3:$AC$12,2))</f>
        <v>0</v>
      </c>
      <c r="BP201" s="79">
        <f>IF(AW201="",0,VLOOKUP(AW201,Tables!$AB$3:$AC$12,2))</f>
        <v>0</v>
      </c>
      <c r="BQ201" s="79">
        <f>IF(AX201="",0,VLOOKUP(AX201,Tables!$AB$3:$AC$12,2))</f>
        <v>0</v>
      </c>
      <c r="BR201" s="78">
        <f>IF(AY201="",0,VLOOKUP(AY201,Tables!$AB$3:$AC$12,2))</f>
        <v>0</v>
      </c>
      <c r="BS201" s="79">
        <f>IF(AZ201="",0,VLOOKUP(AZ201,Tables!$AB$3:$AC$12,2))</f>
        <v>0</v>
      </c>
      <c r="BT201" s="79">
        <f>IF(BA201="",0,VLOOKUP(BA201,Tables!$AB$3:$AC$12,2))</f>
        <v>0</v>
      </c>
      <c r="BU201" s="80">
        <f>IF(BB201="",0,VLOOKUP(BB201,Tables!$AB$3:$AC$12,2))</f>
        <v>0</v>
      </c>
      <c r="BV201" s="85">
        <f>IF(AN201="",0,VLOOKUP(B201,Tables!$B$3:$D$36,2,FALSE())*X$1)</f>
        <v>3.2</v>
      </c>
      <c r="BW201" s="72">
        <f>IF(AO201="",0,VLOOKUP(C201,Tables!$B$3:$D$36,2,FALSE())*Y$1)</f>
        <v>0</v>
      </c>
      <c r="BX201" s="72">
        <f>IF(AP201="",0,VLOOKUP(D201,Tables!$B$3:$D$36,2,FALSE())*Z$1)</f>
        <v>0</v>
      </c>
      <c r="BY201" s="85">
        <f>IF(AQ201="",0,VLOOKUP(E201,Tables!$B$3:$D$36,2,FALSE())*AA$1)</f>
        <v>0</v>
      </c>
      <c r="BZ201" s="72">
        <f>IF(AR201="",0,VLOOKUP(F201,Tables!$B$3:$D$36,2,FALSE())*AB$1)</f>
        <v>0</v>
      </c>
      <c r="CA201" s="72">
        <f>IF(AS201="",0,VLOOKUP(G201,Tables!$B$3:$D$36,2,FALSE())*AC$1)</f>
        <v>0</v>
      </c>
      <c r="CB201" s="72">
        <f>IF(AT201="",0,VLOOKUP(H201,Tables!$B$3:$D$36,2,FALSE())*AD$1)</f>
        <v>0</v>
      </c>
      <c r="CC201" s="72">
        <f>IF(AU201="",0,VLOOKUP(I201,Tables!$B$3:$D$36,2,FALSE())*AE$1)</f>
        <v>0</v>
      </c>
      <c r="CD201" s="85">
        <f>IF(AV201="",0,VLOOKUP(J201,Tables!$B$3:$D$36,2,FALSE())*AF$1)</f>
        <v>0</v>
      </c>
      <c r="CE201" s="72">
        <f>IF(AW201="",0,VLOOKUP(K201,Tables!$B$3:$D$36,2,FALSE())*AG$1)</f>
        <v>0</v>
      </c>
      <c r="CF201" s="72">
        <f>IF(AX201="",0,VLOOKUP(L201,Tables!$B$3:$D$36,2,FALSE())*AH$1)</f>
        <v>0</v>
      </c>
      <c r="CG201" s="85">
        <f>IF(AY201="",0,VLOOKUP(M201,Tables!$B$3:$D$36,2,FALSE())*AI$1)</f>
        <v>0</v>
      </c>
      <c r="CH201" s="72">
        <f>IF(AZ201="",0,VLOOKUP(N201,Tables!$B$3:$D$36,2,FALSE())*AJ$1)</f>
        <v>0</v>
      </c>
      <c r="CI201" s="72">
        <f>IF(BA201="",0,VLOOKUP(O201,Tables!$B$3:$D$36,2,FALSE())*AK$1)</f>
        <v>0</v>
      </c>
      <c r="CJ201" s="86">
        <f>IF(BB201="",0,VLOOKUP(P201,Tables!$B$3:$D$36,2,FALSE())*AL$1)</f>
        <v>0</v>
      </c>
      <c r="CK201" s="87">
        <f>IF(AN201="",0,VLOOKUP(B201,Tables!$B$3:$D$36,3,FALSE())*X$1)*IF(OR(AN201="K",AN201="P"),2,1)</f>
        <v>0.2</v>
      </c>
      <c r="CL201" s="73">
        <f>IF(AO201="",0,VLOOKUP(C201,Tables!$B$3:$D$36,3,FALSE())*Y$1)*IF(OR(AO201="K",AO201="P"),2,1)</f>
        <v>0</v>
      </c>
      <c r="CM201" s="73">
        <f>IF(AP201="",0,VLOOKUP(D201,Tables!$B$3:$D$36,3,FALSE())*Z$1)*IF(OR(AP201="K",AP201="P"),2,1)</f>
        <v>0</v>
      </c>
      <c r="CN201" s="87">
        <f>IF(AQ201="",0,VLOOKUP(E201,Tables!$B$3:$D$36,3,FALSE())*AA$1)</f>
        <v>0</v>
      </c>
      <c r="CO201" s="73">
        <f>IF(AR201="",0,VLOOKUP(F201,Tables!$B$3:$D$36,3,FALSE())*AB$1)</f>
        <v>0</v>
      </c>
      <c r="CP201" s="73">
        <f>IF(AS201="",0,VLOOKUP(G201,Tables!$B$3:$D$36,3,FALSE())*AC$1)</f>
        <v>0</v>
      </c>
      <c r="CQ201" s="73">
        <f>IF(AT201="",0,VLOOKUP(H201,Tables!$B$3:$D$36,3,FALSE())*AD$1)</f>
        <v>0</v>
      </c>
      <c r="CR201" s="73">
        <f>IF(AU201="",0,VLOOKUP(I201,Tables!$B$3:$D$36,3,FALSE())*AE$1)</f>
        <v>0</v>
      </c>
      <c r="CS201" s="87">
        <f>IF(AV201="",0,VLOOKUP(J201,Tables!$B$3:$D$36,3,FALSE())*AF$1)</f>
        <v>0</v>
      </c>
      <c r="CT201" s="73">
        <f>IF(AW201="",0,VLOOKUP(K201,Tables!$B$3:$D$36,3,FALSE())*AG$1)</f>
        <v>0</v>
      </c>
      <c r="CU201" s="73">
        <f>IF(AX201="",0,VLOOKUP(L201,Tables!$B$3:$D$36,3,FALSE())*AH$1)</f>
        <v>0</v>
      </c>
      <c r="CV201" s="87">
        <f>IF(AY201="",0,VLOOKUP(M201,Tables!$B$3:$D$36,3,FALSE())*AI$1)</f>
        <v>0</v>
      </c>
      <c r="CW201" s="73">
        <f>IF(AZ201="",0,VLOOKUP(N201,Tables!$B$3:$D$36,3,FALSE())*AJ$1)</f>
        <v>0</v>
      </c>
      <c r="CX201" s="73">
        <f>IF(BA201="",0,VLOOKUP(O201,Tables!$B$3:$D$36,3,FALSE())*AK$1)</f>
        <v>0</v>
      </c>
      <c r="CY201" s="88">
        <f>IF(BB201="",0,VLOOKUP(P201,Tables!$B$3:$D$36,3,FALSE())*AL$1)</f>
        <v>0</v>
      </c>
      <c r="CZ201" s="89">
        <f t="shared" si="208"/>
        <v>1</v>
      </c>
      <c r="DA201" s="75">
        <f t="shared" si="209"/>
        <v>0</v>
      </c>
      <c r="DB201" s="75">
        <f t="shared" si="210"/>
        <v>0</v>
      </c>
      <c r="DC201" s="89">
        <f t="shared" si="211"/>
        <v>0</v>
      </c>
      <c r="DD201" s="75">
        <f t="shared" si="212"/>
        <v>0</v>
      </c>
      <c r="DE201" s="75">
        <f t="shared" si="213"/>
        <v>0</v>
      </c>
      <c r="DF201" s="75">
        <f t="shared" si="214"/>
        <v>0</v>
      </c>
      <c r="DG201" s="75">
        <f t="shared" si="215"/>
        <v>0</v>
      </c>
      <c r="DH201" s="89">
        <f t="shared" si="216"/>
        <v>0</v>
      </c>
      <c r="DI201" s="75">
        <f t="shared" si="217"/>
        <v>0</v>
      </c>
      <c r="DJ201" s="75">
        <f t="shared" si="218"/>
        <v>0</v>
      </c>
      <c r="DK201" s="89">
        <f t="shared" si="219"/>
        <v>0</v>
      </c>
      <c r="DL201" s="75">
        <f t="shared" si="220"/>
        <v>0</v>
      </c>
      <c r="DM201" s="75">
        <f t="shared" si="221"/>
        <v>0</v>
      </c>
      <c r="DN201" s="90">
        <f t="shared" si="222"/>
        <v>0</v>
      </c>
      <c r="DO201" s="91">
        <f>IF(AN201="",0,VLOOKUP(B201,Tables!$B$3:$M$36,11,FALSE())*X$1)</f>
        <v>0.8</v>
      </c>
      <c r="DP201" s="92">
        <f>IF(AO201="",0,VLOOKUP(C201,Tables!$B$3:$M$36,11,FALSE())*Y$1)</f>
        <v>0</v>
      </c>
      <c r="DQ201" s="92">
        <f>IF(AP201="",0,VLOOKUP(D201,Tables!$B$3:$M$36,11,FALSE())*Z$1)</f>
        <v>0</v>
      </c>
      <c r="DR201" s="91">
        <f>IF(AQ201="",0,VLOOKUP(E201,Tables!$B$3:$M$36,11,FALSE())*AA$1)</f>
        <v>0</v>
      </c>
      <c r="DS201" s="92">
        <f>IF(AR201="",0,VLOOKUP(F201,Tables!$B$3:$M$36,11,FALSE())*AB$1)</f>
        <v>0</v>
      </c>
      <c r="DT201" s="92">
        <f>IF(AS201="",0,VLOOKUP(G201,Tables!$B$3:$M$36,11,FALSE())*AC$1)</f>
        <v>0</v>
      </c>
      <c r="DU201" s="92">
        <f>IF(AT201="",0,VLOOKUP(H201,Tables!$B$3:$M$36,11,FALSE())*AD$1)</f>
        <v>0</v>
      </c>
      <c r="DV201" s="92">
        <f>IF(AU201="",0,VLOOKUP(I201,Tables!$B$3:$M$36,11,FALSE())*AE$1)</f>
        <v>0</v>
      </c>
      <c r="DW201" s="91">
        <f>IF(AV201="",0,VLOOKUP(J201,Tables!$B$3:$M$36,11,FALSE())*AF$1)</f>
        <v>0</v>
      </c>
      <c r="DX201" s="92">
        <f>IF(AW201="",0,VLOOKUP(K201,Tables!$B$3:$M$36,11,FALSE())*AG$1)</f>
        <v>0</v>
      </c>
      <c r="DY201" s="92">
        <f>IF(AX201="",0,VLOOKUP(L201,Tables!$B$3:$M$36,11,FALSE())*AH$1)</f>
        <v>0</v>
      </c>
      <c r="DZ201" s="91">
        <f>IF(AY201="",0,VLOOKUP(M201,Tables!$B$3:$M$36,11,FALSE())*AI$1)</f>
        <v>0</v>
      </c>
      <c r="EA201" s="92">
        <f>IF(AZ201="",0,VLOOKUP(N201,Tables!$B$3:$M$36,11,FALSE())*AJ$1)</f>
        <v>0</v>
      </c>
      <c r="EB201" s="92">
        <f>IF(BA201="",0,VLOOKUP(O201,Tables!$B$3:$M$36,11,FALSE())*AK$1)</f>
        <v>0</v>
      </c>
      <c r="EC201" s="93">
        <f>IF(BB201="",0,VLOOKUP(P201,Tables!$B$3:$M$36,11,FALSE())*AL$1)</f>
        <v>0</v>
      </c>
      <c r="ED201" s="91">
        <f>IF(AN201="",0,VLOOKUP(B201,Tables!$B$3:$M$36,12,FALSE())*X$1)</f>
        <v>2.4</v>
      </c>
      <c r="EE201" s="92">
        <f>IF(AO201="",0,VLOOKUP(C201,Tables!$B$3:$M$36,12,FALSE())*Y$1)</f>
        <v>0</v>
      </c>
      <c r="EF201" s="92">
        <f>IF(AP201="",0,VLOOKUP(D201,Tables!$B$3:$M$36,12,FALSE())*Z$1)</f>
        <v>0</v>
      </c>
      <c r="EG201" s="91">
        <f>IF(AQ201="",0,VLOOKUP(E201,Tables!$B$3:$M$36,12,FALSE())*AA$1)</f>
        <v>0</v>
      </c>
      <c r="EH201" s="92">
        <f>IF(AR201="",0,VLOOKUP(F201,Tables!$B$3:$M$36,12,FALSE())*AB$1)</f>
        <v>0</v>
      </c>
      <c r="EI201" s="92">
        <f>IF(AS201="",0,VLOOKUP(G201,Tables!$B$3:$M$36,12,FALSE())*AC$1)</f>
        <v>0</v>
      </c>
      <c r="EJ201" s="92">
        <f>IF(AT201="",0,VLOOKUP(H201,Tables!$B$3:$M$36,12,FALSE())*AD$1)</f>
        <v>0</v>
      </c>
      <c r="EK201" s="92">
        <f>IF(AU201="",0,VLOOKUP(I201,Tables!$B$3:$M$36,12,FALSE())*AE$1)</f>
        <v>0</v>
      </c>
      <c r="EL201" s="91">
        <f>IF(AV201="",0,VLOOKUP(J201,Tables!$B$3:$M$36,12,FALSE())*AF$1)</f>
        <v>0</v>
      </c>
      <c r="EM201" s="92">
        <f>IF(AW201="",0,VLOOKUP(K201,Tables!$B$3:$M$36,12,FALSE())*AG$1)</f>
        <v>0</v>
      </c>
      <c r="EN201" s="92">
        <f>IF(AX201="",0,VLOOKUP(L201,Tables!$B$3:$M$36,12,FALSE())*AH$1)</f>
        <v>0</v>
      </c>
      <c r="EO201" s="91">
        <f>IF(AY201="",0,VLOOKUP(M201,Tables!$B$3:$M$36,12,FALSE())*AI$1)</f>
        <v>0</v>
      </c>
      <c r="EP201" s="92">
        <f>IF(AZ201="",0,VLOOKUP(N201,Tables!$B$3:$M$36,12,FALSE())*AJ$1)</f>
        <v>0</v>
      </c>
      <c r="EQ201" s="92">
        <f>IF(BA201="",0,VLOOKUP(O201,Tables!$B$3:$M$36,12,FALSE())*AK$1)</f>
        <v>0</v>
      </c>
      <c r="ER201" s="93">
        <f>IF(BB201="",0,VLOOKUP(P201,Tables!$B$3:$M$36,12,FALSE())*AL$1)</f>
        <v>0</v>
      </c>
      <c r="ES201" s="94">
        <f t="shared" si="223"/>
        <v>0</v>
      </c>
      <c r="ET201" s="95">
        <f>IF(AN201="",10,MIN(VLOOKUP(B201,MATERIAL,13,FALSE()),'Item Builder'!$W201))</f>
        <v>0</v>
      </c>
      <c r="EU201" s="95">
        <f>IF(AO201="",10,MIN(VLOOKUP(C201,MATERIAL,13,FALSE()),'Item Builder'!$W201))</f>
        <v>10</v>
      </c>
      <c r="EV201" s="95">
        <f>IF(AP201="",10,MIN(VLOOKUP(D201,MATERIAL,13,FALSE()),'Item Builder'!$W201))</f>
        <v>10</v>
      </c>
      <c r="EW201" s="95">
        <f>IF(AQ201="",10,MIN(VLOOKUP(E201,MATERIAL,13,FALSE()),'Item Builder'!$W201))</f>
        <v>10</v>
      </c>
      <c r="EX201" s="95">
        <f>IF(AR201="",10,MIN(VLOOKUP(F201,MATERIAL,13,FALSE()),'Item Builder'!$W201))</f>
        <v>10</v>
      </c>
      <c r="EY201" s="95">
        <f>IF(AS201="",10,MIN(VLOOKUP(G201,MATERIAL,13,FALSE()),'Item Builder'!$W201))</f>
        <v>10</v>
      </c>
      <c r="EZ201" s="95">
        <f>IF(AT201="",10,MIN(VLOOKUP(H201,MATERIAL,13,FALSE()),'Item Builder'!$W201))</f>
        <v>10</v>
      </c>
      <c r="FA201" s="95">
        <f>IF(AU201="",10,MIN(VLOOKUP(I201,MATERIAL,13,FALSE()),'Item Builder'!$W201))</f>
        <v>10</v>
      </c>
      <c r="FB201" s="95">
        <f>IF(AV201="",10,MIN(VLOOKUP(J201,MATERIAL,13,FALSE()),'Item Builder'!$W201))</f>
        <v>10</v>
      </c>
      <c r="FC201" s="95">
        <f>IF(AW201="",10,MIN(VLOOKUP(K201,MATERIAL,13,FALSE()),'Item Builder'!$W201))</f>
        <v>10</v>
      </c>
      <c r="FD201" s="95">
        <f>IF(AX201="",10,MIN(VLOOKUP(L201,MATERIAL,13,FALSE()),'Item Builder'!$W201))</f>
        <v>10</v>
      </c>
      <c r="FE201" s="95">
        <f>IF(AY201="",10,MIN(VLOOKUP(M201,MATERIAL,13,FALSE()),'Item Builder'!$W201))</f>
        <v>10</v>
      </c>
      <c r="FF201" s="95">
        <f>IF(AZ201="",10,MIN(VLOOKUP(N201,MATERIAL,13,FALSE()),'Item Builder'!$W201))</f>
        <v>10</v>
      </c>
      <c r="FG201" s="95">
        <f>IF(BA201="",10,MIN(VLOOKUP(O201,MATERIAL,13,FALSE()),'Item Builder'!$W201))</f>
        <v>10</v>
      </c>
      <c r="FH201" s="95">
        <f>IF(BB201="",10,MIN(VLOOKUP(P201,MATERIAL,13,FALSE()),'Item Builder'!$W201))</f>
        <v>10</v>
      </c>
    </row>
    <row r="202" spans="1:164" x14ac:dyDescent="0.25">
      <c r="A202" s="67" t="s">
        <v>342</v>
      </c>
      <c r="B202" s="68" t="s">
        <v>151</v>
      </c>
      <c r="C202" s="69"/>
      <c r="D202" s="70" t="s">
        <v>151</v>
      </c>
      <c r="E202" s="68"/>
      <c r="F202" s="69"/>
      <c r="G202" s="69"/>
      <c r="H202" s="69"/>
      <c r="I202" s="70"/>
      <c r="J202" s="68"/>
      <c r="K202" s="69"/>
      <c r="L202" s="70"/>
      <c r="M202" s="68"/>
      <c r="N202" s="69"/>
      <c r="O202" s="69"/>
      <c r="P202" s="71"/>
      <c r="Q202" s="72">
        <f>SUM(BV202:CJ202)*VLOOKUP(W202,Tables!$W$3:$Z$8,4)</f>
        <v>4.8000000000000007</v>
      </c>
      <c r="R202" s="73">
        <f t="shared" si="168"/>
        <v>0.30000000000000004</v>
      </c>
      <c r="S202" s="74">
        <f t="shared" si="169"/>
        <v>0</v>
      </c>
      <c r="T202" s="74">
        <f t="shared" si="170"/>
        <v>5</v>
      </c>
      <c r="U202" s="75">
        <f t="shared" si="171"/>
        <v>1.2000000000000002</v>
      </c>
      <c r="V202" s="76">
        <f t="shared" si="172"/>
        <v>3.5999999999999996</v>
      </c>
      <c r="W202" s="77">
        <v>0</v>
      </c>
      <c r="X202" s="78">
        <f t="shared" si="173"/>
        <v>1</v>
      </c>
      <c r="Y202" s="79">
        <f t="shared" si="174"/>
        <v>0</v>
      </c>
      <c r="Z202" s="79">
        <f t="shared" si="175"/>
        <v>1</v>
      </c>
      <c r="AA202" s="78">
        <f t="shared" si="176"/>
        <v>0</v>
      </c>
      <c r="AB202" s="79">
        <f t="shared" si="177"/>
        <v>0</v>
      </c>
      <c r="AC202" s="79">
        <f t="shared" si="178"/>
        <v>0</v>
      </c>
      <c r="AD202" s="79">
        <f t="shared" si="179"/>
        <v>0</v>
      </c>
      <c r="AE202" s="79">
        <f t="shared" si="180"/>
        <v>0</v>
      </c>
      <c r="AF202" s="78">
        <f t="shared" si="181"/>
        <v>0</v>
      </c>
      <c r="AG202" s="79">
        <f t="shared" si="182"/>
        <v>0</v>
      </c>
      <c r="AH202" s="79">
        <f t="shared" si="183"/>
        <v>0</v>
      </c>
      <c r="AI202" s="78">
        <f t="shared" si="184"/>
        <v>0</v>
      </c>
      <c r="AJ202" s="79">
        <f t="shared" si="185"/>
        <v>0</v>
      </c>
      <c r="AK202" s="79">
        <f t="shared" si="186"/>
        <v>0</v>
      </c>
      <c r="AL202" s="80">
        <f t="shared" si="187"/>
        <v>0</v>
      </c>
      <c r="AM202" s="81">
        <f t="shared" si="188"/>
        <v>0.06</v>
      </c>
      <c r="AN202" s="82" t="str">
        <f t="shared" si="189"/>
        <v>C</v>
      </c>
      <c r="AO202" s="79" t="str">
        <f t="shared" si="190"/>
        <v/>
      </c>
      <c r="AP202" t="str">
        <f t="shared" si="191"/>
        <v>C</v>
      </c>
      <c r="AQ202" s="82" t="str">
        <f t="shared" si="192"/>
        <v/>
      </c>
      <c r="AR202" t="str">
        <f t="shared" si="193"/>
        <v/>
      </c>
      <c r="AS202" t="str">
        <f t="shared" si="194"/>
        <v/>
      </c>
      <c r="AT202" t="str">
        <f t="shared" si="195"/>
        <v/>
      </c>
      <c r="AU202" t="str">
        <f t="shared" si="196"/>
        <v/>
      </c>
      <c r="AV202" s="82" t="str">
        <f t="shared" si="197"/>
        <v/>
      </c>
      <c r="AW202" t="str">
        <f t="shared" si="198"/>
        <v/>
      </c>
      <c r="AX202" t="str">
        <f t="shared" si="199"/>
        <v/>
      </c>
      <c r="AY202" s="82" t="str">
        <f t="shared" si="200"/>
        <v/>
      </c>
      <c r="AZ202" t="str">
        <f t="shared" si="201"/>
        <v/>
      </c>
      <c r="BA202" t="str">
        <f t="shared" si="202"/>
        <v/>
      </c>
      <c r="BB202" s="83" t="str">
        <f t="shared" si="203"/>
        <v/>
      </c>
      <c r="BC202" s="84">
        <f t="shared" si="204"/>
        <v>0.66666666666666652</v>
      </c>
      <c r="BD202" s="84">
        <f t="shared" si="205"/>
        <v>0</v>
      </c>
      <c r="BE202" s="84">
        <f t="shared" si="206"/>
        <v>0</v>
      </c>
      <c r="BF202" s="84">
        <f t="shared" si="207"/>
        <v>0</v>
      </c>
      <c r="BG202" s="78">
        <f>IF(AN202="",0,VLOOKUP(AN202,Tables!$AB$3:$AC$12,2))</f>
        <v>1</v>
      </c>
      <c r="BH202" s="79">
        <f>IF(AO202="",0,VLOOKUP(AO202,Tables!$AB$3:$AC$12,2))</f>
        <v>0</v>
      </c>
      <c r="BI202" s="79">
        <f>IF(AP202="",0,VLOOKUP(AP202,Tables!$AB$3:$AC$12,2))</f>
        <v>1</v>
      </c>
      <c r="BJ202" s="78">
        <f>IF(AQ202="",0,VLOOKUP(AQ202,Tables!$AB$3:$AC$12,2))</f>
        <v>0</v>
      </c>
      <c r="BK202" s="79">
        <f>IF(AR202="",0,VLOOKUP(AR202,Tables!$AB$3:$AC$12,2))</f>
        <v>0</v>
      </c>
      <c r="BL202" s="79">
        <f>IF(AS202="",0,VLOOKUP(AS202,Tables!$AB$3:$AC$12,2))</f>
        <v>0</v>
      </c>
      <c r="BM202" s="79">
        <f>IF(AT202="",0,VLOOKUP(AT202,Tables!$AB$3:$AC$12,2))</f>
        <v>0</v>
      </c>
      <c r="BN202" s="79">
        <f>IF(AU202="",0,VLOOKUP(AU202,Tables!$AB$3:$AC$12,2))</f>
        <v>0</v>
      </c>
      <c r="BO202" s="78">
        <f>IF(AV202="",0,VLOOKUP(AV202,Tables!$AB$3:$AC$12,2))</f>
        <v>0</v>
      </c>
      <c r="BP202" s="79">
        <f>IF(AW202="",0,VLOOKUP(AW202,Tables!$AB$3:$AC$12,2))</f>
        <v>0</v>
      </c>
      <c r="BQ202" s="79">
        <f>IF(AX202="",0,VLOOKUP(AX202,Tables!$AB$3:$AC$12,2))</f>
        <v>0</v>
      </c>
      <c r="BR202" s="78">
        <f>IF(AY202="",0,VLOOKUP(AY202,Tables!$AB$3:$AC$12,2))</f>
        <v>0</v>
      </c>
      <c r="BS202" s="79">
        <f>IF(AZ202="",0,VLOOKUP(AZ202,Tables!$AB$3:$AC$12,2))</f>
        <v>0</v>
      </c>
      <c r="BT202" s="79">
        <f>IF(BA202="",0,VLOOKUP(BA202,Tables!$AB$3:$AC$12,2))</f>
        <v>0</v>
      </c>
      <c r="BU202" s="80">
        <f>IF(BB202="",0,VLOOKUP(BB202,Tables!$AB$3:$AC$12,2))</f>
        <v>0</v>
      </c>
      <c r="BV202" s="85">
        <f>IF(AN202="",0,VLOOKUP(B202,Tables!$B$3:$D$36,2,FALSE())*X$1)</f>
        <v>3.2</v>
      </c>
      <c r="BW202" s="72">
        <f>IF(AO202="",0,VLOOKUP(C202,Tables!$B$3:$D$36,2,FALSE())*Y$1)</f>
        <v>0</v>
      </c>
      <c r="BX202" s="72">
        <f>IF(AP202="",0,VLOOKUP(D202,Tables!$B$3:$D$36,2,FALSE())*Z$1)</f>
        <v>1.6</v>
      </c>
      <c r="BY202" s="85">
        <f>IF(AQ202="",0,VLOOKUP(E202,Tables!$B$3:$D$36,2,FALSE())*AA$1)</f>
        <v>0</v>
      </c>
      <c r="BZ202" s="72">
        <f>IF(AR202="",0,VLOOKUP(F202,Tables!$B$3:$D$36,2,FALSE())*AB$1)</f>
        <v>0</v>
      </c>
      <c r="CA202" s="72">
        <f>IF(AS202="",0,VLOOKUP(G202,Tables!$B$3:$D$36,2,FALSE())*AC$1)</f>
        <v>0</v>
      </c>
      <c r="CB202" s="72">
        <f>IF(AT202="",0,VLOOKUP(H202,Tables!$B$3:$D$36,2,FALSE())*AD$1)</f>
        <v>0</v>
      </c>
      <c r="CC202" s="72">
        <f>IF(AU202="",0,VLOOKUP(I202,Tables!$B$3:$D$36,2,FALSE())*AE$1)</f>
        <v>0</v>
      </c>
      <c r="CD202" s="85">
        <f>IF(AV202="",0,VLOOKUP(J202,Tables!$B$3:$D$36,2,FALSE())*AF$1)</f>
        <v>0</v>
      </c>
      <c r="CE202" s="72">
        <f>IF(AW202="",0,VLOOKUP(K202,Tables!$B$3:$D$36,2,FALSE())*AG$1)</f>
        <v>0</v>
      </c>
      <c r="CF202" s="72">
        <f>IF(AX202="",0,VLOOKUP(L202,Tables!$B$3:$D$36,2,FALSE())*AH$1)</f>
        <v>0</v>
      </c>
      <c r="CG202" s="85">
        <f>IF(AY202="",0,VLOOKUP(M202,Tables!$B$3:$D$36,2,FALSE())*AI$1)</f>
        <v>0</v>
      </c>
      <c r="CH202" s="72">
        <f>IF(AZ202="",0,VLOOKUP(N202,Tables!$B$3:$D$36,2,FALSE())*AJ$1)</f>
        <v>0</v>
      </c>
      <c r="CI202" s="72">
        <f>IF(BA202="",0,VLOOKUP(O202,Tables!$B$3:$D$36,2,FALSE())*AK$1)</f>
        <v>0</v>
      </c>
      <c r="CJ202" s="86">
        <f>IF(BB202="",0,VLOOKUP(P202,Tables!$B$3:$D$36,2,FALSE())*AL$1)</f>
        <v>0</v>
      </c>
      <c r="CK202" s="87">
        <f>IF(AN202="",0,VLOOKUP(B202,Tables!$B$3:$D$36,3,FALSE())*X$1)*IF(OR(AN202="K",AN202="P"),2,1)</f>
        <v>0.2</v>
      </c>
      <c r="CL202" s="73">
        <f>IF(AO202="",0,VLOOKUP(C202,Tables!$B$3:$D$36,3,FALSE())*Y$1)*IF(OR(AO202="K",AO202="P"),2,1)</f>
        <v>0</v>
      </c>
      <c r="CM202" s="73">
        <f>IF(AP202="",0,VLOOKUP(D202,Tables!$B$3:$D$36,3,FALSE())*Z$1)*IF(OR(AP202="K",AP202="P"),2,1)</f>
        <v>0.1</v>
      </c>
      <c r="CN202" s="87">
        <f>IF(AQ202="",0,VLOOKUP(E202,Tables!$B$3:$D$36,3,FALSE())*AA$1)</f>
        <v>0</v>
      </c>
      <c r="CO202" s="73">
        <f>IF(AR202="",0,VLOOKUP(F202,Tables!$B$3:$D$36,3,FALSE())*AB$1)</f>
        <v>0</v>
      </c>
      <c r="CP202" s="73">
        <f>IF(AS202="",0,VLOOKUP(G202,Tables!$B$3:$D$36,3,FALSE())*AC$1)</f>
        <v>0</v>
      </c>
      <c r="CQ202" s="73">
        <f>IF(AT202="",0,VLOOKUP(H202,Tables!$B$3:$D$36,3,FALSE())*AD$1)</f>
        <v>0</v>
      </c>
      <c r="CR202" s="73">
        <f>IF(AU202="",0,VLOOKUP(I202,Tables!$B$3:$D$36,3,FALSE())*AE$1)</f>
        <v>0</v>
      </c>
      <c r="CS202" s="87">
        <f>IF(AV202="",0,VLOOKUP(J202,Tables!$B$3:$D$36,3,FALSE())*AF$1)</f>
        <v>0</v>
      </c>
      <c r="CT202" s="73">
        <f>IF(AW202="",0,VLOOKUP(K202,Tables!$B$3:$D$36,3,FALSE())*AG$1)</f>
        <v>0</v>
      </c>
      <c r="CU202" s="73">
        <f>IF(AX202="",0,VLOOKUP(L202,Tables!$B$3:$D$36,3,FALSE())*AH$1)</f>
        <v>0</v>
      </c>
      <c r="CV202" s="87">
        <f>IF(AY202="",0,VLOOKUP(M202,Tables!$B$3:$D$36,3,FALSE())*AI$1)</f>
        <v>0</v>
      </c>
      <c r="CW202" s="73">
        <f>IF(AZ202="",0,VLOOKUP(N202,Tables!$B$3:$D$36,3,FALSE())*AJ$1)</f>
        <v>0</v>
      </c>
      <c r="CX202" s="73">
        <f>IF(BA202="",0,VLOOKUP(O202,Tables!$B$3:$D$36,3,FALSE())*AK$1)</f>
        <v>0</v>
      </c>
      <c r="CY202" s="88">
        <f>IF(BB202="",0,VLOOKUP(P202,Tables!$B$3:$D$36,3,FALSE())*AL$1)</f>
        <v>0</v>
      </c>
      <c r="CZ202" s="89">
        <f t="shared" si="208"/>
        <v>1</v>
      </c>
      <c r="DA202" s="75">
        <f t="shared" si="209"/>
        <v>0</v>
      </c>
      <c r="DB202" s="75">
        <f t="shared" si="210"/>
        <v>1</v>
      </c>
      <c r="DC202" s="89">
        <f t="shared" si="211"/>
        <v>0</v>
      </c>
      <c r="DD202" s="75">
        <f t="shared" si="212"/>
        <v>0</v>
      </c>
      <c r="DE202" s="75">
        <f t="shared" si="213"/>
        <v>0</v>
      </c>
      <c r="DF202" s="75">
        <f t="shared" si="214"/>
        <v>0</v>
      </c>
      <c r="DG202" s="75">
        <f t="shared" si="215"/>
        <v>0</v>
      </c>
      <c r="DH202" s="89">
        <f t="shared" si="216"/>
        <v>0</v>
      </c>
      <c r="DI202" s="75">
        <f t="shared" si="217"/>
        <v>0</v>
      </c>
      <c r="DJ202" s="75">
        <f t="shared" si="218"/>
        <v>0</v>
      </c>
      <c r="DK202" s="89">
        <f t="shared" si="219"/>
        <v>0</v>
      </c>
      <c r="DL202" s="75">
        <f t="shared" si="220"/>
        <v>0</v>
      </c>
      <c r="DM202" s="75">
        <f t="shared" si="221"/>
        <v>0</v>
      </c>
      <c r="DN202" s="90">
        <f t="shared" si="222"/>
        <v>0</v>
      </c>
      <c r="DO202" s="91">
        <f>IF(AN202="",0,VLOOKUP(B202,Tables!$B$3:$M$36,11,FALSE())*X$1)</f>
        <v>0.8</v>
      </c>
      <c r="DP202" s="92">
        <f>IF(AO202="",0,VLOOKUP(C202,Tables!$B$3:$M$36,11,FALSE())*Y$1)</f>
        <v>0</v>
      </c>
      <c r="DQ202" s="92">
        <f>IF(AP202="",0,VLOOKUP(D202,Tables!$B$3:$M$36,11,FALSE())*Z$1)</f>
        <v>0.4</v>
      </c>
      <c r="DR202" s="91">
        <f>IF(AQ202="",0,VLOOKUP(E202,Tables!$B$3:$M$36,11,FALSE())*AA$1)</f>
        <v>0</v>
      </c>
      <c r="DS202" s="92">
        <f>IF(AR202="",0,VLOOKUP(F202,Tables!$B$3:$M$36,11,FALSE())*AB$1)</f>
        <v>0</v>
      </c>
      <c r="DT202" s="92">
        <f>IF(AS202="",0,VLOOKUP(G202,Tables!$B$3:$M$36,11,FALSE())*AC$1)</f>
        <v>0</v>
      </c>
      <c r="DU202" s="92">
        <f>IF(AT202="",0,VLOOKUP(H202,Tables!$B$3:$M$36,11,FALSE())*AD$1)</f>
        <v>0</v>
      </c>
      <c r="DV202" s="92">
        <f>IF(AU202="",0,VLOOKUP(I202,Tables!$B$3:$M$36,11,FALSE())*AE$1)</f>
        <v>0</v>
      </c>
      <c r="DW202" s="91">
        <f>IF(AV202="",0,VLOOKUP(J202,Tables!$B$3:$M$36,11,FALSE())*AF$1)</f>
        <v>0</v>
      </c>
      <c r="DX202" s="92">
        <f>IF(AW202="",0,VLOOKUP(K202,Tables!$B$3:$M$36,11,FALSE())*AG$1)</f>
        <v>0</v>
      </c>
      <c r="DY202" s="92">
        <f>IF(AX202="",0,VLOOKUP(L202,Tables!$B$3:$M$36,11,FALSE())*AH$1)</f>
        <v>0</v>
      </c>
      <c r="DZ202" s="91">
        <f>IF(AY202="",0,VLOOKUP(M202,Tables!$B$3:$M$36,11,FALSE())*AI$1)</f>
        <v>0</v>
      </c>
      <c r="EA202" s="92">
        <f>IF(AZ202="",0,VLOOKUP(N202,Tables!$B$3:$M$36,11,FALSE())*AJ$1)</f>
        <v>0</v>
      </c>
      <c r="EB202" s="92">
        <f>IF(BA202="",0,VLOOKUP(O202,Tables!$B$3:$M$36,11,FALSE())*AK$1)</f>
        <v>0</v>
      </c>
      <c r="EC202" s="93">
        <f>IF(BB202="",0,VLOOKUP(P202,Tables!$B$3:$M$36,11,FALSE())*AL$1)</f>
        <v>0</v>
      </c>
      <c r="ED202" s="91">
        <f>IF(AN202="",0,VLOOKUP(B202,Tables!$B$3:$M$36,12,FALSE())*X$1)</f>
        <v>2.4</v>
      </c>
      <c r="EE202" s="92">
        <f>IF(AO202="",0,VLOOKUP(C202,Tables!$B$3:$M$36,12,FALSE())*Y$1)</f>
        <v>0</v>
      </c>
      <c r="EF202" s="92">
        <f>IF(AP202="",0,VLOOKUP(D202,Tables!$B$3:$M$36,12,FALSE())*Z$1)</f>
        <v>1.2</v>
      </c>
      <c r="EG202" s="91">
        <f>IF(AQ202="",0,VLOOKUP(E202,Tables!$B$3:$M$36,12,FALSE())*AA$1)</f>
        <v>0</v>
      </c>
      <c r="EH202" s="92">
        <f>IF(AR202="",0,VLOOKUP(F202,Tables!$B$3:$M$36,12,FALSE())*AB$1)</f>
        <v>0</v>
      </c>
      <c r="EI202" s="92">
        <f>IF(AS202="",0,VLOOKUP(G202,Tables!$B$3:$M$36,12,FALSE())*AC$1)</f>
        <v>0</v>
      </c>
      <c r="EJ202" s="92">
        <f>IF(AT202="",0,VLOOKUP(H202,Tables!$B$3:$M$36,12,FALSE())*AD$1)</f>
        <v>0</v>
      </c>
      <c r="EK202" s="92">
        <f>IF(AU202="",0,VLOOKUP(I202,Tables!$B$3:$M$36,12,FALSE())*AE$1)</f>
        <v>0</v>
      </c>
      <c r="EL202" s="91">
        <f>IF(AV202="",0,VLOOKUP(J202,Tables!$B$3:$M$36,12,FALSE())*AF$1)</f>
        <v>0</v>
      </c>
      <c r="EM202" s="92">
        <f>IF(AW202="",0,VLOOKUP(K202,Tables!$B$3:$M$36,12,FALSE())*AG$1)</f>
        <v>0</v>
      </c>
      <c r="EN202" s="92">
        <f>IF(AX202="",0,VLOOKUP(L202,Tables!$B$3:$M$36,12,FALSE())*AH$1)</f>
        <v>0</v>
      </c>
      <c r="EO202" s="91">
        <f>IF(AY202="",0,VLOOKUP(M202,Tables!$B$3:$M$36,12,FALSE())*AI$1)</f>
        <v>0</v>
      </c>
      <c r="EP202" s="92">
        <f>IF(AZ202="",0,VLOOKUP(N202,Tables!$B$3:$M$36,12,FALSE())*AJ$1)</f>
        <v>0</v>
      </c>
      <c r="EQ202" s="92">
        <f>IF(BA202="",0,VLOOKUP(O202,Tables!$B$3:$M$36,12,FALSE())*AK$1)</f>
        <v>0</v>
      </c>
      <c r="ER202" s="93">
        <f>IF(BB202="",0,VLOOKUP(P202,Tables!$B$3:$M$36,12,FALSE())*AL$1)</f>
        <v>0</v>
      </c>
      <c r="ES202" s="94">
        <f t="shared" si="223"/>
        <v>0</v>
      </c>
      <c r="ET202" s="95">
        <f>IF(AN202="",10,MIN(VLOOKUP(B202,MATERIAL,13,FALSE()),'Item Builder'!$W202))</f>
        <v>0</v>
      </c>
      <c r="EU202" s="95">
        <f>IF(AO202="",10,MIN(VLOOKUP(C202,MATERIAL,13,FALSE()),'Item Builder'!$W202))</f>
        <v>10</v>
      </c>
      <c r="EV202" s="95">
        <f>IF(AP202="",10,MIN(VLOOKUP(D202,MATERIAL,13,FALSE()),'Item Builder'!$W202))</f>
        <v>0</v>
      </c>
      <c r="EW202" s="95">
        <f>IF(AQ202="",10,MIN(VLOOKUP(E202,MATERIAL,13,FALSE()),'Item Builder'!$W202))</f>
        <v>10</v>
      </c>
      <c r="EX202" s="95">
        <f>IF(AR202="",10,MIN(VLOOKUP(F202,MATERIAL,13,FALSE()),'Item Builder'!$W202))</f>
        <v>10</v>
      </c>
      <c r="EY202" s="95">
        <f>IF(AS202="",10,MIN(VLOOKUP(G202,MATERIAL,13,FALSE()),'Item Builder'!$W202))</f>
        <v>10</v>
      </c>
      <c r="EZ202" s="95">
        <f>IF(AT202="",10,MIN(VLOOKUP(H202,MATERIAL,13,FALSE()),'Item Builder'!$W202))</f>
        <v>10</v>
      </c>
      <c r="FA202" s="95">
        <f>IF(AU202="",10,MIN(VLOOKUP(I202,MATERIAL,13,FALSE()),'Item Builder'!$W202))</f>
        <v>10</v>
      </c>
      <c r="FB202" s="95">
        <f>IF(AV202="",10,MIN(VLOOKUP(J202,MATERIAL,13,FALSE()),'Item Builder'!$W202))</f>
        <v>10</v>
      </c>
      <c r="FC202" s="95">
        <f>IF(AW202="",10,MIN(VLOOKUP(K202,MATERIAL,13,FALSE()),'Item Builder'!$W202))</f>
        <v>10</v>
      </c>
      <c r="FD202" s="95">
        <f>IF(AX202="",10,MIN(VLOOKUP(L202,MATERIAL,13,FALSE()),'Item Builder'!$W202))</f>
        <v>10</v>
      </c>
      <c r="FE202" s="95">
        <f>IF(AY202="",10,MIN(VLOOKUP(M202,MATERIAL,13,FALSE()),'Item Builder'!$W202))</f>
        <v>10</v>
      </c>
      <c r="FF202" s="95">
        <f>IF(AZ202="",10,MIN(VLOOKUP(N202,MATERIAL,13,FALSE()),'Item Builder'!$W202))</f>
        <v>10</v>
      </c>
      <c r="FG202" s="95">
        <f>IF(BA202="",10,MIN(VLOOKUP(O202,MATERIAL,13,FALSE()),'Item Builder'!$W202))</f>
        <v>10</v>
      </c>
      <c r="FH202" s="95">
        <f>IF(BB202="",10,MIN(VLOOKUP(P202,MATERIAL,13,FALSE()),'Item Builder'!$W202))</f>
        <v>10</v>
      </c>
    </row>
    <row r="203" spans="1:164" x14ac:dyDescent="0.25">
      <c r="A203" s="67" t="s">
        <v>343</v>
      </c>
      <c r="B203" s="68"/>
      <c r="C203" s="69"/>
      <c r="D203" s="70"/>
      <c r="E203" s="68" t="s">
        <v>151</v>
      </c>
      <c r="F203" s="69" t="s">
        <v>151</v>
      </c>
      <c r="G203" s="69"/>
      <c r="H203" s="69"/>
      <c r="I203" s="70"/>
      <c r="J203" s="68" t="s">
        <v>151</v>
      </c>
      <c r="K203" s="69"/>
      <c r="L203" s="70"/>
      <c r="M203" s="68"/>
      <c r="N203" s="69"/>
      <c r="O203" s="69"/>
      <c r="P203" s="71"/>
      <c r="Q203" s="72">
        <f>SUM(BV203:CJ203)*VLOOKUP(W203,Tables!$W$3:$Z$8,4)</f>
        <v>16.799999999999997</v>
      </c>
      <c r="R203" s="73">
        <f t="shared" si="168"/>
        <v>1.0499999999999998</v>
      </c>
      <c r="S203" s="74">
        <f t="shared" si="169"/>
        <v>0</v>
      </c>
      <c r="T203" s="74">
        <f t="shared" si="170"/>
        <v>0</v>
      </c>
      <c r="U203" s="75">
        <f t="shared" si="171"/>
        <v>4.1999999999999993</v>
      </c>
      <c r="V203" s="76">
        <f t="shared" si="172"/>
        <v>12.599999999999998</v>
      </c>
      <c r="W203" s="77">
        <v>0</v>
      </c>
      <c r="X203" s="78">
        <f t="shared" si="173"/>
        <v>0</v>
      </c>
      <c r="Y203" s="79">
        <f t="shared" si="174"/>
        <v>0</v>
      </c>
      <c r="Z203" s="79">
        <f t="shared" si="175"/>
        <v>0</v>
      </c>
      <c r="AA203" s="78">
        <f t="shared" si="176"/>
        <v>1</v>
      </c>
      <c r="AB203" s="79">
        <f t="shared" si="177"/>
        <v>1</v>
      </c>
      <c r="AC203" s="79">
        <f t="shared" si="178"/>
        <v>0</v>
      </c>
      <c r="AD203" s="79">
        <f t="shared" si="179"/>
        <v>0</v>
      </c>
      <c r="AE203" s="79">
        <f t="shared" si="180"/>
        <v>0</v>
      </c>
      <c r="AF203" s="78">
        <f t="shared" si="181"/>
        <v>1</v>
      </c>
      <c r="AG203" s="79">
        <f t="shared" si="182"/>
        <v>0</v>
      </c>
      <c r="AH203" s="79">
        <f t="shared" si="183"/>
        <v>0</v>
      </c>
      <c r="AI203" s="78">
        <f t="shared" si="184"/>
        <v>0</v>
      </c>
      <c r="AJ203" s="79">
        <f t="shared" si="185"/>
        <v>0</v>
      </c>
      <c r="AK203" s="79">
        <f t="shared" si="186"/>
        <v>0</v>
      </c>
      <c r="AL203" s="80">
        <f t="shared" si="187"/>
        <v>0</v>
      </c>
      <c r="AM203" s="81">
        <f t="shared" si="188"/>
        <v>0.21</v>
      </c>
      <c r="AN203" s="82" t="str">
        <f t="shared" si="189"/>
        <v/>
      </c>
      <c r="AO203" s="79" t="str">
        <f t="shared" si="190"/>
        <v/>
      </c>
      <c r="AP203" t="str">
        <f t="shared" si="191"/>
        <v/>
      </c>
      <c r="AQ203" s="82" t="str">
        <f t="shared" si="192"/>
        <v>C</v>
      </c>
      <c r="AR203" t="str">
        <f t="shared" si="193"/>
        <v>C</v>
      </c>
      <c r="AS203" t="str">
        <f t="shared" si="194"/>
        <v/>
      </c>
      <c r="AT203" t="str">
        <f t="shared" si="195"/>
        <v/>
      </c>
      <c r="AU203" t="str">
        <f t="shared" si="196"/>
        <v/>
      </c>
      <c r="AV203" s="82" t="str">
        <f t="shared" si="197"/>
        <v>C</v>
      </c>
      <c r="AW203" t="str">
        <f t="shared" si="198"/>
        <v/>
      </c>
      <c r="AX203" t="str">
        <f t="shared" si="199"/>
        <v/>
      </c>
      <c r="AY203" s="82" t="str">
        <f t="shared" si="200"/>
        <v/>
      </c>
      <c r="AZ203" t="str">
        <f t="shared" si="201"/>
        <v/>
      </c>
      <c r="BA203" t="str">
        <f t="shared" si="202"/>
        <v/>
      </c>
      <c r="BB203" s="83" t="str">
        <f t="shared" si="203"/>
        <v/>
      </c>
      <c r="BC203" s="84">
        <f t="shared" si="204"/>
        <v>0</v>
      </c>
      <c r="BD203" s="84">
        <f t="shared" si="205"/>
        <v>0.42857142857142849</v>
      </c>
      <c r="BE203" s="84">
        <f t="shared" si="206"/>
        <v>0.35294117647058826</v>
      </c>
      <c r="BF203" s="84">
        <f t="shared" si="207"/>
        <v>0</v>
      </c>
      <c r="BG203" s="78">
        <f>IF(AN203="",0,VLOOKUP(AN203,Tables!$AB$3:$AC$12,2))</f>
        <v>0</v>
      </c>
      <c r="BH203" s="79">
        <f>IF(AO203="",0,VLOOKUP(AO203,Tables!$AB$3:$AC$12,2))</f>
        <v>0</v>
      </c>
      <c r="BI203" s="79">
        <f>IF(AP203="",0,VLOOKUP(AP203,Tables!$AB$3:$AC$12,2))</f>
        <v>0</v>
      </c>
      <c r="BJ203" s="78">
        <f>IF(AQ203="",0,VLOOKUP(AQ203,Tables!$AB$3:$AC$12,2))</f>
        <v>1</v>
      </c>
      <c r="BK203" s="79">
        <f>IF(AR203="",0,VLOOKUP(AR203,Tables!$AB$3:$AC$12,2))</f>
        <v>1</v>
      </c>
      <c r="BL203" s="79">
        <f>IF(AS203="",0,VLOOKUP(AS203,Tables!$AB$3:$AC$12,2))</f>
        <v>0</v>
      </c>
      <c r="BM203" s="79">
        <f>IF(AT203="",0,VLOOKUP(AT203,Tables!$AB$3:$AC$12,2))</f>
        <v>0</v>
      </c>
      <c r="BN203" s="79">
        <f>IF(AU203="",0,VLOOKUP(AU203,Tables!$AB$3:$AC$12,2))</f>
        <v>0</v>
      </c>
      <c r="BO203" s="78">
        <f>IF(AV203="",0,VLOOKUP(AV203,Tables!$AB$3:$AC$12,2))</f>
        <v>1</v>
      </c>
      <c r="BP203" s="79">
        <f>IF(AW203="",0,VLOOKUP(AW203,Tables!$AB$3:$AC$12,2))</f>
        <v>0</v>
      </c>
      <c r="BQ203" s="79">
        <f>IF(AX203="",0,VLOOKUP(AX203,Tables!$AB$3:$AC$12,2))</f>
        <v>0</v>
      </c>
      <c r="BR203" s="78">
        <f>IF(AY203="",0,VLOOKUP(AY203,Tables!$AB$3:$AC$12,2))</f>
        <v>0</v>
      </c>
      <c r="BS203" s="79">
        <f>IF(AZ203="",0,VLOOKUP(AZ203,Tables!$AB$3:$AC$12,2))</f>
        <v>0</v>
      </c>
      <c r="BT203" s="79">
        <f>IF(BA203="",0,VLOOKUP(BA203,Tables!$AB$3:$AC$12,2))</f>
        <v>0</v>
      </c>
      <c r="BU203" s="80">
        <f>IF(BB203="",0,VLOOKUP(BB203,Tables!$AB$3:$AC$12,2))</f>
        <v>0</v>
      </c>
      <c r="BV203" s="85">
        <f>IF(AN203="",0,VLOOKUP(B203,Tables!$B$3:$D$36,2,FALSE())*X$1)</f>
        <v>0</v>
      </c>
      <c r="BW203" s="72">
        <f>IF(AO203="",0,VLOOKUP(C203,Tables!$B$3:$D$36,2,FALSE())*Y$1)</f>
        <v>0</v>
      </c>
      <c r="BX203" s="72">
        <f>IF(AP203="",0,VLOOKUP(D203,Tables!$B$3:$D$36,2,FALSE())*Z$1)</f>
        <v>0</v>
      </c>
      <c r="BY203" s="85">
        <f>IF(AQ203="",0,VLOOKUP(E203,Tables!$B$3:$D$36,2,FALSE())*AA$1)</f>
        <v>2.4</v>
      </c>
      <c r="BZ203" s="72">
        <f>IF(AR203="",0,VLOOKUP(F203,Tables!$B$3:$D$36,2,FALSE())*AB$1)</f>
        <v>4.8</v>
      </c>
      <c r="CA203" s="72">
        <f>IF(AS203="",0,VLOOKUP(G203,Tables!$B$3:$D$36,2,FALSE())*AC$1)</f>
        <v>0</v>
      </c>
      <c r="CB203" s="72">
        <f>IF(AT203="",0,VLOOKUP(H203,Tables!$B$3:$D$36,2,FALSE())*AD$1)</f>
        <v>0</v>
      </c>
      <c r="CC203" s="72">
        <f>IF(AU203="",0,VLOOKUP(I203,Tables!$B$3:$D$36,2,FALSE())*AE$1)</f>
        <v>0</v>
      </c>
      <c r="CD203" s="85">
        <f>IF(AV203="",0,VLOOKUP(J203,Tables!$B$3:$D$36,2,FALSE())*AF$1)</f>
        <v>9.6</v>
      </c>
      <c r="CE203" s="72">
        <f>IF(AW203="",0,VLOOKUP(K203,Tables!$B$3:$D$36,2,FALSE())*AG$1)</f>
        <v>0</v>
      </c>
      <c r="CF203" s="72">
        <f>IF(AX203="",0,VLOOKUP(L203,Tables!$B$3:$D$36,2,FALSE())*AH$1)</f>
        <v>0</v>
      </c>
      <c r="CG203" s="85">
        <f>IF(AY203="",0,VLOOKUP(M203,Tables!$B$3:$D$36,2,FALSE())*AI$1)</f>
        <v>0</v>
      </c>
      <c r="CH203" s="72">
        <f>IF(AZ203="",0,VLOOKUP(N203,Tables!$B$3:$D$36,2,FALSE())*AJ$1)</f>
        <v>0</v>
      </c>
      <c r="CI203" s="72">
        <f>IF(BA203="",0,VLOOKUP(O203,Tables!$B$3:$D$36,2,FALSE())*AK$1)</f>
        <v>0</v>
      </c>
      <c r="CJ203" s="86">
        <f>IF(BB203="",0,VLOOKUP(P203,Tables!$B$3:$D$36,2,FALSE())*AL$1)</f>
        <v>0</v>
      </c>
      <c r="CK203" s="87">
        <f>IF(AN203="",0,VLOOKUP(B203,Tables!$B$3:$D$36,3,FALSE())*X$1)*IF(OR(AN203="K",AN203="P"),2,1)</f>
        <v>0</v>
      </c>
      <c r="CL203" s="73">
        <f>IF(AO203="",0,VLOOKUP(C203,Tables!$B$3:$D$36,3,FALSE())*Y$1)*IF(OR(AO203="K",AO203="P"),2,1)</f>
        <v>0</v>
      </c>
      <c r="CM203" s="73">
        <f>IF(AP203="",0,VLOOKUP(D203,Tables!$B$3:$D$36,3,FALSE())*Z$1)*IF(OR(AP203="K",AP203="P"),2,1)</f>
        <v>0</v>
      </c>
      <c r="CN203" s="87">
        <f>IF(AQ203="",0,VLOOKUP(E203,Tables!$B$3:$D$36,3,FALSE())*AA$1)</f>
        <v>0.15</v>
      </c>
      <c r="CO203" s="73">
        <f>IF(AR203="",0,VLOOKUP(F203,Tables!$B$3:$D$36,3,FALSE())*AB$1)</f>
        <v>0.3</v>
      </c>
      <c r="CP203" s="73">
        <f>IF(AS203="",0,VLOOKUP(G203,Tables!$B$3:$D$36,3,FALSE())*AC$1)</f>
        <v>0</v>
      </c>
      <c r="CQ203" s="73">
        <f>IF(AT203="",0,VLOOKUP(H203,Tables!$B$3:$D$36,3,FALSE())*AD$1)</f>
        <v>0</v>
      </c>
      <c r="CR203" s="73">
        <f>IF(AU203="",0,VLOOKUP(I203,Tables!$B$3:$D$36,3,FALSE())*AE$1)</f>
        <v>0</v>
      </c>
      <c r="CS203" s="87">
        <f>IF(AV203="",0,VLOOKUP(J203,Tables!$B$3:$D$36,3,FALSE())*AF$1)</f>
        <v>0.6</v>
      </c>
      <c r="CT203" s="73">
        <f>IF(AW203="",0,VLOOKUP(K203,Tables!$B$3:$D$36,3,FALSE())*AG$1)</f>
        <v>0</v>
      </c>
      <c r="CU203" s="73">
        <f>IF(AX203="",0,VLOOKUP(L203,Tables!$B$3:$D$36,3,FALSE())*AH$1)</f>
        <v>0</v>
      </c>
      <c r="CV203" s="87">
        <f>IF(AY203="",0,VLOOKUP(M203,Tables!$B$3:$D$36,3,FALSE())*AI$1)</f>
        <v>0</v>
      </c>
      <c r="CW203" s="73">
        <f>IF(AZ203="",0,VLOOKUP(N203,Tables!$B$3:$D$36,3,FALSE())*AJ$1)</f>
        <v>0</v>
      </c>
      <c r="CX203" s="73">
        <f>IF(BA203="",0,VLOOKUP(O203,Tables!$B$3:$D$36,3,FALSE())*AK$1)</f>
        <v>0</v>
      </c>
      <c r="CY203" s="88">
        <f>IF(BB203="",0,VLOOKUP(P203,Tables!$B$3:$D$36,3,FALSE())*AL$1)</f>
        <v>0</v>
      </c>
      <c r="CZ203" s="89">
        <f t="shared" si="208"/>
        <v>0</v>
      </c>
      <c r="DA203" s="75">
        <f t="shared" si="209"/>
        <v>0</v>
      </c>
      <c r="DB203" s="75">
        <f t="shared" si="210"/>
        <v>0</v>
      </c>
      <c r="DC203" s="89">
        <f t="shared" si="211"/>
        <v>1</v>
      </c>
      <c r="DD203" s="75">
        <f t="shared" si="212"/>
        <v>1</v>
      </c>
      <c r="DE203" s="75">
        <f t="shared" si="213"/>
        <v>0</v>
      </c>
      <c r="DF203" s="75">
        <f t="shared" si="214"/>
        <v>0</v>
      </c>
      <c r="DG203" s="75">
        <f t="shared" si="215"/>
        <v>0</v>
      </c>
      <c r="DH203" s="89">
        <f t="shared" si="216"/>
        <v>1</v>
      </c>
      <c r="DI203" s="75">
        <f t="shared" si="217"/>
        <v>0</v>
      </c>
      <c r="DJ203" s="75">
        <f t="shared" si="218"/>
        <v>0</v>
      </c>
      <c r="DK203" s="89">
        <f t="shared" si="219"/>
        <v>0</v>
      </c>
      <c r="DL203" s="75">
        <f t="shared" si="220"/>
        <v>0</v>
      </c>
      <c r="DM203" s="75">
        <f t="shared" si="221"/>
        <v>0</v>
      </c>
      <c r="DN203" s="90">
        <f t="shared" si="222"/>
        <v>0</v>
      </c>
      <c r="DO203" s="91">
        <f>IF(AN203="",0,VLOOKUP(B203,Tables!$B$3:$M$36,11,FALSE())*X$1)</f>
        <v>0</v>
      </c>
      <c r="DP203" s="92">
        <f>IF(AO203="",0,VLOOKUP(C203,Tables!$B$3:$M$36,11,FALSE())*Y$1)</f>
        <v>0</v>
      </c>
      <c r="DQ203" s="92">
        <f>IF(AP203="",0,VLOOKUP(D203,Tables!$B$3:$M$36,11,FALSE())*Z$1)</f>
        <v>0</v>
      </c>
      <c r="DR203" s="91">
        <f>IF(AQ203="",0,VLOOKUP(E203,Tables!$B$3:$M$36,11,FALSE())*AA$1)</f>
        <v>0.6</v>
      </c>
      <c r="DS203" s="92">
        <f>IF(AR203="",0,VLOOKUP(F203,Tables!$B$3:$M$36,11,FALSE())*AB$1)</f>
        <v>1.2</v>
      </c>
      <c r="DT203" s="92">
        <f>IF(AS203="",0,VLOOKUP(G203,Tables!$B$3:$M$36,11,FALSE())*AC$1)</f>
        <v>0</v>
      </c>
      <c r="DU203" s="92">
        <f>IF(AT203="",0,VLOOKUP(H203,Tables!$B$3:$M$36,11,FALSE())*AD$1)</f>
        <v>0</v>
      </c>
      <c r="DV203" s="92">
        <f>IF(AU203="",0,VLOOKUP(I203,Tables!$B$3:$M$36,11,FALSE())*AE$1)</f>
        <v>0</v>
      </c>
      <c r="DW203" s="91">
        <f>IF(AV203="",0,VLOOKUP(J203,Tables!$B$3:$M$36,11,FALSE())*AF$1)</f>
        <v>2.4</v>
      </c>
      <c r="DX203" s="92">
        <f>IF(AW203="",0,VLOOKUP(K203,Tables!$B$3:$M$36,11,FALSE())*AG$1)</f>
        <v>0</v>
      </c>
      <c r="DY203" s="92">
        <f>IF(AX203="",0,VLOOKUP(L203,Tables!$B$3:$M$36,11,FALSE())*AH$1)</f>
        <v>0</v>
      </c>
      <c r="DZ203" s="91">
        <f>IF(AY203="",0,VLOOKUP(M203,Tables!$B$3:$M$36,11,FALSE())*AI$1)</f>
        <v>0</v>
      </c>
      <c r="EA203" s="92">
        <f>IF(AZ203="",0,VLOOKUP(N203,Tables!$B$3:$M$36,11,FALSE())*AJ$1)</f>
        <v>0</v>
      </c>
      <c r="EB203" s="92">
        <f>IF(BA203="",0,VLOOKUP(O203,Tables!$B$3:$M$36,11,FALSE())*AK$1)</f>
        <v>0</v>
      </c>
      <c r="EC203" s="93">
        <f>IF(BB203="",0,VLOOKUP(P203,Tables!$B$3:$M$36,11,FALSE())*AL$1)</f>
        <v>0</v>
      </c>
      <c r="ED203" s="91">
        <f>IF(AN203="",0,VLOOKUP(B203,Tables!$B$3:$M$36,12,FALSE())*X$1)</f>
        <v>0</v>
      </c>
      <c r="EE203" s="92">
        <f>IF(AO203="",0,VLOOKUP(C203,Tables!$B$3:$M$36,12,FALSE())*Y$1)</f>
        <v>0</v>
      </c>
      <c r="EF203" s="92">
        <f>IF(AP203="",0,VLOOKUP(D203,Tables!$B$3:$M$36,12,FALSE())*Z$1)</f>
        <v>0</v>
      </c>
      <c r="EG203" s="91">
        <f>IF(AQ203="",0,VLOOKUP(E203,Tables!$B$3:$M$36,12,FALSE())*AA$1)</f>
        <v>1.7999999999999998</v>
      </c>
      <c r="EH203" s="92">
        <f>IF(AR203="",0,VLOOKUP(F203,Tables!$B$3:$M$36,12,FALSE())*AB$1)</f>
        <v>3.5999999999999996</v>
      </c>
      <c r="EI203" s="92">
        <f>IF(AS203="",0,VLOOKUP(G203,Tables!$B$3:$M$36,12,FALSE())*AC$1)</f>
        <v>0</v>
      </c>
      <c r="EJ203" s="92">
        <f>IF(AT203="",0,VLOOKUP(H203,Tables!$B$3:$M$36,12,FALSE())*AD$1)</f>
        <v>0</v>
      </c>
      <c r="EK203" s="92">
        <f>IF(AU203="",0,VLOOKUP(I203,Tables!$B$3:$M$36,12,FALSE())*AE$1)</f>
        <v>0</v>
      </c>
      <c r="EL203" s="91">
        <f>IF(AV203="",0,VLOOKUP(J203,Tables!$B$3:$M$36,12,FALSE())*AF$1)</f>
        <v>7.1999999999999993</v>
      </c>
      <c r="EM203" s="92">
        <f>IF(AW203="",0,VLOOKUP(K203,Tables!$B$3:$M$36,12,FALSE())*AG$1)</f>
        <v>0</v>
      </c>
      <c r="EN203" s="92">
        <f>IF(AX203="",0,VLOOKUP(L203,Tables!$B$3:$M$36,12,FALSE())*AH$1)</f>
        <v>0</v>
      </c>
      <c r="EO203" s="91">
        <f>IF(AY203="",0,VLOOKUP(M203,Tables!$B$3:$M$36,12,FALSE())*AI$1)</f>
        <v>0</v>
      </c>
      <c r="EP203" s="92">
        <f>IF(AZ203="",0,VLOOKUP(N203,Tables!$B$3:$M$36,12,FALSE())*AJ$1)</f>
        <v>0</v>
      </c>
      <c r="EQ203" s="92">
        <f>IF(BA203="",0,VLOOKUP(O203,Tables!$B$3:$M$36,12,FALSE())*AK$1)</f>
        <v>0</v>
      </c>
      <c r="ER203" s="93">
        <f>IF(BB203="",0,VLOOKUP(P203,Tables!$B$3:$M$36,12,FALSE())*AL$1)</f>
        <v>0</v>
      </c>
      <c r="ES203" s="94">
        <f t="shared" si="223"/>
        <v>0</v>
      </c>
      <c r="ET203" s="95">
        <f>IF(AN203="",10,MIN(VLOOKUP(B203,MATERIAL,13,FALSE()),'Item Builder'!$W203))</f>
        <v>10</v>
      </c>
      <c r="EU203" s="95">
        <f>IF(AO203="",10,MIN(VLOOKUP(C203,MATERIAL,13,FALSE()),'Item Builder'!$W203))</f>
        <v>10</v>
      </c>
      <c r="EV203" s="95">
        <f>IF(AP203="",10,MIN(VLOOKUP(D203,MATERIAL,13,FALSE()),'Item Builder'!$W203))</f>
        <v>10</v>
      </c>
      <c r="EW203" s="95">
        <f>IF(AQ203="",10,MIN(VLOOKUP(E203,MATERIAL,13,FALSE()),'Item Builder'!$W203))</f>
        <v>0</v>
      </c>
      <c r="EX203" s="95">
        <f>IF(AR203="",10,MIN(VLOOKUP(F203,MATERIAL,13,FALSE()),'Item Builder'!$W203))</f>
        <v>0</v>
      </c>
      <c r="EY203" s="95">
        <f>IF(AS203="",10,MIN(VLOOKUP(G203,MATERIAL,13,FALSE()),'Item Builder'!$W203))</f>
        <v>10</v>
      </c>
      <c r="EZ203" s="95">
        <f>IF(AT203="",10,MIN(VLOOKUP(H203,MATERIAL,13,FALSE()),'Item Builder'!$W203))</f>
        <v>10</v>
      </c>
      <c r="FA203" s="95">
        <f>IF(AU203="",10,MIN(VLOOKUP(I203,MATERIAL,13,FALSE()),'Item Builder'!$W203))</f>
        <v>10</v>
      </c>
      <c r="FB203" s="95">
        <f>IF(AV203="",10,MIN(VLOOKUP(J203,MATERIAL,13,FALSE()),'Item Builder'!$W203))</f>
        <v>0</v>
      </c>
      <c r="FC203" s="95">
        <f>IF(AW203="",10,MIN(VLOOKUP(K203,MATERIAL,13,FALSE()),'Item Builder'!$W203))</f>
        <v>10</v>
      </c>
      <c r="FD203" s="95">
        <f>IF(AX203="",10,MIN(VLOOKUP(L203,MATERIAL,13,FALSE()),'Item Builder'!$W203))</f>
        <v>10</v>
      </c>
      <c r="FE203" s="95">
        <f>IF(AY203="",10,MIN(VLOOKUP(M203,MATERIAL,13,FALSE()),'Item Builder'!$W203))</f>
        <v>10</v>
      </c>
      <c r="FF203" s="95">
        <f>IF(AZ203="",10,MIN(VLOOKUP(N203,MATERIAL,13,FALSE()),'Item Builder'!$W203))</f>
        <v>10</v>
      </c>
      <c r="FG203" s="95">
        <f>IF(BA203="",10,MIN(VLOOKUP(O203,MATERIAL,13,FALSE()),'Item Builder'!$W203))</f>
        <v>10</v>
      </c>
      <c r="FH203" s="95">
        <f>IF(BB203="",10,MIN(VLOOKUP(P203,MATERIAL,13,FALSE()),'Item Builder'!$W203))</f>
        <v>10</v>
      </c>
    </row>
    <row r="204" spans="1:164" x14ac:dyDescent="0.25">
      <c r="A204" s="67" t="s">
        <v>344</v>
      </c>
      <c r="B204" s="68"/>
      <c r="C204" s="69"/>
      <c r="D204" s="70"/>
      <c r="E204" s="68"/>
      <c r="F204" s="69"/>
      <c r="G204" s="69"/>
      <c r="H204" s="69"/>
      <c r="I204" s="70" t="s">
        <v>151</v>
      </c>
      <c r="J204" s="68"/>
      <c r="K204" s="69"/>
      <c r="L204" s="70"/>
      <c r="M204" s="68"/>
      <c r="N204" s="69"/>
      <c r="O204" s="69"/>
      <c r="P204" s="71"/>
      <c r="Q204" s="72">
        <f>SUM(BV204:CJ204)*VLOOKUP(W204,Tables!$W$3:$Z$8,4)</f>
        <v>4</v>
      </c>
      <c r="R204" s="73">
        <f t="shared" si="168"/>
        <v>0.25</v>
      </c>
      <c r="S204" s="74">
        <f t="shared" si="169"/>
        <v>0</v>
      </c>
      <c r="T204" s="74">
        <f t="shared" si="170"/>
        <v>0</v>
      </c>
      <c r="U204" s="75">
        <f t="shared" si="171"/>
        <v>1</v>
      </c>
      <c r="V204" s="76">
        <f t="shared" si="172"/>
        <v>3</v>
      </c>
      <c r="W204" s="77">
        <v>0</v>
      </c>
      <c r="X204" s="78">
        <f t="shared" si="173"/>
        <v>0</v>
      </c>
      <c r="Y204" s="79">
        <f t="shared" si="174"/>
        <v>0</v>
      </c>
      <c r="Z204" s="79">
        <f t="shared" si="175"/>
        <v>0</v>
      </c>
      <c r="AA204" s="78">
        <f t="shared" si="176"/>
        <v>0</v>
      </c>
      <c r="AB204" s="79">
        <f t="shared" si="177"/>
        <v>0</v>
      </c>
      <c r="AC204" s="79">
        <f t="shared" si="178"/>
        <v>0</v>
      </c>
      <c r="AD204" s="79">
        <f t="shared" si="179"/>
        <v>0</v>
      </c>
      <c r="AE204" s="79">
        <f t="shared" si="180"/>
        <v>1</v>
      </c>
      <c r="AF204" s="78">
        <f t="shared" si="181"/>
        <v>0</v>
      </c>
      <c r="AG204" s="79">
        <f t="shared" si="182"/>
        <v>0</v>
      </c>
      <c r="AH204" s="79">
        <f t="shared" si="183"/>
        <v>0</v>
      </c>
      <c r="AI204" s="78">
        <f t="shared" si="184"/>
        <v>0</v>
      </c>
      <c r="AJ204" s="79">
        <f t="shared" si="185"/>
        <v>0</v>
      </c>
      <c r="AK204" s="79">
        <f t="shared" si="186"/>
        <v>0</v>
      </c>
      <c r="AL204" s="80">
        <f t="shared" si="187"/>
        <v>0</v>
      </c>
      <c r="AM204" s="81">
        <f t="shared" si="188"/>
        <v>0.05</v>
      </c>
      <c r="AN204" s="82" t="str">
        <f t="shared" si="189"/>
        <v/>
      </c>
      <c r="AO204" s="79" t="str">
        <f t="shared" si="190"/>
        <v/>
      </c>
      <c r="AP204" t="str">
        <f t="shared" si="191"/>
        <v/>
      </c>
      <c r="AQ204" s="82" t="str">
        <f t="shared" si="192"/>
        <v/>
      </c>
      <c r="AR204" t="str">
        <f t="shared" si="193"/>
        <v/>
      </c>
      <c r="AS204" t="str">
        <f t="shared" si="194"/>
        <v/>
      </c>
      <c r="AT204" t="str">
        <f t="shared" si="195"/>
        <v/>
      </c>
      <c r="AU204" t="str">
        <f t="shared" si="196"/>
        <v>C</v>
      </c>
      <c r="AV204" s="82" t="str">
        <f t="shared" si="197"/>
        <v/>
      </c>
      <c r="AW204" t="str">
        <f t="shared" si="198"/>
        <v/>
      </c>
      <c r="AX204" t="str">
        <f t="shared" si="199"/>
        <v/>
      </c>
      <c r="AY204" s="82" t="str">
        <f t="shared" si="200"/>
        <v/>
      </c>
      <c r="AZ204" t="str">
        <f t="shared" si="201"/>
        <v/>
      </c>
      <c r="BA204" t="str">
        <f t="shared" si="202"/>
        <v/>
      </c>
      <c r="BB204" s="83" t="str">
        <f t="shared" si="203"/>
        <v/>
      </c>
      <c r="BC204" s="84">
        <f t="shared" si="204"/>
        <v>0</v>
      </c>
      <c r="BD204" s="84">
        <f t="shared" si="205"/>
        <v>0.23809523809523808</v>
      </c>
      <c r="BE204" s="84">
        <f t="shared" si="206"/>
        <v>0</v>
      </c>
      <c r="BF204" s="84">
        <f t="shared" si="207"/>
        <v>0</v>
      </c>
      <c r="BG204" s="78">
        <f>IF(AN204="",0,VLOOKUP(AN204,Tables!$AB$3:$AC$12,2))</f>
        <v>0</v>
      </c>
      <c r="BH204" s="79">
        <f>IF(AO204="",0,VLOOKUP(AO204,Tables!$AB$3:$AC$12,2))</f>
        <v>0</v>
      </c>
      <c r="BI204" s="79">
        <f>IF(AP204="",0,VLOOKUP(AP204,Tables!$AB$3:$AC$12,2))</f>
        <v>0</v>
      </c>
      <c r="BJ204" s="78">
        <f>IF(AQ204="",0,VLOOKUP(AQ204,Tables!$AB$3:$AC$12,2))</f>
        <v>0</v>
      </c>
      <c r="BK204" s="79">
        <f>IF(AR204="",0,VLOOKUP(AR204,Tables!$AB$3:$AC$12,2))</f>
        <v>0</v>
      </c>
      <c r="BL204" s="79">
        <f>IF(AS204="",0,VLOOKUP(AS204,Tables!$AB$3:$AC$12,2))</f>
        <v>0</v>
      </c>
      <c r="BM204" s="79">
        <f>IF(AT204="",0,VLOOKUP(AT204,Tables!$AB$3:$AC$12,2))</f>
        <v>0</v>
      </c>
      <c r="BN204" s="79">
        <f>IF(AU204="",0,VLOOKUP(AU204,Tables!$AB$3:$AC$12,2))</f>
        <v>1</v>
      </c>
      <c r="BO204" s="78">
        <f>IF(AV204="",0,VLOOKUP(AV204,Tables!$AB$3:$AC$12,2))</f>
        <v>0</v>
      </c>
      <c r="BP204" s="79">
        <f>IF(AW204="",0,VLOOKUP(AW204,Tables!$AB$3:$AC$12,2))</f>
        <v>0</v>
      </c>
      <c r="BQ204" s="79">
        <f>IF(AX204="",0,VLOOKUP(AX204,Tables!$AB$3:$AC$12,2))</f>
        <v>0</v>
      </c>
      <c r="BR204" s="78">
        <f>IF(AY204="",0,VLOOKUP(AY204,Tables!$AB$3:$AC$12,2))</f>
        <v>0</v>
      </c>
      <c r="BS204" s="79">
        <f>IF(AZ204="",0,VLOOKUP(AZ204,Tables!$AB$3:$AC$12,2))</f>
        <v>0</v>
      </c>
      <c r="BT204" s="79">
        <f>IF(BA204="",0,VLOOKUP(BA204,Tables!$AB$3:$AC$12,2))</f>
        <v>0</v>
      </c>
      <c r="BU204" s="80">
        <f>IF(BB204="",0,VLOOKUP(BB204,Tables!$AB$3:$AC$12,2))</f>
        <v>0</v>
      </c>
      <c r="BV204" s="85">
        <f>IF(AN204="",0,VLOOKUP(B204,Tables!$B$3:$D$36,2,FALSE())*X$1)</f>
        <v>0</v>
      </c>
      <c r="BW204" s="72">
        <f>IF(AO204="",0,VLOOKUP(C204,Tables!$B$3:$D$36,2,FALSE())*Y$1)</f>
        <v>0</v>
      </c>
      <c r="BX204" s="72">
        <f>IF(AP204="",0,VLOOKUP(D204,Tables!$B$3:$D$36,2,FALSE())*Z$1)</f>
        <v>0</v>
      </c>
      <c r="BY204" s="85">
        <f>IF(AQ204="",0,VLOOKUP(E204,Tables!$B$3:$D$36,2,FALSE())*AA$1)</f>
        <v>0</v>
      </c>
      <c r="BZ204" s="72">
        <f>IF(AR204="",0,VLOOKUP(F204,Tables!$B$3:$D$36,2,FALSE())*AB$1)</f>
        <v>0</v>
      </c>
      <c r="CA204" s="72">
        <f>IF(AS204="",0,VLOOKUP(G204,Tables!$B$3:$D$36,2,FALSE())*AC$1)</f>
        <v>0</v>
      </c>
      <c r="CB204" s="72">
        <f>IF(AT204="",0,VLOOKUP(H204,Tables!$B$3:$D$36,2,FALSE())*AD$1)</f>
        <v>0</v>
      </c>
      <c r="CC204" s="72">
        <f>IF(AU204="",0,VLOOKUP(I204,Tables!$B$3:$D$36,2,FALSE())*AE$1)</f>
        <v>4</v>
      </c>
      <c r="CD204" s="85">
        <f>IF(AV204="",0,VLOOKUP(J204,Tables!$B$3:$D$36,2,FALSE())*AF$1)</f>
        <v>0</v>
      </c>
      <c r="CE204" s="72">
        <f>IF(AW204="",0,VLOOKUP(K204,Tables!$B$3:$D$36,2,FALSE())*AG$1)</f>
        <v>0</v>
      </c>
      <c r="CF204" s="72">
        <f>IF(AX204="",0,VLOOKUP(L204,Tables!$B$3:$D$36,2,FALSE())*AH$1)</f>
        <v>0</v>
      </c>
      <c r="CG204" s="85">
        <f>IF(AY204="",0,VLOOKUP(M204,Tables!$B$3:$D$36,2,FALSE())*AI$1)</f>
        <v>0</v>
      </c>
      <c r="CH204" s="72">
        <f>IF(AZ204="",0,VLOOKUP(N204,Tables!$B$3:$D$36,2,FALSE())*AJ$1)</f>
        <v>0</v>
      </c>
      <c r="CI204" s="72">
        <f>IF(BA204="",0,VLOOKUP(O204,Tables!$B$3:$D$36,2,FALSE())*AK$1)</f>
        <v>0</v>
      </c>
      <c r="CJ204" s="86">
        <f>IF(BB204="",0,VLOOKUP(P204,Tables!$B$3:$D$36,2,FALSE())*AL$1)</f>
        <v>0</v>
      </c>
      <c r="CK204" s="87">
        <f>IF(AN204="",0,VLOOKUP(B204,Tables!$B$3:$D$36,3,FALSE())*X$1)*IF(OR(AN204="K",AN204="P"),2,1)</f>
        <v>0</v>
      </c>
      <c r="CL204" s="73">
        <f>IF(AO204="",0,VLOOKUP(C204,Tables!$B$3:$D$36,3,FALSE())*Y$1)*IF(OR(AO204="K",AO204="P"),2,1)</f>
        <v>0</v>
      </c>
      <c r="CM204" s="73">
        <f>IF(AP204="",0,VLOOKUP(D204,Tables!$B$3:$D$36,3,FALSE())*Z$1)*IF(OR(AP204="K",AP204="P"),2,1)</f>
        <v>0</v>
      </c>
      <c r="CN204" s="87">
        <f>IF(AQ204="",0,VLOOKUP(E204,Tables!$B$3:$D$36,3,FALSE())*AA$1)</f>
        <v>0</v>
      </c>
      <c r="CO204" s="73">
        <f>IF(AR204="",0,VLOOKUP(F204,Tables!$B$3:$D$36,3,FALSE())*AB$1)</f>
        <v>0</v>
      </c>
      <c r="CP204" s="73">
        <f>IF(AS204="",0,VLOOKUP(G204,Tables!$B$3:$D$36,3,FALSE())*AC$1)</f>
        <v>0</v>
      </c>
      <c r="CQ204" s="73">
        <f>IF(AT204="",0,VLOOKUP(H204,Tables!$B$3:$D$36,3,FALSE())*AD$1)</f>
        <v>0</v>
      </c>
      <c r="CR204" s="73">
        <f>IF(AU204="",0,VLOOKUP(I204,Tables!$B$3:$D$36,3,FALSE())*AE$1)</f>
        <v>0.25</v>
      </c>
      <c r="CS204" s="87">
        <f>IF(AV204="",0,VLOOKUP(J204,Tables!$B$3:$D$36,3,FALSE())*AF$1)</f>
        <v>0</v>
      </c>
      <c r="CT204" s="73">
        <f>IF(AW204="",0,VLOOKUP(K204,Tables!$B$3:$D$36,3,FALSE())*AG$1)</f>
        <v>0</v>
      </c>
      <c r="CU204" s="73">
        <f>IF(AX204="",0,VLOOKUP(L204,Tables!$B$3:$D$36,3,FALSE())*AH$1)</f>
        <v>0</v>
      </c>
      <c r="CV204" s="87">
        <f>IF(AY204="",0,VLOOKUP(M204,Tables!$B$3:$D$36,3,FALSE())*AI$1)</f>
        <v>0</v>
      </c>
      <c r="CW204" s="73">
        <f>IF(AZ204="",0,VLOOKUP(N204,Tables!$B$3:$D$36,3,FALSE())*AJ$1)</f>
        <v>0</v>
      </c>
      <c r="CX204" s="73">
        <f>IF(BA204="",0,VLOOKUP(O204,Tables!$B$3:$D$36,3,FALSE())*AK$1)</f>
        <v>0</v>
      </c>
      <c r="CY204" s="88">
        <f>IF(BB204="",0,VLOOKUP(P204,Tables!$B$3:$D$36,3,FALSE())*AL$1)</f>
        <v>0</v>
      </c>
      <c r="CZ204" s="89">
        <f t="shared" si="208"/>
        <v>0</v>
      </c>
      <c r="DA204" s="75">
        <f t="shared" si="209"/>
        <v>0</v>
      </c>
      <c r="DB204" s="75">
        <f t="shared" si="210"/>
        <v>0</v>
      </c>
      <c r="DC204" s="89">
        <f t="shared" si="211"/>
        <v>0</v>
      </c>
      <c r="DD204" s="75">
        <f t="shared" si="212"/>
        <v>0</v>
      </c>
      <c r="DE204" s="75">
        <f t="shared" si="213"/>
        <v>0</v>
      </c>
      <c r="DF204" s="75">
        <f t="shared" si="214"/>
        <v>0</v>
      </c>
      <c r="DG204" s="75">
        <f t="shared" si="215"/>
        <v>1</v>
      </c>
      <c r="DH204" s="89">
        <f t="shared" si="216"/>
        <v>0</v>
      </c>
      <c r="DI204" s="75">
        <f t="shared" si="217"/>
        <v>0</v>
      </c>
      <c r="DJ204" s="75">
        <f t="shared" si="218"/>
        <v>0</v>
      </c>
      <c r="DK204" s="89">
        <f t="shared" si="219"/>
        <v>0</v>
      </c>
      <c r="DL204" s="75">
        <f t="shared" si="220"/>
        <v>0</v>
      </c>
      <c r="DM204" s="75">
        <f t="shared" si="221"/>
        <v>0</v>
      </c>
      <c r="DN204" s="90">
        <f t="shared" si="222"/>
        <v>0</v>
      </c>
      <c r="DO204" s="91">
        <f>IF(AN204="",0,VLOOKUP(B204,Tables!$B$3:$M$36,11,FALSE())*X$1)</f>
        <v>0</v>
      </c>
      <c r="DP204" s="92">
        <f>IF(AO204="",0,VLOOKUP(C204,Tables!$B$3:$M$36,11,FALSE())*Y$1)</f>
        <v>0</v>
      </c>
      <c r="DQ204" s="92">
        <f>IF(AP204="",0,VLOOKUP(D204,Tables!$B$3:$M$36,11,FALSE())*Z$1)</f>
        <v>0</v>
      </c>
      <c r="DR204" s="91">
        <f>IF(AQ204="",0,VLOOKUP(E204,Tables!$B$3:$M$36,11,FALSE())*AA$1)</f>
        <v>0</v>
      </c>
      <c r="DS204" s="92">
        <f>IF(AR204="",0,VLOOKUP(F204,Tables!$B$3:$M$36,11,FALSE())*AB$1)</f>
        <v>0</v>
      </c>
      <c r="DT204" s="92">
        <f>IF(AS204="",0,VLOOKUP(G204,Tables!$B$3:$M$36,11,FALSE())*AC$1)</f>
        <v>0</v>
      </c>
      <c r="DU204" s="92">
        <f>IF(AT204="",0,VLOOKUP(H204,Tables!$B$3:$M$36,11,FALSE())*AD$1)</f>
        <v>0</v>
      </c>
      <c r="DV204" s="92">
        <f>IF(AU204="",0,VLOOKUP(I204,Tables!$B$3:$M$36,11,FALSE())*AE$1)</f>
        <v>1</v>
      </c>
      <c r="DW204" s="91">
        <f>IF(AV204="",0,VLOOKUP(J204,Tables!$B$3:$M$36,11,FALSE())*AF$1)</f>
        <v>0</v>
      </c>
      <c r="DX204" s="92">
        <f>IF(AW204="",0,VLOOKUP(K204,Tables!$B$3:$M$36,11,FALSE())*AG$1)</f>
        <v>0</v>
      </c>
      <c r="DY204" s="92">
        <f>IF(AX204="",0,VLOOKUP(L204,Tables!$B$3:$M$36,11,FALSE())*AH$1)</f>
        <v>0</v>
      </c>
      <c r="DZ204" s="91">
        <f>IF(AY204="",0,VLOOKUP(M204,Tables!$B$3:$M$36,11,FALSE())*AI$1)</f>
        <v>0</v>
      </c>
      <c r="EA204" s="92">
        <f>IF(AZ204="",0,VLOOKUP(N204,Tables!$B$3:$M$36,11,FALSE())*AJ$1)</f>
        <v>0</v>
      </c>
      <c r="EB204" s="92">
        <f>IF(BA204="",0,VLOOKUP(O204,Tables!$B$3:$M$36,11,FALSE())*AK$1)</f>
        <v>0</v>
      </c>
      <c r="EC204" s="93">
        <f>IF(BB204="",0,VLOOKUP(P204,Tables!$B$3:$M$36,11,FALSE())*AL$1)</f>
        <v>0</v>
      </c>
      <c r="ED204" s="91">
        <f>IF(AN204="",0,VLOOKUP(B204,Tables!$B$3:$M$36,12,FALSE())*X$1)</f>
        <v>0</v>
      </c>
      <c r="EE204" s="92">
        <f>IF(AO204="",0,VLOOKUP(C204,Tables!$B$3:$M$36,12,FALSE())*Y$1)</f>
        <v>0</v>
      </c>
      <c r="EF204" s="92">
        <f>IF(AP204="",0,VLOOKUP(D204,Tables!$B$3:$M$36,12,FALSE())*Z$1)</f>
        <v>0</v>
      </c>
      <c r="EG204" s="91">
        <f>IF(AQ204="",0,VLOOKUP(E204,Tables!$B$3:$M$36,12,FALSE())*AA$1)</f>
        <v>0</v>
      </c>
      <c r="EH204" s="92">
        <f>IF(AR204="",0,VLOOKUP(F204,Tables!$B$3:$M$36,12,FALSE())*AB$1)</f>
        <v>0</v>
      </c>
      <c r="EI204" s="92">
        <f>IF(AS204="",0,VLOOKUP(G204,Tables!$B$3:$M$36,12,FALSE())*AC$1)</f>
        <v>0</v>
      </c>
      <c r="EJ204" s="92">
        <f>IF(AT204="",0,VLOOKUP(H204,Tables!$B$3:$M$36,12,FALSE())*AD$1)</f>
        <v>0</v>
      </c>
      <c r="EK204" s="92">
        <f>IF(AU204="",0,VLOOKUP(I204,Tables!$B$3:$M$36,12,FALSE())*AE$1)</f>
        <v>3</v>
      </c>
      <c r="EL204" s="91">
        <f>IF(AV204="",0,VLOOKUP(J204,Tables!$B$3:$M$36,12,FALSE())*AF$1)</f>
        <v>0</v>
      </c>
      <c r="EM204" s="92">
        <f>IF(AW204="",0,VLOOKUP(K204,Tables!$B$3:$M$36,12,FALSE())*AG$1)</f>
        <v>0</v>
      </c>
      <c r="EN204" s="92">
        <f>IF(AX204="",0,VLOOKUP(L204,Tables!$B$3:$M$36,12,FALSE())*AH$1)</f>
        <v>0</v>
      </c>
      <c r="EO204" s="91">
        <f>IF(AY204="",0,VLOOKUP(M204,Tables!$B$3:$M$36,12,FALSE())*AI$1)</f>
        <v>0</v>
      </c>
      <c r="EP204" s="92">
        <f>IF(AZ204="",0,VLOOKUP(N204,Tables!$B$3:$M$36,12,FALSE())*AJ$1)</f>
        <v>0</v>
      </c>
      <c r="EQ204" s="92">
        <f>IF(BA204="",0,VLOOKUP(O204,Tables!$B$3:$M$36,12,FALSE())*AK$1)</f>
        <v>0</v>
      </c>
      <c r="ER204" s="93">
        <f>IF(BB204="",0,VLOOKUP(P204,Tables!$B$3:$M$36,12,FALSE())*AL$1)</f>
        <v>0</v>
      </c>
      <c r="ES204" s="94">
        <f t="shared" si="223"/>
        <v>0</v>
      </c>
      <c r="ET204" s="95">
        <f>IF(AN204="",10,MIN(VLOOKUP(B204,MATERIAL,13,FALSE()),'Item Builder'!$W204))</f>
        <v>10</v>
      </c>
      <c r="EU204" s="95">
        <f>IF(AO204="",10,MIN(VLOOKUP(C204,MATERIAL,13,FALSE()),'Item Builder'!$W204))</f>
        <v>10</v>
      </c>
      <c r="EV204" s="95">
        <f>IF(AP204="",10,MIN(VLOOKUP(D204,MATERIAL,13,FALSE()),'Item Builder'!$W204))</f>
        <v>10</v>
      </c>
      <c r="EW204" s="95">
        <f>IF(AQ204="",10,MIN(VLOOKUP(E204,MATERIAL,13,FALSE()),'Item Builder'!$W204))</f>
        <v>10</v>
      </c>
      <c r="EX204" s="95">
        <f>IF(AR204="",10,MIN(VLOOKUP(F204,MATERIAL,13,FALSE()),'Item Builder'!$W204))</f>
        <v>10</v>
      </c>
      <c r="EY204" s="95">
        <f>IF(AS204="",10,MIN(VLOOKUP(G204,MATERIAL,13,FALSE()),'Item Builder'!$W204))</f>
        <v>10</v>
      </c>
      <c r="EZ204" s="95">
        <f>IF(AT204="",10,MIN(VLOOKUP(H204,MATERIAL,13,FALSE()),'Item Builder'!$W204))</f>
        <v>10</v>
      </c>
      <c r="FA204" s="95">
        <f>IF(AU204="",10,MIN(VLOOKUP(I204,MATERIAL,13,FALSE()),'Item Builder'!$W204))</f>
        <v>0</v>
      </c>
      <c r="FB204" s="95">
        <f>IF(AV204="",10,MIN(VLOOKUP(J204,MATERIAL,13,FALSE()),'Item Builder'!$W204))</f>
        <v>10</v>
      </c>
      <c r="FC204" s="95">
        <f>IF(AW204="",10,MIN(VLOOKUP(K204,MATERIAL,13,FALSE()),'Item Builder'!$W204))</f>
        <v>10</v>
      </c>
      <c r="FD204" s="95">
        <f>IF(AX204="",10,MIN(VLOOKUP(L204,MATERIAL,13,FALSE()),'Item Builder'!$W204))</f>
        <v>10</v>
      </c>
      <c r="FE204" s="95">
        <f>IF(AY204="",10,MIN(VLOOKUP(M204,MATERIAL,13,FALSE()),'Item Builder'!$W204))</f>
        <v>10</v>
      </c>
      <c r="FF204" s="95">
        <f>IF(AZ204="",10,MIN(VLOOKUP(N204,MATERIAL,13,FALSE()),'Item Builder'!$W204))</f>
        <v>10</v>
      </c>
      <c r="FG204" s="95">
        <f>IF(BA204="",10,MIN(VLOOKUP(O204,MATERIAL,13,FALSE()),'Item Builder'!$W204))</f>
        <v>10</v>
      </c>
      <c r="FH204" s="95">
        <f>IF(BB204="",10,MIN(VLOOKUP(P204,MATERIAL,13,FALSE()),'Item Builder'!$W204))</f>
        <v>10</v>
      </c>
    </row>
    <row r="205" spans="1:164" x14ac:dyDescent="0.25">
      <c r="A205" s="67" t="s">
        <v>345</v>
      </c>
      <c r="B205" s="68"/>
      <c r="C205" s="69"/>
      <c r="D205" s="70"/>
      <c r="E205" s="68"/>
      <c r="F205" s="69"/>
      <c r="G205" s="69"/>
      <c r="H205" s="69"/>
      <c r="I205" s="70"/>
      <c r="J205" s="68" t="s">
        <v>151</v>
      </c>
      <c r="K205" s="69" t="s">
        <v>151</v>
      </c>
      <c r="L205" s="70"/>
      <c r="M205" s="68"/>
      <c r="N205" s="69"/>
      <c r="O205" s="69"/>
      <c r="P205" s="71"/>
      <c r="Q205" s="72">
        <f>SUM(BV205:CJ205)*VLOOKUP(W205,Tables!$W$3:$Z$8,4)</f>
        <v>19.2</v>
      </c>
      <c r="R205" s="73">
        <f t="shared" si="168"/>
        <v>1.2</v>
      </c>
      <c r="S205" s="74">
        <f t="shared" si="169"/>
        <v>0</v>
      </c>
      <c r="T205" s="74">
        <f t="shared" si="170"/>
        <v>0</v>
      </c>
      <c r="U205" s="75">
        <f t="shared" si="171"/>
        <v>4.8</v>
      </c>
      <c r="V205" s="76">
        <f t="shared" si="172"/>
        <v>14.399999999999999</v>
      </c>
      <c r="W205" s="77">
        <v>0</v>
      </c>
      <c r="X205" s="78">
        <f t="shared" si="173"/>
        <v>0</v>
      </c>
      <c r="Y205" s="79">
        <f t="shared" si="174"/>
        <v>0</v>
      </c>
      <c r="Z205" s="79">
        <f t="shared" si="175"/>
        <v>0</v>
      </c>
      <c r="AA205" s="78">
        <f t="shared" si="176"/>
        <v>0</v>
      </c>
      <c r="AB205" s="79">
        <f t="shared" si="177"/>
        <v>0</v>
      </c>
      <c r="AC205" s="79">
        <f t="shared" si="178"/>
        <v>0</v>
      </c>
      <c r="AD205" s="79">
        <f t="shared" si="179"/>
        <v>0</v>
      </c>
      <c r="AE205" s="79">
        <f t="shared" si="180"/>
        <v>0</v>
      </c>
      <c r="AF205" s="78">
        <f t="shared" si="181"/>
        <v>1</v>
      </c>
      <c r="AG205" s="79">
        <f t="shared" si="182"/>
        <v>1</v>
      </c>
      <c r="AH205" s="79">
        <f t="shared" si="183"/>
        <v>0</v>
      </c>
      <c r="AI205" s="78">
        <f t="shared" si="184"/>
        <v>0</v>
      </c>
      <c r="AJ205" s="79">
        <f t="shared" si="185"/>
        <v>0</v>
      </c>
      <c r="AK205" s="79">
        <f t="shared" si="186"/>
        <v>0</v>
      </c>
      <c r="AL205" s="80">
        <f t="shared" si="187"/>
        <v>0</v>
      </c>
      <c r="AM205" s="81">
        <f t="shared" si="188"/>
        <v>0.24</v>
      </c>
      <c r="AN205" s="82" t="str">
        <f t="shared" si="189"/>
        <v/>
      </c>
      <c r="AO205" s="79" t="str">
        <f t="shared" si="190"/>
        <v/>
      </c>
      <c r="AP205" t="str">
        <f t="shared" si="191"/>
        <v/>
      </c>
      <c r="AQ205" s="82" t="str">
        <f t="shared" si="192"/>
        <v/>
      </c>
      <c r="AR205" t="str">
        <f t="shared" si="193"/>
        <v/>
      </c>
      <c r="AS205" t="str">
        <f t="shared" si="194"/>
        <v/>
      </c>
      <c r="AT205" t="str">
        <f t="shared" si="195"/>
        <v/>
      </c>
      <c r="AU205" t="str">
        <f t="shared" si="196"/>
        <v/>
      </c>
      <c r="AV205" s="82" t="str">
        <f t="shared" si="197"/>
        <v>C</v>
      </c>
      <c r="AW205" t="str">
        <f t="shared" si="198"/>
        <v>C</v>
      </c>
      <c r="AX205" t="str">
        <f t="shared" si="199"/>
        <v/>
      </c>
      <c r="AY205" s="82" t="str">
        <f t="shared" si="200"/>
        <v/>
      </c>
      <c r="AZ205" t="str">
        <f t="shared" si="201"/>
        <v/>
      </c>
      <c r="BA205" t="str">
        <f t="shared" si="202"/>
        <v/>
      </c>
      <c r="BB205" s="83" t="str">
        <f t="shared" si="203"/>
        <v/>
      </c>
      <c r="BC205" s="84">
        <f t="shared" si="204"/>
        <v>0</v>
      </c>
      <c r="BD205" s="84">
        <f t="shared" si="205"/>
        <v>0</v>
      </c>
      <c r="BE205" s="84">
        <f t="shared" si="206"/>
        <v>0.70588235294117652</v>
      </c>
      <c r="BF205" s="84">
        <f t="shared" si="207"/>
        <v>0</v>
      </c>
      <c r="BG205" s="78">
        <f>IF(AN205="",0,VLOOKUP(AN205,Tables!$AB$3:$AC$12,2))</f>
        <v>0</v>
      </c>
      <c r="BH205" s="79">
        <f>IF(AO205="",0,VLOOKUP(AO205,Tables!$AB$3:$AC$12,2))</f>
        <v>0</v>
      </c>
      <c r="BI205" s="79">
        <f>IF(AP205="",0,VLOOKUP(AP205,Tables!$AB$3:$AC$12,2))</f>
        <v>0</v>
      </c>
      <c r="BJ205" s="78">
        <f>IF(AQ205="",0,VLOOKUP(AQ205,Tables!$AB$3:$AC$12,2))</f>
        <v>0</v>
      </c>
      <c r="BK205" s="79">
        <f>IF(AR205="",0,VLOOKUP(AR205,Tables!$AB$3:$AC$12,2))</f>
        <v>0</v>
      </c>
      <c r="BL205" s="79">
        <f>IF(AS205="",0,VLOOKUP(AS205,Tables!$AB$3:$AC$12,2))</f>
        <v>0</v>
      </c>
      <c r="BM205" s="79">
        <f>IF(AT205="",0,VLOOKUP(AT205,Tables!$AB$3:$AC$12,2))</f>
        <v>0</v>
      </c>
      <c r="BN205" s="79">
        <f>IF(AU205="",0,VLOOKUP(AU205,Tables!$AB$3:$AC$12,2))</f>
        <v>0</v>
      </c>
      <c r="BO205" s="78">
        <f>IF(AV205="",0,VLOOKUP(AV205,Tables!$AB$3:$AC$12,2))</f>
        <v>1</v>
      </c>
      <c r="BP205" s="79">
        <f>IF(AW205="",0,VLOOKUP(AW205,Tables!$AB$3:$AC$12,2))</f>
        <v>1</v>
      </c>
      <c r="BQ205" s="79">
        <f>IF(AX205="",0,VLOOKUP(AX205,Tables!$AB$3:$AC$12,2))</f>
        <v>0</v>
      </c>
      <c r="BR205" s="78">
        <f>IF(AY205="",0,VLOOKUP(AY205,Tables!$AB$3:$AC$12,2))</f>
        <v>0</v>
      </c>
      <c r="BS205" s="79">
        <f>IF(AZ205="",0,VLOOKUP(AZ205,Tables!$AB$3:$AC$12,2))</f>
        <v>0</v>
      </c>
      <c r="BT205" s="79">
        <f>IF(BA205="",0,VLOOKUP(BA205,Tables!$AB$3:$AC$12,2))</f>
        <v>0</v>
      </c>
      <c r="BU205" s="80">
        <f>IF(BB205="",0,VLOOKUP(BB205,Tables!$AB$3:$AC$12,2))</f>
        <v>0</v>
      </c>
      <c r="BV205" s="85">
        <f>IF(AN205="",0,VLOOKUP(B205,Tables!$B$3:$D$36,2,FALSE())*X$1)</f>
        <v>0</v>
      </c>
      <c r="BW205" s="72">
        <f>IF(AO205="",0,VLOOKUP(C205,Tables!$B$3:$D$36,2,FALSE())*Y$1)</f>
        <v>0</v>
      </c>
      <c r="BX205" s="72">
        <f>IF(AP205="",0,VLOOKUP(D205,Tables!$B$3:$D$36,2,FALSE())*Z$1)</f>
        <v>0</v>
      </c>
      <c r="BY205" s="85">
        <f>IF(AQ205="",0,VLOOKUP(E205,Tables!$B$3:$D$36,2,FALSE())*AA$1)</f>
        <v>0</v>
      </c>
      <c r="BZ205" s="72">
        <f>IF(AR205="",0,VLOOKUP(F205,Tables!$B$3:$D$36,2,FALSE())*AB$1)</f>
        <v>0</v>
      </c>
      <c r="CA205" s="72">
        <f>IF(AS205="",0,VLOOKUP(G205,Tables!$B$3:$D$36,2,FALSE())*AC$1)</f>
        <v>0</v>
      </c>
      <c r="CB205" s="72">
        <f>IF(AT205="",0,VLOOKUP(H205,Tables!$B$3:$D$36,2,FALSE())*AD$1)</f>
        <v>0</v>
      </c>
      <c r="CC205" s="72">
        <f>IF(AU205="",0,VLOOKUP(I205,Tables!$B$3:$D$36,2,FALSE())*AE$1)</f>
        <v>0</v>
      </c>
      <c r="CD205" s="85">
        <f>IF(AV205="",0,VLOOKUP(J205,Tables!$B$3:$D$36,2,FALSE())*AF$1)</f>
        <v>9.6</v>
      </c>
      <c r="CE205" s="72">
        <f>IF(AW205="",0,VLOOKUP(K205,Tables!$B$3:$D$36,2,FALSE())*AG$1)</f>
        <v>9.6</v>
      </c>
      <c r="CF205" s="72">
        <f>IF(AX205="",0,VLOOKUP(L205,Tables!$B$3:$D$36,2,FALSE())*AH$1)</f>
        <v>0</v>
      </c>
      <c r="CG205" s="85">
        <f>IF(AY205="",0,VLOOKUP(M205,Tables!$B$3:$D$36,2,FALSE())*AI$1)</f>
        <v>0</v>
      </c>
      <c r="CH205" s="72">
        <f>IF(AZ205="",0,VLOOKUP(N205,Tables!$B$3:$D$36,2,FALSE())*AJ$1)</f>
        <v>0</v>
      </c>
      <c r="CI205" s="72">
        <f>IF(BA205="",0,VLOOKUP(O205,Tables!$B$3:$D$36,2,FALSE())*AK$1)</f>
        <v>0</v>
      </c>
      <c r="CJ205" s="86">
        <f>IF(BB205="",0,VLOOKUP(P205,Tables!$B$3:$D$36,2,FALSE())*AL$1)</f>
        <v>0</v>
      </c>
      <c r="CK205" s="87">
        <f>IF(AN205="",0,VLOOKUP(B205,Tables!$B$3:$D$36,3,FALSE())*X$1)*IF(OR(AN205="K",AN205="P"),2,1)</f>
        <v>0</v>
      </c>
      <c r="CL205" s="73">
        <f>IF(AO205="",0,VLOOKUP(C205,Tables!$B$3:$D$36,3,FALSE())*Y$1)*IF(OR(AO205="K",AO205="P"),2,1)</f>
        <v>0</v>
      </c>
      <c r="CM205" s="73">
        <f>IF(AP205="",0,VLOOKUP(D205,Tables!$B$3:$D$36,3,FALSE())*Z$1)*IF(OR(AP205="K",AP205="P"),2,1)</f>
        <v>0</v>
      </c>
      <c r="CN205" s="87">
        <f>IF(AQ205="",0,VLOOKUP(E205,Tables!$B$3:$D$36,3,FALSE())*AA$1)</f>
        <v>0</v>
      </c>
      <c r="CO205" s="73">
        <f>IF(AR205="",0,VLOOKUP(F205,Tables!$B$3:$D$36,3,FALSE())*AB$1)</f>
        <v>0</v>
      </c>
      <c r="CP205" s="73">
        <f>IF(AS205="",0,VLOOKUP(G205,Tables!$B$3:$D$36,3,FALSE())*AC$1)</f>
        <v>0</v>
      </c>
      <c r="CQ205" s="73">
        <f>IF(AT205="",0,VLOOKUP(H205,Tables!$B$3:$D$36,3,FALSE())*AD$1)</f>
        <v>0</v>
      </c>
      <c r="CR205" s="73">
        <f>IF(AU205="",0,VLOOKUP(I205,Tables!$B$3:$D$36,3,FALSE())*AE$1)</f>
        <v>0</v>
      </c>
      <c r="CS205" s="87">
        <f>IF(AV205="",0,VLOOKUP(J205,Tables!$B$3:$D$36,3,FALSE())*AF$1)</f>
        <v>0.6</v>
      </c>
      <c r="CT205" s="73">
        <f>IF(AW205="",0,VLOOKUP(K205,Tables!$B$3:$D$36,3,FALSE())*AG$1)</f>
        <v>0.6</v>
      </c>
      <c r="CU205" s="73">
        <f>IF(AX205="",0,VLOOKUP(L205,Tables!$B$3:$D$36,3,FALSE())*AH$1)</f>
        <v>0</v>
      </c>
      <c r="CV205" s="87">
        <f>IF(AY205="",0,VLOOKUP(M205,Tables!$B$3:$D$36,3,FALSE())*AI$1)</f>
        <v>0</v>
      </c>
      <c r="CW205" s="73">
        <f>IF(AZ205="",0,VLOOKUP(N205,Tables!$B$3:$D$36,3,FALSE())*AJ$1)</f>
        <v>0</v>
      </c>
      <c r="CX205" s="73">
        <f>IF(BA205="",0,VLOOKUP(O205,Tables!$B$3:$D$36,3,FALSE())*AK$1)</f>
        <v>0</v>
      </c>
      <c r="CY205" s="88">
        <f>IF(BB205="",0,VLOOKUP(P205,Tables!$B$3:$D$36,3,FALSE())*AL$1)</f>
        <v>0</v>
      </c>
      <c r="CZ205" s="89">
        <f t="shared" si="208"/>
        <v>0</v>
      </c>
      <c r="DA205" s="75">
        <f t="shared" si="209"/>
        <v>0</v>
      </c>
      <c r="DB205" s="75">
        <f t="shared" si="210"/>
        <v>0</v>
      </c>
      <c r="DC205" s="89">
        <f t="shared" si="211"/>
        <v>0</v>
      </c>
      <c r="DD205" s="75">
        <f t="shared" si="212"/>
        <v>0</v>
      </c>
      <c r="DE205" s="75">
        <f t="shared" si="213"/>
        <v>0</v>
      </c>
      <c r="DF205" s="75">
        <f t="shared" si="214"/>
        <v>0</v>
      </c>
      <c r="DG205" s="75">
        <f t="shared" si="215"/>
        <v>0</v>
      </c>
      <c r="DH205" s="89">
        <f t="shared" si="216"/>
        <v>1</v>
      </c>
      <c r="DI205" s="75">
        <f t="shared" si="217"/>
        <v>1</v>
      </c>
      <c r="DJ205" s="75">
        <f t="shared" si="218"/>
        <v>0</v>
      </c>
      <c r="DK205" s="89">
        <f t="shared" si="219"/>
        <v>0</v>
      </c>
      <c r="DL205" s="75">
        <f t="shared" si="220"/>
        <v>0</v>
      </c>
      <c r="DM205" s="75">
        <f t="shared" si="221"/>
        <v>0</v>
      </c>
      <c r="DN205" s="90">
        <f t="shared" si="222"/>
        <v>0</v>
      </c>
      <c r="DO205" s="91">
        <f>IF(AN205="",0,VLOOKUP(B205,Tables!$B$3:$M$36,11,FALSE())*X$1)</f>
        <v>0</v>
      </c>
      <c r="DP205" s="92">
        <f>IF(AO205="",0,VLOOKUP(C205,Tables!$B$3:$M$36,11,FALSE())*Y$1)</f>
        <v>0</v>
      </c>
      <c r="DQ205" s="92">
        <f>IF(AP205="",0,VLOOKUP(D205,Tables!$B$3:$M$36,11,FALSE())*Z$1)</f>
        <v>0</v>
      </c>
      <c r="DR205" s="91">
        <f>IF(AQ205="",0,VLOOKUP(E205,Tables!$B$3:$M$36,11,FALSE())*AA$1)</f>
        <v>0</v>
      </c>
      <c r="DS205" s="92">
        <f>IF(AR205="",0,VLOOKUP(F205,Tables!$B$3:$M$36,11,FALSE())*AB$1)</f>
        <v>0</v>
      </c>
      <c r="DT205" s="92">
        <f>IF(AS205="",0,VLOOKUP(G205,Tables!$B$3:$M$36,11,FALSE())*AC$1)</f>
        <v>0</v>
      </c>
      <c r="DU205" s="92">
        <f>IF(AT205="",0,VLOOKUP(H205,Tables!$B$3:$M$36,11,FALSE())*AD$1)</f>
        <v>0</v>
      </c>
      <c r="DV205" s="92">
        <f>IF(AU205="",0,VLOOKUP(I205,Tables!$B$3:$M$36,11,FALSE())*AE$1)</f>
        <v>0</v>
      </c>
      <c r="DW205" s="91">
        <f>IF(AV205="",0,VLOOKUP(J205,Tables!$B$3:$M$36,11,FALSE())*AF$1)</f>
        <v>2.4</v>
      </c>
      <c r="DX205" s="92">
        <f>IF(AW205="",0,VLOOKUP(K205,Tables!$B$3:$M$36,11,FALSE())*AG$1)</f>
        <v>2.4</v>
      </c>
      <c r="DY205" s="92">
        <f>IF(AX205="",0,VLOOKUP(L205,Tables!$B$3:$M$36,11,FALSE())*AH$1)</f>
        <v>0</v>
      </c>
      <c r="DZ205" s="91">
        <f>IF(AY205="",0,VLOOKUP(M205,Tables!$B$3:$M$36,11,FALSE())*AI$1)</f>
        <v>0</v>
      </c>
      <c r="EA205" s="92">
        <f>IF(AZ205="",0,VLOOKUP(N205,Tables!$B$3:$M$36,11,FALSE())*AJ$1)</f>
        <v>0</v>
      </c>
      <c r="EB205" s="92">
        <f>IF(BA205="",0,VLOOKUP(O205,Tables!$B$3:$M$36,11,FALSE())*AK$1)</f>
        <v>0</v>
      </c>
      <c r="EC205" s="93">
        <f>IF(BB205="",0,VLOOKUP(P205,Tables!$B$3:$M$36,11,FALSE())*AL$1)</f>
        <v>0</v>
      </c>
      <c r="ED205" s="91">
        <f>IF(AN205="",0,VLOOKUP(B205,Tables!$B$3:$M$36,12,FALSE())*X$1)</f>
        <v>0</v>
      </c>
      <c r="EE205" s="92">
        <f>IF(AO205="",0,VLOOKUP(C205,Tables!$B$3:$M$36,12,FALSE())*Y$1)</f>
        <v>0</v>
      </c>
      <c r="EF205" s="92">
        <f>IF(AP205="",0,VLOOKUP(D205,Tables!$B$3:$M$36,12,FALSE())*Z$1)</f>
        <v>0</v>
      </c>
      <c r="EG205" s="91">
        <f>IF(AQ205="",0,VLOOKUP(E205,Tables!$B$3:$M$36,12,FALSE())*AA$1)</f>
        <v>0</v>
      </c>
      <c r="EH205" s="92">
        <f>IF(AR205="",0,VLOOKUP(F205,Tables!$B$3:$M$36,12,FALSE())*AB$1)</f>
        <v>0</v>
      </c>
      <c r="EI205" s="92">
        <f>IF(AS205="",0,VLOOKUP(G205,Tables!$B$3:$M$36,12,FALSE())*AC$1)</f>
        <v>0</v>
      </c>
      <c r="EJ205" s="92">
        <f>IF(AT205="",0,VLOOKUP(H205,Tables!$B$3:$M$36,12,FALSE())*AD$1)</f>
        <v>0</v>
      </c>
      <c r="EK205" s="92">
        <f>IF(AU205="",0,VLOOKUP(I205,Tables!$B$3:$M$36,12,FALSE())*AE$1)</f>
        <v>0</v>
      </c>
      <c r="EL205" s="91">
        <f>IF(AV205="",0,VLOOKUP(J205,Tables!$B$3:$M$36,12,FALSE())*AF$1)</f>
        <v>7.1999999999999993</v>
      </c>
      <c r="EM205" s="92">
        <f>IF(AW205="",0,VLOOKUP(K205,Tables!$B$3:$M$36,12,FALSE())*AG$1)</f>
        <v>7.1999999999999993</v>
      </c>
      <c r="EN205" s="92">
        <f>IF(AX205="",0,VLOOKUP(L205,Tables!$B$3:$M$36,12,FALSE())*AH$1)</f>
        <v>0</v>
      </c>
      <c r="EO205" s="91">
        <f>IF(AY205="",0,VLOOKUP(M205,Tables!$B$3:$M$36,12,FALSE())*AI$1)</f>
        <v>0</v>
      </c>
      <c r="EP205" s="92">
        <f>IF(AZ205="",0,VLOOKUP(N205,Tables!$B$3:$M$36,12,FALSE())*AJ$1)</f>
        <v>0</v>
      </c>
      <c r="EQ205" s="92">
        <f>IF(BA205="",0,VLOOKUP(O205,Tables!$B$3:$M$36,12,FALSE())*AK$1)</f>
        <v>0</v>
      </c>
      <c r="ER205" s="93">
        <f>IF(BB205="",0,VLOOKUP(P205,Tables!$B$3:$M$36,12,FALSE())*AL$1)</f>
        <v>0</v>
      </c>
      <c r="ES205" s="94">
        <f t="shared" si="223"/>
        <v>0</v>
      </c>
      <c r="ET205" s="95">
        <f>IF(AN205="",10,MIN(VLOOKUP(B205,MATERIAL,13,FALSE()),'Item Builder'!$W205))</f>
        <v>10</v>
      </c>
      <c r="EU205" s="95">
        <f>IF(AO205="",10,MIN(VLOOKUP(C205,MATERIAL,13,FALSE()),'Item Builder'!$W205))</f>
        <v>10</v>
      </c>
      <c r="EV205" s="95">
        <f>IF(AP205="",10,MIN(VLOOKUP(D205,MATERIAL,13,FALSE()),'Item Builder'!$W205))</f>
        <v>10</v>
      </c>
      <c r="EW205" s="95">
        <f>IF(AQ205="",10,MIN(VLOOKUP(E205,MATERIAL,13,FALSE()),'Item Builder'!$W205))</f>
        <v>10</v>
      </c>
      <c r="EX205" s="95">
        <f>IF(AR205="",10,MIN(VLOOKUP(F205,MATERIAL,13,FALSE()),'Item Builder'!$W205))</f>
        <v>10</v>
      </c>
      <c r="EY205" s="95">
        <f>IF(AS205="",10,MIN(VLOOKUP(G205,MATERIAL,13,FALSE()),'Item Builder'!$W205))</f>
        <v>10</v>
      </c>
      <c r="EZ205" s="95">
        <f>IF(AT205="",10,MIN(VLOOKUP(H205,MATERIAL,13,FALSE()),'Item Builder'!$W205))</f>
        <v>10</v>
      </c>
      <c r="FA205" s="95">
        <f>IF(AU205="",10,MIN(VLOOKUP(I205,MATERIAL,13,FALSE()),'Item Builder'!$W205))</f>
        <v>10</v>
      </c>
      <c r="FB205" s="95">
        <f>IF(AV205="",10,MIN(VLOOKUP(J205,MATERIAL,13,FALSE()),'Item Builder'!$W205))</f>
        <v>0</v>
      </c>
      <c r="FC205" s="95">
        <f>IF(AW205="",10,MIN(VLOOKUP(K205,MATERIAL,13,FALSE()),'Item Builder'!$W205))</f>
        <v>0</v>
      </c>
      <c r="FD205" s="95">
        <f>IF(AX205="",10,MIN(VLOOKUP(L205,MATERIAL,13,FALSE()),'Item Builder'!$W205))</f>
        <v>10</v>
      </c>
      <c r="FE205" s="95">
        <f>IF(AY205="",10,MIN(VLOOKUP(M205,MATERIAL,13,FALSE()),'Item Builder'!$W205))</f>
        <v>10</v>
      </c>
      <c r="FF205" s="95">
        <f>IF(AZ205="",10,MIN(VLOOKUP(N205,MATERIAL,13,FALSE()),'Item Builder'!$W205))</f>
        <v>10</v>
      </c>
      <c r="FG205" s="95">
        <f>IF(BA205="",10,MIN(VLOOKUP(O205,MATERIAL,13,FALSE()),'Item Builder'!$W205))</f>
        <v>10</v>
      </c>
      <c r="FH205" s="95">
        <f>IF(BB205="",10,MIN(VLOOKUP(P205,MATERIAL,13,FALSE()),'Item Builder'!$W205))</f>
        <v>10</v>
      </c>
    </row>
    <row r="206" spans="1:164" x14ac:dyDescent="0.25">
      <c r="A206" s="67" t="s">
        <v>346</v>
      </c>
      <c r="B206" s="68"/>
      <c r="C206" s="69"/>
      <c r="D206" s="70"/>
      <c r="E206" s="68" t="s">
        <v>151</v>
      </c>
      <c r="F206" s="69" t="s">
        <v>151</v>
      </c>
      <c r="G206" s="69"/>
      <c r="H206" s="69"/>
      <c r="I206" s="70"/>
      <c r="J206" s="68" t="s">
        <v>151</v>
      </c>
      <c r="K206" s="69" t="s">
        <v>151</v>
      </c>
      <c r="L206" s="70"/>
      <c r="M206" s="68"/>
      <c r="N206" s="69"/>
      <c r="O206" s="69"/>
      <c r="P206" s="71"/>
      <c r="Q206" s="72">
        <f>SUM(BV206:CJ206)*VLOOKUP(W206,Tables!$W$3:$Z$8,4)</f>
        <v>26.4</v>
      </c>
      <c r="R206" s="73">
        <f t="shared" si="168"/>
        <v>1.65</v>
      </c>
      <c r="S206" s="74">
        <f t="shared" si="169"/>
        <v>0</v>
      </c>
      <c r="T206" s="74">
        <f t="shared" si="170"/>
        <v>0</v>
      </c>
      <c r="U206" s="75">
        <f t="shared" si="171"/>
        <v>6.6</v>
      </c>
      <c r="V206" s="76">
        <f t="shared" si="172"/>
        <v>19.799999999999997</v>
      </c>
      <c r="W206" s="77">
        <v>0</v>
      </c>
      <c r="X206" s="78">
        <f t="shared" si="173"/>
        <v>0</v>
      </c>
      <c r="Y206" s="79">
        <f t="shared" si="174"/>
        <v>0</v>
      </c>
      <c r="Z206" s="79">
        <f t="shared" si="175"/>
        <v>0</v>
      </c>
      <c r="AA206" s="78">
        <f t="shared" si="176"/>
        <v>1</v>
      </c>
      <c r="AB206" s="79">
        <f t="shared" si="177"/>
        <v>1</v>
      </c>
      <c r="AC206" s="79">
        <f t="shared" si="178"/>
        <v>0</v>
      </c>
      <c r="AD206" s="79">
        <f t="shared" si="179"/>
        <v>0</v>
      </c>
      <c r="AE206" s="79">
        <f t="shared" si="180"/>
        <v>0</v>
      </c>
      <c r="AF206" s="78">
        <f t="shared" si="181"/>
        <v>1</v>
      </c>
      <c r="AG206" s="79">
        <f t="shared" si="182"/>
        <v>1</v>
      </c>
      <c r="AH206" s="79">
        <f t="shared" si="183"/>
        <v>0</v>
      </c>
      <c r="AI206" s="78">
        <f t="shared" si="184"/>
        <v>0</v>
      </c>
      <c r="AJ206" s="79">
        <f t="shared" si="185"/>
        <v>0</v>
      </c>
      <c r="AK206" s="79">
        <f t="shared" si="186"/>
        <v>0</v>
      </c>
      <c r="AL206" s="80">
        <f t="shared" si="187"/>
        <v>0</v>
      </c>
      <c r="AM206" s="81">
        <f t="shared" si="188"/>
        <v>0.32999999999999996</v>
      </c>
      <c r="AN206" s="82" t="str">
        <f t="shared" si="189"/>
        <v/>
      </c>
      <c r="AO206" s="79" t="str">
        <f t="shared" si="190"/>
        <v/>
      </c>
      <c r="AP206" t="str">
        <f t="shared" si="191"/>
        <v/>
      </c>
      <c r="AQ206" s="82" t="str">
        <f t="shared" si="192"/>
        <v>C</v>
      </c>
      <c r="AR206" t="str">
        <f t="shared" si="193"/>
        <v>C</v>
      </c>
      <c r="AS206" t="str">
        <f t="shared" si="194"/>
        <v/>
      </c>
      <c r="AT206" t="str">
        <f t="shared" si="195"/>
        <v/>
      </c>
      <c r="AU206" t="str">
        <f t="shared" si="196"/>
        <v/>
      </c>
      <c r="AV206" s="82" t="str">
        <f t="shared" si="197"/>
        <v>C</v>
      </c>
      <c r="AW206" t="str">
        <f t="shared" si="198"/>
        <v>C</v>
      </c>
      <c r="AX206" t="str">
        <f t="shared" si="199"/>
        <v/>
      </c>
      <c r="AY206" s="82" t="str">
        <f t="shared" si="200"/>
        <v/>
      </c>
      <c r="AZ206" t="str">
        <f t="shared" si="201"/>
        <v/>
      </c>
      <c r="BA206" t="str">
        <f t="shared" si="202"/>
        <v/>
      </c>
      <c r="BB206" s="83" t="str">
        <f t="shared" si="203"/>
        <v/>
      </c>
      <c r="BC206" s="84">
        <f t="shared" si="204"/>
        <v>0</v>
      </c>
      <c r="BD206" s="84">
        <f t="shared" si="205"/>
        <v>0.42857142857142849</v>
      </c>
      <c r="BE206" s="84">
        <f t="shared" si="206"/>
        <v>0.70588235294117652</v>
      </c>
      <c r="BF206" s="84">
        <f t="shared" si="207"/>
        <v>0</v>
      </c>
      <c r="BG206" s="78">
        <f>IF(AN206="",0,VLOOKUP(AN206,Tables!$AB$3:$AC$12,2))</f>
        <v>0</v>
      </c>
      <c r="BH206" s="79">
        <f>IF(AO206="",0,VLOOKUP(AO206,Tables!$AB$3:$AC$12,2))</f>
        <v>0</v>
      </c>
      <c r="BI206" s="79">
        <f>IF(AP206="",0,VLOOKUP(AP206,Tables!$AB$3:$AC$12,2))</f>
        <v>0</v>
      </c>
      <c r="BJ206" s="78">
        <f>IF(AQ206="",0,VLOOKUP(AQ206,Tables!$AB$3:$AC$12,2))</f>
        <v>1</v>
      </c>
      <c r="BK206" s="79">
        <f>IF(AR206="",0,VLOOKUP(AR206,Tables!$AB$3:$AC$12,2))</f>
        <v>1</v>
      </c>
      <c r="BL206" s="79">
        <f>IF(AS206="",0,VLOOKUP(AS206,Tables!$AB$3:$AC$12,2))</f>
        <v>0</v>
      </c>
      <c r="BM206" s="79">
        <f>IF(AT206="",0,VLOOKUP(AT206,Tables!$AB$3:$AC$12,2))</f>
        <v>0</v>
      </c>
      <c r="BN206" s="79">
        <f>IF(AU206="",0,VLOOKUP(AU206,Tables!$AB$3:$AC$12,2))</f>
        <v>0</v>
      </c>
      <c r="BO206" s="78">
        <f>IF(AV206="",0,VLOOKUP(AV206,Tables!$AB$3:$AC$12,2))</f>
        <v>1</v>
      </c>
      <c r="BP206" s="79">
        <f>IF(AW206="",0,VLOOKUP(AW206,Tables!$AB$3:$AC$12,2))</f>
        <v>1</v>
      </c>
      <c r="BQ206" s="79">
        <f>IF(AX206="",0,VLOOKUP(AX206,Tables!$AB$3:$AC$12,2))</f>
        <v>0</v>
      </c>
      <c r="BR206" s="78">
        <f>IF(AY206="",0,VLOOKUP(AY206,Tables!$AB$3:$AC$12,2))</f>
        <v>0</v>
      </c>
      <c r="BS206" s="79">
        <f>IF(AZ206="",0,VLOOKUP(AZ206,Tables!$AB$3:$AC$12,2))</f>
        <v>0</v>
      </c>
      <c r="BT206" s="79">
        <f>IF(BA206="",0,VLOOKUP(BA206,Tables!$AB$3:$AC$12,2))</f>
        <v>0</v>
      </c>
      <c r="BU206" s="80">
        <f>IF(BB206="",0,VLOOKUP(BB206,Tables!$AB$3:$AC$12,2))</f>
        <v>0</v>
      </c>
      <c r="BV206" s="85">
        <f>IF(AN206="",0,VLOOKUP(B206,Tables!$B$3:$D$36,2,FALSE())*X$1)</f>
        <v>0</v>
      </c>
      <c r="BW206" s="72">
        <f>IF(AO206="",0,VLOOKUP(C206,Tables!$B$3:$D$36,2,FALSE())*Y$1)</f>
        <v>0</v>
      </c>
      <c r="BX206" s="72">
        <f>IF(AP206="",0,VLOOKUP(D206,Tables!$B$3:$D$36,2,FALSE())*Z$1)</f>
        <v>0</v>
      </c>
      <c r="BY206" s="85">
        <f>IF(AQ206="",0,VLOOKUP(E206,Tables!$B$3:$D$36,2,FALSE())*AA$1)</f>
        <v>2.4</v>
      </c>
      <c r="BZ206" s="72">
        <f>IF(AR206="",0,VLOOKUP(F206,Tables!$B$3:$D$36,2,FALSE())*AB$1)</f>
        <v>4.8</v>
      </c>
      <c r="CA206" s="72">
        <f>IF(AS206="",0,VLOOKUP(G206,Tables!$B$3:$D$36,2,FALSE())*AC$1)</f>
        <v>0</v>
      </c>
      <c r="CB206" s="72">
        <f>IF(AT206="",0,VLOOKUP(H206,Tables!$B$3:$D$36,2,FALSE())*AD$1)</f>
        <v>0</v>
      </c>
      <c r="CC206" s="72">
        <f>IF(AU206="",0,VLOOKUP(I206,Tables!$B$3:$D$36,2,FALSE())*AE$1)</f>
        <v>0</v>
      </c>
      <c r="CD206" s="85">
        <f>IF(AV206="",0,VLOOKUP(J206,Tables!$B$3:$D$36,2,FALSE())*AF$1)</f>
        <v>9.6</v>
      </c>
      <c r="CE206" s="72">
        <f>IF(AW206="",0,VLOOKUP(K206,Tables!$B$3:$D$36,2,FALSE())*AG$1)</f>
        <v>9.6</v>
      </c>
      <c r="CF206" s="72">
        <f>IF(AX206="",0,VLOOKUP(L206,Tables!$B$3:$D$36,2,FALSE())*AH$1)</f>
        <v>0</v>
      </c>
      <c r="CG206" s="85">
        <f>IF(AY206="",0,VLOOKUP(M206,Tables!$B$3:$D$36,2,FALSE())*AI$1)</f>
        <v>0</v>
      </c>
      <c r="CH206" s="72">
        <f>IF(AZ206="",0,VLOOKUP(N206,Tables!$B$3:$D$36,2,FALSE())*AJ$1)</f>
        <v>0</v>
      </c>
      <c r="CI206" s="72">
        <f>IF(BA206="",0,VLOOKUP(O206,Tables!$B$3:$D$36,2,FALSE())*AK$1)</f>
        <v>0</v>
      </c>
      <c r="CJ206" s="86">
        <f>IF(BB206="",0,VLOOKUP(P206,Tables!$B$3:$D$36,2,FALSE())*AL$1)</f>
        <v>0</v>
      </c>
      <c r="CK206" s="87">
        <f>IF(AN206="",0,VLOOKUP(B206,Tables!$B$3:$D$36,3,FALSE())*X$1)*IF(OR(AN206="K",AN206="P"),2,1)</f>
        <v>0</v>
      </c>
      <c r="CL206" s="73">
        <f>IF(AO206="",0,VLOOKUP(C206,Tables!$B$3:$D$36,3,FALSE())*Y$1)*IF(OR(AO206="K",AO206="P"),2,1)</f>
        <v>0</v>
      </c>
      <c r="CM206" s="73">
        <f>IF(AP206="",0,VLOOKUP(D206,Tables!$B$3:$D$36,3,FALSE())*Z$1)*IF(OR(AP206="K",AP206="P"),2,1)</f>
        <v>0</v>
      </c>
      <c r="CN206" s="87">
        <f>IF(AQ206="",0,VLOOKUP(E206,Tables!$B$3:$D$36,3,FALSE())*AA$1)</f>
        <v>0.15</v>
      </c>
      <c r="CO206" s="73">
        <f>IF(AR206="",0,VLOOKUP(F206,Tables!$B$3:$D$36,3,FALSE())*AB$1)</f>
        <v>0.3</v>
      </c>
      <c r="CP206" s="73">
        <f>IF(AS206="",0,VLOOKUP(G206,Tables!$B$3:$D$36,3,FALSE())*AC$1)</f>
        <v>0</v>
      </c>
      <c r="CQ206" s="73">
        <f>IF(AT206="",0,VLOOKUP(H206,Tables!$B$3:$D$36,3,FALSE())*AD$1)</f>
        <v>0</v>
      </c>
      <c r="CR206" s="73">
        <f>IF(AU206="",0,VLOOKUP(I206,Tables!$B$3:$D$36,3,FALSE())*AE$1)</f>
        <v>0</v>
      </c>
      <c r="CS206" s="87">
        <f>IF(AV206="",0,VLOOKUP(J206,Tables!$B$3:$D$36,3,FALSE())*AF$1)</f>
        <v>0.6</v>
      </c>
      <c r="CT206" s="73">
        <f>IF(AW206="",0,VLOOKUP(K206,Tables!$B$3:$D$36,3,FALSE())*AG$1)</f>
        <v>0.6</v>
      </c>
      <c r="CU206" s="73">
        <f>IF(AX206="",0,VLOOKUP(L206,Tables!$B$3:$D$36,3,FALSE())*AH$1)</f>
        <v>0</v>
      </c>
      <c r="CV206" s="87">
        <f>IF(AY206="",0,VLOOKUP(M206,Tables!$B$3:$D$36,3,FALSE())*AI$1)</f>
        <v>0</v>
      </c>
      <c r="CW206" s="73">
        <f>IF(AZ206="",0,VLOOKUP(N206,Tables!$B$3:$D$36,3,FALSE())*AJ$1)</f>
        <v>0</v>
      </c>
      <c r="CX206" s="73">
        <f>IF(BA206="",0,VLOOKUP(O206,Tables!$B$3:$D$36,3,FALSE())*AK$1)</f>
        <v>0</v>
      </c>
      <c r="CY206" s="88">
        <f>IF(BB206="",0,VLOOKUP(P206,Tables!$B$3:$D$36,3,FALSE())*AL$1)</f>
        <v>0</v>
      </c>
      <c r="CZ206" s="89">
        <f t="shared" si="208"/>
        <v>0</v>
      </c>
      <c r="DA206" s="75">
        <f t="shared" si="209"/>
        <v>0</v>
      </c>
      <c r="DB206" s="75">
        <f t="shared" si="210"/>
        <v>0</v>
      </c>
      <c r="DC206" s="89">
        <f t="shared" si="211"/>
        <v>1</v>
      </c>
      <c r="DD206" s="75">
        <f t="shared" si="212"/>
        <v>1</v>
      </c>
      <c r="DE206" s="75">
        <f t="shared" si="213"/>
        <v>0</v>
      </c>
      <c r="DF206" s="75">
        <f t="shared" si="214"/>
        <v>0</v>
      </c>
      <c r="DG206" s="75">
        <f t="shared" si="215"/>
        <v>0</v>
      </c>
      <c r="DH206" s="89">
        <f t="shared" si="216"/>
        <v>1</v>
      </c>
      <c r="DI206" s="75">
        <f t="shared" si="217"/>
        <v>1</v>
      </c>
      <c r="DJ206" s="75">
        <f t="shared" si="218"/>
        <v>0</v>
      </c>
      <c r="DK206" s="89">
        <f t="shared" si="219"/>
        <v>0</v>
      </c>
      <c r="DL206" s="75">
        <f t="shared" si="220"/>
        <v>0</v>
      </c>
      <c r="DM206" s="75">
        <f t="shared" si="221"/>
        <v>0</v>
      </c>
      <c r="DN206" s="90">
        <f t="shared" si="222"/>
        <v>0</v>
      </c>
      <c r="DO206" s="91">
        <f>IF(AN206="",0,VLOOKUP(B206,Tables!$B$3:$M$36,11,FALSE())*X$1)</f>
        <v>0</v>
      </c>
      <c r="DP206" s="92">
        <f>IF(AO206="",0,VLOOKUP(C206,Tables!$B$3:$M$36,11,FALSE())*Y$1)</f>
        <v>0</v>
      </c>
      <c r="DQ206" s="92">
        <f>IF(AP206="",0,VLOOKUP(D206,Tables!$B$3:$M$36,11,FALSE())*Z$1)</f>
        <v>0</v>
      </c>
      <c r="DR206" s="91">
        <f>IF(AQ206="",0,VLOOKUP(E206,Tables!$B$3:$M$36,11,FALSE())*AA$1)</f>
        <v>0.6</v>
      </c>
      <c r="DS206" s="92">
        <f>IF(AR206="",0,VLOOKUP(F206,Tables!$B$3:$M$36,11,FALSE())*AB$1)</f>
        <v>1.2</v>
      </c>
      <c r="DT206" s="92">
        <f>IF(AS206="",0,VLOOKUP(G206,Tables!$B$3:$M$36,11,FALSE())*AC$1)</f>
        <v>0</v>
      </c>
      <c r="DU206" s="92">
        <f>IF(AT206="",0,VLOOKUP(H206,Tables!$B$3:$M$36,11,FALSE())*AD$1)</f>
        <v>0</v>
      </c>
      <c r="DV206" s="92">
        <f>IF(AU206="",0,VLOOKUP(I206,Tables!$B$3:$M$36,11,FALSE())*AE$1)</f>
        <v>0</v>
      </c>
      <c r="DW206" s="91">
        <f>IF(AV206="",0,VLOOKUP(J206,Tables!$B$3:$M$36,11,FALSE())*AF$1)</f>
        <v>2.4</v>
      </c>
      <c r="DX206" s="92">
        <f>IF(AW206="",0,VLOOKUP(K206,Tables!$B$3:$M$36,11,FALSE())*AG$1)</f>
        <v>2.4</v>
      </c>
      <c r="DY206" s="92">
        <f>IF(AX206="",0,VLOOKUP(L206,Tables!$B$3:$M$36,11,FALSE())*AH$1)</f>
        <v>0</v>
      </c>
      <c r="DZ206" s="91">
        <f>IF(AY206="",0,VLOOKUP(M206,Tables!$B$3:$M$36,11,FALSE())*AI$1)</f>
        <v>0</v>
      </c>
      <c r="EA206" s="92">
        <f>IF(AZ206="",0,VLOOKUP(N206,Tables!$B$3:$M$36,11,FALSE())*AJ$1)</f>
        <v>0</v>
      </c>
      <c r="EB206" s="92">
        <f>IF(BA206="",0,VLOOKUP(O206,Tables!$B$3:$M$36,11,FALSE())*AK$1)</f>
        <v>0</v>
      </c>
      <c r="EC206" s="93">
        <f>IF(BB206="",0,VLOOKUP(P206,Tables!$B$3:$M$36,11,FALSE())*AL$1)</f>
        <v>0</v>
      </c>
      <c r="ED206" s="91">
        <f>IF(AN206="",0,VLOOKUP(B206,Tables!$B$3:$M$36,12,FALSE())*X$1)</f>
        <v>0</v>
      </c>
      <c r="EE206" s="92">
        <f>IF(AO206="",0,VLOOKUP(C206,Tables!$B$3:$M$36,12,FALSE())*Y$1)</f>
        <v>0</v>
      </c>
      <c r="EF206" s="92">
        <f>IF(AP206="",0,VLOOKUP(D206,Tables!$B$3:$M$36,12,FALSE())*Z$1)</f>
        <v>0</v>
      </c>
      <c r="EG206" s="91">
        <f>IF(AQ206="",0,VLOOKUP(E206,Tables!$B$3:$M$36,12,FALSE())*AA$1)</f>
        <v>1.7999999999999998</v>
      </c>
      <c r="EH206" s="92">
        <f>IF(AR206="",0,VLOOKUP(F206,Tables!$B$3:$M$36,12,FALSE())*AB$1)</f>
        <v>3.5999999999999996</v>
      </c>
      <c r="EI206" s="92">
        <f>IF(AS206="",0,VLOOKUP(G206,Tables!$B$3:$M$36,12,FALSE())*AC$1)</f>
        <v>0</v>
      </c>
      <c r="EJ206" s="92">
        <f>IF(AT206="",0,VLOOKUP(H206,Tables!$B$3:$M$36,12,FALSE())*AD$1)</f>
        <v>0</v>
      </c>
      <c r="EK206" s="92">
        <f>IF(AU206="",0,VLOOKUP(I206,Tables!$B$3:$M$36,12,FALSE())*AE$1)</f>
        <v>0</v>
      </c>
      <c r="EL206" s="91">
        <f>IF(AV206="",0,VLOOKUP(J206,Tables!$B$3:$M$36,12,FALSE())*AF$1)</f>
        <v>7.1999999999999993</v>
      </c>
      <c r="EM206" s="92">
        <f>IF(AW206="",0,VLOOKUP(K206,Tables!$B$3:$M$36,12,FALSE())*AG$1)</f>
        <v>7.1999999999999993</v>
      </c>
      <c r="EN206" s="92">
        <f>IF(AX206="",0,VLOOKUP(L206,Tables!$B$3:$M$36,12,FALSE())*AH$1)</f>
        <v>0</v>
      </c>
      <c r="EO206" s="91">
        <f>IF(AY206="",0,VLOOKUP(M206,Tables!$B$3:$M$36,12,FALSE())*AI$1)</f>
        <v>0</v>
      </c>
      <c r="EP206" s="92">
        <f>IF(AZ206="",0,VLOOKUP(N206,Tables!$B$3:$M$36,12,FALSE())*AJ$1)</f>
        <v>0</v>
      </c>
      <c r="EQ206" s="92">
        <f>IF(BA206="",0,VLOOKUP(O206,Tables!$B$3:$M$36,12,FALSE())*AK$1)</f>
        <v>0</v>
      </c>
      <c r="ER206" s="93">
        <f>IF(BB206="",0,VLOOKUP(P206,Tables!$B$3:$M$36,12,FALSE())*AL$1)</f>
        <v>0</v>
      </c>
      <c r="ES206" s="94">
        <f t="shared" si="223"/>
        <v>0</v>
      </c>
      <c r="ET206" s="95">
        <f>IF(AN206="",10,MIN(VLOOKUP(B206,MATERIAL,13,FALSE()),'Item Builder'!$W206))</f>
        <v>10</v>
      </c>
      <c r="EU206" s="95">
        <f>IF(AO206="",10,MIN(VLOOKUP(C206,MATERIAL,13,FALSE()),'Item Builder'!$W206))</f>
        <v>10</v>
      </c>
      <c r="EV206" s="95">
        <f>IF(AP206="",10,MIN(VLOOKUP(D206,MATERIAL,13,FALSE()),'Item Builder'!$W206))</f>
        <v>10</v>
      </c>
      <c r="EW206" s="95">
        <f>IF(AQ206="",10,MIN(VLOOKUP(E206,MATERIAL,13,FALSE()),'Item Builder'!$W206))</f>
        <v>0</v>
      </c>
      <c r="EX206" s="95">
        <f>IF(AR206="",10,MIN(VLOOKUP(F206,MATERIAL,13,FALSE()),'Item Builder'!$W206))</f>
        <v>0</v>
      </c>
      <c r="EY206" s="95">
        <f>IF(AS206="",10,MIN(VLOOKUP(G206,MATERIAL,13,FALSE()),'Item Builder'!$W206))</f>
        <v>10</v>
      </c>
      <c r="EZ206" s="95">
        <f>IF(AT206="",10,MIN(VLOOKUP(H206,MATERIAL,13,FALSE()),'Item Builder'!$W206))</f>
        <v>10</v>
      </c>
      <c r="FA206" s="95">
        <f>IF(AU206="",10,MIN(VLOOKUP(I206,MATERIAL,13,FALSE()),'Item Builder'!$W206))</f>
        <v>10</v>
      </c>
      <c r="FB206" s="95">
        <f>IF(AV206="",10,MIN(VLOOKUP(J206,MATERIAL,13,FALSE()),'Item Builder'!$W206))</f>
        <v>0</v>
      </c>
      <c r="FC206" s="95">
        <f>IF(AW206="",10,MIN(VLOOKUP(K206,MATERIAL,13,FALSE()),'Item Builder'!$W206))</f>
        <v>0</v>
      </c>
      <c r="FD206" s="95">
        <f>IF(AX206="",10,MIN(VLOOKUP(L206,MATERIAL,13,FALSE()),'Item Builder'!$W206))</f>
        <v>10</v>
      </c>
      <c r="FE206" s="95">
        <f>IF(AY206="",10,MIN(VLOOKUP(M206,MATERIAL,13,FALSE()),'Item Builder'!$W206))</f>
        <v>10</v>
      </c>
      <c r="FF206" s="95">
        <f>IF(AZ206="",10,MIN(VLOOKUP(N206,MATERIAL,13,FALSE()),'Item Builder'!$W206))</f>
        <v>10</v>
      </c>
      <c r="FG206" s="95">
        <f>IF(BA206="",10,MIN(VLOOKUP(O206,MATERIAL,13,FALSE()),'Item Builder'!$W206))</f>
        <v>10</v>
      </c>
      <c r="FH206" s="95">
        <f>IF(BB206="",10,MIN(VLOOKUP(P206,MATERIAL,13,FALSE()),'Item Builder'!$W206))</f>
        <v>10</v>
      </c>
    </row>
    <row r="207" spans="1:164" x14ac:dyDescent="0.25">
      <c r="A207" s="67" t="s">
        <v>347</v>
      </c>
      <c r="B207" s="68"/>
      <c r="C207" s="69"/>
      <c r="D207" s="70"/>
      <c r="E207" s="68" t="s">
        <v>151</v>
      </c>
      <c r="F207" s="69" t="s">
        <v>151</v>
      </c>
      <c r="G207" s="69" t="s">
        <v>151</v>
      </c>
      <c r="H207" s="69"/>
      <c r="I207" s="70"/>
      <c r="J207" s="68" t="s">
        <v>151</v>
      </c>
      <c r="K207" s="69" t="s">
        <v>151</v>
      </c>
      <c r="L207" s="70" t="s">
        <v>151</v>
      </c>
      <c r="M207" s="68"/>
      <c r="N207" s="69"/>
      <c r="O207" s="69"/>
      <c r="P207" s="71"/>
      <c r="Q207" s="72">
        <f>SUM(BV207:CJ207)*VLOOKUP(W207,Tables!$W$3:$Z$8,4)</f>
        <v>36</v>
      </c>
      <c r="R207" s="73">
        <f t="shared" si="168"/>
        <v>2.25</v>
      </c>
      <c r="S207" s="74">
        <f t="shared" si="169"/>
        <v>0</v>
      </c>
      <c r="T207" s="74">
        <f t="shared" si="170"/>
        <v>0</v>
      </c>
      <c r="U207" s="75">
        <f t="shared" si="171"/>
        <v>9</v>
      </c>
      <c r="V207" s="76">
        <f t="shared" si="172"/>
        <v>27</v>
      </c>
      <c r="W207" s="77">
        <v>0</v>
      </c>
      <c r="X207" s="78">
        <f t="shared" si="173"/>
        <v>0</v>
      </c>
      <c r="Y207" s="79">
        <f t="shared" si="174"/>
        <v>0</v>
      </c>
      <c r="Z207" s="79">
        <f t="shared" si="175"/>
        <v>0</v>
      </c>
      <c r="AA207" s="78">
        <f t="shared" si="176"/>
        <v>1</v>
      </c>
      <c r="AB207" s="79">
        <f t="shared" si="177"/>
        <v>1</v>
      </c>
      <c r="AC207" s="79">
        <f t="shared" si="178"/>
        <v>1</v>
      </c>
      <c r="AD207" s="79">
        <f t="shared" si="179"/>
        <v>0</v>
      </c>
      <c r="AE207" s="79">
        <f t="shared" si="180"/>
        <v>0</v>
      </c>
      <c r="AF207" s="78">
        <f t="shared" si="181"/>
        <v>1</v>
      </c>
      <c r="AG207" s="79">
        <f t="shared" si="182"/>
        <v>1</v>
      </c>
      <c r="AH207" s="79">
        <f t="shared" si="183"/>
        <v>1</v>
      </c>
      <c r="AI207" s="78">
        <f t="shared" si="184"/>
        <v>0</v>
      </c>
      <c r="AJ207" s="79">
        <f t="shared" si="185"/>
        <v>0</v>
      </c>
      <c r="AK207" s="79">
        <f t="shared" si="186"/>
        <v>0</v>
      </c>
      <c r="AL207" s="80">
        <f t="shared" si="187"/>
        <v>0</v>
      </c>
      <c r="AM207" s="81">
        <f t="shared" si="188"/>
        <v>0.44999999999999996</v>
      </c>
      <c r="AN207" s="82" t="str">
        <f t="shared" si="189"/>
        <v/>
      </c>
      <c r="AO207" s="79" t="str">
        <f t="shared" si="190"/>
        <v/>
      </c>
      <c r="AP207" t="str">
        <f t="shared" si="191"/>
        <v/>
      </c>
      <c r="AQ207" s="82" t="str">
        <f t="shared" si="192"/>
        <v>C</v>
      </c>
      <c r="AR207" t="str">
        <f t="shared" si="193"/>
        <v>C</v>
      </c>
      <c r="AS207" t="str">
        <f t="shared" si="194"/>
        <v>C</v>
      </c>
      <c r="AT207" t="str">
        <f t="shared" si="195"/>
        <v/>
      </c>
      <c r="AU207" t="str">
        <f t="shared" si="196"/>
        <v/>
      </c>
      <c r="AV207" s="82" t="str">
        <f t="shared" si="197"/>
        <v>C</v>
      </c>
      <c r="AW207" t="str">
        <f t="shared" si="198"/>
        <v>C</v>
      </c>
      <c r="AX207" t="str">
        <f t="shared" si="199"/>
        <v>C</v>
      </c>
      <c r="AY207" s="82" t="str">
        <f t="shared" si="200"/>
        <v/>
      </c>
      <c r="AZ207" t="str">
        <f t="shared" si="201"/>
        <v/>
      </c>
      <c r="BA207" t="str">
        <f t="shared" si="202"/>
        <v/>
      </c>
      <c r="BB207" s="83" t="str">
        <f t="shared" si="203"/>
        <v/>
      </c>
      <c r="BC207" s="84">
        <f t="shared" si="204"/>
        <v>0</v>
      </c>
      <c r="BD207" s="84">
        <f t="shared" si="205"/>
        <v>0.52380952380952372</v>
      </c>
      <c r="BE207" s="84">
        <f t="shared" si="206"/>
        <v>1</v>
      </c>
      <c r="BF207" s="84">
        <f t="shared" si="207"/>
        <v>0</v>
      </c>
      <c r="BG207" s="78">
        <f>IF(AN207="",0,VLOOKUP(AN207,Tables!$AB$3:$AC$12,2))</f>
        <v>0</v>
      </c>
      <c r="BH207" s="79">
        <f>IF(AO207="",0,VLOOKUP(AO207,Tables!$AB$3:$AC$12,2))</f>
        <v>0</v>
      </c>
      <c r="BI207" s="79">
        <f>IF(AP207="",0,VLOOKUP(AP207,Tables!$AB$3:$AC$12,2))</f>
        <v>0</v>
      </c>
      <c r="BJ207" s="78">
        <f>IF(AQ207="",0,VLOOKUP(AQ207,Tables!$AB$3:$AC$12,2))</f>
        <v>1</v>
      </c>
      <c r="BK207" s="79">
        <f>IF(AR207="",0,VLOOKUP(AR207,Tables!$AB$3:$AC$12,2))</f>
        <v>1</v>
      </c>
      <c r="BL207" s="79">
        <f>IF(AS207="",0,VLOOKUP(AS207,Tables!$AB$3:$AC$12,2))</f>
        <v>1</v>
      </c>
      <c r="BM207" s="79">
        <f>IF(AT207="",0,VLOOKUP(AT207,Tables!$AB$3:$AC$12,2))</f>
        <v>0</v>
      </c>
      <c r="BN207" s="79">
        <f>IF(AU207="",0,VLOOKUP(AU207,Tables!$AB$3:$AC$12,2))</f>
        <v>0</v>
      </c>
      <c r="BO207" s="78">
        <f>IF(AV207="",0,VLOOKUP(AV207,Tables!$AB$3:$AC$12,2))</f>
        <v>1</v>
      </c>
      <c r="BP207" s="79">
        <f>IF(AW207="",0,VLOOKUP(AW207,Tables!$AB$3:$AC$12,2))</f>
        <v>1</v>
      </c>
      <c r="BQ207" s="79">
        <f>IF(AX207="",0,VLOOKUP(AX207,Tables!$AB$3:$AC$12,2))</f>
        <v>1</v>
      </c>
      <c r="BR207" s="78">
        <f>IF(AY207="",0,VLOOKUP(AY207,Tables!$AB$3:$AC$12,2))</f>
        <v>0</v>
      </c>
      <c r="BS207" s="79">
        <f>IF(AZ207="",0,VLOOKUP(AZ207,Tables!$AB$3:$AC$12,2))</f>
        <v>0</v>
      </c>
      <c r="BT207" s="79">
        <f>IF(BA207="",0,VLOOKUP(BA207,Tables!$AB$3:$AC$12,2))</f>
        <v>0</v>
      </c>
      <c r="BU207" s="80">
        <f>IF(BB207="",0,VLOOKUP(BB207,Tables!$AB$3:$AC$12,2))</f>
        <v>0</v>
      </c>
      <c r="BV207" s="85">
        <f>IF(AN207="",0,VLOOKUP(B207,Tables!$B$3:$D$36,2,FALSE())*X$1)</f>
        <v>0</v>
      </c>
      <c r="BW207" s="72">
        <f>IF(AO207="",0,VLOOKUP(C207,Tables!$B$3:$D$36,2,FALSE())*Y$1)</f>
        <v>0</v>
      </c>
      <c r="BX207" s="72">
        <f>IF(AP207="",0,VLOOKUP(D207,Tables!$B$3:$D$36,2,FALSE())*Z$1)</f>
        <v>0</v>
      </c>
      <c r="BY207" s="85">
        <f>IF(AQ207="",0,VLOOKUP(E207,Tables!$B$3:$D$36,2,FALSE())*AA$1)</f>
        <v>2.4</v>
      </c>
      <c r="BZ207" s="72">
        <f>IF(AR207="",0,VLOOKUP(F207,Tables!$B$3:$D$36,2,FALSE())*AB$1)</f>
        <v>4.8</v>
      </c>
      <c r="CA207" s="72">
        <f>IF(AS207="",0,VLOOKUP(G207,Tables!$B$3:$D$36,2,FALSE())*AC$1)</f>
        <v>1.6</v>
      </c>
      <c r="CB207" s="72">
        <f>IF(AT207="",0,VLOOKUP(H207,Tables!$B$3:$D$36,2,FALSE())*AD$1)</f>
        <v>0</v>
      </c>
      <c r="CC207" s="72">
        <f>IF(AU207="",0,VLOOKUP(I207,Tables!$B$3:$D$36,2,FALSE())*AE$1)</f>
        <v>0</v>
      </c>
      <c r="CD207" s="85">
        <f>IF(AV207="",0,VLOOKUP(J207,Tables!$B$3:$D$36,2,FALSE())*AF$1)</f>
        <v>9.6</v>
      </c>
      <c r="CE207" s="72">
        <f>IF(AW207="",0,VLOOKUP(K207,Tables!$B$3:$D$36,2,FALSE())*AG$1)</f>
        <v>9.6</v>
      </c>
      <c r="CF207" s="72">
        <f>IF(AX207="",0,VLOOKUP(L207,Tables!$B$3:$D$36,2,FALSE())*AH$1)</f>
        <v>8</v>
      </c>
      <c r="CG207" s="85">
        <f>IF(AY207="",0,VLOOKUP(M207,Tables!$B$3:$D$36,2,FALSE())*AI$1)</f>
        <v>0</v>
      </c>
      <c r="CH207" s="72">
        <f>IF(AZ207="",0,VLOOKUP(N207,Tables!$B$3:$D$36,2,FALSE())*AJ$1)</f>
        <v>0</v>
      </c>
      <c r="CI207" s="72">
        <f>IF(BA207="",0,VLOOKUP(O207,Tables!$B$3:$D$36,2,FALSE())*AK$1)</f>
        <v>0</v>
      </c>
      <c r="CJ207" s="86">
        <f>IF(BB207="",0,VLOOKUP(P207,Tables!$B$3:$D$36,2,FALSE())*AL$1)</f>
        <v>0</v>
      </c>
      <c r="CK207" s="87">
        <f>IF(AN207="",0,VLOOKUP(B207,Tables!$B$3:$D$36,3,FALSE())*X$1)*IF(OR(AN207="K",AN207="P"),2,1)</f>
        <v>0</v>
      </c>
      <c r="CL207" s="73">
        <f>IF(AO207="",0,VLOOKUP(C207,Tables!$B$3:$D$36,3,FALSE())*Y$1)*IF(OR(AO207="K",AO207="P"),2,1)</f>
        <v>0</v>
      </c>
      <c r="CM207" s="73">
        <f>IF(AP207="",0,VLOOKUP(D207,Tables!$B$3:$D$36,3,FALSE())*Z$1)*IF(OR(AP207="K",AP207="P"),2,1)</f>
        <v>0</v>
      </c>
      <c r="CN207" s="87">
        <f>IF(AQ207="",0,VLOOKUP(E207,Tables!$B$3:$D$36,3,FALSE())*AA$1)</f>
        <v>0.15</v>
      </c>
      <c r="CO207" s="73">
        <f>IF(AR207="",0,VLOOKUP(F207,Tables!$B$3:$D$36,3,FALSE())*AB$1)</f>
        <v>0.3</v>
      </c>
      <c r="CP207" s="73">
        <f>IF(AS207="",0,VLOOKUP(G207,Tables!$B$3:$D$36,3,FALSE())*AC$1)</f>
        <v>0.1</v>
      </c>
      <c r="CQ207" s="73">
        <f>IF(AT207="",0,VLOOKUP(H207,Tables!$B$3:$D$36,3,FALSE())*AD$1)</f>
        <v>0</v>
      </c>
      <c r="CR207" s="73">
        <f>IF(AU207="",0,VLOOKUP(I207,Tables!$B$3:$D$36,3,FALSE())*AE$1)</f>
        <v>0</v>
      </c>
      <c r="CS207" s="87">
        <f>IF(AV207="",0,VLOOKUP(J207,Tables!$B$3:$D$36,3,FALSE())*AF$1)</f>
        <v>0.6</v>
      </c>
      <c r="CT207" s="73">
        <f>IF(AW207="",0,VLOOKUP(K207,Tables!$B$3:$D$36,3,FALSE())*AG$1)</f>
        <v>0.6</v>
      </c>
      <c r="CU207" s="73">
        <f>IF(AX207="",0,VLOOKUP(L207,Tables!$B$3:$D$36,3,FALSE())*AH$1)</f>
        <v>0.5</v>
      </c>
      <c r="CV207" s="87">
        <f>IF(AY207="",0,VLOOKUP(M207,Tables!$B$3:$D$36,3,FALSE())*AI$1)</f>
        <v>0</v>
      </c>
      <c r="CW207" s="73">
        <f>IF(AZ207="",0,VLOOKUP(N207,Tables!$B$3:$D$36,3,FALSE())*AJ$1)</f>
        <v>0</v>
      </c>
      <c r="CX207" s="73">
        <f>IF(BA207="",0,VLOOKUP(O207,Tables!$B$3:$D$36,3,FALSE())*AK$1)</f>
        <v>0</v>
      </c>
      <c r="CY207" s="88">
        <f>IF(BB207="",0,VLOOKUP(P207,Tables!$B$3:$D$36,3,FALSE())*AL$1)</f>
        <v>0</v>
      </c>
      <c r="CZ207" s="89">
        <f t="shared" si="208"/>
        <v>0</v>
      </c>
      <c r="DA207" s="75">
        <f t="shared" si="209"/>
        <v>0</v>
      </c>
      <c r="DB207" s="75">
        <f t="shared" si="210"/>
        <v>0</v>
      </c>
      <c r="DC207" s="89">
        <f t="shared" si="211"/>
        <v>1</v>
      </c>
      <c r="DD207" s="75">
        <f t="shared" si="212"/>
        <v>1</v>
      </c>
      <c r="DE207" s="75">
        <f t="shared" si="213"/>
        <v>1</v>
      </c>
      <c r="DF207" s="75">
        <f t="shared" si="214"/>
        <v>0</v>
      </c>
      <c r="DG207" s="75">
        <f t="shared" si="215"/>
        <v>0</v>
      </c>
      <c r="DH207" s="89">
        <f t="shared" si="216"/>
        <v>1</v>
      </c>
      <c r="DI207" s="75">
        <f t="shared" si="217"/>
        <v>1</v>
      </c>
      <c r="DJ207" s="75">
        <f t="shared" si="218"/>
        <v>1</v>
      </c>
      <c r="DK207" s="89">
        <f t="shared" si="219"/>
        <v>0</v>
      </c>
      <c r="DL207" s="75">
        <f t="shared" si="220"/>
        <v>0</v>
      </c>
      <c r="DM207" s="75">
        <f t="shared" si="221"/>
        <v>0</v>
      </c>
      <c r="DN207" s="90">
        <f t="shared" si="222"/>
        <v>0</v>
      </c>
      <c r="DO207" s="91">
        <f>IF(AN207="",0,VLOOKUP(B207,Tables!$B$3:$M$36,11,FALSE())*X$1)</f>
        <v>0</v>
      </c>
      <c r="DP207" s="92">
        <f>IF(AO207="",0,VLOOKUP(C207,Tables!$B$3:$M$36,11,FALSE())*Y$1)</f>
        <v>0</v>
      </c>
      <c r="DQ207" s="92">
        <f>IF(AP207="",0,VLOOKUP(D207,Tables!$B$3:$M$36,11,FALSE())*Z$1)</f>
        <v>0</v>
      </c>
      <c r="DR207" s="91">
        <f>IF(AQ207="",0,VLOOKUP(E207,Tables!$B$3:$M$36,11,FALSE())*AA$1)</f>
        <v>0.6</v>
      </c>
      <c r="DS207" s="92">
        <f>IF(AR207="",0,VLOOKUP(F207,Tables!$B$3:$M$36,11,FALSE())*AB$1)</f>
        <v>1.2</v>
      </c>
      <c r="DT207" s="92">
        <f>IF(AS207="",0,VLOOKUP(G207,Tables!$B$3:$M$36,11,FALSE())*AC$1)</f>
        <v>0.4</v>
      </c>
      <c r="DU207" s="92">
        <f>IF(AT207="",0,VLOOKUP(H207,Tables!$B$3:$M$36,11,FALSE())*AD$1)</f>
        <v>0</v>
      </c>
      <c r="DV207" s="92">
        <f>IF(AU207="",0,VLOOKUP(I207,Tables!$B$3:$M$36,11,FALSE())*AE$1)</f>
        <v>0</v>
      </c>
      <c r="DW207" s="91">
        <f>IF(AV207="",0,VLOOKUP(J207,Tables!$B$3:$M$36,11,FALSE())*AF$1)</f>
        <v>2.4</v>
      </c>
      <c r="DX207" s="92">
        <f>IF(AW207="",0,VLOOKUP(K207,Tables!$B$3:$M$36,11,FALSE())*AG$1)</f>
        <v>2.4</v>
      </c>
      <c r="DY207" s="92">
        <f>IF(AX207="",0,VLOOKUP(L207,Tables!$B$3:$M$36,11,FALSE())*AH$1)</f>
        <v>2</v>
      </c>
      <c r="DZ207" s="91">
        <f>IF(AY207="",0,VLOOKUP(M207,Tables!$B$3:$M$36,11,FALSE())*AI$1)</f>
        <v>0</v>
      </c>
      <c r="EA207" s="92">
        <f>IF(AZ207="",0,VLOOKUP(N207,Tables!$B$3:$M$36,11,FALSE())*AJ$1)</f>
        <v>0</v>
      </c>
      <c r="EB207" s="92">
        <f>IF(BA207="",0,VLOOKUP(O207,Tables!$B$3:$M$36,11,FALSE())*AK$1)</f>
        <v>0</v>
      </c>
      <c r="EC207" s="93">
        <f>IF(BB207="",0,VLOOKUP(P207,Tables!$B$3:$M$36,11,FALSE())*AL$1)</f>
        <v>0</v>
      </c>
      <c r="ED207" s="91">
        <f>IF(AN207="",0,VLOOKUP(B207,Tables!$B$3:$M$36,12,FALSE())*X$1)</f>
        <v>0</v>
      </c>
      <c r="EE207" s="92">
        <f>IF(AO207="",0,VLOOKUP(C207,Tables!$B$3:$M$36,12,FALSE())*Y$1)</f>
        <v>0</v>
      </c>
      <c r="EF207" s="92">
        <f>IF(AP207="",0,VLOOKUP(D207,Tables!$B$3:$M$36,12,FALSE())*Z$1)</f>
        <v>0</v>
      </c>
      <c r="EG207" s="91">
        <f>IF(AQ207="",0,VLOOKUP(E207,Tables!$B$3:$M$36,12,FALSE())*AA$1)</f>
        <v>1.7999999999999998</v>
      </c>
      <c r="EH207" s="92">
        <f>IF(AR207="",0,VLOOKUP(F207,Tables!$B$3:$M$36,12,FALSE())*AB$1)</f>
        <v>3.5999999999999996</v>
      </c>
      <c r="EI207" s="92">
        <f>IF(AS207="",0,VLOOKUP(G207,Tables!$B$3:$M$36,12,FALSE())*AC$1)</f>
        <v>1.2</v>
      </c>
      <c r="EJ207" s="92">
        <f>IF(AT207="",0,VLOOKUP(H207,Tables!$B$3:$M$36,12,FALSE())*AD$1)</f>
        <v>0</v>
      </c>
      <c r="EK207" s="92">
        <f>IF(AU207="",0,VLOOKUP(I207,Tables!$B$3:$M$36,12,FALSE())*AE$1)</f>
        <v>0</v>
      </c>
      <c r="EL207" s="91">
        <f>IF(AV207="",0,VLOOKUP(J207,Tables!$B$3:$M$36,12,FALSE())*AF$1)</f>
        <v>7.1999999999999993</v>
      </c>
      <c r="EM207" s="92">
        <f>IF(AW207="",0,VLOOKUP(K207,Tables!$B$3:$M$36,12,FALSE())*AG$1)</f>
        <v>7.1999999999999993</v>
      </c>
      <c r="EN207" s="92">
        <f>IF(AX207="",0,VLOOKUP(L207,Tables!$B$3:$M$36,12,FALSE())*AH$1)</f>
        <v>6</v>
      </c>
      <c r="EO207" s="91">
        <f>IF(AY207="",0,VLOOKUP(M207,Tables!$B$3:$M$36,12,FALSE())*AI$1)</f>
        <v>0</v>
      </c>
      <c r="EP207" s="92">
        <f>IF(AZ207="",0,VLOOKUP(N207,Tables!$B$3:$M$36,12,FALSE())*AJ$1)</f>
        <v>0</v>
      </c>
      <c r="EQ207" s="92">
        <f>IF(BA207="",0,VLOOKUP(O207,Tables!$B$3:$M$36,12,FALSE())*AK$1)</f>
        <v>0</v>
      </c>
      <c r="ER207" s="93">
        <f>IF(BB207="",0,VLOOKUP(P207,Tables!$B$3:$M$36,12,FALSE())*AL$1)</f>
        <v>0</v>
      </c>
      <c r="ES207" s="94">
        <f t="shared" si="223"/>
        <v>0</v>
      </c>
      <c r="ET207" s="95">
        <f>IF(AN207="",10,MIN(VLOOKUP(B207,MATERIAL,13,FALSE()),'Item Builder'!$W207))</f>
        <v>10</v>
      </c>
      <c r="EU207" s="95">
        <f>IF(AO207="",10,MIN(VLOOKUP(C207,MATERIAL,13,FALSE()),'Item Builder'!$W207))</f>
        <v>10</v>
      </c>
      <c r="EV207" s="95">
        <f>IF(AP207="",10,MIN(VLOOKUP(D207,MATERIAL,13,FALSE()),'Item Builder'!$W207))</f>
        <v>10</v>
      </c>
      <c r="EW207" s="95">
        <f>IF(AQ207="",10,MIN(VLOOKUP(E207,MATERIAL,13,FALSE()),'Item Builder'!$W207))</f>
        <v>0</v>
      </c>
      <c r="EX207" s="95">
        <f>IF(AR207="",10,MIN(VLOOKUP(F207,MATERIAL,13,FALSE()),'Item Builder'!$W207))</f>
        <v>0</v>
      </c>
      <c r="EY207" s="95">
        <f>IF(AS207="",10,MIN(VLOOKUP(G207,MATERIAL,13,FALSE()),'Item Builder'!$W207))</f>
        <v>0</v>
      </c>
      <c r="EZ207" s="95">
        <f>IF(AT207="",10,MIN(VLOOKUP(H207,MATERIAL,13,FALSE()),'Item Builder'!$W207))</f>
        <v>10</v>
      </c>
      <c r="FA207" s="95">
        <f>IF(AU207="",10,MIN(VLOOKUP(I207,MATERIAL,13,FALSE()),'Item Builder'!$W207))</f>
        <v>10</v>
      </c>
      <c r="FB207" s="95">
        <f>IF(AV207="",10,MIN(VLOOKUP(J207,MATERIAL,13,FALSE()),'Item Builder'!$W207))</f>
        <v>0</v>
      </c>
      <c r="FC207" s="95">
        <f>IF(AW207="",10,MIN(VLOOKUP(K207,MATERIAL,13,FALSE()),'Item Builder'!$W207))</f>
        <v>0</v>
      </c>
      <c r="FD207" s="95">
        <f>IF(AX207="",10,MIN(VLOOKUP(L207,MATERIAL,13,FALSE()),'Item Builder'!$W207))</f>
        <v>0</v>
      </c>
      <c r="FE207" s="95">
        <f>IF(AY207="",10,MIN(VLOOKUP(M207,MATERIAL,13,FALSE()),'Item Builder'!$W207))</f>
        <v>10</v>
      </c>
      <c r="FF207" s="95">
        <f>IF(AZ207="",10,MIN(VLOOKUP(N207,MATERIAL,13,FALSE()),'Item Builder'!$W207))</f>
        <v>10</v>
      </c>
      <c r="FG207" s="95">
        <f>IF(BA207="",10,MIN(VLOOKUP(O207,MATERIAL,13,FALSE()),'Item Builder'!$W207))</f>
        <v>10</v>
      </c>
      <c r="FH207" s="95">
        <f>IF(BB207="",10,MIN(VLOOKUP(P207,MATERIAL,13,FALSE()),'Item Builder'!$W207))</f>
        <v>10</v>
      </c>
    </row>
    <row r="208" spans="1:164" x14ac:dyDescent="0.25">
      <c r="A208" s="67" t="s">
        <v>348</v>
      </c>
      <c r="B208" s="68"/>
      <c r="C208" s="69"/>
      <c r="D208" s="70"/>
      <c r="E208" s="68" t="s">
        <v>151</v>
      </c>
      <c r="F208" s="69" t="s">
        <v>151</v>
      </c>
      <c r="G208" s="69" t="s">
        <v>151</v>
      </c>
      <c r="H208" s="69" t="s">
        <v>151</v>
      </c>
      <c r="I208" s="70"/>
      <c r="J208" s="68" t="s">
        <v>151</v>
      </c>
      <c r="K208" s="69" t="s">
        <v>151</v>
      </c>
      <c r="L208" s="70" t="s">
        <v>151</v>
      </c>
      <c r="M208" s="68"/>
      <c r="N208" s="69"/>
      <c r="O208" s="69"/>
      <c r="P208" s="71"/>
      <c r="Q208" s="72">
        <f>SUM(BV208:CJ208)*VLOOKUP(W208,Tables!$W$3:$Z$8,4)</f>
        <v>40</v>
      </c>
      <c r="R208" s="73">
        <f t="shared" si="168"/>
        <v>2.5</v>
      </c>
      <c r="S208" s="74">
        <f t="shared" si="169"/>
        <v>0</v>
      </c>
      <c r="T208" s="74">
        <f t="shared" si="170"/>
        <v>0</v>
      </c>
      <c r="U208" s="75">
        <f t="shared" si="171"/>
        <v>10</v>
      </c>
      <c r="V208" s="76">
        <f t="shared" si="172"/>
        <v>29.999999999999996</v>
      </c>
      <c r="W208" s="77">
        <v>0</v>
      </c>
      <c r="X208" s="78">
        <f t="shared" si="173"/>
        <v>0</v>
      </c>
      <c r="Y208" s="79">
        <f t="shared" si="174"/>
        <v>0</v>
      </c>
      <c r="Z208" s="79">
        <f t="shared" si="175"/>
        <v>0</v>
      </c>
      <c r="AA208" s="78">
        <f t="shared" si="176"/>
        <v>1</v>
      </c>
      <c r="AB208" s="79">
        <f t="shared" si="177"/>
        <v>1</v>
      </c>
      <c r="AC208" s="79">
        <f t="shared" si="178"/>
        <v>1</v>
      </c>
      <c r="AD208" s="79">
        <f t="shared" si="179"/>
        <v>1</v>
      </c>
      <c r="AE208" s="79">
        <f t="shared" si="180"/>
        <v>0</v>
      </c>
      <c r="AF208" s="78">
        <f t="shared" si="181"/>
        <v>1</v>
      </c>
      <c r="AG208" s="79">
        <f t="shared" si="182"/>
        <v>1</v>
      </c>
      <c r="AH208" s="79">
        <f t="shared" si="183"/>
        <v>1</v>
      </c>
      <c r="AI208" s="78">
        <f t="shared" si="184"/>
        <v>0</v>
      </c>
      <c r="AJ208" s="79">
        <f t="shared" si="185"/>
        <v>0</v>
      </c>
      <c r="AK208" s="79">
        <f t="shared" si="186"/>
        <v>0</v>
      </c>
      <c r="AL208" s="80">
        <f t="shared" si="187"/>
        <v>0</v>
      </c>
      <c r="AM208" s="81">
        <f t="shared" si="188"/>
        <v>0.5</v>
      </c>
      <c r="AN208" s="82" t="str">
        <f t="shared" si="189"/>
        <v/>
      </c>
      <c r="AO208" s="79" t="str">
        <f t="shared" si="190"/>
        <v/>
      </c>
      <c r="AP208" t="str">
        <f t="shared" si="191"/>
        <v/>
      </c>
      <c r="AQ208" s="82" t="str">
        <f t="shared" si="192"/>
        <v>C</v>
      </c>
      <c r="AR208" t="str">
        <f t="shared" si="193"/>
        <v>C</v>
      </c>
      <c r="AS208" t="str">
        <f t="shared" si="194"/>
        <v>C</v>
      </c>
      <c r="AT208" t="str">
        <f t="shared" si="195"/>
        <v>C</v>
      </c>
      <c r="AU208" t="str">
        <f t="shared" si="196"/>
        <v/>
      </c>
      <c r="AV208" s="82" t="str">
        <f t="shared" si="197"/>
        <v>C</v>
      </c>
      <c r="AW208" t="str">
        <f t="shared" si="198"/>
        <v>C</v>
      </c>
      <c r="AX208" t="str">
        <f t="shared" si="199"/>
        <v>C</v>
      </c>
      <c r="AY208" s="82" t="str">
        <f t="shared" si="200"/>
        <v/>
      </c>
      <c r="AZ208" t="str">
        <f t="shared" si="201"/>
        <v/>
      </c>
      <c r="BA208" t="str">
        <f t="shared" si="202"/>
        <v/>
      </c>
      <c r="BB208" s="83" t="str">
        <f t="shared" si="203"/>
        <v/>
      </c>
      <c r="BC208" s="84">
        <f t="shared" si="204"/>
        <v>0</v>
      </c>
      <c r="BD208" s="84">
        <f t="shared" si="205"/>
        <v>0.76190476190476186</v>
      </c>
      <c r="BE208" s="84">
        <f t="shared" si="206"/>
        <v>1</v>
      </c>
      <c r="BF208" s="84">
        <f t="shared" si="207"/>
        <v>0</v>
      </c>
      <c r="BG208" s="78">
        <f>IF(AN208="",0,VLOOKUP(AN208,Tables!$AB$3:$AC$12,2))</f>
        <v>0</v>
      </c>
      <c r="BH208" s="79">
        <f>IF(AO208="",0,VLOOKUP(AO208,Tables!$AB$3:$AC$12,2))</f>
        <v>0</v>
      </c>
      <c r="BI208" s="79">
        <f>IF(AP208="",0,VLOOKUP(AP208,Tables!$AB$3:$AC$12,2))</f>
        <v>0</v>
      </c>
      <c r="BJ208" s="78">
        <f>IF(AQ208="",0,VLOOKUP(AQ208,Tables!$AB$3:$AC$12,2))</f>
        <v>1</v>
      </c>
      <c r="BK208" s="79">
        <f>IF(AR208="",0,VLOOKUP(AR208,Tables!$AB$3:$AC$12,2))</f>
        <v>1</v>
      </c>
      <c r="BL208" s="79">
        <f>IF(AS208="",0,VLOOKUP(AS208,Tables!$AB$3:$AC$12,2))</f>
        <v>1</v>
      </c>
      <c r="BM208" s="79">
        <f>IF(AT208="",0,VLOOKUP(AT208,Tables!$AB$3:$AC$12,2))</f>
        <v>1</v>
      </c>
      <c r="BN208" s="79">
        <f>IF(AU208="",0,VLOOKUP(AU208,Tables!$AB$3:$AC$12,2))</f>
        <v>0</v>
      </c>
      <c r="BO208" s="78">
        <f>IF(AV208="",0,VLOOKUP(AV208,Tables!$AB$3:$AC$12,2))</f>
        <v>1</v>
      </c>
      <c r="BP208" s="79">
        <f>IF(AW208="",0,VLOOKUP(AW208,Tables!$AB$3:$AC$12,2))</f>
        <v>1</v>
      </c>
      <c r="BQ208" s="79">
        <f>IF(AX208="",0,VLOOKUP(AX208,Tables!$AB$3:$AC$12,2))</f>
        <v>1</v>
      </c>
      <c r="BR208" s="78">
        <f>IF(AY208="",0,VLOOKUP(AY208,Tables!$AB$3:$AC$12,2))</f>
        <v>0</v>
      </c>
      <c r="BS208" s="79">
        <f>IF(AZ208="",0,VLOOKUP(AZ208,Tables!$AB$3:$AC$12,2))</f>
        <v>0</v>
      </c>
      <c r="BT208" s="79">
        <f>IF(BA208="",0,VLOOKUP(BA208,Tables!$AB$3:$AC$12,2))</f>
        <v>0</v>
      </c>
      <c r="BU208" s="80">
        <f>IF(BB208="",0,VLOOKUP(BB208,Tables!$AB$3:$AC$12,2))</f>
        <v>0</v>
      </c>
      <c r="BV208" s="85">
        <f>IF(AN208="",0,VLOOKUP(B208,Tables!$B$3:$D$36,2,FALSE())*X$1)</f>
        <v>0</v>
      </c>
      <c r="BW208" s="72">
        <f>IF(AO208="",0,VLOOKUP(C208,Tables!$B$3:$D$36,2,FALSE())*Y$1)</f>
        <v>0</v>
      </c>
      <c r="BX208" s="72">
        <f>IF(AP208="",0,VLOOKUP(D208,Tables!$B$3:$D$36,2,FALSE())*Z$1)</f>
        <v>0</v>
      </c>
      <c r="BY208" s="85">
        <f>IF(AQ208="",0,VLOOKUP(E208,Tables!$B$3:$D$36,2,FALSE())*AA$1)</f>
        <v>2.4</v>
      </c>
      <c r="BZ208" s="72">
        <f>IF(AR208="",0,VLOOKUP(F208,Tables!$B$3:$D$36,2,FALSE())*AB$1)</f>
        <v>4.8</v>
      </c>
      <c r="CA208" s="72">
        <f>IF(AS208="",0,VLOOKUP(G208,Tables!$B$3:$D$36,2,FALSE())*AC$1)</f>
        <v>1.6</v>
      </c>
      <c r="CB208" s="72">
        <f>IF(AT208="",0,VLOOKUP(H208,Tables!$B$3:$D$36,2,FALSE())*AD$1)</f>
        <v>4</v>
      </c>
      <c r="CC208" s="72">
        <f>IF(AU208="",0,VLOOKUP(I208,Tables!$B$3:$D$36,2,FALSE())*AE$1)</f>
        <v>0</v>
      </c>
      <c r="CD208" s="85">
        <f>IF(AV208="",0,VLOOKUP(J208,Tables!$B$3:$D$36,2,FALSE())*AF$1)</f>
        <v>9.6</v>
      </c>
      <c r="CE208" s="72">
        <f>IF(AW208="",0,VLOOKUP(K208,Tables!$B$3:$D$36,2,FALSE())*AG$1)</f>
        <v>9.6</v>
      </c>
      <c r="CF208" s="72">
        <f>IF(AX208="",0,VLOOKUP(L208,Tables!$B$3:$D$36,2,FALSE())*AH$1)</f>
        <v>8</v>
      </c>
      <c r="CG208" s="85">
        <f>IF(AY208="",0,VLOOKUP(M208,Tables!$B$3:$D$36,2,FALSE())*AI$1)</f>
        <v>0</v>
      </c>
      <c r="CH208" s="72">
        <f>IF(AZ208="",0,VLOOKUP(N208,Tables!$B$3:$D$36,2,FALSE())*AJ$1)</f>
        <v>0</v>
      </c>
      <c r="CI208" s="72">
        <f>IF(BA208="",0,VLOOKUP(O208,Tables!$B$3:$D$36,2,FALSE())*AK$1)</f>
        <v>0</v>
      </c>
      <c r="CJ208" s="86">
        <f>IF(BB208="",0,VLOOKUP(P208,Tables!$B$3:$D$36,2,FALSE())*AL$1)</f>
        <v>0</v>
      </c>
      <c r="CK208" s="87">
        <f>IF(AN208="",0,VLOOKUP(B208,Tables!$B$3:$D$36,3,FALSE())*X$1)*IF(OR(AN208="K",AN208="P"),2,1)</f>
        <v>0</v>
      </c>
      <c r="CL208" s="73">
        <f>IF(AO208="",0,VLOOKUP(C208,Tables!$B$3:$D$36,3,FALSE())*Y$1)*IF(OR(AO208="K",AO208="P"),2,1)</f>
        <v>0</v>
      </c>
      <c r="CM208" s="73">
        <f>IF(AP208="",0,VLOOKUP(D208,Tables!$B$3:$D$36,3,FALSE())*Z$1)*IF(OR(AP208="K",AP208="P"),2,1)</f>
        <v>0</v>
      </c>
      <c r="CN208" s="87">
        <f>IF(AQ208="",0,VLOOKUP(E208,Tables!$B$3:$D$36,3,FALSE())*AA$1)</f>
        <v>0.15</v>
      </c>
      <c r="CO208" s="73">
        <f>IF(AR208="",0,VLOOKUP(F208,Tables!$B$3:$D$36,3,FALSE())*AB$1)</f>
        <v>0.3</v>
      </c>
      <c r="CP208" s="73">
        <f>IF(AS208="",0,VLOOKUP(G208,Tables!$B$3:$D$36,3,FALSE())*AC$1)</f>
        <v>0.1</v>
      </c>
      <c r="CQ208" s="73">
        <f>IF(AT208="",0,VLOOKUP(H208,Tables!$B$3:$D$36,3,FALSE())*AD$1)</f>
        <v>0.25</v>
      </c>
      <c r="CR208" s="73">
        <f>IF(AU208="",0,VLOOKUP(I208,Tables!$B$3:$D$36,3,FALSE())*AE$1)</f>
        <v>0</v>
      </c>
      <c r="CS208" s="87">
        <f>IF(AV208="",0,VLOOKUP(J208,Tables!$B$3:$D$36,3,FALSE())*AF$1)</f>
        <v>0.6</v>
      </c>
      <c r="CT208" s="73">
        <f>IF(AW208="",0,VLOOKUP(K208,Tables!$B$3:$D$36,3,FALSE())*AG$1)</f>
        <v>0.6</v>
      </c>
      <c r="CU208" s="73">
        <f>IF(AX208="",0,VLOOKUP(L208,Tables!$B$3:$D$36,3,FALSE())*AH$1)</f>
        <v>0.5</v>
      </c>
      <c r="CV208" s="87">
        <f>IF(AY208="",0,VLOOKUP(M208,Tables!$B$3:$D$36,3,FALSE())*AI$1)</f>
        <v>0</v>
      </c>
      <c r="CW208" s="73">
        <f>IF(AZ208="",0,VLOOKUP(N208,Tables!$B$3:$D$36,3,FALSE())*AJ$1)</f>
        <v>0</v>
      </c>
      <c r="CX208" s="73">
        <f>IF(BA208="",0,VLOOKUP(O208,Tables!$B$3:$D$36,3,FALSE())*AK$1)</f>
        <v>0</v>
      </c>
      <c r="CY208" s="88">
        <f>IF(BB208="",0,VLOOKUP(P208,Tables!$B$3:$D$36,3,FALSE())*AL$1)</f>
        <v>0</v>
      </c>
      <c r="CZ208" s="89">
        <f t="shared" si="208"/>
        <v>0</v>
      </c>
      <c r="DA208" s="75">
        <f t="shared" si="209"/>
        <v>0</v>
      </c>
      <c r="DB208" s="75">
        <f t="shared" si="210"/>
        <v>0</v>
      </c>
      <c r="DC208" s="89">
        <f t="shared" si="211"/>
        <v>1</v>
      </c>
      <c r="DD208" s="75">
        <f t="shared" si="212"/>
        <v>1</v>
      </c>
      <c r="DE208" s="75">
        <f t="shared" si="213"/>
        <v>1</v>
      </c>
      <c r="DF208" s="75">
        <f t="shared" si="214"/>
        <v>1</v>
      </c>
      <c r="DG208" s="75">
        <f t="shared" si="215"/>
        <v>0</v>
      </c>
      <c r="DH208" s="89">
        <f t="shared" si="216"/>
        <v>1</v>
      </c>
      <c r="DI208" s="75">
        <f t="shared" si="217"/>
        <v>1</v>
      </c>
      <c r="DJ208" s="75">
        <f t="shared" si="218"/>
        <v>1</v>
      </c>
      <c r="DK208" s="89">
        <f t="shared" si="219"/>
        <v>0</v>
      </c>
      <c r="DL208" s="75">
        <f t="shared" si="220"/>
        <v>0</v>
      </c>
      <c r="DM208" s="75">
        <f t="shared" si="221"/>
        <v>0</v>
      </c>
      <c r="DN208" s="90">
        <f t="shared" si="222"/>
        <v>0</v>
      </c>
      <c r="DO208" s="91">
        <f>IF(AN208="",0,VLOOKUP(B208,Tables!$B$3:$M$36,11,FALSE())*X$1)</f>
        <v>0</v>
      </c>
      <c r="DP208" s="92">
        <f>IF(AO208="",0,VLOOKUP(C208,Tables!$B$3:$M$36,11,FALSE())*Y$1)</f>
        <v>0</v>
      </c>
      <c r="DQ208" s="92">
        <f>IF(AP208="",0,VLOOKUP(D208,Tables!$B$3:$M$36,11,FALSE())*Z$1)</f>
        <v>0</v>
      </c>
      <c r="DR208" s="91">
        <f>IF(AQ208="",0,VLOOKUP(E208,Tables!$B$3:$M$36,11,FALSE())*AA$1)</f>
        <v>0.6</v>
      </c>
      <c r="DS208" s="92">
        <f>IF(AR208="",0,VLOOKUP(F208,Tables!$B$3:$M$36,11,FALSE())*AB$1)</f>
        <v>1.2</v>
      </c>
      <c r="DT208" s="92">
        <f>IF(AS208="",0,VLOOKUP(G208,Tables!$B$3:$M$36,11,FALSE())*AC$1)</f>
        <v>0.4</v>
      </c>
      <c r="DU208" s="92">
        <f>IF(AT208="",0,VLOOKUP(H208,Tables!$B$3:$M$36,11,FALSE())*AD$1)</f>
        <v>1</v>
      </c>
      <c r="DV208" s="92">
        <f>IF(AU208="",0,VLOOKUP(I208,Tables!$B$3:$M$36,11,FALSE())*AE$1)</f>
        <v>0</v>
      </c>
      <c r="DW208" s="91">
        <f>IF(AV208="",0,VLOOKUP(J208,Tables!$B$3:$M$36,11,FALSE())*AF$1)</f>
        <v>2.4</v>
      </c>
      <c r="DX208" s="92">
        <f>IF(AW208="",0,VLOOKUP(K208,Tables!$B$3:$M$36,11,FALSE())*AG$1)</f>
        <v>2.4</v>
      </c>
      <c r="DY208" s="92">
        <f>IF(AX208="",0,VLOOKUP(L208,Tables!$B$3:$M$36,11,FALSE())*AH$1)</f>
        <v>2</v>
      </c>
      <c r="DZ208" s="91">
        <f>IF(AY208="",0,VLOOKUP(M208,Tables!$B$3:$M$36,11,FALSE())*AI$1)</f>
        <v>0</v>
      </c>
      <c r="EA208" s="92">
        <f>IF(AZ208="",0,VLOOKUP(N208,Tables!$B$3:$M$36,11,FALSE())*AJ$1)</f>
        <v>0</v>
      </c>
      <c r="EB208" s="92">
        <f>IF(BA208="",0,VLOOKUP(O208,Tables!$B$3:$M$36,11,FALSE())*AK$1)</f>
        <v>0</v>
      </c>
      <c r="EC208" s="93">
        <f>IF(BB208="",0,VLOOKUP(P208,Tables!$B$3:$M$36,11,FALSE())*AL$1)</f>
        <v>0</v>
      </c>
      <c r="ED208" s="91">
        <f>IF(AN208="",0,VLOOKUP(B208,Tables!$B$3:$M$36,12,FALSE())*X$1)</f>
        <v>0</v>
      </c>
      <c r="EE208" s="92">
        <f>IF(AO208="",0,VLOOKUP(C208,Tables!$B$3:$M$36,12,FALSE())*Y$1)</f>
        <v>0</v>
      </c>
      <c r="EF208" s="92">
        <f>IF(AP208="",0,VLOOKUP(D208,Tables!$B$3:$M$36,12,FALSE())*Z$1)</f>
        <v>0</v>
      </c>
      <c r="EG208" s="91">
        <f>IF(AQ208="",0,VLOOKUP(E208,Tables!$B$3:$M$36,12,FALSE())*AA$1)</f>
        <v>1.7999999999999998</v>
      </c>
      <c r="EH208" s="92">
        <f>IF(AR208="",0,VLOOKUP(F208,Tables!$B$3:$M$36,12,FALSE())*AB$1)</f>
        <v>3.5999999999999996</v>
      </c>
      <c r="EI208" s="92">
        <f>IF(AS208="",0,VLOOKUP(G208,Tables!$B$3:$M$36,12,FALSE())*AC$1)</f>
        <v>1.2</v>
      </c>
      <c r="EJ208" s="92">
        <f>IF(AT208="",0,VLOOKUP(H208,Tables!$B$3:$M$36,12,FALSE())*AD$1)</f>
        <v>3</v>
      </c>
      <c r="EK208" s="92">
        <f>IF(AU208="",0,VLOOKUP(I208,Tables!$B$3:$M$36,12,FALSE())*AE$1)</f>
        <v>0</v>
      </c>
      <c r="EL208" s="91">
        <f>IF(AV208="",0,VLOOKUP(J208,Tables!$B$3:$M$36,12,FALSE())*AF$1)</f>
        <v>7.1999999999999993</v>
      </c>
      <c r="EM208" s="92">
        <f>IF(AW208="",0,VLOOKUP(K208,Tables!$B$3:$M$36,12,FALSE())*AG$1)</f>
        <v>7.1999999999999993</v>
      </c>
      <c r="EN208" s="92">
        <f>IF(AX208="",0,VLOOKUP(L208,Tables!$B$3:$M$36,12,FALSE())*AH$1)</f>
        <v>6</v>
      </c>
      <c r="EO208" s="91">
        <f>IF(AY208="",0,VLOOKUP(M208,Tables!$B$3:$M$36,12,FALSE())*AI$1)</f>
        <v>0</v>
      </c>
      <c r="EP208" s="92">
        <f>IF(AZ208="",0,VLOOKUP(N208,Tables!$B$3:$M$36,12,FALSE())*AJ$1)</f>
        <v>0</v>
      </c>
      <c r="EQ208" s="92">
        <f>IF(BA208="",0,VLOOKUP(O208,Tables!$B$3:$M$36,12,FALSE())*AK$1)</f>
        <v>0</v>
      </c>
      <c r="ER208" s="93">
        <f>IF(BB208="",0,VLOOKUP(P208,Tables!$B$3:$M$36,12,FALSE())*AL$1)</f>
        <v>0</v>
      </c>
      <c r="ES208" s="94">
        <f t="shared" si="223"/>
        <v>0</v>
      </c>
      <c r="ET208" s="95">
        <f>IF(AN208="",10,MIN(VLOOKUP(B208,MATERIAL,13,FALSE()),'Item Builder'!$W208))</f>
        <v>10</v>
      </c>
      <c r="EU208" s="95">
        <f>IF(AO208="",10,MIN(VLOOKUP(C208,MATERIAL,13,FALSE()),'Item Builder'!$W208))</f>
        <v>10</v>
      </c>
      <c r="EV208" s="95">
        <f>IF(AP208="",10,MIN(VLOOKUP(D208,MATERIAL,13,FALSE()),'Item Builder'!$W208))</f>
        <v>10</v>
      </c>
      <c r="EW208" s="95">
        <f>IF(AQ208="",10,MIN(VLOOKUP(E208,MATERIAL,13,FALSE()),'Item Builder'!$W208))</f>
        <v>0</v>
      </c>
      <c r="EX208" s="95">
        <f>IF(AR208="",10,MIN(VLOOKUP(F208,MATERIAL,13,FALSE()),'Item Builder'!$W208))</f>
        <v>0</v>
      </c>
      <c r="EY208" s="95">
        <f>IF(AS208="",10,MIN(VLOOKUP(G208,MATERIAL,13,FALSE()),'Item Builder'!$W208))</f>
        <v>0</v>
      </c>
      <c r="EZ208" s="95">
        <f>IF(AT208="",10,MIN(VLOOKUP(H208,MATERIAL,13,FALSE()),'Item Builder'!$W208))</f>
        <v>0</v>
      </c>
      <c r="FA208" s="95">
        <f>IF(AU208="",10,MIN(VLOOKUP(I208,MATERIAL,13,FALSE()),'Item Builder'!$W208))</f>
        <v>10</v>
      </c>
      <c r="FB208" s="95">
        <f>IF(AV208="",10,MIN(VLOOKUP(J208,MATERIAL,13,FALSE()),'Item Builder'!$W208))</f>
        <v>0</v>
      </c>
      <c r="FC208" s="95">
        <f>IF(AW208="",10,MIN(VLOOKUP(K208,MATERIAL,13,FALSE()),'Item Builder'!$W208))</f>
        <v>0</v>
      </c>
      <c r="FD208" s="95">
        <f>IF(AX208="",10,MIN(VLOOKUP(L208,MATERIAL,13,FALSE()),'Item Builder'!$W208))</f>
        <v>0</v>
      </c>
      <c r="FE208" s="95">
        <f>IF(AY208="",10,MIN(VLOOKUP(M208,MATERIAL,13,FALSE()),'Item Builder'!$W208))</f>
        <v>10</v>
      </c>
      <c r="FF208" s="95">
        <f>IF(AZ208="",10,MIN(VLOOKUP(N208,MATERIAL,13,FALSE()),'Item Builder'!$W208))</f>
        <v>10</v>
      </c>
      <c r="FG208" s="95">
        <f>IF(BA208="",10,MIN(VLOOKUP(O208,MATERIAL,13,FALSE()),'Item Builder'!$W208))</f>
        <v>10</v>
      </c>
      <c r="FH208" s="95">
        <f>IF(BB208="",10,MIN(VLOOKUP(P208,MATERIAL,13,FALSE()),'Item Builder'!$W208))</f>
        <v>10</v>
      </c>
    </row>
    <row r="209" spans="1:164" x14ac:dyDescent="0.25">
      <c r="A209" s="67" t="s">
        <v>349</v>
      </c>
      <c r="B209" s="68"/>
      <c r="C209" s="69"/>
      <c r="D209" s="70"/>
      <c r="E209" s="68" t="s">
        <v>151</v>
      </c>
      <c r="F209" s="69" t="s">
        <v>151</v>
      </c>
      <c r="G209" s="69" t="s">
        <v>151</v>
      </c>
      <c r="H209" s="69" t="s">
        <v>151</v>
      </c>
      <c r="I209" s="70"/>
      <c r="J209" s="68" t="s">
        <v>151</v>
      </c>
      <c r="K209" s="69" t="s">
        <v>151</v>
      </c>
      <c r="L209" s="70" t="s">
        <v>151</v>
      </c>
      <c r="M209" s="68" t="s">
        <v>151</v>
      </c>
      <c r="N209" s="69"/>
      <c r="O209" s="69"/>
      <c r="P209" s="71"/>
      <c r="Q209" s="72">
        <f>SUM(BV209:CJ209)*VLOOKUP(W209,Tables!$W$3:$Z$8,4)</f>
        <v>51.2</v>
      </c>
      <c r="R209" s="73">
        <f t="shared" si="168"/>
        <v>3.2</v>
      </c>
      <c r="S209" s="74">
        <f t="shared" si="169"/>
        <v>0</v>
      </c>
      <c r="T209" s="74">
        <f t="shared" si="170"/>
        <v>0</v>
      </c>
      <c r="U209" s="75">
        <f t="shared" si="171"/>
        <v>12.8</v>
      </c>
      <c r="V209" s="76">
        <f t="shared" si="172"/>
        <v>38.4</v>
      </c>
      <c r="W209" s="77">
        <v>0</v>
      </c>
      <c r="X209" s="78">
        <f t="shared" si="173"/>
        <v>0</v>
      </c>
      <c r="Y209" s="79">
        <f t="shared" si="174"/>
        <v>0</v>
      </c>
      <c r="Z209" s="79">
        <f t="shared" si="175"/>
        <v>0</v>
      </c>
      <c r="AA209" s="78">
        <f t="shared" si="176"/>
        <v>1</v>
      </c>
      <c r="AB209" s="79">
        <f t="shared" si="177"/>
        <v>1</v>
      </c>
      <c r="AC209" s="79">
        <f t="shared" si="178"/>
        <v>1</v>
      </c>
      <c r="AD209" s="79">
        <f t="shared" si="179"/>
        <v>1</v>
      </c>
      <c r="AE209" s="79">
        <f t="shared" si="180"/>
        <v>0</v>
      </c>
      <c r="AF209" s="78">
        <f t="shared" si="181"/>
        <v>1</v>
      </c>
      <c r="AG209" s="79">
        <f t="shared" si="182"/>
        <v>1</v>
      </c>
      <c r="AH209" s="79">
        <f t="shared" si="183"/>
        <v>1</v>
      </c>
      <c r="AI209" s="78">
        <f t="shared" si="184"/>
        <v>1</v>
      </c>
      <c r="AJ209" s="79">
        <f t="shared" si="185"/>
        <v>0</v>
      </c>
      <c r="AK209" s="79">
        <f t="shared" si="186"/>
        <v>0</v>
      </c>
      <c r="AL209" s="80">
        <f t="shared" si="187"/>
        <v>0</v>
      </c>
      <c r="AM209" s="81">
        <f t="shared" si="188"/>
        <v>0.64</v>
      </c>
      <c r="AN209" s="82" t="str">
        <f t="shared" si="189"/>
        <v/>
      </c>
      <c r="AO209" s="79" t="str">
        <f t="shared" si="190"/>
        <v/>
      </c>
      <c r="AP209" t="str">
        <f t="shared" si="191"/>
        <v/>
      </c>
      <c r="AQ209" s="82" t="str">
        <f t="shared" si="192"/>
        <v>C</v>
      </c>
      <c r="AR209" t="str">
        <f t="shared" si="193"/>
        <v>C</v>
      </c>
      <c r="AS209" t="str">
        <f t="shared" si="194"/>
        <v>C</v>
      </c>
      <c r="AT209" t="str">
        <f t="shared" si="195"/>
        <v>C</v>
      </c>
      <c r="AU209" t="str">
        <f t="shared" si="196"/>
        <v/>
      </c>
      <c r="AV209" s="82" t="str">
        <f t="shared" si="197"/>
        <v>C</v>
      </c>
      <c r="AW209" t="str">
        <f t="shared" si="198"/>
        <v>C</v>
      </c>
      <c r="AX209" t="str">
        <f t="shared" si="199"/>
        <v>C</v>
      </c>
      <c r="AY209" s="82" t="str">
        <f t="shared" si="200"/>
        <v>C</v>
      </c>
      <c r="AZ209" t="str">
        <f t="shared" si="201"/>
        <v/>
      </c>
      <c r="BA209" t="str">
        <f t="shared" si="202"/>
        <v/>
      </c>
      <c r="BB209" s="83" t="str">
        <f t="shared" si="203"/>
        <v/>
      </c>
      <c r="BC209" s="84">
        <f t="shared" si="204"/>
        <v>0</v>
      </c>
      <c r="BD209" s="84">
        <f t="shared" si="205"/>
        <v>0.76190476190476186</v>
      </c>
      <c r="BE209" s="84">
        <f t="shared" si="206"/>
        <v>1</v>
      </c>
      <c r="BF209" s="84">
        <f t="shared" si="207"/>
        <v>0.3888888888888889</v>
      </c>
      <c r="BG209" s="78">
        <f>IF(AN209="",0,VLOOKUP(AN209,Tables!$AB$3:$AC$12,2))</f>
        <v>0</v>
      </c>
      <c r="BH209" s="79">
        <f>IF(AO209="",0,VLOOKUP(AO209,Tables!$AB$3:$AC$12,2))</f>
        <v>0</v>
      </c>
      <c r="BI209" s="79">
        <f>IF(AP209="",0,VLOOKUP(AP209,Tables!$AB$3:$AC$12,2))</f>
        <v>0</v>
      </c>
      <c r="BJ209" s="78">
        <f>IF(AQ209="",0,VLOOKUP(AQ209,Tables!$AB$3:$AC$12,2))</f>
        <v>1</v>
      </c>
      <c r="BK209" s="79">
        <f>IF(AR209="",0,VLOOKUP(AR209,Tables!$AB$3:$AC$12,2))</f>
        <v>1</v>
      </c>
      <c r="BL209" s="79">
        <f>IF(AS209="",0,VLOOKUP(AS209,Tables!$AB$3:$AC$12,2))</f>
        <v>1</v>
      </c>
      <c r="BM209" s="79">
        <f>IF(AT209="",0,VLOOKUP(AT209,Tables!$AB$3:$AC$12,2))</f>
        <v>1</v>
      </c>
      <c r="BN209" s="79">
        <f>IF(AU209="",0,VLOOKUP(AU209,Tables!$AB$3:$AC$12,2))</f>
        <v>0</v>
      </c>
      <c r="BO209" s="78">
        <f>IF(AV209="",0,VLOOKUP(AV209,Tables!$AB$3:$AC$12,2))</f>
        <v>1</v>
      </c>
      <c r="BP209" s="79">
        <f>IF(AW209="",0,VLOOKUP(AW209,Tables!$AB$3:$AC$12,2))</f>
        <v>1</v>
      </c>
      <c r="BQ209" s="79">
        <f>IF(AX209="",0,VLOOKUP(AX209,Tables!$AB$3:$AC$12,2))</f>
        <v>1</v>
      </c>
      <c r="BR209" s="78">
        <f>IF(AY209="",0,VLOOKUP(AY209,Tables!$AB$3:$AC$12,2))</f>
        <v>1</v>
      </c>
      <c r="BS209" s="79">
        <f>IF(AZ209="",0,VLOOKUP(AZ209,Tables!$AB$3:$AC$12,2))</f>
        <v>0</v>
      </c>
      <c r="BT209" s="79">
        <f>IF(BA209="",0,VLOOKUP(BA209,Tables!$AB$3:$AC$12,2))</f>
        <v>0</v>
      </c>
      <c r="BU209" s="80">
        <f>IF(BB209="",0,VLOOKUP(BB209,Tables!$AB$3:$AC$12,2))</f>
        <v>0</v>
      </c>
      <c r="BV209" s="85">
        <f>IF(AN209="",0,VLOOKUP(B209,Tables!$B$3:$D$36,2,FALSE())*X$1)</f>
        <v>0</v>
      </c>
      <c r="BW209" s="72">
        <f>IF(AO209="",0,VLOOKUP(C209,Tables!$B$3:$D$36,2,FALSE())*Y$1)</f>
        <v>0</v>
      </c>
      <c r="BX209" s="72">
        <f>IF(AP209="",0,VLOOKUP(D209,Tables!$B$3:$D$36,2,FALSE())*Z$1)</f>
        <v>0</v>
      </c>
      <c r="BY209" s="85">
        <f>IF(AQ209="",0,VLOOKUP(E209,Tables!$B$3:$D$36,2,FALSE())*AA$1)</f>
        <v>2.4</v>
      </c>
      <c r="BZ209" s="72">
        <f>IF(AR209="",0,VLOOKUP(F209,Tables!$B$3:$D$36,2,FALSE())*AB$1)</f>
        <v>4.8</v>
      </c>
      <c r="CA209" s="72">
        <f>IF(AS209="",0,VLOOKUP(G209,Tables!$B$3:$D$36,2,FALSE())*AC$1)</f>
        <v>1.6</v>
      </c>
      <c r="CB209" s="72">
        <f>IF(AT209="",0,VLOOKUP(H209,Tables!$B$3:$D$36,2,FALSE())*AD$1)</f>
        <v>4</v>
      </c>
      <c r="CC209" s="72">
        <f>IF(AU209="",0,VLOOKUP(I209,Tables!$B$3:$D$36,2,FALSE())*AE$1)</f>
        <v>0</v>
      </c>
      <c r="CD209" s="85">
        <f>IF(AV209="",0,VLOOKUP(J209,Tables!$B$3:$D$36,2,FALSE())*AF$1)</f>
        <v>9.6</v>
      </c>
      <c r="CE209" s="72">
        <f>IF(AW209="",0,VLOOKUP(K209,Tables!$B$3:$D$36,2,FALSE())*AG$1)</f>
        <v>9.6</v>
      </c>
      <c r="CF209" s="72">
        <f>IF(AX209="",0,VLOOKUP(L209,Tables!$B$3:$D$36,2,FALSE())*AH$1)</f>
        <v>8</v>
      </c>
      <c r="CG209" s="85">
        <f>IF(AY209="",0,VLOOKUP(M209,Tables!$B$3:$D$36,2,FALSE())*AI$1)</f>
        <v>11.200000000000001</v>
      </c>
      <c r="CH209" s="72">
        <f>IF(AZ209="",0,VLOOKUP(N209,Tables!$B$3:$D$36,2,FALSE())*AJ$1)</f>
        <v>0</v>
      </c>
      <c r="CI209" s="72">
        <f>IF(BA209="",0,VLOOKUP(O209,Tables!$B$3:$D$36,2,FALSE())*AK$1)</f>
        <v>0</v>
      </c>
      <c r="CJ209" s="86">
        <f>IF(BB209="",0,VLOOKUP(P209,Tables!$B$3:$D$36,2,FALSE())*AL$1)</f>
        <v>0</v>
      </c>
      <c r="CK209" s="87">
        <f>IF(AN209="",0,VLOOKUP(B209,Tables!$B$3:$D$36,3,FALSE())*X$1)*IF(OR(AN209="K",AN209="P"),2,1)</f>
        <v>0</v>
      </c>
      <c r="CL209" s="73">
        <f>IF(AO209="",0,VLOOKUP(C209,Tables!$B$3:$D$36,3,FALSE())*Y$1)*IF(OR(AO209="K",AO209="P"),2,1)</f>
        <v>0</v>
      </c>
      <c r="CM209" s="73">
        <f>IF(AP209="",0,VLOOKUP(D209,Tables!$B$3:$D$36,3,FALSE())*Z$1)*IF(OR(AP209="K",AP209="P"),2,1)</f>
        <v>0</v>
      </c>
      <c r="CN209" s="87">
        <f>IF(AQ209="",0,VLOOKUP(E209,Tables!$B$3:$D$36,3,FALSE())*AA$1)</f>
        <v>0.15</v>
      </c>
      <c r="CO209" s="73">
        <f>IF(AR209="",0,VLOOKUP(F209,Tables!$B$3:$D$36,3,FALSE())*AB$1)</f>
        <v>0.3</v>
      </c>
      <c r="CP209" s="73">
        <f>IF(AS209="",0,VLOOKUP(G209,Tables!$B$3:$D$36,3,FALSE())*AC$1)</f>
        <v>0.1</v>
      </c>
      <c r="CQ209" s="73">
        <f>IF(AT209="",0,VLOOKUP(H209,Tables!$B$3:$D$36,3,FALSE())*AD$1)</f>
        <v>0.25</v>
      </c>
      <c r="CR209" s="73">
        <f>IF(AU209="",0,VLOOKUP(I209,Tables!$B$3:$D$36,3,FALSE())*AE$1)</f>
        <v>0</v>
      </c>
      <c r="CS209" s="87">
        <f>IF(AV209="",0,VLOOKUP(J209,Tables!$B$3:$D$36,3,FALSE())*AF$1)</f>
        <v>0.6</v>
      </c>
      <c r="CT209" s="73">
        <f>IF(AW209="",0,VLOOKUP(K209,Tables!$B$3:$D$36,3,FALSE())*AG$1)</f>
        <v>0.6</v>
      </c>
      <c r="CU209" s="73">
        <f>IF(AX209="",0,VLOOKUP(L209,Tables!$B$3:$D$36,3,FALSE())*AH$1)</f>
        <v>0.5</v>
      </c>
      <c r="CV209" s="87">
        <f>IF(AY209="",0,VLOOKUP(M209,Tables!$B$3:$D$36,3,FALSE())*AI$1)</f>
        <v>0.70000000000000007</v>
      </c>
      <c r="CW209" s="73">
        <f>IF(AZ209="",0,VLOOKUP(N209,Tables!$B$3:$D$36,3,FALSE())*AJ$1)</f>
        <v>0</v>
      </c>
      <c r="CX209" s="73">
        <f>IF(BA209="",0,VLOOKUP(O209,Tables!$B$3:$D$36,3,FALSE())*AK$1)</f>
        <v>0</v>
      </c>
      <c r="CY209" s="88">
        <f>IF(BB209="",0,VLOOKUP(P209,Tables!$B$3:$D$36,3,FALSE())*AL$1)</f>
        <v>0</v>
      </c>
      <c r="CZ209" s="89">
        <f t="shared" si="208"/>
        <v>0</v>
      </c>
      <c r="DA209" s="75">
        <f t="shared" si="209"/>
        <v>0</v>
      </c>
      <c r="DB209" s="75">
        <f t="shared" si="210"/>
        <v>0</v>
      </c>
      <c r="DC209" s="89">
        <f t="shared" si="211"/>
        <v>1</v>
      </c>
      <c r="DD209" s="75">
        <f t="shared" si="212"/>
        <v>1</v>
      </c>
      <c r="DE209" s="75">
        <f t="shared" si="213"/>
        <v>1</v>
      </c>
      <c r="DF209" s="75">
        <f t="shared" si="214"/>
        <v>1</v>
      </c>
      <c r="DG209" s="75">
        <f t="shared" si="215"/>
        <v>0</v>
      </c>
      <c r="DH209" s="89">
        <f t="shared" si="216"/>
        <v>1</v>
      </c>
      <c r="DI209" s="75">
        <f t="shared" si="217"/>
        <v>1</v>
      </c>
      <c r="DJ209" s="75">
        <f t="shared" si="218"/>
        <v>1</v>
      </c>
      <c r="DK209" s="89">
        <f t="shared" si="219"/>
        <v>1</v>
      </c>
      <c r="DL209" s="75">
        <f t="shared" si="220"/>
        <v>0</v>
      </c>
      <c r="DM209" s="75">
        <f t="shared" si="221"/>
        <v>0</v>
      </c>
      <c r="DN209" s="90">
        <f t="shared" si="222"/>
        <v>0</v>
      </c>
      <c r="DO209" s="91">
        <f>IF(AN209="",0,VLOOKUP(B209,Tables!$B$3:$M$36,11,FALSE())*X$1)</f>
        <v>0</v>
      </c>
      <c r="DP209" s="92">
        <f>IF(AO209="",0,VLOOKUP(C209,Tables!$B$3:$M$36,11,FALSE())*Y$1)</f>
        <v>0</v>
      </c>
      <c r="DQ209" s="92">
        <f>IF(AP209="",0,VLOOKUP(D209,Tables!$B$3:$M$36,11,FALSE())*Z$1)</f>
        <v>0</v>
      </c>
      <c r="DR209" s="91">
        <f>IF(AQ209="",0,VLOOKUP(E209,Tables!$B$3:$M$36,11,FALSE())*AA$1)</f>
        <v>0.6</v>
      </c>
      <c r="DS209" s="92">
        <f>IF(AR209="",0,VLOOKUP(F209,Tables!$B$3:$M$36,11,FALSE())*AB$1)</f>
        <v>1.2</v>
      </c>
      <c r="DT209" s="92">
        <f>IF(AS209="",0,VLOOKUP(G209,Tables!$B$3:$M$36,11,FALSE())*AC$1)</f>
        <v>0.4</v>
      </c>
      <c r="DU209" s="92">
        <f>IF(AT209="",0,VLOOKUP(H209,Tables!$B$3:$M$36,11,FALSE())*AD$1)</f>
        <v>1</v>
      </c>
      <c r="DV209" s="92">
        <f>IF(AU209="",0,VLOOKUP(I209,Tables!$B$3:$M$36,11,FALSE())*AE$1)</f>
        <v>0</v>
      </c>
      <c r="DW209" s="91">
        <f>IF(AV209="",0,VLOOKUP(J209,Tables!$B$3:$M$36,11,FALSE())*AF$1)</f>
        <v>2.4</v>
      </c>
      <c r="DX209" s="92">
        <f>IF(AW209="",0,VLOOKUP(K209,Tables!$B$3:$M$36,11,FALSE())*AG$1)</f>
        <v>2.4</v>
      </c>
      <c r="DY209" s="92">
        <f>IF(AX209="",0,VLOOKUP(L209,Tables!$B$3:$M$36,11,FALSE())*AH$1)</f>
        <v>2</v>
      </c>
      <c r="DZ209" s="91">
        <f>IF(AY209="",0,VLOOKUP(M209,Tables!$B$3:$M$36,11,FALSE())*AI$1)</f>
        <v>2.8000000000000003</v>
      </c>
      <c r="EA209" s="92">
        <f>IF(AZ209="",0,VLOOKUP(N209,Tables!$B$3:$M$36,11,FALSE())*AJ$1)</f>
        <v>0</v>
      </c>
      <c r="EB209" s="92">
        <f>IF(BA209="",0,VLOOKUP(O209,Tables!$B$3:$M$36,11,FALSE())*AK$1)</f>
        <v>0</v>
      </c>
      <c r="EC209" s="93">
        <f>IF(BB209="",0,VLOOKUP(P209,Tables!$B$3:$M$36,11,FALSE())*AL$1)</f>
        <v>0</v>
      </c>
      <c r="ED209" s="91">
        <f>IF(AN209="",0,VLOOKUP(B209,Tables!$B$3:$M$36,12,FALSE())*X$1)</f>
        <v>0</v>
      </c>
      <c r="EE209" s="92">
        <f>IF(AO209="",0,VLOOKUP(C209,Tables!$B$3:$M$36,12,FALSE())*Y$1)</f>
        <v>0</v>
      </c>
      <c r="EF209" s="92">
        <f>IF(AP209="",0,VLOOKUP(D209,Tables!$B$3:$M$36,12,FALSE())*Z$1)</f>
        <v>0</v>
      </c>
      <c r="EG209" s="91">
        <f>IF(AQ209="",0,VLOOKUP(E209,Tables!$B$3:$M$36,12,FALSE())*AA$1)</f>
        <v>1.7999999999999998</v>
      </c>
      <c r="EH209" s="92">
        <f>IF(AR209="",0,VLOOKUP(F209,Tables!$B$3:$M$36,12,FALSE())*AB$1)</f>
        <v>3.5999999999999996</v>
      </c>
      <c r="EI209" s="92">
        <f>IF(AS209="",0,VLOOKUP(G209,Tables!$B$3:$M$36,12,FALSE())*AC$1)</f>
        <v>1.2</v>
      </c>
      <c r="EJ209" s="92">
        <f>IF(AT209="",0,VLOOKUP(H209,Tables!$B$3:$M$36,12,FALSE())*AD$1)</f>
        <v>3</v>
      </c>
      <c r="EK209" s="92">
        <f>IF(AU209="",0,VLOOKUP(I209,Tables!$B$3:$M$36,12,FALSE())*AE$1)</f>
        <v>0</v>
      </c>
      <c r="EL209" s="91">
        <f>IF(AV209="",0,VLOOKUP(J209,Tables!$B$3:$M$36,12,FALSE())*AF$1)</f>
        <v>7.1999999999999993</v>
      </c>
      <c r="EM209" s="92">
        <f>IF(AW209="",0,VLOOKUP(K209,Tables!$B$3:$M$36,12,FALSE())*AG$1)</f>
        <v>7.1999999999999993</v>
      </c>
      <c r="EN209" s="92">
        <f>IF(AX209="",0,VLOOKUP(L209,Tables!$B$3:$M$36,12,FALSE())*AH$1)</f>
        <v>6</v>
      </c>
      <c r="EO209" s="91">
        <f>IF(AY209="",0,VLOOKUP(M209,Tables!$B$3:$M$36,12,FALSE())*AI$1)</f>
        <v>8.4</v>
      </c>
      <c r="EP209" s="92">
        <f>IF(AZ209="",0,VLOOKUP(N209,Tables!$B$3:$M$36,12,FALSE())*AJ$1)</f>
        <v>0</v>
      </c>
      <c r="EQ209" s="92">
        <f>IF(BA209="",0,VLOOKUP(O209,Tables!$B$3:$M$36,12,FALSE())*AK$1)</f>
        <v>0</v>
      </c>
      <c r="ER209" s="93">
        <f>IF(BB209="",0,VLOOKUP(P209,Tables!$B$3:$M$36,12,FALSE())*AL$1)</f>
        <v>0</v>
      </c>
      <c r="ES209" s="94">
        <f t="shared" si="223"/>
        <v>0</v>
      </c>
      <c r="ET209" s="95">
        <f>IF(AN209="",10,MIN(VLOOKUP(B209,MATERIAL,13,FALSE()),'Item Builder'!$W209))</f>
        <v>10</v>
      </c>
      <c r="EU209" s="95">
        <f>IF(AO209="",10,MIN(VLOOKUP(C209,MATERIAL,13,FALSE()),'Item Builder'!$W209))</f>
        <v>10</v>
      </c>
      <c r="EV209" s="95">
        <f>IF(AP209="",10,MIN(VLOOKUP(D209,MATERIAL,13,FALSE()),'Item Builder'!$W209))</f>
        <v>10</v>
      </c>
      <c r="EW209" s="95">
        <f>IF(AQ209="",10,MIN(VLOOKUP(E209,MATERIAL,13,FALSE()),'Item Builder'!$W209))</f>
        <v>0</v>
      </c>
      <c r="EX209" s="95">
        <f>IF(AR209="",10,MIN(VLOOKUP(F209,MATERIAL,13,FALSE()),'Item Builder'!$W209))</f>
        <v>0</v>
      </c>
      <c r="EY209" s="95">
        <f>IF(AS209="",10,MIN(VLOOKUP(G209,MATERIAL,13,FALSE()),'Item Builder'!$W209))</f>
        <v>0</v>
      </c>
      <c r="EZ209" s="95">
        <f>IF(AT209="",10,MIN(VLOOKUP(H209,MATERIAL,13,FALSE()),'Item Builder'!$W209))</f>
        <v>0</v>
      </c>
      <c r="FA209" s="95">
        <f>IF(AU209="",10,MIN(VLOOKUP(I209,MATERIAL,13,FALSE()),'Item Builder'!$W209))</f>
        <v>10</v>
      </c>
      <c r="FB209" s="95">
        <f>IF(AV209="",10,MIN(VLOOKUP(J209,MATERIAL,13,FALSE()),'Item Builder'!$W209))</f>
        <v>0</v>
      </c>
      <c r="FC209" s="95">
        <f>IF(AW209="",10,MIN(VLOOKUP(K209,MATERIAL,13,FALSE()),'Item Builder'!$W209))</f>
        <v>0</v>
      </c>
      <c r="FD209" s="95">
        <f>IF(AX209="",10,MIN(VLOOKUP(L209,MATERIAL,13,FALSE()),'Item Builder'!$W209))</f>
        <v>0</v>
      </c>
      <c r="FE209" s="95">
        <f>IF(AY209="",10,MIN(VLOOKUP(M209,MATERIAL,13,FALSE()),'Item Builder'!$W209))</f>
        <v>0</v>
      </c>
      <c r="FF209" s="95">
        <f>IF(AZ209="",10,MIN(VLOOKUP(N209,MATERIAL,13,FALSE()),'Item Builder'!$W209))</f>
        <v>10</v>
      </c>
      <c r="FG209" s="95">
        <f>IF(BA209="",10,MIN(VLOOKUP(O209,MATERIAL,13,FALSE()),'Item Builder'!$W209))</f>
        <v>10</v>
      </c>
      <c r="FH209" s="95">
        <f>IF(BB209="",10,MIN(VLOOKUP(P209,MATERIAL,13,FALSE()),'Item Builder'!$W209))</f>
        <v>10</v>
      </c>
    </row>
    <row r="210" spans="1:164" x14ac:dyDescent="0.25">
      <c r="A210" s="67" t="s">
        <v>350</v>
      </c>
      <c r="B210" s="68"/>
      <c r="C210" s="69"/>
      <c r="D210" s="70"/>
      <c r="E210" s="68" t="s">
        <v>151</v>
      </c>
      <c r="F210" s="69"/>
      <c r="G210" s="69"/>
      <c r="H210" s="69"/>
      <c r="I210" s="70"/>
      <c r="J210" s="68" t="s">
        <v>151</v>
      </c>
      <c r="K210" s="69" t="s">
        <v>151</v>
      </c>
      <c r="L210" s="70" t="s">
        <v>151</v>
      </c>
      <c r="M210" s="68" t="s">
        <v>151</v>
      </c>
      <c r="N210" s="69" t="s">
        <v>151</v>
      </c>
      <c r="O210" s="69" t="s">
        <v>151</v>
      </c>
      <c r="P210" s="71"/>
      <c r="Q210" s="72">
        <f>SUM(BV210:CJ210)*VLOOKUP(W210,Tables!$W$3:$Z$8,4)</f>
        <v>52.800000000000004</v>
      </c>
      <c r="R210" s="73">
        <f t="shared" si="168"/>
        <v>3.3000000000000003</v>
      </c>
      <c r="S210" s="74">
        <f t="shared" si="169"/>
        <v>0</v>
      </c>
      <c r="T210" s="74">
        <f t="shared" si="170"/>
        <v>0</v>
      </c>
      <c r="U210" s="75">
        <f t="shared" si="171"/>
        <v>13.200000000000001</v>
      </c>
      <c r="V210" s="76">
        <f t="shared" si="172"/>
        <v>39.599999999999994</v>
      </c>
      <c r="W210" s="77">
        <v>0</v>
      </c>
      <c r="X210" s="78">
        <f t="shared" si="173"/>
        <v>0</v>
      </c>
      <c r="Y210" s="79">
        <f t="shared" si="174"/>
        <v>0</v>
      </c>
      <c r="Z210" s="79">
        <f t="shared" si="175"/>
        <v>0</v>
      </c>
      <c r="AA210" s="78">
        <f t="shared" si="176"/>
        <v>1</v>
      </c>
      <c r="AB210" s="79">
        <f t="shared" si="177"/>
        <v>0</v>
      </c>
      <c r="AC210" s="79">
        <f t="shared" si="178"/>
        <v>0</v>
      </c>
      <c r="AD210" s="79">
        <f t="shared" si="179"/>
        <v>0</v>
      </c>
      <c r="AE210" s="79">
        <f t="shared" si="180"/>
        <v>0</v>
      </c>
      <c r="AF210" s="78">
        <f t="shared" si="181"/>
        <v>1</v>
      </c>
      <c r="AG210" s="79">
        <f t="shared" si="182"/>
        <v>1</v>
      </c>
      <c r="AH210" s="79">
        <f t="shared" si="183"/>
        <v>1</v>
      </c>
      <c r="AI210" s="78">
        <f t="shared" si="184"/>
        <v>1</v>
      </c>
      <c r="AJ210" s="79">
        <f t="shared" si="185"/>
        <v>1</v>
      </c>
      <c r="AK210" s="79">
        <f t="shared" si="186"/>
        <v>1</v>
      </c>
      <c r="AL210" s="80">
        <f t="shared" si="187"/>
        <v>0</v>
      </c>
      <c r="AM210" s="81">
        <f t="shared" si="188"/>
        <v>0.66</v>
      </c>
      <c r="AN210" s="82" t="str">
        <f t="shared" si="189"/>
        <v/>
      </c>
      <c r="AO210" s="79" t="str">
        <f t="shared" si="190"/>
        <v/>
      </c>
      <c r="AP210" t="str">
        <f t="shared" si="191"/>
        <v/>
      </c>
      <c r="AQ210" s="82" t="str">
        <f t="shared" si="192"/>
        <v>C</v>
      </c>
      <c r="AR210" t="str">
        <f t="shared" si="193"/>
        <v/>
      </c>
      <c r="AS210" t="str">
        <f t="shared" si="194"/>
        <v/>
      </c>
      <c r="AT210" t="str">
        <f t="shared" si="195"/>
        <v/>
      </c>
      <c r="AU210" t="str">
        <f t="shared" si="196"/>
        <v/>
      </c>
      <c r="AV210" s="82" t="str">
        <f t="shared" si="197"/>
        <v>C</v>
      </c>
      <c r="AW210" t="str">
        <f t="shared" si="198"/>
        <v>C</v>
      </c>
      <c r="AX210" t="str">
        <f t="shared" si="199"/>
        <v>C</v>
      </c>
      <c r="AY210" s="82" t="str">
        <f t="shared" si="200"/>
        <v>C</v>
      </c>
      <c r="AZ210" t="str">
        <f t="shared" si="201"/>
        <v>C</v>
      </c>
      <c r="BA210" t="str">
        <f t="shared" si="202"/>
        <v>C</v>
      </c>
      <c r="BB210" s="83" t="str">
        <f t="shared" si="203"/>
        <v/>
      </c>
      <c r="BC210" s="84">
        <f t="shared" si="204"/>
        <v>0</v>
      </c>
      <c r="BD210" s="84">
        <f t="shared" si="205"/>
        <v>0.14285714285714285</v>
      </c>
      <c r="BE210" s="84">
        <f t="shared" si="206"/>
        <v>1</v>
      </c>
      <c r="BF210" s="84">
        <f t="shared" si="207"/>
        <v>0.80555555555555558</v>
      </c>
      <c r="BG210" s="78">
        <f>IF(AN210="",0,VLOOKUP(AN210,Tables!$AB$3:$AC$12,2))</f>
        <v>0</v>
      </c>
      <c r="BH210" s="79">
        <f>IF(AO210="",0,VLOOKUP(AO210,Tables!$AB$3:$AC$12,2))</f>
        <v>0</v>
      </c>
      <c r="BI210" s="79">
        <f>IF(AP210="",0,VLOOKUP(AP210,Tables!$AB$3:$AC$12,2))</f>
        <v>0</v>
      </c>
      <c r="BJ210" s="78">
        <f>IF(AQ210="",0,VLOOKUP(AQ210,Tables!$AB$3:$AC$12,2))</f>
        <v>1</v>
      </c>
      <c r="BK210" s="79">
        <f>IF(AR210="",0,VLOOKUP(AR210,Tables!$AB$3:$AC$12,2))</f>
        <v>0</v>
      </c>
      <c r="BL210" s="79">
        <f>IF(AS210="",0,VLOOKUP(AS210,Tables!$AB$3:$AC$12,2))</f>
        <v>0</v>
      </c>
      <c r="BM210" s="79">
        <f>IF(AT210="",0,VLOOKUP(AT210,Tables!$AB$3:$AC$12,2))</f>
        <v>0</v>
      </c>
      <c r="BN210" s="79">
        <f>IF(AU210="",0,VLOOKUP(AU210,Tables!$AB$3:$AC$12,2))</f>
        <v>0</v>
      </c>
      <c r="BO210" s="78">
        <f>IF(AV210="",0,VLOOKUP(AV210,Tables!$AB$3:$AC$12,2))</f>
        <v>1</v>
      </c>
      <c r="BP210" s="79">
        <f>IF(AW210="",0,VLOOKUP(AW210,Tables!$AB$3:$AC$12,2))</f>
        <v>1</v>
      </c>
      <c r="BQ210" s="79">
        <f>IF(AX210="",0,VLOOKUP(AX210,Tables!$AB$3:$AC$12,2))</f>
        <v>1</v>
      </c>
      <c r="BR210" s="78">
        <f>IF(AY210="",0,VLOOKUP(AY210,Tables!$AB$3:$AC$12,2))</f>
        <v>1</v>
      </c>
      <c r="BS210" s="79">
        <f>IF(AZ210="",0,VLOOKUP(AZ210,Tables!$AB$3:$AC$12,2))</f>
        <v>1</v>
      </c>
      <c r="BT210" s="79">
        <f>IF(BA210="",0,VLOOKUP(BA210,Tables!$AB$3:$AC$12,2))</f>
        <v>1</v>
      </c>
      <c r="BU210" s="80">
        <f>IF(BB210="",0,VLOOKUP(BB210,Tables!$AB$3:$AC$12,2))</f>
        <v>0</v>
      </c>
      <c r="BV210" s="85">
        <f>IF(AN210="",0,VLOOKUP(B210,Tables!$B$3:$D$36,2,FALSE())*X$1)</f>
        <v>0</v>
      </c>
      <c r="BW210" s="72">
        <f>IF(AO210="",0,VLOOKUP(C210,Tables!$B$3:$D$36,2,FALSE())*Y$1)</f>
        <v>0</v>
      </c>
      <c r="BX210" s="72">
        <f>IF(AP210="",0,VLOOKUP(D210,Tables!$B$3:$D$36,2,FALSE())*Z$1)</f>
        <v>0</v>
      </c>
      <c r="BY210" s="85">
        <f>IF(AQ210="",0,VLOOKUP(E210,Tables!$B$3:$D$36,2,FALSE())*AA$1)</f>
        <v>2.4</v>
      </c>
      <c r="BZ210" s="72">
        <f>IF(AR210="",0,VLOOKUP(F210,Tables!$B$3:$D$36,2,FALSE())*AB$1)</f>
        <v>0</v>
      </c>
      <c r="CA210" s="72">
        <f>IF(AS210="",0,VLOOKUP(G210,Tables!$B$3:$D$36,2,FALSE())*AC$1)</f>
        <v>0</v>
      </c>
      <c r="CB210" s="72">
        <f>IF(AT210="",0,VLOOKUP(H210,Tables!$B$3:$D$36,2,FALSE())*AD$1)</f>
        <v>0</v>
      </c>
      <c r="CC210" s="72">
        <f>IF(AU210="",0,VLOOKUP(I210,Tables!$B$3:$D$36,2,FALSE())*AE$1)</f>
        <v>0</v>
      </c>
      <c r="CD210" s="85">
        <f>IF(AV210="",0,VLOOKUP(J210,Tables!$B$3:$D$36,2,FALSE())*AF$1)</f>
        <v>9.6</v>
      </c>
      <c r="CE210" s="72">
        <f>IF(AW210="",0,VLOOKUP(K210,Tables!$B$3:$D$36,2,FALSE())*AG$1)</f>
        <v>9.6</v>
      </c>
      <c r="CF210" s="72">
        <f>IF(AX210="",0,VLOOKUP(L210,Tables!$B$3:$D$36,2,FALSE())*AH$1)</f>
        <v>8</v>
      </c>
      <c r="CG210" s="85">
        <f>IF(AY210="",0,VLOOKUP(M210,Tables!$B$3:$D$36,2,FALSE())*AI$1)</f>
        <v>11.200000000000001</v>
      </c>
      <c r="CH210" s="72">
        <f>IF(AZ210="",0,VLOOKUP(N210,Tables!$B$3:$D$36,2,FALSE())*AJ$1)</f>
        <v>2.4</v>
      </c>
      <c r="CI210" s="72">
        <f>IF(BA210="",0,VLOOKUP(O210,Tables!$B$3:$D$36,2,FALSE())*AK$1)</f>
        <v>9.6</v>
      </c>
      <c r="CJ210" s="86">
        <f>IF(BB210="",0,VLOOKUP(P210,Tables!$B$3:$D$36,2,FALSE())*AL$1)</f>
        <v>0</v>
      </c>
      <c r="CK210" s="87">
        <f>IF(AN210="",0,VLOOKUP(B210,Tables!$B$3:$D$36,3,FALSE())*X$1)*IF(OR(AN210="K",AN210="P"),2,1)</f>
        <v>0</v>
      </c>
      <c r="CL210" s="73">
        <f>IF(AO210="",0,VLOOKUP(C210,Tables!$B$3:$D$36,3,FALSE())*Y$1)*IF(OR(AO210="K",AO210="P"),2,1)</f>
        <v>0</v>
      </c>
      <c r="CM210" s="73">
        <f>IF(AP210="",0,VLOOKUP(D210,Tables!$B$3:$D$36,3,FALSE())*Z$1)*IF(OR(AP210="K",AP210="P"),2,1)</f>
        <v>0</v>
      </c>
      <c r="CN210" s="87">
        <f>IF(AQ210="",0,VLOOKUP(E210,Tables!$B$3:$D$36,3,FALSE())*AA$1)</f>
        <v>0.15</v>
      </c>
      <c r="CO210" s="73">
        <f>IF(AR210="",0,VLOOKUP(F210,Tables!$B$3:$D$36,3,FALSE())*AB$1)</f>
        <v>0</v>
      </c>
      <c r="CP210" s="73">
        <f>IF(AS210="",0,VLOOKUP(G210,Tables!$B$3:$D$36,3,FALSE())*AC$1)</f>
        <v>0</v>
      </c>
      <c r="CQ210" s="73">
        <f>IF(AT210="",0,VLOOKUP(H210,Tables!$B$3:$D$36,3,FALSE())*AD$1)</f>
        <v>0</v>
      </c>
      <c r="CR210" s="73">
        <f>IF(AU210="",0,VLOOKUP(I210,Tables!$B$3:$D$36,3,FALSE())*AE$1)</f>
        <v>0</v>
      </c>
      <c r="CS210" s="87">
        <f>IF(AV210="",0,VLOOKUP(J210,Tables!$B$3:$D$36,3,FALSE())*AF$1)</f>
        <v>0.6</v>
      </c>
      <c r="CT210" s="73">
        <f>IF(AW210="",0,VLOOKUP(K210,Tables!$B$3:$D$36,3,FALSE())*AG$1)</f>
        <v>0.6</v>
      </c>
      <c r="CU210" s="73">
        <f>IF(AX210="",0,VLOOKUP(L210,Tables!$B$3:$D$36,3,FALSE())*AH$1)</f>
        <v>0.5</v>
      </c>
      <c r="CV210" s="87">
        <f>IF(AY210="",0,VLOOKUP(M210,Tables!$B$3:$D$36,3,FALSE())*AI$1)</f>
        <v>0.70000000000000007</v>
      </c>
      <c r="CW210" s="73">
        <f>IF(AZ210="",0,VLOOKUP(N210,Tables!$B$3:$D$36,3,FALSE())*AJ$1)</f>
        <v>0.15</v>
      </c>
      <c r="CX210" s="73">
        <f>IF(BA210="",0,VLOOKUP(O210,Tables!$B$3:$D$36,3,FALSE())*AK$1)</f>
        <v>0.6</v>
      </c>
      <c r="CY210" s="88">
        <f>IF(BB210="",0,VLOOKUP(P210,Tables!$B$3:$D$36,3,FALSE())*AL$1)</f>
        <v>0</v>
      </c>
      <c r="CZ210" s="89">
        <f t="shared" si="208"/>
        <v>0</v>
      </c>
      <c r="DA210" s="75">
        <f t="shared" si="209"/>
        <v>0</v>
      </c>
      <c r="DB210" s="75">
        <f t="shared" si="210"/>
        <v>0</v>
      </c>
      <c r="DC210" s="89">
        <f t="shared" si="211"/>
        <v>1</v>
      </c>
      <c r="DD210" s="75">
        <f t="shared" si="212"/>
        <v>0</v>
      </c>
      <c r="DE210" s="75">
        <f t="shared" si="213"/>
        <v>0</v>
      </c>
      <c r="DF210" s="75">
        <f t="shared" si="214"/>
        <v>0</v>
      </c>
      <c r="DG210" s="75">
        <f t="shared" si="215"/>
        <v>0</v>
      </c>
      <c r="DH210" s="89">
        <f t="shared" si="216"/>
        <v>1</v>
      </c>
      <c r="DI210" s="75">
        <f t="shared" si="217"/>
        <v>1</v>
      </c>
      <c r="DJ210" s="75">
        <f t="shared" si="218"/>
        <v>1</v>
      </c>
      <c r="DK210" s="89">
        <f t="shared" si="219"/>
        <v>1</v>
      </c>
      <c r="DL210" s="75">
        <f t="shared" si="220"/>
        <v>1</v>
      </c>
      <c r="DM210" s="75">
        <f t="shared" si="221"/>
        <v>1</v>
      </c>
      <c r="DN210" s="90">
        <f t="shared" si="222"/>
        <v>0</v>
      </c>
      <c r="DO210" s="91">
        <f>IF(AN210="",0,VLOOKUP(B210,Tables!$B$3:$M$36,11,FALSE())*X$1)</f>
        <v>0</v>
      </c>
      <c r="DP210" s="92">
        <f>IF(AO210="",0,VLOOKUP(C210,Tables!$B$3:$M$36,11,FALSE())*Y$1)</f>
        <v>0</v>
      </c>
      <c r="DQ210" s="92">
        <f>IF(AP210="",0,VLOOKUP(D210,Tables!$B$3:$M$36,11,FALSE())*Z$1)</f>
        <v>0</v>
      </c>
      <c r="DR210" s="91">
        <f>IF(AQ210="",0,VLOOKUP(E210,Tables!$B$3:$M$36,11,FALSE())*AA$1)</f>
        <v>0.6</v>
      </c>
      <c r="DS210" s="92">
        <f>IF(AR210="",0,VLOOKUP(F210,Tables!$B$3:$M$36,11,FALSE())*AB$1)</f>
        <v>0</v>
      </c>
      <c r="DT210" s="92">
        <f>IF(AS210="",0,VLOOKUP(G210,Tables!$B$3:$M$36,11,FALSE())*AC$1)</f>
        <v>0</v>
      </c>
      <c r="DU210" s="92">
        <f>IF(AT210="",0,VLOOKUP(H210,Tables!$B$3:$M$36,11,FALSE())*AD$1)</f>
        <v>0</v>
      </c>
      <c r="DV210" s="92">
        <f>IF(AU210="",0,VLOOKUP(I210,Tables!$B$3:$M$36,11,FALSE())*AE$1)</f>
        <v>0</v>
      </c>
      <c r="DW210" s="91">
        <f>IF(AV210="",0,VLOOKUP(J210,Tables!$B$3:$M$36,11,FALSE())*AF$1)</f>
        <v>2.4</v>
      </c>
      <c r="DX210" s="92">
        <f>IF(AW210="",0,VLOOKUP(K210,Tables!$B$3:$M$36,11,FALSE())*AG$1)</f>
        <v>2.4</v>
      </c>
      <c r="DY210" s="92">
        <f>IF(AX210="",0,VLOOKUP(L210,Tables!$B$3:$M$36,11,FALSE())*AH$1)</f>
        <v>2</v>
      </c>
      <c r="DZ210" s="91">
        <f>IF(AY210="",0,VLOOKUP(M210,Tables!$B$3:$M$36,11,FALSE())*AI$1)</f>
        <v>2.8000000000000003</v>
      </c>
      <c r="EA210" s="92">
        <f>IF(AZ210="",0,VLOOKUP(N210,Tables!$B$3:$M$36,11,FALSE())*AJ$1)</f>
        <v>0.6</v>
      </c>
      <c r="EB210" s="92">
        <f>IF(BA210="",0,VLOOKUP(O210,Tables!$B$3:$M$36,11,FALSE())*AK$1)</f>
        <v>2.4</v>
      </c>
      <c r="EC210" s="93">
        <f>IF(BB210="",0,VLOOKUP(P210,Tables!$B$3:$M$36,11,FALSE())*AL$1)</f>
        <v>0</v>
      </c>
      <c r="ED210" s="91">
        <f>IF(AN210="",0,VLOOKUP(B210,Tables!$B$3:$M$36,12,FALSE())*X$1)</f>
        <v>0</v>
      </c>
      <c r="EE210" s="92">
        <f>IF(AO210="",0,VLOOKUP(C210,Tables!$B$3:$M$36,12,FALSE())*Y$1)</f>
        <v>0</v>
      </c>
      <c r="EF210" s="92">
        <f>IF(AP210="",0,VLOOKUP(D210,Tables!$B$3:$M$36,12,FALSE())*Z$1)</f>
        <v>0</v>
      </c>
      <c r="EG210" s="91">
        <f>IF(AQ210="",0,VLOOKUP(E210,Tables!$B$3:$M$36,12,FALSE())*AA$1)</f>
        <v>1.7999999999999998</v>
      </c>
      <c r="EH210" s="92">
        <f>IF(AR210="",0,VLOOKUP(F210,Tables!$B$3:$M$36,12,FALSE())*AB$1)</f>
        <v>0</v>
      </c>
      <c r="EI210" s="92">
        <f>IF(AS210="",0,VLOOKUP(G210,Tables!$B$3:$M$36,12,FALSE())*AC$1)</f>
        <v>0</v>
      </c>
      <c r="EJ210" s="92">
        <f>IF(AT210="",0,VLOOKUP(H210,Tables!$B$3:$M$36,12,FALSE())*AD$1)</f>
        <v>0</v>
      </c>
      <c r="EK210" s="92">
        <f>IF(AU210="",0,VLOOKUP(I210,Tables!$B$3:$M$36,12,FALSE())*AE$1)</f>
        <v>0</v>
      </c>
      <c r="EL210" s="91">
        <f>IF(AV210="",0,VLOOKUP(J210,Tables!$B$3:$M$36,12,FALSE())*AF$1)</f>
        <v>7.1999999999999993</v>
      </c>
      <c r="EM210" s="92">
        <f>IF(AW210="",0,VLOOKUP(K210,Tables!$B$3:$M$36,12,FALSE())*AG$1)</f>
        <v>7.1999999999999993</v>
      </c>
      <c r="EN210" s="92">
        <f>IF(AX210="",0,VLOOKUP(L210,Tables!$B$3:$M$36,12,FALSE())*AH$1)</f>
        <v>6</v>
      </c>
      <c r="EO210" s="91">
        <f>IF(AY210="",0,VLOOKUP(M210,Tables!$B$3:$M$36,12,FALSE())*AI$1)</f>
        <v>8.4</v>
      </c>
      <c r="EP210" s="92">
        <f>IF(AZ210="",0,VLOOKUP(N210,Tables!$B$3:$M$36,12,FALSE())*AJ$1)</f>
        <v>1.7999999999999998</v>
      </c>
      <c r="EQ210" s="92">
        <f>IF(BA210="",0,VLOOKUP(O210,Tables!$B$3:$M$36,12,FALSE())*AK$1)</f>
        <v>7.1999999999999993</v>
      </c>
      <c r="ER210" s="93">
        <f>IF(BB210="",0,VLOOKUP(P210,Tables!$B$3:$M$36,12,FALSE())*AL$1)</f>
        <v>0</v>
      </c>
      <c r="ES210" s="94">
        <f t="shared" si="223"/>
        <v>0</v>
      </c>
      <c r="ET210" s="95">
        <f>IF(AN210="",10,MIN(VLOOKUP(B210,MATERIAL,13,FALSE()),'Item Builder'!$W210))</f>
        <v>10</v>
      </c>
      <c r="EU210" s="95">
        <f>IF(AO210="",10,MIN(VLOOKUP(C210,MATERIAL,13,FALSE()),'Item Builder'!$W210))</f>
        <v>10</v>
      </c>
      <c r="EV210" s="95">
        <f>IF(AP210="",10,MIN(VLOOKUP(D210,MATERIAL,13,FALSE()),'Item Builder'!$W210))</f>
        <v>10</v>
      </c>
      <c r="EW210" s="95">
        <f>IF(AQ210="",10,MIN(VLOOKUP(E210,MATERIAL,13,FALSE()),'Item Builder'!$W210))</f>
        <v>0</v>
      </c>
      <c r="EX210" s="95">
        <f>IF(AR210="",10,MIN(VLOOKUP(F210,MATERIAL,13,FALSE()),'Item Builder'!$W210))</f>
        <v>10</v>
      </c>
      <c r="EY210" s="95">
        <f>IF(AS210="",10,MIN(VLOOKUP(G210,MATERIAL,13,FALSE()),'Item Builder'!$W210))</f>
        <v>10</v>
      </c>
      <c r="EZ210" s="95">
        <f>IF(AT210="",10,MIN(VLOOKUP(H210,MATERIAL,13,FALSE()),'Item Builder'!$W210))</f>
        <v>10</v>
      </c>
      <c r="FA210" s="95">
        <f>IF(AU210="",10,MIN(VLOOKUP(I210,MATERIAL,13,FALSE()),'Item Builder'!$W210))</f>
        <v>10</v>
      </c>
      <c r="FB210" s="95">
        <f>IF(AV210="",10,MIN(VLOOKUP(J210,MATERIAL,13,FALSE()),'Item Builder'!$W210))</f>
        <v>0</v>
      </c>
      <c r="FC210" s="95">
        <f>IF(AW210="",10,MIN(VLOOKUP(K210,MATERIAL,13,FALSE()),'Item Builder'!$W210))</f>
        <v>0</v>
      </c>
      <c r="FD210" s="95">
        <f>IF(AX210="",10,MIN(VLOOKUP(L210,MATERIAL,13,FALSE()),'Item Builder'!$W210))</f>
        <v>0</v>
      </c>
      <c r="FE210" s="95">
        <f>IF(AY210="",10,MIN(VLOOKUP(M210,MATERIAL,13,FALSE()),'Item Builder'!$W210))</f>
        <v>0</v>
      </c>
      <c r="FF210" s="95">
        <f>IF(AZ210="",10,MIN(VLOOKUP(N210,MATERIAL,13,FALSE()),'Item Builder'!$W210))</f>
        <v>0</v>
      </c>
      <c r="FG210" s="95">
        <f>IF(BA210="",10,MIN(VLOOKUP(O210,MATERIAL,13,FALSE()),'Item Builder'!$W210))</f>
        <v>0</v>
      </c>
      <c r="FH210" s="95">
        <f>IF(BB210="",10,MIN(VLOOKUP(P210,MATERIAL,13,FALSE()),'Item Builder'!$W210))</f>
        <v>10</v>
      </c>
    </row>
    <row r="211" spans="1:164" x14ac:dyDescent="0.25">
      <c r="A211" s="67" t="s">
        <v>351</v>
      </c>
      <c r="B211" s="68"/>
      <c r="C211" s="69"/>
      <c r="D211" s="70"/>
      <c r="E211" s="68" t="s">
        <v>151</v>
      </c>
      <c r="F211" s="69" t="s">
        <v>151</v>
      </c>
      <c r="G211" s="69" t="s">
        <v>151</v>
      </c>
      <c r="H211" s="69" t="s">
        <v>151</v>
      </c>
      <c r="I211" s="70"/>
      <c r="J211" s="68" t="s">
        <v>151</v>
      </c>
      <c r="K211" s="69" t="s">
        <v>151</v>
      </c>
      <c r="L211" s="70" t="s">
        <v>151</v>
      </c>
      <c r="M211" s="68" t="s">
        <v>151</v>
      </c>
      <c r="N211" s="69" t="s">
        <v>151</v>
      </c>
      <c r="O211" s="69" t="s">
        <v>151</v>
      </c>
      <c r="P211" s="71"/>
      <c r="Q211" s="72">
        <f>SUM(BV211:CJ211)*VLOOKUP(W211,Tables!$W$3:$Z$8,4)</f>
        <v>63.2</v>
      </c>
      <c r="R211" s="73">
        <f t="shared" si="168"/>
        <v>3.95</v>
      </c>
      <c r="S211" s="74">
        <f t="shared" si="169"/>
        <v>0</v>
      </c>
      <c r="T211" s="74">
        <f t="shared" si="170"/>
        <v>0</v>
      </c>
      <c r="U211" s="75">
        <f t="shared" si="171"/>
        <v>15.8</v>
      </c>
      <c r="V211" s="76">
        <f t="shared" si="172"/>
        <v>47.399999999999991</v>
      </c>
      <c r="W211" s="77">
        <v>0</v>
      </c>
      <c r="X211" s="78">
        <f t="shared" si="173"/>
        <v>0</v>
      </c>
      <c r="Y211" s="79">
        <f t="shared" si="174"/>
        <v>0</v>
      </c>
      <c r="Z211" s="79">
        <f t="shared" si="175"/>
        <v>0</v>
      </c>
      <c r="AA211" s="78">
        <f t="shared" si="176"/>
        <v>1</v>
      </c>
      <c r="AB211" s="79">
        <f t="shared" si="177"/>
        <v>1</v>
      </c>
      <c r="AC211" s="79">
        <f t="shared" si="178"/>
        <v>1</v>
      </c>
      <c r="AD211" s="79">
        <f t="shared" si="179"/>
        <v>1</v>
      </c>
      <c r="AE211" s="79">
        <f t="shared" si="180"/>
        <v>0</v>
      </c>
      <c r="AF211" s="78">
        <f t="shared" si="181"/>
        <v>1</v>
      </c>
      <c r="AG211" s="79">
        <f t="shared" si="182"/>
        <v>1</v>
      </c>
      <c r="AH211" s="79">
        <f t="shared" si="183"/>
        <v>1</v>
      </c>
      <c r="AI211" s="78">
        <f t="shared" si="184"/>
        <v>1</v>
      </c>
      <c r="AJ211" s="79">
        <f t="shared" si="185"/>
        <v>1</v>
      </c>
      <c r="AK211" s="79">
        <f t="shared" si="186"/>
        <v>1</v>
      </c>
      <c r="AL211" s="80">
        <f t="shared" si="187"/>
        <v>0</v>
      </c>
      <c r="AM211" s="81">
        <f t="shared" si="188"/>
        <v>0.79</v>
      </c>
      <c r="AN211" s="82" t="str">
        <f t="shared" si="189"/>
        <v/>
      </c>
      <c r="AO211" s="79" t="str">
        <f t="shared" si="190"/>
        <v/>
      </c>
      <c r="AP211" t="str">
        <f t="shared" si="191"/>
        <v/>
      </c>
      <c r="AQ211" s="82" t="str">
        <f t="shared" si="192"/>
        <v>C</v>
      </c>
      <c r="AR211" t="str">
        <f t="shared" si="193"/>
        <v>C</v>
      </c>
      <c r="AS211" t="str">
        <f t="shared" si="194"/>
        <v>C</v>
      </c>
      <c r="AT211" t="str">
        <f t="shared" si="195"/>
        <v>C</v>
      </c>
      <c r="AU211" t="str">
        <f t="shared" si="196"/>
        <v/>
      </c>
      <c r="AV211" s="82" t="str">
        <f t="shared" si="197"/>
        <v>C</v>
      </c>
      <c r="AW211" t="str">
        <f t="shared" si="198"/>
        <v>C</v>
      </c>
      <c r="AX211" t="str">
        <f t="shared" si="199"/>
        <v>C</v>
      </c>
      <c r="AY211" s="82" t="str">
        <f t="shared" si="200"/>
        <v>C</v>
      </c>
      <c r="AZ211" t="str">
        <f t="shared" si="201"/>
        <v>C</v>
      </c>
      <c r="BA211" t="str">
        <f t="shared" si="202"/>
        <v>C</v>
      </c>
      <c r="BB211" s="83" t="str">
        <f t="shared" si="203"/>
        <v/>
      </c>
      <c r="BC211" s="84">
        <f t="shared" si="204"/>
        <v>0</v>
      </c>
      <c r="BD211" s="84">
        <f t="shared" si="205"/>
        <v>0.76190476190476186</v>
      </c>
      <c r="BE211" s="84">
        <f t="shared" si="206"/>
        <v>1</v>
      </c>
      <c r="BF211" s="84">
        <f t="shared" si="207"/>
        <v>0.80555555555555558</v>
      </c>
      <c r="BG211" s="78">
        <f>IF(AN211="",0,VLOOKUP(AN211,Tables!$AB$3:$AC$12,2))</f>
        <v>0</v>
      </c>
      <c r="BH211" s="79">
        <f>IF(AO211="",0,VLOOKUP(AO211,Tables!$AB$3:$AC$12,2))</f>
        <v>0</v>
      </c>
      <c r="BI211" s="79">
        <f>IF(AP211="",0,VLOOKUP(AP211,Tables!$AB$3:$AC$12,2))</f>
        <v>0</v>
      </c>
      <c r="BJ211" s="78">
        <f>IF(AQ211="",0,VLOOKUP(AQ211,Tables!$AB$3:$AC$12,2))</f>
        <v>1</v>
      </c>
      <c r="BK211" s="79">
        <f>IF(AR211="",0,VLOOKUP(AR211,Tables!$AB$3:$AC$12,2))</f>
        <v>1</v>
      </c>
      <c r="BL211" s="79">
        <f>IF(AS211="",0,VLOOKUP(AS211,Tables!$AB$3:$AC$12,2))</f>
        <v>1</v>
      </c>
      <c r="BM211" s="79">
        <f>IF(AT211="",0,VLOOKUP(AT211,Tables!$AB$3:$AC$12,2))</f>
        <v>1</v>
      </c>
      <c r="BN211" s="79">
        <f>IF(AU211="",0,VLOOKUP(AU211,Tables!$AB$3:$AC$12,2))</f>
        <v>0</v>
      </c>
      <c r="BO211" s="78">
        <f>IF(AV211="",0,VLOOKUP(AV211,Tables!$AB$3:$AC$12,2))</f>
        <v>1</v>
      </c>
      <c r="BP211" s="79">
        <f>IF(AW211="",0,VLOOKUP(AW211,Tables!$AB$3:$AC$12,2))</f>
        <v>1</v>
      </c>
      <c r="BQ211" s="79">
        <f>IF(AX211="",0,VLOOKUP(AX211,Tables!$AB$3:$AC$12,2))</f>
        <v>1</v>
      </c>
      <c r="BR211" s="78">
        <f>IF(AY211="",0,VLOOKUP(AY211,Tables!$AB$3:$AC$12,2))</f>
        <v>1</v>
      </c>
      <c r="BS211" s="79">
        <f>IF(AZ211="",0,VLOOKUP(AZ211,Tables!$AB$3:$AC$12,2))</f>
        <v>1</v>
      </c>
      <c r="BT211" s="79">
        <f>IF(BA211="",0,VLOOKUP(BA211,Tables!$AB$3:$AC$12,2))</f>
        <v>1</v>
      </c>
      <c r="BU211" s="80">
        <f>IF(BB211="",0,VLOOKUP(BB211,Tables!$AB$3:$AC$12,2))</f>
        <v>0</v>
      </c>
      <c r="BV211" s="85">
        <f>IF(AN211="",0,VLOOKUP(B211,Tables!$B$3:$D$36,2,FALSE())*X$1)</f>
        <v>0</v>
      </c>
      <c r="BW211" s="72">
        <f>IF(AO211="",0,VLOOKUP(C211,Tables!$B$3:$D$36,2,FALSE())*Y$1)</f>
        <v>0</v>
      </c>
      <c r="BX211" s="72">
        <f>IF(AP211="",0,VLOOKUP(D211,Tables!$B$3:$D$36,2,FALSE())*Z$1)</f>
        <v>0</v>
      </c>
      <c r="BY211" s="85">
        <f>IF(AQ211="",0,VLOOKUP(E211,Tables!$B$3:$D$36,2,FALSE())*AA$1)</f>
        <v>2.4</v>
      </c>
      <c r="BZ211" s="72">
        <f>IF(AR211="",0,VLOOKUP(F211,Tables!$B$3:$D$36,2,FALSE())*AB$1)</f>
        <v>4.8</v>
      </c>
      <c r="CA211" s="72">
        <f>IF(AS211="",0,VLOOKUP(G211,Tables!$B$3:$D$36,2,FALSE())*AC$1)</f>
        <v>1.6</v>
      </c>
      <c r="CB211" s="72">
        <f>IF(AT211="",0,VLOOKUP(H211,Tables!$B$3:$D$36,2,FALSE())*AD$1)</f>
        <v>4</v>
      </c>
      <c r="CC211" s="72">
        <f>IF(AU211="",0,VLOOKUP(I211,Tables!$B$3:$D$36,2,FALSE())*AE$1)</f>
        <v>0</v>
      </c>
      <c r="CD211" s="85">
        <f>IF(AV211="",0,VLOOKUP(J211,Tables!$B$3:$D$36,2,FALSE())*AF$1)</f>
        <v>9.6</v>
      </c>
      <c r="CE211" s="72">
        <f>IF(AW211="",0,VLOOKUP(K211,Tables!$B$3:$D$36,2,FALSE())*AG$1)</f>
        <v>9.6</v>
      </c>
      <c r="CF211" s="72">
        <f>IF(AX211="",0,VLOOKUP(L211,Tables!$B$3:$D$36,2,FALSE())*AH$1)</f>
        <v>8</v>
      </c>
      <c r="CG211" s="85">
        <f>IF(AY211="",0,VLOOKUP(M211,Tables!$B$3:$D$36,2,FALSE())*AI$1)</f>
        <v>11.200000000000001</v>
      </c>
      <c r="CH211" s="72">
        <f>IF(AZ211="",0,VLOOKUP(N211,Tables!$B$3:$D$36,2,FALSE())*AJ$1)</f>
        <v>2.4</v>
      </c>
      <c r="CI211" s="72">
        <f>IF(BA211="",0,VLOOKUP(O211,Tables!$B$3:$D$36,2,FALSE())*AK$1)</f>
        <v>9.6</v>
      </c>
      <c r="CJ211" s="86">
        <f>IF(BB211="",0,VLOOKUP(P211,Tables!$B$3:$D$36,2,FALSE())*AL$1)</f>
        <v>0</v>
      </c>
      <c r="CK211" s="87">
        <f>IF(AN211="",0,VLOOKUP(B211,Tables!$B$3:$D$36,3,FALSE())*X$1)*IF(OR(AN211="K",AN211="P"),2,1)</f>
        <v>0</v>
      </c>
      <c r="CL211" s="73">
        <f>IF(AO211="",0,VLOOKUP(C211,Tables!$B$3:$D$36,3,FALSE())*Y$1)*IF(OR(AO211="K",AO211="P"),2,1)</f>
        <v>0</v>
      </c>
      <c r="CM211" s="73">
        <f>IF(AP211="",0,VLOOKUP(D211,Tables!$B$3:$D$36,3,FALSE())*Z$1)*IF(OR(AP211="K",AP211="P"),2,1)</f>
        <v>0</v>
      </c>
      <c r="CN211" s="87">
        <f>IF(AQ211="",0,VLOOKUP(E211,Tables!$B$3:$D$36,3,FALSE())*AA$1)</f>
        <v>0.15</v>
      </c>
      <c r="CO211" s="73">
        <f>IF(AR211="",0,VLOOKUP(F211,Tables!$B$3:$D$36,3,FALSE())*AB$1)</f>
        <v>0.3</v>
      </c>
      <c r="CP211" s="73">
        <f>IF(AS211="",0,VLOOKUP(G211,Tables!$B$3:$D$36,3,FALSE())*AC$1)</f>
        <v>0.1</v>
      </c>
      <c r="CQ211" s="73">
        <f>IF(AT211="",0,VLOOKUP(H211,Tables!$B$3:$D$36,3,FALSE())*AD$1)</f>
        <v>0.25</v>
      </c>
      <c r="CR211" s="73">
        <f>IF(AU211="",0,VLOOKUP(I211,Tables!$B$3:$D$36,3,FALSE())*AE$1)</f>
        <v>0</v>
      </c>
      <c r="CS211" s="87">
        <f>IF(AV211="",0,VLOOKUP(J211,Tables!$B$3:$D$36,3,FALSE())*AF$1)</f>
        <v>0.6</v>
      </c>
      <c r="CT211" s="73">
        <f>IF(AW211="",0,VLOOKUP(K211,Tables!$B$3:$D$36,3,FALSE())*AG$1)</f>
        <v>0.6</v>
      </c>
      <c r="CU211" s="73">
        <f>IF(AX211="",0,VLOOKUP(L211,Tables!$B$3:$D$36,3,FALSE())*AH$1)</f>
        <v>0.5</v>
      </c>
      <c r="CV211" s="87">
        <f>IF(AY211="",0,VLOOKUP(M211,Tables!$B$3:$D$36,3,FALSE())*AI$1)</f>
        <v>0.70000000000000007</v>
      </c>
      <c r="CW211" s="73">
        <f>IF(AZ211="",0,VLOOKUP(N211,Tables!$B$3:$D$36,3,FALSE())*AJ$1)</f>
        <v>0.15</v>
      </c>
      <c r="CX211" s="73">
        <f>IF(BA211="",0,VLOOKUP(O211,Tables!$B$3:$D$36,3,FALSE())*AK$1)</f>
        <v>0.6</v>
      </c>
      <c r="CY211" s="88">
        <f>IF(BB211="",0,VLOOKUP(P211,Tables!$B$3:$D$36,3,FALSE())*AL$1)</f>
        <v>0</v>
      </c>
      <c r="CZ211" s="89">
        <f t="shared" si="208"/>
        <v>0</v>
      </c>
      <c r="DA211" s="75">
        <f t="shared" si="209"/>
        <v>0</v>
      </c>
      <c r="DB211" s="75">
        <f t="shared" si="210"/>
        <v>0</v>
      </c>
      <c r="DC211" s="89">
        <f t="shared" si="211"/>
        <v>1</v>
      </c>
      <c r="DD211" s="75">
        <f t="shared" si="212"/>
        <v>1</v>
      </c>
      <c r="DE211" s="75">
        <f t="shared" si="213"/>
        <v>1</v>
      </c>
      <c r="DF211" s="75">
        <f t="shared" si="214"/>
        <v>1</v>
      </c>
      <c r="DG211" s="75">
        <f t="shared" si="215"/>
        <v>0</v>
      </c>
      <c r="DH211" s="89">
        <f t="shared" si="216"/>
        <v>1</v>
      </c>
      <c r="DI211" s="75">
        <f t="shared" si="217"/>
        <v>1</v>
      </c>
      <c r="DJ211" s="75">
        <f t="shared" si="218"/>
        <v>1</v>
      </c>
      <c r="DK211" s="89">
        <f t="shared" si="219"/>
        <v>1</v>
      </c>
      <c r="DL211" s="75">
        <f t="shared" si="220"/>
        <v>1</v>
      </c>
      <c r="DM211" s="75">
        <f t="shared" si="221"/>
        <v>1</v>
      </c>
      <c r="DN211" s="90">
        <f t="shared" si="222"/>
        <v>0</v>
      </c>
      <c r="DO211" s="91">
        <f>IF(AN211="",0,VLOOKUP(B211,Tables!$B$3:$M$36,11,FALSE())*X$1)</f>
        <v>0</v>
      </c>
      <c r="DP211" s="92">
        <f>IF(AO211="",0,VLOOKUP(C211,Tables!$B$3:$M$36,11,FALSE())*Y$1)</f>
        <v>0</v>
      </c>
      <c r="DQ211" s="92">
        <f>IF(AP211="",0,VLOOKUP(D211,Tables!$B$3:$M$36,11,FALSE())*Z$1)</f>
        <v>0</v>
      </c>
      <c r="DR211" s="91">
        <f>IF(AQ211="",0,VLOOKUP(E211,Tables!$B$3:$M$36,11,FALSE())*AA$1)</f>
        <v>0.6</v>
      </c>
      <c r="DS211" s="92">
        <f>IF(AR211="",0,VLOOKUP(F211,Tables!$B$3:$M$36,11,FALSE())*AB$1)</f>
        <v>1.2</v>
      </c>
      <c r="DT211" s="92">
        <f>IF(AS211="",0,VLOOKUP(G211,Tables!$B$3:$M$36,11,FALSE())*AC$1)</f>
        <v>0.4</v>
      </c>
      <c r="DU211" s="92">
        <f>IF(AT211="",0,VLOOKUP(H211,Tables!$B$3:$M$36,11,FALSE())*AD$1)</f>
        <v>1</v>
      </c>
      <c r="DV211" s="92">
        <f>IF(AU211="",0,VLOOKUP(I211,Tables!$B$3:$M$36,11,FALSE())*AE$1)</f>
        <v>0</v>
      </c>
      <c r="DW211" s="91">
        <f>IF(AV211="",0,VLOOKUP(J211,Tables!$B$3:$M$36,11,FALSE())*AF$1)</f>
        <v>2.4</v>
      </c>
      <c r="DX211" s="92">
        <f>IF(AW211="",0,VLOOKUP(K211,Tables!$B$3:$M$36,11,FALSE())*AG$1)</f>
        <v>2.4</v>
      </c>
      <c r="DY211" s="92">
        <f>IF(AX211="",0,VLOOKUP(L211,Tables!$B$3:$M$36,11,FALSE())*AH$1)</f>
        <v>2</v>
      </c>
      <c r="DZ211" s="91">
        <f>IF(AY211="",0,VLOOKUP(M211,Tables!$B$3:$M$36,11,FALSE())*AI$1)</f>
        <v>2.8000000000000003</v>
      </c>
      <c r="EA211" s="92">
        <f>IF(AZ211="",0,VLOOKUP(N211,Tables!$B$3:$M$36,11,FALSE())*AJ$1)</f>
        <v>0.6</v>
      </c>
      <c r="EB211" s="92">
        <f>IF(BA211="",0,VLOOKUP(O211,Tables!$B$3:$M$36,11,FALSE())*AK$1)</f>
        <v>2.4</v>
      </c>
      <c r="EC211" s="93">
        <f>IF(BB211="",0,VLOOKUP(P211,Tables!$B$3:$M$36,11,FALSE())*AL$1)</f>
        <v>0</v>
      </c>
      <c r="ED211" s="91">
        <f>IF(AN211="",0,VLOOKUP(B211,Tables!$B$3:$M$36,12,FALSE())*X$1)</f>
        <v>0</v>
      </c>
      <c r="EE211" s="92">
        <f>IF(AO211="",0,VLOOKUP(C211,Tables!$B$3:$M$36,12,FALSE())*Y$1)</f>
        <v>0</v>
      </c>
      <c r="EF211" s="92">
        <f>IF(AP211="",0,VLOOKUP(D211,Tables!$B$3:$M$36,12,FALSE())*Z$1)</f>
        <v>0</v>
      </c>
      <c r="EG211" s="91">
        <f>IF(AQ211="",0,VLOOKUP(E211,Tables!$B$3:$M$36,12,FALSE())*AA$1)</f>
        <v>1.7999999999999998</v>
      </c>
      <c r="EH211" s="92">
        <f>IF(AR211="",0,VLOOKUP(F211,Tables!$B$3:$M$36,12,FALSE())*AB$1)</f>
        <v>3.5999999999999996</v>
      </c>
      <c r="EI211" s="92">
        <f>IF(AS211="",0,VLOOKUP(G211,Tables!$B$3:$M$36,12,FALSE())*AC$1)</f>
        <v>1.2</v>
      </c>
      <c r="EJ211" s="92">
        <f>IF(AT211="",0,VLOOKUP(H211,Tables!$B$3:$M$36,12,FALSE())*AD$1)</f>
        <v>3</v>
      </c>
      <c r="EK211" s="92">
        <f>IF(AU211="",0,VLOOKUP(I211,Tables!$B$3:$M$36,12,FALSE())*AE$1)</f>
        <v>0</v>
      </c>
      <c r="EL211" s="91">
        <f>IF(AV211="",0,VLOOKUP(J211,Tables!$B$3:$M$36,12,FALSE())*AF$1)</f>
        <v>7.1999999999999993</v>
      </c>
      <c r="EM211" s="92">
        <f>IF(AW211="",0,VLOOKUP(K211,Tables!$B$3:$M$36,12,FALSE())*AG$1)</f>
        <v>7.1999999999999993</v>
      </c>
      <c r="EN211" s="92">
        <f>IF(AX211="",0,VLOOKUP(L211,Tables!$B$3:$M$36,12,FALSE())*AH$1)</f>
        <v>6</v>
      </c>
      <c r="EO211" s="91">
        <f>IF(AY211="",0,VLOOKUP(M211,Tables!$B$3:$M$36,12,FALSE())*AI$1)</f>
        <v>8.4</v>
      </c>
      <c r="EP211" s="92">
        <f>IF(AZ211="",0,VLOOKUP(N211,Tables!$B$3:$M$36,12,FALSE())*AJ$1)</f>
        <v>1.7999999999999998</v>
      </c>
      <c r="EQ211" s="92">
        <f>IF(BA211="",0,VLOOKUP(O211,Tables!$B$3:$M$36,12,FALSE())*AK$1)</f>
        <v>7.1999999999999993</v>
      </c>
      <c r="ER211" s="93">
        <f>IF(BB211="",0,VLOOKUP(P211,Tables!$B$3:$M$36,12,FALSE())*AL$1)</f>
        <v>0</v>
      </c>
      <c r="ES211" s="94">
        <f t="shared" si="223"/>
        <v>0</v>
      </c>
      <c r="ET211" s="95">
        <f>IF(AN211="",10,MIN(VLOOKUP(B211,MATERIAL,13,FALSE()),'Item Builder'!$W211))</f>
        <v>10</v>
      </c>
      <c r="EU211" s="95">
        <f>IF(AO211="",10,MIN(VLOOKUP(C211,MATERIAL,13,FALSE()),'Item Builder'!$W211))</f>
        <v>10</v>
      </c>
      <c r="EV211" s="95">
        <f>IF(AP211="",10,MIN(VLOOKUP(D211,MATERIAL,13,FALSE()),'Item Builder'!$W211))</f>
        <v>10</v>
      </c>
      <c r="EW211" s="95">
        <f>IF(AQ211="",10,MIN(VLOOKUP(E211,MATERIAL,13,FALSE()),'Item Builder'!$W211))</f>
        <v>0</v>
      </c>
      <c r="EX211" s="95">
        <f>IF(AR211="",10,MIN(VLOOKUP(F211,MATERIAL,13,FALSE()),'Item Builder'!$W211))</f>
        <v>0</v>
      </c>
      <c r="EY211" s="95">
        <f>IF(AS211="",10,MIN(VLOOKUP(G211,MATERIAL,13,FALSE()),'Item Builder'!$W211))</f>
        <v>0</v>
      </c>
      <c r="EZ211" s="95">
        <f>IF(AT211="",10,MIN(VLOOKUP(H211,MATERIAL,13,FALSE()),'Item Builder'!$W211))</f>
        <v>0</v>
      </c>
      <c r="FA211" s="95">
        <f>IF(AU211="",10,MIN(VLOOKUP(I211,MATERIAL,13,FALSE()),'Item Builder'!$W211))</f>
        <v>10</v>
      </c>
      <c r="FB211" s="95">
        <f>IF(AV211="",10,MIN(VLOOKUP(J211,MATERIAL,13,FALSE()),'Item Builder'!$W211))</f>
        <v>0</v>
      </c>
      <c r="FC211" s="95">
        <f>IF(AW211="",10,MIN(VLOOKUP(K211,MATERIAL,13,FALSE()),'Item Builder'!$W211))</f>
        <v>0</v>
      </c>
      <c r="FD211" s="95">
        <f>IF(AX211="",10,MIN(VLOOKUP(L211,MATERIAL,13,FALSE()),'Item Builder'!$W211))</f>
        <v>0</v>
      </c>
      <c r="FE211" s="95">
        <f>IF(AY211="",10,MIN(VLOOKUP(M211,MATERIAL,13,FALSE()),'Item Builder'!$W211))</f>
        <v>0</v>
      </c>
      <c r="FF211" s="95">
        <f>IF(AZ211="",10,MIN(VLOOKUP(N211,MATERIAL,13,FALSE()),'Item Builder'!$W211))</f>
        <v>0</v>
      </c>
      <c r="FG211" s="95">
        <f>IF(BA211="",10,MIN(VLOOKUP(O211,MATERIAL,13,FALSE()),'Item Builder'!$W211))</f>
        <v>0</v>
      </c>
      <c r="FH211" s="95">
        <f>IF(BB211="",10,MIN(VLOOKUP(P211,MATERIAL,13,FALSE()),'Item Builder'!$W211))</f>
        <v>10</v>
      </c>
    </row>
    <row r="212" spans="1:164" x14ac:dyDescent="0.25">
      <c r="A212" s="67" t="s">
        <v>352</v>
      </c>
      <c r="B212" s="68"/>
      <c r="C212" s="69"/>
      <c r="D212" s="70"/>
      <c r="E212" s="68"/>
      <c r="F212" s="69"/>
      <c r="G212" s="69"/>
      <c r="H212" s="69"/>
      <c r="I212" s="70"/>
      <c r="J212" s="68"/>
      <c r="K212" s="69"/>
      <c r="L212" s="70" t="s">
        <v>151</v>
      </c>
      <c r="M212" s="68" t="s">
        <v>151</v>
      </c>
      <c r="N212" s="69" t="s">
        <v>151</v>
      </c>
      <c r="O212" s="69"/>
      <c r="P212" s="71"/>
      <c r="Q212" s="72">
        <f>SUM(BV212:CJ212)*VLOOKUP(W212,Tables!$W$3:$Z$8,4)</f>
        <v>21.6</v>
      </c>
      <c r="R212" s="73">
        <f t="shared" si="168"/>
        <v>1.35</v>
      </c>
      <c r="S212" s="74">
        <f t="shared" si="169"/>
        <v>0</v>
      </c>
      <c r="T212" s="74">
        <f t="shared" si="170"/>
        <v>0</v>
      </c>
      <c r="U212" s="75">
        <f t="shared" si="171"/>
        <v>5.4</v>
      </c>
      <c r="V212" s="76">
        <f t="shared" si="172"/>
        <v>16.2</v>
      </c>
      <c r="W212" s="77">
        <v>0</v>
      </c>
      <c r="X212" s="78">
        <f t="shared" si="173"/>
        <v>0</v>
      </c>
      <c r="Y212" s="79">
        <f t="shared" si="174"/>
        <v>0</v>
      </c>
      <c r="Z212" s="79">
        <f t="shared" si="175"/>
        <v>0</v>
      </c>
      <c r="AA212" s="78">
        <f t="shared" si="176"/>
        <v>0</v>
      </c>
      <c r="AB212" s="79">
        <f t="shared" si="177"/>
        <v>0</v>
      </c>
      <c r="AC212" s="79">
        <f t="shared" si="178"/>
        <v>0</v>
      </c>
      <c r="AD212" s="79">
        <f t="shared" si="179"/>
        <v>0</v>
      </c>
      <c r="AE212" s="79">
        <f t="shared" si="180"/>
        <v>0</v>
      </c>
      <c r="AF212" s="78">
        <f t="shared" si="181"/>
        <v>0</v>
      </c>
      <c r="AG212" s="79">
        <f t="shared" si="182"/>
        <v>0</v>
      </c>
      <c r="AH212" s="79">
        <f t="shared" si="183"/>
        <v>1</v>
      </c>
      <c r="AI212" s="78">
        <f t="shared" si="184"/>
        <v>1</v>
      </c>
      <c r="AJ212" s="79">
        <f t="shared" si="185"/>
        <v>1</v>
      </c>
      <c r="AK212" s="79">
        <f t="shared" si="186"/>
        <v>0</v>
      </c>
      <c r="AL212" s="80">
        <f t="shared" si="187"/>
        <v>0</v>
      </c>
      <c r="AM212" s="81">
        <f t="shared" si="188"/>
        <v>0.27</v>
      </c>
      <c r="AN212" s="82" t="str">
        <f t="shared" si="189"/>
        <v/>
      </c>
      <c r="AO212" s="79" t="str">
        <f t="shared" si="190"/>
        <v/>
      </c>
      <c r="AP212" t="str">
        <f t="shared" si="191"/>
        <v/>
      </c>
      <c r="AQ212" s="82" t="str">
        <f t="shared" si="192"/>
        <v/>
      </c>
      <c r="AR212" t="str">
        <f t="shared" si="193"/>
        <v/>
      </c>
      <c r="AS212" t="str">
        <f t="shared" si="194"/>
        <v/>
      </c>
      <c r="AT212" t="str">
        <f t="shared" si="195"/>
        <v/>
      </c>
      <c r="AU212" t="str">
        <f t="shared" si="196"/>
        <v/>
      </c>
      <c r="AV212" s="82" t="str">
        <f t="shared" si="197"/>
        <v/>
      </c>
      <c r="AW212" t="str">
        <f t="shared" si="198"/>
        <v/>
      </c>
      <c r="AX212" t="str">
        <f t="shared" si="199"/>
        <v>C</v>
      </c>
      <c r="AY212" s="82" t="str">
        <f t="shared" si="200"/>
        <v>C</v>
      </c>
      <c r="AZ212" t="str">
        <f t="shared" si="201"/>
        <v>C</v>
      </c>
      <c r="BA212" t="str">
        <f t="shared" si="202"/>
        <v/>
      </c>
      <c r="BB212" s="83" t="str">
        <f t="shared" si="203"/>
        <v/>
      </c>
      <c r="BC212" s="84">
        <f t="shared" si="204"/>
        <v>0</v>
      </c>
      <c r="BD212" s="84">
        <f t="shared" si="205"/>
        <v>0</v>
      </c>
      <c r="BE212" s="84">
        <f t="shared" si="206"/>
        <v>0.29411764705882359</v>
      </c>
      <c r="BF212" s="84">
        <f t="shared" si="207"/>
        <v>0.47222222222222221</v>
      </c>
      <c r="BG212" s="78">
        <f>IF(AN212="",0,VLOOKUP(AN212,Tables!$AB$3:$AC$12,2))</f>
        <v>0</v>
      </c>
      <c r="BH212" s="79">
        <f>IF(AO212="",0,VLOOKUP(AO212,Tables!$AB$3:$AC$12,2))</f>
        <v>0</v>
      </c>
      <c r="BI212" s="79">
        <f>IF(AP212="",0,VLOOKUP(AP212,Tables!$AB$3:$AC$12,2))</f>
        <v>0</v>
      </c>
      <c r="BJ212" s="78">
        <f>IF(AQ212="",0,VLOOKUP(AQ212,Tables!$AB$3:$AC$12,2))</f>
        <v>0</v>
      </c>
      <c r="BK212" s="79">
        <f>IF(AR212="",0,VLOOKUP(AR212,Tables!$AB$3:$AC$12,2))</f>
        <v>0</v>
      </c>
      <c r="BL212" s="79">
        <f>IF(AS212="",0,VLOOKUP(AS212,Tables!$AB$3:$AC$12,2))</f>
        <v>0</v>
      </c>
      <c r="BM212" s="79">
        <f>IF(AT212="",0,VLOOKUP(AT212,Tables!$AB$3:$AC$12,2))</f>
        <v>0</v>
      </c>
      <c r="BN212" s="79">
        <f>IF(AU212="",0,VLOOKUP(AU212,Tables!$AB$3:$AC$12,2))</f>
        <v>0</v>
      </c>
      <c r="BO212" s="78">
        <f>IF(AV212="",0,VLOOKUP(AV212,Tables!$AB$3:$AC$12,2))</f>
        <v>0</v>
      </c>
      <c r="BP212" s="79">
        <f>IF(AW212="",0,VLOOKUP(AW212,Tables!$AB$3:$AC$12,2))</f>
        <v>0</v>
      </c>
      <c r="BQ212" s="79">
        <f>IF(AX212="",0,VLOOKUP(AX212,Tables!$AB$3:$AC$12,2))</f>
        <v>1</v>
      </c>
      <c r="BR212" s="78">
        <f>IF(AY212="",0,VLOOKUP(AY212,Tables!$AB$3:$AC$12,2))</f>
        <v>1</v>
      </c>
      <c r="BS212" s="79">
        <f>IF(AZ212="",0,VLOOKUP(AZ212,Tables!$AB$3:$AC$12,2))</f>
        <v>1</v>
      </c>
      <c r="BT212" s="79">
        <f>IF(BA212="",0,VLOOKUP(BA212,Tables!$AB$3:$AC$12,2))</f>
        <v>0</v>
      </c>
      <c r="BU212" s="80">
        <f>IF(BB212="",0,VLOOKUP(BB212,Tables!$AB$3:$AC$12,2))</f>
        <v>0</v>
      </c>
      <c r="BV212" s="85">
        <f>IF(AN212="",0,VLOOKUP(B212,Tables!$B$3:$D$36,2,FALSE())*X$1)</f>
        <v>0</v>
      </c>
      <c r="BW212" s="72">
        <f>IF(AO212="",0,VLOOKUP(C212,Tables!$B$3:$D$36,2,FALSE())*Y$1)</f>
        <v>0</v>
      </c>
      <c r="BX212" s="72">
        <f>IF(AP212="",0,VLOOKUP(D212,Tables!$B$3:$D$36,2,FALSE())*Z$1)</f>
        <v>0</v>
      </c>
      <c r="BY212" s="85">
        <f>IF(AQ212="",0,VLOOKUP(E212,Tables!$B$3:$D$36,2,FALSE())*AA$1)</f>
        <v>0</v>
      </c>
      <c r="BZ212" s="72">
        <f>IF(AR212="",0,VLOOKUP(F212,Tables!$B$3:$D$36,2,FALSE())*AB$1)</f>
        <v>0</v>
      </c>
      <c r="CA212" s="72">
        <f>IF(AS212="",0,VLOOKUP(G212,Tables!$B$3:$D$36,2,FALSE())*AC$1)</f>
        <v>0</v>
      </c>
      <c r="CB212" s="72">
        <f>IF(AT212="",0,VLOOKUP(H212,Tables!$B$3:$D$36,2,FALSE())*AD$1)</f>
        <v>0</v>
      </c>
      <c r="CC212" s="72">
        <f>IF(AU212="",0,VLOOKUP(I212,Tables!$B$3:$D$36,2,FALSE())*AE$1)</f>
        <v>0</v>
      </c>
      <c r="CD212" s="85">
        <f>IF(AV212="",0,VLOOKUP(J212,Tables!$B$3:$D$36,2,FALSE())*AF$1)</f>
        <v>0</v>
      </c>
      <c r="CE212" s="72">
        <f>IF(AW212="",0,VLOOKUP(K212,Tables!$B$3:$D$36,2,FALSE())*AG$1)</f>
        <v>0</v>
      </c>
      <c r="CF212" s="72">
        <f>IF(AX212="",0,VLOOKUP(L212,Tables!$B$3:$D$36,2,FALSE())*AH$1)</f>
        <v>8</v>
      </c>
      <c r="CG212" s="85">
        <f>IF(AY212="",0,VLOOKUP(M212,Tables!$B$3:$D$36,2,FALSE())*AI$1)</f>
        <v>11.200000000000001</v>
      </c>
      <c r="CH212" s="72">
        <f>IF(AZ212="",0,VLOOKUP(N212,Tables!$B$3:$D$36,2,FALSE())*AJ$1)</f>
        <v>2.4</v>
      </c>
      <c r="CI212" s="72">
        <f>IF(BA212="",0,VLOOKUP(O212,Tables!$B$3:$D$36,2,FALSE())*AK$1)</f>
        <v>0</v>
      </c>
      <c r="CJ212" s="86">
        <f>IF(BB212="",0,VLOOKUP(P212,Tables!$B$3:$D$36,2,FALSE())*AL$1)</f>
        <v>0</v>
      </c>
      <c r="CK212" s="87">
        <f>IF(AN212="",0,VLOOKUP(B212,Tables!$B$3:$D$36,3,FALSE())*X$1)*IF(OR(AN212="K",AN212="P"),2,1)</f>
        <v>0</v>
      </c>
      <c r="CL212" s="73">
        <f>IF(AO212="",0,VLOOKUP(C212,Tables!$B$3:$D$36,3,FALSE())*Y$1)*IF(OR(AO212="K",AO212="P"),2,1)</f>
        <v>0</v>
      </c>
      <c r="CM212" s="73">
        <f>IF(AP212="",0,VLOOKUP(D212,Tables!$B$3:$D$36,3,FALSE())*Z$1)*IF(OR(AP212="K",AP212="P"),2,1)</f>
        <v>0</v>
      </c>
      <c r="CN212" s="87">
        <f>IF(AQ212="",0,VLOOKUP(E212,Tables!$B$3:$D$36,3,FALSE())*AA$1)</f>
        <v>0</v>
      </c>
      <c r="CO212" s="73">
        <f>IF(AR212="",0,VLOOKUP(F212,Tables!$B$3:$D$36,3,FALSE())*AB$1)</f>
        <v>0</v>
      </c>
      <c r="CP212" s="73">
        <f>IF(AS212="",0,VLOOKUP(G212,Tables!$B$3:$D$36,3,FALSE())*AC$1)</f>
        <v>0</v>
      </c>
      <c r="CQ212" s="73">
        <f>IF(AT212="",0,VLOOKUP(H212,Tables!$B$3:$D$36,3,FALSE())*AD$1)</f>
        <v>0</v>
      </c>
      <c r="CR212" s="73">
        <f>IF(AU212="",0,VLOOKUP(I212,Tables!$B$3:$D$36,3,FALSE())*AE$1)</f>
        <v>0</v>
      </c>
      <c r="CS212" s="87">
        <f>IF(AV212="",0,VLOOKUP(J212,Tables!$B$3:$D$36,3,FALSE())*AF$1)</f>
        <v>0</v>
      </c>
      <c r="CT212" s="73">
        <f>IF(AW212="",0,VLOOKUP(K212,Tables!$B$3:$D$36,3,FALSE())*AG$1)</f>
        <v>0</v>
      </c>
      <c r="CU212" s="73">
        <f>IF(AX212="",0,VLOOKUP(L212,Tables!$B$3:$D$36,3,FALSE())*AH$1)</f>
        <v>0.5</v>
      </c>
      <c r="CV212" s="87">
        <f>IF(AY212="",0,VLOOKUP(M212,Tables!$B$3:$D$36,3,FALSE())*AI$1)</f>
        <v>0.70000000000000007</v>
      </c>
      <c r="CW212" s="73">
        <f>IF(AZ212="",0,VLOOKUP(N212,Tables!$B$3:$D$36,3,FALSE())*AJ$1)</f>
        <v>0.15</v>
      </c>
      <c r="CX212" s="73">
        <f>IF(BA212="",0,VLOOKUP(O212,Tables!$B$3:$D$36,3,FALSE())*AK$1)</f>
        <v>0</v>
      </c>
      <c r="CY212" s="88">
        <f>IF(BB212="",0,VLOOKUP(P212,Tables!$B$3:$D$36,3,FALSE())*AL$1)</f>
        <v>0</v>
      </c>
      <c r="CZ212" s="89">
        <f t="shared" si="208"/>
        <v>0</v>
      </c>
      <c r="DA212" s="75">
        <f t="shared" si="209"/>
        <v>0</v>
      </c>
      <c r="DB212" s="75">
        <f t="shared" si="210"/>
        <v>0</v>
      </c>
      <c r="DC212" s="89">
        <f t="shared" si="211"/>
        <v>0</v>
      </c>
      <c r="DD212" s="75">
        <f t="shared" si="212"/>
        <v>0</v>
      </c>
      <c r="DE212" s="75">
        <f t="shared" si="213"/>
        <v>0</v>
      </c>
      <c r="DF212" s="75">
        <f t="shared" si="214"/>
        <v>0</v>
      </c>
      <c r="DG212" s="75">
        <f t="shared" si="215"/>
        <v>0</v>
      </c>
      <c r="DH212" s="89">
        <f t="shared" si="216"/>
        <v>0</v>
      </c>
      <c r="DI212" s="75">
        <f t="shared" si="217"/>
        <v>0</v>
      </c>
      <c r="DJ212" s="75">
        <f t="shared" si="218"/>
        <v>1</v>
      </c>
      <c r="DK212" s="89">
        <f t="shared" si="219"/>
        <v>1</v>
      </c>
      <c r="DL212" s="75">
        <f t="shared" si="220"/>
        <v>1</v>
      </c>
      <c r="DM212" s="75">
        <f t="shared" si="221"/>
        <v>0</v>
      </c>
      <c r="DN212" s="90">
        <f t="shared" si="222"/>
        <v>0</v>
      </c>
      <c r="DO212" s="91">
        <f>IF(AN212="",0,VLOOKUP(B212,Tables!$B$3:$M$36,11,FALSE())*X$1)</f>
        <v>0</v>
      </c>
      <c r="DP212" s="92">
        <f>IF(AO212="",0,VLOOKUP(C212,Tables!$B$3:$M$36,11,FALSE())*Y$1)</f>
        <v>0</v>
      </c>
      <c r="DQ212" s="92">
        <f>IF(AP212="",0,VLOOKUP(D212,Tables!$B$3:$M$36,11,FALSE())*Z$1)</f>
        <v>0</v>
      </c>
      <c r="DR212" s="91">
        <f>IF(AQ212="",0,VLOOKUP(E212,Tables!$B$3:$M$36,11,FALSE())*AA$1)</f>
        <v>0</v>
      </c>
      <c r="DS212" s="92">
        <f>IF(AR212="",0,VLOOKUP(F212,Tables!$B$3:$M$36,11,FALSE())*AB$1)</f>
        <v>0</v>
      </c>
      <c r="DT212" s="92">
        <f>IF(AS212="",0,VLOOKUP(G212,Tables!$B$3:$M$36,11,FALSE())*AC$1)</f>
        <v>0</v>
      </c>
      <c r="DU212" s="92">
        <f>IF(AT212="",0,VLOOKUP(H212,Tables!$B$3:$M$36,11,FALSE())*AD$1)</f>
        <v>0</v>
      </c>
      <c r="DV212" s="92">
        <f>IF(AU212="",0,VLOOKUP(I212,Tables!$B$3:$M$36,11,FALSE())*AE$1)</f>
        <v>0</v>
      </c>
      <c r="DW212" s="91">
        <f>IF(AV212="",0,VLOOKUP(J212,Tables!$B$3:$M$36,11,FALSE())*AF$1)</f>
        <v>0</v>
      </c>
      <c r="DX212" s="92">
        <f>IF(AW212="",0,VLOOKUP(K212,Tables!$B$3:$M$36,11,FALSE())*AG$1)</f>
        <v>0</v>
      </c>
      <c r="DY212" s="92">
        <f>IF(AX212="",0,VLOOKUP(L212,Tables!$B$3:$M$36,11,FALSE())*AH$1)</f>
        <v>2</v>
      </c>
      <c r="DZ212" s="91">
        <f>IF(AY212="",0,VLOOKUP(M212,Tables!$B$3:$M$36,11,FALSE())*AI$1)</f>
        <v>2.8000000000000003</v>
      </c>
      <c r="EA212" s="92">
        <f>IF(AZ212="",0,VLOOKUP(N212,Tables!$B$3:$M$36,11,FALSE())*AJ$1)</f>
        <v>0.6</v>
      </c>
      <c r="EB212" s="92">
        <f>IF(BA212="",0,VLOOKUP(O212,Tables!$B$3:$M$36,11,FALSE())*AK$1)</f>
        <v>0</v>
      </c>
      <c r="EC212" s="93">
        <f>IF(BB212="",0,VLOOKUP(P212,Tables!$B$3:$M$36,11,FALSE())*AL$1)</f>
        <v>0</v>
      </c>
      <c r="ED212" s="91">
        <f>IF(AN212="",0,VLOOKUP(B212,Tables!$B$3:$M$36,12,FALSE())*X$1)</f>
        <v>0</v>
      </c>
      <c r="EE212" s="92">
        <f>IF(AO212="",0,VLOOKUP(C212,Tables!$B$3:$M$36,12,FALSE())*Y$1)</f>
        <v>0</v>
      </c>
      <c r="EF212" s="92">
        <f>IF(AP212="",0,VLOOKUP(D212,Tables!$B$3:$M$36,12,FALSE())*Z$1)</f>
        <v>0</v>
      </c>
      <c r="EG212" s="91">
        <f>IF(AQ212="",0,VLOOKUP(E212,Tables!$B$3:$M$36,12,FALSE())*AA$1)</f>
        <v>0</v>
      </c>
      <c r="EH212" s="92">
        <f>IF(AR212="",0,VLOOKUP(F212,Tables!$B$3:$M$36,12,FALSE())*AB$1)</f>
        <v>0</v>
      </c>
      <c r="EI212" s="92">
        <f>IF(AS212="",0,VLOOKUP(G212,Tables!$B$3:$M$36,12,FALSE())*AC$1)</f>
        <v>0</v>
      </c>
      <c r="EJ212" s="92">
        <f>IF(AT212="",0,VLOOKUP(H212,Tables!$B$3:$M$36,12,FALSE())*AD$1)</f>
        <v>0</v>
      </c>
      <c r="EK212" s="92">
        <f>IF(AU212="",0,VLOOKUP(I212,Tables!$B$3:$M$36,12,FALSE())*AE$1)</f>
        <v>0</v>
      </c>
      <c r="EL212" s="91">
        <f>IF(AV212="",0,VLOOKUP(J212,Tables!$B$3:$M$36,12,FALSE())*AF$1)</f>
        <v>0</v>
      </c>
      <c r="EM212" s="92">
        <f>IF(AW212="",0,VLOOKUP(K212,Tables!$B$3:$M$36,12,FALSE())*AG$1)</f>
        <v>0</v>
      </c>
      <c r="EN212" s="92">
        <f>IF(AX212="",0,VLOOKUP(L212,Tables!$B$3:$M$36,12,FALSE())*AH$1)</f>
        <v>6</v>
      </c>
      <c r="EO212" s="91">
        <f>IF(AY212="",0,VLOOKUP(M212,Tables!$B$3:$M$36,12,FALSE())*AI$1)</f>
        <v>8.4</v>
      </c>
      <c r="EP212" s="92">
        <f>IF(AZ212="",0,VLOOKUP(N212,Tables!$B$3:$M$36,12,FALSE())*AJ$1)</f>
        <v>1.7999999999999998</v>
      </c>
      <c r="EQ212" s="92">
        <f>IF(BA212="",0,VLOOKUP(O212,Tables!$B$3:$M$36,12,FALSE())*AK$1)</f>
        <v>0</v>
      </c>
      <c r="ER212" s="93">
        <f>IF(BB212="",0,VLOOKUP(P212,Tables!$B$3:$M$36,12,FALSE())*AL$1)</f>
        <v>0</v>
      </c>
      <c r="ES212" s="94">
        <f t="shared" si="223"/>
        <v>0</v>
      </c>
      <c r="ET212" s="95">
        <f>IF(AN212="",10,MIN(VLOOKUP(B212,MATERIAL,13,FALSE()),'Item Builder'!$W212))</f>
        <v>10</v>
      </c>
      <c r="EU212" s="95">
        <f>IF(AO212="",10,MIN(VLOOKUP(C212,MATERIAL,13,FALSE()),'Item Builder'!$W212))</f>
        <v>10</v>
      </c>
      <c r="EV212" s="95">
        <f>IF(AP212="",10,MIN(VLOOKUP(D212,MATERIAL,13,FALSE()),'Item Builder'!$W212))</f>
        <v>10</v>
      </c>
      <c r="EW212" s="95">
        <f>IF(AQ212="",10,MIN(VLOOKUP(E212,MATERIAL,13,FALSE()),'Item Builder'!$W212))</f>
        <v>10</v>
      </c>
      <c r="EX212" s="95">
        <f>IF(AR212="",10,MIN(VLOOKUP(F212,MATERIAL,13,FALSE()),'Item Builder'!$W212))</f>
        <v>10</v>
      </c>
      <c r="EY212" s="95">
        <f>IF(AS212="",10,MIN(VLOOKUP(G212,MATERIAL,13,FALSE()),'Item Builder'!$W212))</f>
        <v>10</v>
      </c>
      <c r="EZ212" s="95">
        <f>IF(AT212="",10,MIN(VLOOKUP(H212,MATERIAL,13,FALSE()),'Item Builder'!$W212))</f>
        <v>10</v>
      </c>
      <c r="FA212" s="95">
        <f>IF(AU212="",10,MIN(VLOOKUP(I212,MATERIAL,13,FALSE()),'Item Builder'!$W212))</f>
        <v>10</v>
      </c>
      <c r="FB212" s="95">
        <f>IF(AV212="",10,MIN(VLOOKUP(J212,MATERIAL,13,FALSE()),'Item Builder'!$W212))</f>
        <v>10</v>
      </c>
      <c r="FC212" s="95">
        <f>IF(AW212="",10,MIN(VLOOKUP(K212,MATERIAL,13,FALSE()),'Item Builder'!$W212))</f>
        <v>10</v>
      </c>
      <c r="FD212" s="95">
        <f>IF(AX212="",10,MIN(VLOOKUP(L212,MATERIAL,13,FALSE()),'Item Builder'!$W212))</f>
        <v>0</v>
      </c>
      <c r="FE212" s="95">
        <f>IF(AY212="",10,MIN(VLOOKUP(M212,MATERIAL,13,FALSE()),'Item Builder'!$W212))</f>
        <v>0</v>
      </c>
      <c r="FF212" s="95">
        <f>IF(AZ212="",10,MIN(VLOOKUP(N212,MATERIAL,13,FALSE()),'Item Builder'!$W212))</f>
        <v>0</v>
      </c>
      <c r="FG212" s="95">
        <f>IF(BA212="",10,MIN(VLOOKUP(O212,MATERIAL,13,FALSE()),'Item Builder'!$W212))</f>
        <v>10</v>
      </c>
      <c r="FH212" s="95">
        <f>IF(BB212="",10,MIN(VLOOKUP(P212,MATERIAL,13,FALSE()),'Item Builder'!$W212))</f>
        <v>10</v>
      </c>
    </row>
    <row r="213" spans="1:164" x14ac:dyDescent="0.25">
      <c r="A213" s="67" t="s">
        <v>353</v>
      </c>
      <c r="B213" s="68"/>
      <c r="C213" s="69"/>
      <c r="D213" s="70"/>
      <c r="E213" s="68"/>
      <c r="F213" s="69"/>
      <c r="G213" s="69"/>
      <c r="H213" s="69"/>
      <c r="I213" s="70"/>
      <c r="J213" s="68"/>
      <c r="K213" s="69"/>
      <c r="L213" s="70" t="s">
        <v>151</v>
      </c>
      <c r="M213" s="68" t="s">
        <v>151</v>
      </c>
      <c r="N213" s="69" t="s">
        <v>151</v>
      </c>
      <c r="O213" s="69" t="s">
        <v>151</v>
      </c>
      <c r="P213" s="71"/>
      <c r="Q213" s="72">
        <f>SUM(BV213:CJ213)*VLOOKUP(W213,Tables!$W$3:$Z$8,4)</f>
        <v>31.200000000000003</v>
      </c>
      <c r="R213" s="73">
        <f t="shared" si="168"/>
        <v>1.9500000000000002</v>
      </c>
      <c r="S213" s="74">
        <f t="shared" si="169"/>
        <v>0</v>
      </c>
      <c r="T213" s="74">
        <f t="shared" si="170"/>
        <v>0</v>
      </c>
      <c r="U213" s="75">
        <f t="shared" si="171"/>
        <v>7.8000000000000007</v>
      </c>
      <c r="V213" s="76">
        <f t="shared" si="172"/>
        <v>23.4</v>
      </c>
      <c r="W213" s="77">
        <v>0</v>
      </c>
      <c r="X213" s="78">
        <f t="shared" si="173"/>
        <v>0</v>
      </c>
      <c r="Y213" s="79">
        <f t="shared" si="174"/>
        <v>0</v>
      </c>
      <c r="Z213" s="79">
        <f t="shared" si="175"/>
        <v>0</v>
      </c>
      <c r="AA213" s="78">
        <f t="shared" si="176"/>
        <v>0</v>
      </c>
      <c r="AB213" s="79">
        <f t="shared" si="177"/>
        <v>0</v>
      </c>
      <c r="AC213" s="79">
        <f t="shared" si="178"/>
        <v>0</v>
      </c>
      <c r="AD213" s="79">
        <f t="shared" si="179"/>
        <v>0</v>
      </c>
      <c r="AE213" s="79">
        <f t="shared" si="180"/>
        <v>0</v>
      </c>
      <c r="AF213" s="78">
        <f t="shared" si="181"/>
        <v>0</v>
      </c>
      <c r="AG213" s="79">
        <f t="shared" si="182"/>
        <v>0</v>
      </c>
      <c r="AH213" s="79">
        <f t="shared" si="183"/>
        <v>1</v>
      </c>
      <c r="AI213" s="78">
        <f t="shared" si="184"/>
        <v>1</v>
      </c>
      <c r="AJ213" s="79">
        <f t="shared" si="185"/>
        <v>1</v>
      </c>
      <c r="AK213" s="79">
        <f t="shared" si="186"/>
        <v>1</v>
      </c>
      <c r="AL213" s="80">
        <f t="shared" si="187"/>
        <v>0</v>
      </c>
      <c r="AM213" s="81">
        <f t="shared" si="188"/>
        <v>0.39</v>
      </c>
      <c r="AN213" s="82" t="str">
        <f t="shared" si="189"/>
        <v/>
      </c>
      <c r="AO213" s="79" t="str">
        <f t="shared" si="190"/>
        <v/>
      </c>
      <c r="AP213" t="str">
        <f t="shared" si="191"/>
        <v/>
      </c>
      <c r="AQ213" s="82" t="str">
        <f t="shared" si="192"/>
        <v/>
      </c>
      <c r="AR213" t="str">
        <f t="shared" si="193"/>
        <v/>
      </c>
      <c r="AS213" t="str">
        <f t="shared" si="194"/>
        <v/>
      </c>
      <c r="AT213" t="str">
        <f t="shared" si="195"/>
        <v/>
      </c>
      <c r="AU213" t="str">
        <f t="shared" si="196"/>
        <v/>
      </c>
      <c r="AV213" s="82" t="str">
        <f t="shared" si="197"/>
        <v/>
      </c>
      <c r="AW213" t="str">
        <f t="shared" si="198"/>
        <v/>
      </c>
      <c r="AX213" t="str">
        <f t="shared" si="199"/>
        <v>C</v>
      </c>
      <c r="AY213" s="82" t="str">
        <f t="shared" si="200"/>
        <v>C</v>
      </c>
      <c r="AZ213" t="str">
        <f t="shared" si="201"/>
        <v>C</v>
      </c>
      <c r="BA213" t="str">
        <f t="shared" si="202"/>
        <v>C</v>
      </c>
      <c r="BB213" s="83" t="str">
        <f t="shared" si="203"/>
        <v/>
      </c>
      <c r="BC213" s="84">
        <f t="shared" si="204"/>
        <v>0</v>
      </c>
      <c r="BD213" s="84">
        <f t="shared" si="205"/>
        <v>0</v>
      </c>
      <c r="BE213" s="84">
        <f t="shared" si="206"/>
        <v>0.29411764705882359</v>
      </c>
      <c r="BF213" s="84">
        <f t="shared" si="207"/>
        <v>0.80555555555555558</v>
      </c>
      <c r="BG213" s="78">
        <f>IF(AN213="",0,VLOOKUP(AN213,Tables!$AB$3:$AC$12,2))</f>
        <v>0</v>
      </c>
      <c r="BH213" s="79">
        <f>IF(AO213="",0,VLOOKUP(AO213,Tables!$AB$3:$AC$12,2))</f>
        <v>0</v>
      </c>
      <c r="BI213" s="79">
        <f>IF(AP213="",0,VLOOKUP(AP213,Tables!$AB$3:$AC$12,2))</f>
        <v>0</v>
      </c>
      <c r="BJ213" s="78">
        <f>IF(AQ213="",0,VLOOKUP(AQ213,Tables!$AB$3:$AC$12,2))</f>
        <v>0</v>
      </c>
      <c r="BK213" s="79">
        <f>IF(AR213="",0,VLOOKUP(AR213,Tables!$AB$3:$AC$12,2))</f>
        <v>0</v>
      </c>
      <c r="BL213" s="79">
        <f>IF(AS213="",0,VLOOKUP(AS213,Tables!$AB$3:$AC$12,2))</f>
        <v>0</v>
      </c>
      <c r="BM213" s="79">
        <f>IF(AT213="",0,VLOOKUP(AT213,Tables!$AB$3:$AC$12,2))</f>
        <v>0</v>
      </c>
      <c r="BN213" s="79">
        <f>IF(AU213="",0,VLOOKUP(AU213,Tables!$AB$3:$AC$12,2))</f>
        <v>0</v>
      </c>
      <c r="BO213" s="78">
        <f>IF(AV213="",0,VLOOKUP(AV213,Tables!$AB$3:$AC$12,2))</f>
        <v>0</v>
      </c>
      <c r="BP213" s="79">
        <f>IF(AW213="",0,VLOOKUP(AW213,Tables!$AB$3:$AC$12,2))</f>
        <v>0</v>
      </c>
      <c r="BQ213" s="79">
        <f>IF(AX213="",0,VLOOKUP(AX213,Tables!$AB$3:$AC$12,2))</f>
        <v>1</v>
      </c>
      <c r="BR213" s="78">
        <f>IF(AY213="",0,VLOOKUP(AY213,Tables!$AB$3:$AC$12,2))</f>
        <v>1</v>
      </c>
      <c r="BS213" s="79">
        <f>IF(AZ213="",0,VLOOKUP(AZ213,Tables!$AB$3:$AC$12,2))</f>
        <v>1</v>
      </c>
      <c r="BT213" s="79">
        <f>IF(BA213="",0,VLOOKUP(BA213,Tables!$AB$3:$AC$12,2))</f>
        <v>1</v>
      </c>
      <c r="BU213" s="80">
        <f>IF(BB213="",0,VLOOKUP(BB213,Tables!$AB$3:$AC$12,2))</f>
        <v>0</v>
      </c>
      <c r="BV213" s="85">
        <f>IF(AN213="",0,VLOOKUP(B213,Tables!$B$3:$D$36,2,FALSE())*X$1)</f>
        <v>0</v>
      </c>
      <c r="BW213" s="72">
        <f>IF(AO213="",0,VLOOKUP(C213,Tables!$B$3:$D$36,2,FALSE())*Y$1)</f>
        <v>0</v>
      </c>
      <c r="BX213" s="72">
        <f>IF(AP213="",0,VLOOKUP(D213,Tables!$B$3:$D$36,2,FALSE())*Z$1)</f>
        <v>0</v>
      </c>
      <c r="BY213" s="85">
        <f>IF(AQ213="",0,VLOOKUP(E213,Tables!$B$3:$D$36,2,FALSE())*AA$1)</f>
        <v>0</v>
      </c>
      <c r="BZ213" s="72">
        <f>IF(AR213="",0,VLOOKUP(F213,Tables!$B$3:$D$36,2,FALSE())*AB$1)</f>
        <v>0</v>
      </c>
      <c r="CA213" s="72">
        <f>IF(AS213="",0,VLOOKUP(G213,Tables!$B$3:$D$36,2,FALSE())*AC$1)</f>
        <v>0</v>
      </c>
      <c r="CB213" s="72">
        <f>IF(AT213="",0,VLOOKUP(H213,Tables!$B$3:$D$36,2,FALSE())*AD$1)</f>
        <v>0</v>
      </c>
      <c r="CC213" s="72">
        <f>IF(AU213="",0,VLOOKUP(I213,Tables!$B$3:$D$36,2,FALSE())*AE$1)</f>
        <v>0</v>
      </c>
      <c r="CD213" s="85">
        <f>IF(AV213="",0,VLOOKUP(J213,Tables!$B$3:$D$36,2,FALSE())*AF$1)</f>
        <v>0</v>
      </c>
      <c r="CE213" s="72">
        <f>IF(AW213="",0,VLOOKUP(K213,Tables!$B$3:$D$36,2,FALSE())*AG$1)</f>
        <v>0</v>
      </c>
      <c r="CF213" s="72">
        <f>IF(AX213="",0,VLOOKUP(L213,Tables!$B$3:$D$36,2,FALSE())*AH$1)</f>
        <v>8</v>
      </c>
      <c r="CG213" s="85">
        <f>IF(AY213="",0,VLOOKUP(M213,Tables!$B$3:$D$36,2,FALSE())*AI$1)</f>
        <v>11.200000000000001</v>
      </c>
      <c r="CH213" s="72">
        <f>IF(AZ213="",0,VLOOKUP(N213,Tables!$B$3:$D$36,2,FALSE())*AJ$1)</f>
        <v>2.4</v>
      </c>
      <c r="CI213" s="72">
        <f>IF(BA213="",0,VLOOKUP(O213,Tables!$B$3:$D$36,2,FALSE())*AK$1)</f>
        <v>9.6</v>
      </c>
      <c r="CJ213" s="86">
        <f>IF(BB213="",0,VLOOKUP(P213,Tables!$B$3:$D$36,2,FALSE())*AL$1)</f>
        <v>0</v>
      </c>
      <c r="CK213" s="87">
        <f>IF(AN213="",0,VLOOKUP(B213,Tables!$B$3:$D$36,3,FALSE())*X$1)*IF(OR(AN213="K",AN213="P"),2,1)</f>
        <v>0</v>
      </c>
      <c r="CL213" s="73">
        <f>IF(AO213="",0,VLOOKUP(C213,Tables!$B$3:$D$36,3,FALSE())*Y$1)*IF(OR(AO213="K",AO213="P"),2,1)</f>
        <v>0</v>
      </c>
      <c r="CM213" s="73">
        <f>IF(AP213="",0,VLOOKUP(D213,Tables!$B$3:$D$36,3,FALSE())*Z$1)*IF(OR(AP213="K",AP213="P"),2,1)</f>
        <v>0</v>
      </c>
      <c r="CN213" s="87">
        <f>IF(AQ213="",0,VLOOKUP(E213,Tables!$B$3:$D$36,3,FALSE())*AA$1)</f>
        <v>0</v>
      </c>
      <c r="CO213" s="73">
        <f>IF(AR213="",0,VLOOKUP(F213,Tables!$B$3:$D$36,3,FALSE())*AB$1)</f>
        <v>0</v>
      </c>
      <c r="CP213" s="73">
        <f>IF(AS213="",0,VLOOKUP(G213,Tables!$B$3:$D$36,3,FALSE())*AC$1)</f>
        <v>0</v>
      </c>
      <c r="CQ213" s="73">
        <f>IF(AT213="",0,VLOOKUP(H213,Tables!$B$3:$D$36,3,FALSE())*AD$1)</f>
        <v>0</v>
      </c>
      <c r="CR213" s="73">
        <f>IF(AU213="",0,VLOOKUP(I213,Tables!$B$3:$D$36,3,FALSE())*AE$1)</f>
        <v>0</v>
      </c>
      <c r="CS213" s="87">
        <f>IF(AV213="",0,VLOOKUP(J213,Tables!$B$3:$D$36,3,FALSE())*AF$1)</f>
        <v>0</v>
      </c>
      <c r="CT213" s="73">
        <f>IF(AW213="",0,VLOOKUP(K213,Tables!$B$3:$D$36,3,FALSE())*AG$1)</f>
        <v>0</v>
      </c>
      <c r="CU213" s="73">
        <f>IF(AX213="",0,VLOOKUP(L213,Tables!$B$3:$D$36,3,FALSE())*AH$1)</f>
        <v>0.5</v>
      </c>
      <c r="CV213" s="87">
        <f>IF(AY213="",0,VLOOKUP(M213,Tables!$B$3:$D$36,3,FALSE())*AI$1)</f>
        <v>0.70000000000000007</v>
      </c>
      <c r="CW213" s="73">
        <f>IF(AZ213="",0,VLOOKUP(N213,Tables!$B$3:$D$36,3,FALSE())*AJ$1)</f>
        <v>0.15</v>
      </c>
      <c r="CX213" s="73">
        <f>IF(BA213="",0,VLOOKUP(O213,Tables!$B$3:$D$36,3,FALSE())*AK$1)</f>
        <v>0.6</v>
      </c>
      <c r="CY213" s="88">
        <f>IF(BB213="",0,VLOOKUP(P213,Tables!$B$3:$D$36,3,FALSE())*AL$1)</f>
        <v>0</v>
      </c>
      <c r="CZ213" s="89">
        <f t="shared" si="208"/>
        <v>0</v>
      </c>
      <c r="DA213" s="75">
        <f t="shared" si="209"/>
        <v>0</v>
      </c>
      <c r="DB213" s="75">
        <f t="shared" si="210"/>
        <v>0</v>
      </c>
      <c r="DC213" s="89">
        <f t="shared" si="211"/>
        <v>0</v>
      </c>
      <c r="DD213" s="75">
        <f t="shared" si="212"/>
        <v>0</v>
      </c>
      <c r="DE213" s="75">
        <f t="shared" si="213"/>
        <v>0</v>
      </c>
      <c r="DF213" s="75">
        <f t="shared" si="214"/>
        <v>0</v>
      </c>
      <c r="DG213" s="75">
        <f t="shared" si="215"/>
        <v>0</v>
      </c>
      <c r="DH213" s="89">
        <f t="shared" si="216"/>
        <v>0</v>
      </c>
      <c r="DI213" s="75">
        <f t="shared" si="217"/>
        <v>0</v>
      </c>
      <c r="DJ213" s="75">
        <f t="shared" si="218"/>
        <v>1</v>
      </c>
      <c r="DK213" s="89">
        <f t="shared" si="219"/>
        <v>1</v>
      </c>
      <c r="DL213" s="75">
        <f t="shared" si="220"/>
        <v>1</v>
      </c>
      <c r="DM213" s="75">
        <f t="shared" si="221"/>
        <v>1</v>
      </c>
      <c r="DN213" s="90">
        <f t="shared" si="222"/>
        <v>0</v>
      </c>
      <c r="DO213" s="91">
        <f>IF(AN213="",0,VLOOKUP(B213,Tables!$B$3:$M$36,11,FALSE())*X$1)</f>
        <v>0</v>
      </c>
      <c r="DP213" s="92">
        <f>IF(AO213="",0,VLOOKUP(C213,Tables!$B$3:$M$36,11,FALSE())*Y$1)</f>
        <v>0</v>
      </c>
      <c r="DQ213" s="92">
        <f>IF(AP213="",0,VLOOKUP(D213,Tables!$B$3:$M$36,11,FALSE())*Z$1)</f>
        <v>0</v>
      </c>
      <c r="DR213" s="91">
        <f>IF(AQ213="",0,VLOOKUP(E213,Tables!$B$3:$M$36,11,FALSE())*AA$1)</f>
        <v>0</v>
      </c>
      <c r="DS213" s="92">
        <f>IF(AR213="",0,VLOOKUP(F213,Tables!$B$3:$M$36,11,FALSE())*AB$1)</f>
        <v>0</v>
      </c>
      <c r="DT213" s="92">
        <f>IF(AS213="",0,VLOOKUP(G213,Tables!$B$3:$M$36,11,FALSE())*AC$1)</f>
        <v>0</v>
      </c>
      <c r="DU213" s="92">
        <f>IF(AT213="",0,VLOOKUP(H213,Tables!$B$3:$M$36,11,FALSE())*AD$1)</f>
        <v>0</v>
      </c>
      <c r="DV213" s="92">
        <f>IF(AU213="",0,VLOOKUP(I213,Tables!$B$3:$M$36,11,FALSE())*AE$1)</f>
        <v>0</v>
      </c>
      <c r="DW213" s="91">
        <f>IF(AV213="",0,VLOOKUP(J213,Tables!$B$3:$M$36,11,FALSE())*AF$1)</f>
        <v>0</v>
      </c>
      <c r="DX213" s="92">
        <f>IF(AW213="",0,VLOOKUP(K213,Tables!$B$3:$M$36,11,FALSE())*AG$1)</f>
        <v>0</v>
      </c>
      <c r="DY213" s="92">
        <f>IF(AX213="",0,VLOOKUP(L213,Tables!$B$3:$M$36,11,FALSE())*AH$1)</f>
        <v>2</v>
      </c>
      <c r="DZ213" s="91">
        <f>IF(AY213="",0,VLOOKUP(M213,Tables!$B$3:$M$36,11,FALSE())*AI$1)</f>
        <v>2.8000000000000003</v>
      </c>
      <c r="EA213" s="92">
        <f>IF(AZ213="",0,VLOOKUP(N213,Tables!$B$3:$M$36,11,FALSE())*AJ$1)</f>
        <v>0.6</v>
      </c>
      <c r="EB213" s="92">
        <f>IF(BA213="",0,VLOOKUP(O213,Tables!$B$3:$M$36,11,FALSE())*AK$1)</f>
        <v>2.4</v>
      </c>
      <c r="EC213" s="93">
        <f>IF(BB213="",0,VLOOKUP(P213,Tables!$B$3:$M$36,11,FALSE())*AL$1)</f>
        <v>0</v>
      </c>
      <c r="ED213" s="91">
        <f>IF(AN213="",0,VLOOKUP(B213,Tables!$B$3:$M$36,12,FALSE())*X$1)</f>
        <v>0</v>
      </c>
      <c r="EE213" s="92">
        <f>IF(AO213="",0,VLOOKUP(C213,Tables!$B$3:$M$36,12,FALSE())*Y$1)</f>
        <v>0</v>
      </c>
      <c r="EF213" s="92">
        <f>IF(AP213="",0,VLOOKUP(D213,Tables!$B$3:$M$36,12,FALSE())*Z$1)</f>
        <v>0</v>
      </c>
      <c r="EG213" s="91">
        <f>IF(AQ213="",0,VLOOKUP(E213,Tables!$B$3:$M$36,12,FALSE())*AA$1)</f>
        <v>0</v>
      </c>
      <c r="EH213" s="92">
        <f>IF(AR213="",0,VLOOKUP(F213,Tables!$B$3:$M$36,12,FALSE())*AB$1)</f>
        <v>0</v>
      </c>
      <c r="EI213" s="92">
        <f>IF(AS213="",0,VLOOKUP(G213,Tables!$B$3:$M$36,12,FALSE())*AC$1)</f>
        <v>0</v>
      </c>
      <c r="EJ213" s="92">
        <f>IF(AT213="",0,VLOOKUP(H213,Tables!$B$3:$M$36,12,FALSE())*AD$1)</f>
        <v>0</v>
      </c>
      <c r="EK213" s="92">
        <f>IF(AU213="",0,VLOOKUP(I213,Tables!$B$3:$M$36,12,FALSE())*AE$1)</f>
        <v>0</v>
      </c>
      <c r="EL213" s="91">
        <f>IF(AV213="",0,VLOOKUP(J213,Tables!$B$3:$M$36,12,FALSE())*AF$1)</f>
        <v>0</v>
      </c>
      <c r="EM213" s="92">
        <f>IF(AW213="",0,VLOOKUP(K213,Tables!$B$3:$M$36,12,FALSE())*AG$1)</f>
        <v>0</v>
      </c>
      <c r="EN213" s="92">
        <f>IF(AX213="",0,VLOOKUP(L213,Tables!$B$3:$M$36,12,FALSE())*AH$1)</f>
        <v>6</v>
      </c>
      <c r="EO213" s="91">
        <f>IF(AY213="",0,VLOOKUP(M213,Tables!$B$3:$M$36,12,FALSE())*AI$1)</f>
        <v>8.4</v>
      </c>
      <c r="EP213" s="92">
        <f>IF(AZ213="",0,VLOOKUP(N213,Tables!$B$3:$M$36,12,FALSE())*AJ$1)</f>
        <v>1.7999999999999998</v>
      </c>
      <c r="EQ213" s="92">
        <f>IF(BA213="",0,VLOOKUP(O213,Tables!$B$3:$M$36,12,FALSE())*AK$1)</f>
        <v>7.1999999999999993</v>
      </c>
      <c r="ER213" s="93">
        <f>IF(BB213="",0,VLOOKUP(P213,Tables!$B$3:$M$36,12,FALSE())*AL$1)</f>
        <v>0</v>
      </c>
      <c r="ES213" s="94">
        <f t="shared" si="223"/>
        <v>0</v>
      </c>
      <c r="ET213" s="95">
        <f>IF(AN213="",10,MIN(VLOOKUP(B213,MATERIAL,13,FALSE()),'Item Builder'!$W213))</f>
        <v>10</v>
      </c>
      <c r="EU213" s="95">
        <f>IF(AO213="",10,MIN(VLOOKUP(C213,MATERIAL,13,FALSE()),'Item Builder'!$W213))</f>
        <v>10</v>
      </c>
      <c r="EV213" s="95">
        <f>IF(AP213="",10,MIN(VLOOKUP(D213,MATERIAL,13,FALSE()),'Item Builder'!$W213))</f>
        <v>10</v>
      </c>
      <c r="EW213" s="95">
        <f>IF(AQ213="",10,MIN(VLOOKUP(E213,MATERIAL,13,FALSE()),'Item Builder'!$W213))</f>
        <v>10</v>
      </c>
      <c r="EX213" s="95">
        <f>IF(AR213="",10,MIN(VLOOKUP(F213,MATERIAL,13,FALSE()),'Item Builder'!$W213))</f>
        <v>10</v>
      </c>
      <c r="EY213" s="95">
        <f>IF(AS213="",10,MIN(VLOOKUP(G213,MATERIAL,13,FALSE()),'Item Builder'!$W213))</f>
        <v>10</v>
      </c>
      <c r="EZ213" s="95">
        <f>IF(AT213="",10,MIN(VLOOKUP(H213,MATERIAL,13,FALSE()),'Item Builder'!$W213))</f>
        <v>10</v>
      </c>
      <c r="FA213" s="95">
        <f>IF(AU213="",10,MIN(VLOOKUP(I213,MATERIAL,13,FALSE()),'Item Builder'!$W213))</f>
        <v>10</v>
      </c>
      <c r="FB213" s="95">
        <f>IF(AV213="",10,MIN(VLOOKUP(J213,MATERIAL,13,FALSE()),'Item Builder'!$W213))</f>
        <v>10</v>
      </c>
      <c r="FC213" s="95">
        <f>IF(AW213="",10,MIN(VLOOKUP(K213,MATERIAL,13,FALSE()),'Item Builder'!$W213))</f>
        <v>10</v>
      </c>
      <c r="FD213" s="95">
        <f>IF(AX213="",10,MIN(VLOOKUP(L213,MATERIAL,13,FALSE()),'Item Builder'!$W213))</f>
        <v>0</v>
      </c>
      <c r="FE213" s="95">
        <f>IF(AY213="",10,MIN(VLOOKUP(M213,MATERIAL,13,FALSE()),'Item Builder'!$W213))</f>
        <v>0</v>
      </c>
      <c r="FF213" s="95">
        <f>IF(AZ213="",10,MIN(VLOOKUP(N213,MATERIAL,13,FALSE()),'Item Builder'!$W213))</f>
        <v>0</v>
      </c>
      <c r="FG213" s="95">
        <f>IF(BA213="",10,MIN(VLOOKUP(O213,MATERIAL,13,FALSE()),'Item Builder'!$W213))</f>
        <v>0</v>
      </c>
      <c r="FH213" s="95">
        <f>IF(BB213="",10,MIN(VLOOKUP(P213,MATERIAL,13,FALSE()),'Item Builder'!$W213))</f>
        <v>10</v>
      </c>
    </row>
    <row r="214" spans="1:164" x14ac:dyDescent="0.25">
      <c r="A214" s="67" t="s">
        <v>354</v>
      </c>
      <c r="B214" s="68"/>
      <c r="C214" s="69"/>
      <c r="D214" s="70"/>
      <c r="E214" s="68"/>
      <c r="F214" s="69"/>
      <c r="G214" s="69"/>
      <c r="H214" s="69"/>
      <c r="I214" s="70"/>
      <c r="J214" s="68"/>
      <c r="K214" s="69"/>
      <c r="L214" s="70"/>
      <c r="M214" s="68" t="s">
        <v>151</v>
      </c>
      <c r="N214" s="69" t="s">
        <v>151</v>
      </c>
      <c r="O214" s="69" t="s">
        <v>151</v>
      </c>
      <c r="P214" s="71" t="s">
        <v>151</v>
      </c>
      <c r="Q214" s="72">
        <f>SUM(BV214:CJ214)*VLOOKUP(W214,Tables!$W$3:$Z$8,4)</f>
        <v>28.800000000000004</v>
      </c>
      <c r="R214" s="73">
        <f t="shared" si="168"/>
        <v>1.8000000000000003</v>
      </c>
      <c r="S214" s="74">
        <f t="shared" si="169"/>
        <v>0</v>
      </c>
      <c r="T214" s="74">
        <f t="shared" si="170"/>
        <v>0</v>
      </c>
      <c r="U214" s="75">
        <f t="shared" si="171"/>
        <v>7.2000000000000011</v>
      </c>
      <c r="V214" s="76">
        <f t="shared" si="172"/>
        <v>21.599999999999998</v>
      </c>
      <c r="W214" s="77">
        <v>0</v>
      </c>
      <c r="X214" s="78">
        <f t="shared" si="173"/>
        <v>0</v>
      </c>
      <c r="Y214" s="79">
        <f t="shared" si="174"/>
        <v>0</v>
      </c>
      <c r="Z214" s="79">
        <f t="shared" si="175"/>
        <v>0</v>
      </c>
      <c r="AA214" s="78">
        <f t="shared" si="176"/>
        <v>0</v>
      </c>
      <c r="AB214" s="79">
        <f t="shared" si="177"/>
        <v>0</v>
      </c>
      <c r="AC214" s="79">
        <f t="shared" si="178"/>
        <v>0</v>
      </c>
      <c r="AD214" s="79">
        <f t="shared" si="179"/>
        <v>0</v>
      </c>
      <c r="AE214" s="79">
        <f t="shared" si="180"/>
        <v>0</v>
      </c>
      <c r="AF214" s="78">
        <f t="shared" si="181"/>
        <v>0</v>
      </c>
      <c r="AG214" s="79">
        <f t="shared" si="182"/>
        <v>0</v>
      </c>
      <c r="AH214" s="79">
        <f t="shared" si="183"/>
        <v>0</v>
      </c>
      <c r="AI214" s="78">
        <f t="shared" si="184"/>
        <v>1</v>
      </c>
      <c r="AJ214" s="79">
        <f t="shared" si="185"/>
        <v>1</v>
      </c>
      <c r="AK214" s="79">
        <f t="shared" si="186"/>
        <v>1</v>
      </c>
      <c r="AL214" s="80">
        <f t="shared" si="187"/>
        <v>1</v>
      </c>
      <c r="AM214" s="81">
        <f t="shared" si="188"/>
        <v>0.36000000000000004</v>
      </c>
      <c r="AN214" s="82" t="str">
        <f t="shared" si="189"/>
        <v/>
      </c>
      <c r="AO214" s="79" t="str">
        <f t="shared" si="190"/>
        <v/>
      </c>
      <c r="AP214" t="str">
        <f t="shared" si="191"/>
        <v/>
      </c>
      <c r="AQ214" s="82" t="str">
        <f t="shared" si="192"/>
        <v/>
      </c>
      <c r="AR214" t="str">
        <f t="shared" si="193"/>
        <v/>
      </c>
      <c r="AS214" t="str">
        <f t="shared" si="194"/>
        <v/>
      </c>
      <c r="AT214" t="str">
        <f t="shared" si="195"/>
        <v/>
      </c>
      <c r="AU214" t="str">
        <f t="shared" si="196"/>
        <v/>
      </c>
      <c r="AV214" s="82" t="str">
        <f t="shared" si="197"/>
        <v/>
      </c>
      <c r="AW214" t="str">
        <f t="shared" si="198"/>
        <v/>
      </c>
      <c r="AX214" t="str">
        <f t="shared" si="199"/>
        <v/>
      </c>
      <c r="AY214" s="82" t="str">
        <f t="shared" si="200"/>
        <v>C</v>
      </c>
      <c r="AZ214" t="str">
        <f t="shared" si="201"/>
        <v>C</v>
      </c>
      <c r="BA214" t="str">
        <f t="shared" si="202"/>
        <v>C</v>
      </c>
      <c r="BB214" s="83" t="str">
        <f t="shared" si="203"/>
        <v>C</v>
      </c>
      <c r="BC214" s="84">
        <f t="shared" si="204"/>
        <v>0</v>
      </c>
      <c r="BD214" s="84">
        <f t="shared" si="205"/>
        <v>0</v>
      </c>
      <c r="BE214" s="84">
        <f t="shared" si="206"/>
        <v>0</v>
      </c>
      <c r="BF214" s="84">
        <f t="shared" si="207"/>
        <v>1</v>
      </c>
      <c r="BG214" s="78">
        <f>IF(AN214="",0,VLOOKUP(AN214,Tables!$AB$3:$AC$12,2))</f>
        <v>0</v>
      </c>
      <c r="BH214" s="79">
        <f>IF(AO214="",0,VLOOKUP(AO214,Tables!$AB$3:$AC$12,2))</f>
        <v>0</v>
      </c>
      <c r="BI214" s="79">
        <f>IF(AP214="",0,VLOOKUP(AP214,Tables!$AB$3:$AC$12,2))</f>
        <v>0</v>
      </c>
      <c r="BJ214" s="78">
        <f>IF(AQ214="",0,VLOOKUP(AQ214,Tables!$AB$3:$AC$12,2))</f>
        <v>0</v>
      </c>
      <c r="BK214" s="79">
        <f>IF(AR214="",0,VLOOKUP(AR214,Tables!$AB$3:$AC$12,2))</f>
        <v>0</v>
      </c>
      <c r="BL214" s="79">
        <f>IF(AS214="",0,VLOOKUP(AS214,Tables!$AB$3:$AC$12,2))</f>
        <v>0</v>
      </c>
      <c r="BM214" s="79">
        <f>IF(AT214="",0,VLOOKUP(AT214,Tables!$AB$3:$AC$12,2))</f>
        <v>0</v>
      </c>
      <c r="BN214" s="79">
        <f>IF(AU214="",0,VLOOKUP(AU214,Tables!$AB$3:$AC$12,2))</f>
        <v>0</v>
      </c>
      <c r="BO214" s="78">
        <f>IF(AV214="",0,VLOOKUP(AV214,Tables!$AB$3:$AC$12,2))</f>
        <v>0</v>
      </c>
      <c r="BP214" s="79">
        <f>IF(AW214="",0,VLOOKUP(AW214,Tables!$AB$3:$AC$12,2))</f>
        <v>0</v>
      </c>
      <c r="BQ214" s="79">
        <f>IF(AX214="",0,VLOOKUP(AX214,Tables!$AB$3:$AC$12,2))</f>
        <v>0</v>
      </c>
      <c r="BR214" s="78">
        <f>IF(AY214="",0,VLOOKUP(AY214,Tables!$AB$3:$AC$12,2))</f>
        <v>1</v>
      </c>
      <c r="BS214" s="79">
        <f>IF(AZ214="",0,VLOOKUP(AZ214,Tables!$AB$3:$AC$12,2))</f>
        <v>1</v>
      </c>
      <c r="BT214" s="79">
        <f>IF(BA214="",0,VLOOKUP(BA214,Tables!$AB$3:$AC$12,2))</f>
        <v>1</v>
      </c>
      <c r="BU214" s="80">
        <f>IF(BB214="",0,VLOOKUP(BB214,Tables!$AB$3:$AC$12,2))</f>
        <v>1</v>
      </c>
      <c r="BV214" s="85">
        <f>IF(AN214="",0,VLOOKUP(B214,Tables!$B$3:$D$36,2,FALSE())*X$1)</f>
        <v>0</v>
      </c>
      <c r="BW214" s="72">
        <f>IF(AO214="",0,VLOOKUP(C214,Tables!$B$3:$D$36,2,FALSE())*Y$1)</f>
        <v>0</v>
      </c>
      <c r="BX214" s="72">
        <f>IF(AP214="",0,VLOOKUP(D214,Tables!$B$3:$D$36,2,FALSE())*Z$1)</f>
        <v>0</v>
      </c>
      <c r="BY214" s="85">
        <f>IF(AQ214="",0,VLOOKUP(E214,Tables!$B$3:$D$36,2,FALSE())*AA$1)</f>
        <v>0</v>
      </c>
      <c r="BZ214" s="72">
        <f>IF(AR214="",0,VLOOKUP(F214,Tables!$B$3:$D$36,2,FALSE())*AB$1)</f>
        <v>0</v>
      </c>
      <c r="CA214" s="72">
        <f>IF(AS214="",0,VLOOKUP(G214,Tables!$B$3:$D$36,2,FALSE())*AC$1)</f>
        <v>0</v>
      </c>
      <c r="CB214" s="72">
        <f>IF(AT214="",0,VLOOKUP(H214,Tables!$B$3:$D$36,2,FALSE())*AD$1)</f>
        <v>0</v>
      </c>
      <c r="CC214" s="72">
        <f>IF(AU214="",0,VLOOKUP(I214,Tables!$B$3:$D$36,2,FALSE())*AE$1)</f>
        <v>0</v>
      </c>
      <c r="CD214" s="85">
        <f>IF(AV214="",0,VLOOKUP(J214,Tables!$B$3:$D$36,2,FALSE())*AF$1)</f>
        <v>0</v>
      </c>
      <c r="CE214" s="72">
        <f>IF(AW214="",0,VLOOKUP(K214,Tables!$B$3:$D$36,2,FALSE())*AG$1)</f>
        <v>0</v>
      </c>
      <c r="CF214" s="72">
        <f>IF(AX214="",0,VLOOKUP(L214,Tables!$B$3:$D$36,2,FALSE())*AH$1)</f>
        <v>0</v>
      </c>
      <c r="CG214" s="85">
        <f>IF(AY214="",0,VLOOKUP(M214,Tables!$B$3:$D$36,2,FALSE())*AI$1)</f>
        <v>11.200000000000001</v>
      </c>
      <c r="CH214" s="72">
        <f>IF(AZ214="",0,VLOOKUP(N214,Tables!$B$3:$D$36,2,FALSE())*AJ$1)</f>
        <v>2.4</v>
      </c>
      <c r="CI214" s="72">
        <f>IF(BA214="",0,VLOOKUP(O214,Tables!$B$3:$D$36,2,FALSE())*AK$1)</f>
        <v>9.6</v>
      </c>
      <c r="CJ214" s="86">
        <f>IF(BB214="",0,VLOOKUP(P214,Tables!$B$3:$D$36,2,FALSE())*AL$1)</f>
        <v>5.6000000000000005</v>
      </c>
      <c r="CK214" s="87">
        <f>IF(AN214="",0,VLOOKUP(B214,Tables!$B$3:$D$36,3,FALSE())*X$1)*IF(OR(AN214="K",AN214="P"),2,1)</f>
        <v>0</v>
      </c>
      <c r="CL214" s="73">
        <f>IF(AO214="",0,VLOOKUP(C214,Tables!$B$3:$D$36,3,FALSE())*Y$1)*IF(OR(AO214="K",AO214="P"),2,1)</f>
        <v>0</v>
      </c>
      <c r="CM214" s="73">
        <f>IF(AP214="",0,VLOOKUP(D214,Tables!$B$3:$D$36,3,FALSE())*Z$1)*IF(OR(AP214="K",AP214="P"),2,1)</f>
        <v>0</v>
      </c>
      <c r="CN214" s="87">
        <f>IF(AQ214="",0,VLOOKUP(E214,Tables!$B$3:$D$36,3,FALSE())*AA$1)</f>
        <v>0</v>
      </c>
      <c r="CO214" s="73">
        <f>IF(AR214="",0,VLOOKUP(F214,Tables!$B$3:$D$36,3,FALSE())*AB$1)</f>
        <v>0</v>
      </c>
      <c r="CP214" s="73">
        <f>IF(AS214="",0,VLOOKUP(G214,Tables!$B$3:$D$36,3,FALSE())*AC$1)</f>
        <v>0</v>
      </c>
      <c r="CQ214" s="73">
        <f>IF(AT214="",0,VLOOKUP(H214,Tables!$B$3:$D$36,3,FALSE())*AD$1)</f>
        <v>0</v>
      </c>
      <c r="CR214" s="73">
        <f>IF(AU214="",0,VLOOKUP(I214,Tables!$B$3:$D$36,3,FALSE())*AE$1)</f>
        <v>0</v>
      </c>
      <c r="CS214" s="87">
        <f>IF(AV214="",0,VLOOKUP(J214,Tables!$B$3:$D$36,3,FALSE())*AF$1)</f>
        <v>0</v>
      </c>
      <c r="CT214" s="73">
        <f>IF(AW214="",0,VLOOKUP(K214,Tables!$B$3:$D$36,3,FALSE())*AG$1)</f>
        <v>0</v>
      </c>
      <c r="CU214" s="73">
        <f>IF(AX214="",0,VLOOKUP(L214,Tables!$B$3:$D$36,3,FALSE())*AH$1)</f>
        <v>0</v>
      </c>
      <c r="CV214" s="87">
        <f>IF(AY214="",0,VLOOKUP(M214,Tables!$B$3:$D$36,3,FALSE())*AI$1)</f>
        <v>0.70000000000000007</v>
      </c>
      <c r="CW214" s="73">
        <f>IF(AZ214="",0,VLOOKUP(N214,Tables!$B$3:$D$36,3,FALSE())*AJ$1)</f>
        <v>0.15</v>
      </c>
      <c r="CX214" s="73">
        <f>IF(BA214="",0,VLOOKUP(O214,Tables!$B$3:$D$36,3,FALSE())*AK$1)</f>
        <v>0.6</v>
      </c>
      <c r="CY214" s="88">
        <f>IF(BB214="",0,VLOOKUP(P214,Tables!$B$3:$D$36,3,FALSE())*AL$1)</f>
        <v>0.35000000000000003</v>
      </c>
      <c r="CZ214" s="89">
        <f t="shared" si="208"/>
        <v>0</v>
      </c>
      <c r="DA214" s="75">
        <f t="shared" si="209"/>
        <v>0</v>
      </c>
      <c r="DB214" s="75">
        <f t="shared" si="210"/>
        <v>0</v>
      </c>
      <c r="DC214" s="89">
        <f t="shared" si="211"/>
        <v>0</v>
      </c>
      <c r="DD214" s="75">
        <f t="shared" si="212"/>
        <v>0</v>
      </c>
      <c r="DE214" s="75">
        <f t="shared" si="213"/>
        <v>0</v>
      </c>
      <c r="DF214" s="75">
        <f t="shared" si="214"/>
        <v>0</v>
      </c>
      <c r="DG214" s="75">
        <f t="shared" si="215"/>
        <v>0</v>
      </c>
      <c r="DH214" s="89">
        <f t="shared" si="216"/>
        <v>0</v>
      </c>
      <c r="DI214" s="75">
        <f t="shared" si="217"/>
        <v>0</v>
      </c>
      <c r="DJ214" s="75">
        <f t="shared" si="218"/>
        <v>0</v>
      </c>
      <c r="DK214" s="89">
        <f t="shared" si="219"/>
        <v>1</v>
      </c>
      <c r="DL214" s="75">
        <f t="shared" si="220"/>
        <v>1</v>
      </c>
      <c r="DM214" s="75">
        <f t="shared" si="221"/>
        <v>1</v>
      </c>
      <c r="DN214" s="90">
        <f t="shared" si="222"/>
        <v>1</v>
      </c>
      <c r="DO214" s="91">
        <f>IF(AN214="",0,VLOOKUP(B214,Tables!$B$3:$M$36,11,FALSE())*X$1)</f>
        <v>0</v>
      </c>
      <c r="DP214" s="92">
        <f>IF(AO214="",0,VLOOKUP(C214,Tables!$B$3:$M$36,11,FALSE())*Y$1)</f>
        <v>0</v>
      </c>
      <c r="DQ214" s="92">
        <f>IF(AP214="",0,VLOOKUP(D214,Tables!$B$3:$M$36,11,FALSE())*Z$1)</f>
        <v>0</v>
      </c>
      <c r="DR214" s="91">
        <f>IF(AQ214="",0,VLOOKUP(E214,Tables!$B$3:$M$36,11,FALSE())*AA$1)</f>
        <v>0</v>
      </c>
      <c r="DS214" s="92">
        <f>IF(AR214="",0,VLOOKUP(F214,Tables!$B$3:$M$36,11,FALSE())*AB$1)</f>
        <v>0</v>
      </c>
      <c r="DT214" s="92">
        <f>IF(AS214="",0,VLOOKUP(G214,Tables!$B$3:$M$36,11,FALSE())*AC$1)</f>
        <v>0</v>
      </c>
      <c r="DU214" s="92">
        <f>IF(AT214="",0,VLOOKUP(H214,Tables!$B$3:$M$36,11,FALSE())*AD$1)</f>
        <v>0</v>
      </c>
      <c r="DV214" s="92">
        <f>IF(AU214="",0,VLOOKUP(I214,Tables!$B$3:$M$36,11,FALSE())*AE$1)</f>
        <v>0</v>
      </c>
      <c r="DW214" s="91">
        <f>IF(AV214="",0,VLOOKUP(J214,Tables!$B$3:$M$36,11,FALSE())*AF$1)</f>
        <v>0</v>
      </c>
      <c r="DX214" s="92">
        <f>IF(AW214="",0,VLOOKUP(K214,Tables!$B$3:$M$36,11,FALSE())*AG$1)</f>
        <v>0</v>
      </c>
      <c r="DY214" s="92">
        <f>IF(AX214="",0,VLOOKUP(L214,Tables!$B$3:$M$36,11,FALSE())*AH$1)</f>
        <v>0</v>
      </c>
      <c r="DZ214" s="91">
        <f>IF(AY214="",0,VLOOKUP(M214,Tables!$B$3:$M$36,11,FALSE())*AI$1)</f>
        <v>2.8000000000000003</v>
      </c>
      <c r="EA214" s="92">
        <f>IF(AZ214="",0,VLOOKUP(N214,Tables!$B$3:$M$36,11,FALSE())*AJ$1)</f>
        <v>0.6</v>
      </c>
      <c r="EB214" s="92">
        <f>IF(BA214="",0,VLOOKUP(O214,Tables!$B$3:$M$36,11,FALSE())*AK$1)</f>
        <v>2.4</v>
      </c>
      <c r="EC214" s="93">
        <f>IF(BB214="",0,VLOOKUP(P214,Tables!$B$3:$M$36,11,FALSE())*AL$1)</f>
        <v>1.4000000000000001</v>
      </c>
      <c r="ED214" s="91">
        <f>IF(AN214="",0,VLOOKUP(B214,Tables!$B$3:$M$36,12,FALSE())*X$1)</f>
        <v>0</v>
      </c>
      <c r="EE214" s="92">
        <f>IF(AO214="",0,VLOOKUP(C214,Tables!$B$3:$M$36,12,FALSE())*Y$1)</f>
        <v>0</v>
      </c>
      <c r="EF214" s="92">
        <f>IF(AP214="",0,VLOOKUP(D214,Tables!$B$3:$M$36,12,FALSE())*Z$1)</f>
        <v>0</v>
      </c>
      <c r="EG214" s="91">
        <f>IF(AQ214="",0,VLOOKUP(E214,Tables!$B$3:$M$36,12,FALSE())*AA$1)</f>
        <v>0</v>
      </c>
      <c r="EH214" s="92">
        <f>IF(AR214="",0,VLOOKUP(F214,Tables!$B$3:$M$36,12,FALSE())*AB$1)</f>
        <v>0</v>
      </c>
      <c r="EI214" s="92">
        <f>IF(AS214="",0,VLOOKUP(G214,Tables!$B$3:$M$36,12,FALSE())*AC$1)</f>
        <v>0</v>
      </c>
      <c r="EJ214" s="92">
        <f>IF(AT214="",0,VLOOKUP(H214,Tables!$B$3:$M$36,12,FALSE())*AD$1)</f>
        <v>0</v>
      </c>
      <c r="EK214" s="92">
        <f>IF(AU214="",0,VLOOKUP(I214,Tables!$B$3:$M$36,12,FALSE())*AE$1)</f>
        <v>0</v>
      </c>
      <c r="EL214" s="91">
        <f>IF(AV214="",0,VLOOKUP(J214,Tables!$B$3:$M$36,12,FALSE())*AF$1)</f>
        <v>0</v>
      </c>
      <c r="EM214" s="92">
        <f>IF(AW214="",0,VLOOKUP(K214,Tables!$B$3:$M$36,12,FALSE())*AG$1)</f>
        <v>0</v>
      </c>
      <c r="EN214" s="92">
        <f>IF(AX214="",0,VLOOKUP(L214,Tables!$B$3:$M$36,12,FALSE())*AH$1)</f>
        <v>0</v>
      </c>
      <c r="EO214" s="91">
        <f>IF(AY214="",0,VLOOKUP(M214,Tables!$B$3:$M$36,12,FALSE())*AI$1)</f>
        <v>8.4</v>
      </c>
      <c r="EP214" s="92">
        <f>IF(AZ214="",0,VLOOKUP(N214,Tables!$B$3:$M$36,12,FALSE())*AJ$1)</f>
        <v>1.7999999999999998</v>
      </c>
      <c r="EQ214" s="92">
        <f>IF(BA214="",0,VLOOKUP(O214,Tables!$B$3:$M$36,12,FALSE())*AK$1)</f>
        <v>7.1999999999999993</v>
      </c>
      <c r="ER214" s="93">
        <f>IF(BB214="",0,VLOOKUP(P214,Tables!$B$3:$M$36,12,FALSE())*AL$1)</f>
        <v>4.2</v>
      </c>
      <c r="ES214" s="94">
        <f t="shared" si="223"/>
        <v>0</v>
      </c>
      <c r="ET214" s="95">
        <f>IF(AN214="",10,MIN(VLOOKUP(B214,MATERIAL,13,FALSE()),'Item Builder'!$W214))</f>
        <v>10</v>
      </c>
      <c r="EU214" s="95">
        <f>IF(AO214="",10,MIN(VLOOKUP(C214,MATERIAL,13,FALSE()),'Item Builder'!$W214))</f>
        <v>10</v>
      </c>
      <c r="EV214" s="95">
        <f>IF(AP214="",10,MIN(VLOOKUP(D214,MATERIAL,13,FALSE()),'Item Builder'!$W214))</f>
        <v>10</v>
      </c>
      <c r="EW214" s="95">
        <f>IF(AQ214="",10,MIN(VLOOKUP(E214,MATERIAL,13,FALSE()),'Item Builder'!$W214))</f>
        <v>10</v>
      </c>
      <c r="EX214" s="95">
        <f>IF(AR214="",10,MIN(VLOOKUP(F214,MATERIAL,13,FALSE()),'Item Builder'!$W214))</f>
        <v>10</v>
      </c>
      <c r="EY214" s="95">
        <f>IF(AS214="",10,MIN(VLOOKUP(G214,MATERIAL,13,FALSE()),'Item Builder'!$W214))</f>
        <v>10</v>
      </c>
      <c r="EZ214" s="95">
        <f>IF(AT214="",10,MIN(VLOOKUP(H214,MATERIAL,13,FALSE()),'Item Builder'!$W214))</f>
        <v>10</v>
      </c>
      <c r="FA214" s="95">
        <f>IF(AU214="",10,MIN(VLOOKUP(I214,MATERIAL,13,FALSE()),'Item Builder'!$W214))</f>
        <v>10</v>
      </c>
      <c r="FB214" s="95">
        <f>IF(AV214="",10,MIN(VLOOKUP(J214,MATERIAL,13,FALSE()),'Item Builder'!$W214))</f>
        <v>10</v>
      </c>
      <c r="FC214" s="95">
        <f>IF(AW214="",10,MIN(VLOOKUP(K214,MATERIAL,13,FALSE()),'Item Builder'!$W214))</f>
        <v>10</v>
      </c>
      <c r="FD214" s="95">
        <f>IF(AX214="",10,MIN(VLOOKUP(L214,MATERIAL,13,FALSE()),'Item Builder'!$W214))</f>
        <v>10</v>
      </c>
      <c r="FE214" s="95">
        <f>IF(AY214="",10,MIN(VLOOKUP(M214,MATERIAL,13,FALSE()),'Item Builder'!$W214))</f>
        <v>0</v>
      </c>
      <c r="FF214" s="95">
        <f>IF(AZ214="",10,MIN(VLOOKUP(N214,MATERIAL,13,FALSE()),'Item Builder'!$W214))</f>
        <v>0</v>
      </c>
      <c r="FG214" s="95">
        <f>IF(BA214="",10,MIN(VLOOKUP(O214,MATERIAL,13,FALSE()),'Item Builder'!$W214))</f>
        <v>0</v>
      </c>
      <c r="FH214" s="95">
        <f>IF(BB214="",10,MIN(VLOOKUP(P214,MATERIAL,13,FALSE()),'Item Builder'!$W214))</f>
        <v>0</v>
      </c>
    </row>
    <row r="215" spans="1:164" x14ac:dyDescent="0.25">
      <c r="A215" s="67" t="s">
        <v>355</v>
      </c>
      <c r="B215" s="68"/>
      <c r="C215" s="69"/>
      <c r="D215" s="70"/>
      <c r="E215" s="68"/>
      <c r="F215" s="69"/>
      <c r="G215" s="69"/>
      <c r="H215" s="69"/>
      <c r="I215" s="70"/>
      <c r="J215" s="68"/>
      <c r="K215" s="69"/>
      <c r="L215" s="70"/>
      <c r="M215" s="68"/>
      <c r="N215" s="69"/>
      <c r="O215" s="69" t="s">
        <v>151</v>
      </c>
      <c r="P215" s="71" t="s">
        <v>151</v>
      </c>
      <c r="Q215" s="72">
        <f>SUM(BV215:CJ215)*VLOOKUP(W215,Tables!$W$3:$Z$8,4)</f>
        <v>15.2</v>
      </c>
      <c r="R215" s="73">
        <f t="shared" si="168"/>
        <v>0.95</v>
      </c>
      <c r="S215" s="74">
        <f t="shared" si="169"/>
        <v>0</v>
      </c>
      <c r="T215" s="74">
        <f t="shared" si="170"/>
        <v>0</v>
      </c>
      <c r="U215" s="75">
        <f t="shared" si="171"/>
        <v>3.8</v>
      </c>
      <c r="V215" s="76">
        <f t="shared" si="172"/>
        <v>11.399999999999999</v>
      </c>
      <c r="W215" s="77">
        <v>0</v>
      </c>
      <c r="X215" s="78">
        <f t="shared" si="173"/>
        <v>0</v>
      </c>
      <c r="Y215" s="79">
        <f t="shared" si="174"/>
        <v>0</v>
      </c>
      <c r="Z215" s="79">
        <f t="shared" si="175"/>
        <v>0</v>
      </c>
      <c r="AA215" s="78">
        <f t="shared" si="176"/>
        <v>0</v>
      </c>
      <c r="AB215" s="79">
        <f t="shared" si="177"/>
        <v>0</v>
      </c>
      <c r="AC215" s="79">
        <f t="shared" si="178"/>
        <v>0</v>
      </c>
      <c r="AD215" s="79">
        <f t="shared" si="179"/>
        <v>0</v>
      </c>
      <c r="AE215" s="79">
        <f t="shared" si="180"/>
        <v>0</v>
      </c>
      <c r="AF215" s="78">
        <f t="shared" si="181"/>
        <v>0</v>
      </c>
      <c r="AG215" s="79">
        <f t="shared" si="182"/>
        <v>0</v>
      </c>
      <c r="AH215" s="79">
        <f t="shared" si="183"/>
        <v>0</v>
      </c>
      <c r="AI215" s="78">
        <f t="shared" si="184"/>
        <v>0</v>
      </c>
      <c r="AJ215" s="79">
        <f t="shared" si="185"/>
        <v>0</v>
      </c>
      <c r="AK215" s="79">
        <f t="shared" si="186"/>
        <v>1</v>
      </c>
      <c r="AL215" s="80">
        <f t="shared" si="187"/>
        <v>1</v>
      </c>
      <c r="AM215" s="81">
        <f t="shared" si="188"/>
        <v>0.19</v>
      </c>
      <c r="AN215" s="82" t="str">
        <f t="shared" si="189"/>
        <v/>
      </c>
      <c r="AO215" s="79" t="str">
        <f t="shared" si="190"/>
        <v/>
      </c>
      <c r="AP215" t="str">
        <f t="shared" si="191"/>
        <v/>
      </c>
      <c r="AQ215" s="82" t="str">
        <f t="shared" si="192"/>
        <v/>
      </c>
      <c r="AR215" t="str">
        <f t="shared" si="193"/>
        <v/>
      </c>
      <c r="AS215" t="str">
        <f t="shared" si="194"/>
        <v/>
      </c>
      <c r="AT215" t="str">
        <f t="shared" si="195"/>
        <v/>
      </c>
      <c r="AU215" t="str">
        <f t="shared" si="196"/>
        <v/>
      </c>
      <c r="AV215" s="82" t="str">
        <f t="shared" si="197"/>
        <v/>
      </c>
      <c r="AW215" t="str">
        <f t="shared" si="198"/>
        <v/>
      </c>
      <c r="AX215" t="str">
        <f t="shared" si="199"/>
        <v/>
      </c>
      <c r="AY215" s="82" t="str">
        <f t="shared" si="200"/>
        <v/>
      </c>
      <c r="AZ215" t="str">
        <f t="shared" si="201"/>
        <v/>
      </c>
      <c r="BA215" t="str">
        <f t="shared" si="202"/>
        <v>C</v>
      </c>
      <c r="BB215" s="83" t="str">
        <f t="shared" si="203"/>
        <v>C</v>
      </c>
      <c r="BC215" s="84">
        <f t="shared" si="204"/>
        <v>0</v>
      </c>
      <c r="BD215" s="84">
        <f t="shared" si="205"/>
        <v>0</v>
      </c>
      <c r="BE215" s="84">
        <f t="shared" si="206"/>
        <v>0</v>
      </c>
      <c r="BF215" s="84">
        <f t="shared" si="207"/>
        <v>0.52777777777777768</v>
      </c>
      <c r="BG215" s="78">
        <f>IF(AN215="",0,VLOOKUP(AN215,Tables!$AB$3:$AC$12,2))</f>
        <v>0</v>
      </c>
      <c r="BH215" s="79">
        <f>IF(AO215="",0,VLOOKUP(AO215,Tables!$AB$3:$AC$12,2))</f>
        <v>0</v>
      </c>
      <c r="BI215" s="79">
        <f>IF(AP215="",0,VLOOKUP(AP215,Tables!$AB$3:$AC$12,2))</f>
        <v>0</v>
      </c>
      <c r="BJ215" s="78">
        <f>IF(AQ215="",0,VLOOKUP(AQ215,Tables!$AB$3:$AC$12,2))</f>
        <v>0</v>
      </c>
      <c r="BK215" s="79">
        <f>IF(AR215="",0,VLOOKUP(AR215,Tables!$AB$3:$AC$12,2))</f>
        <v>0</v>
      </c>
      <c r="BL215" s="79">
        <f>IF(AS215="",0,VLOOKUP(AS215,Tables!$AB$3:$AC$12,2))</f>
        <v>0</v>
      </c>
      <c r="BM215" s="79">
        <f>IF(AT215="",0,VLOOKUP(AT215,Tables!$AB$3:$AC$12,2))</f>
        <v>0</v>
      </c>
      <c r="BN215" s="79">
        <f>IF(AU215="",0,VLOOKUP(AU215,Tables!$AB$3:$AC$12,2))</f>
        <v>0</v>
      </c>
      <c r="BO215" s="78">
        <f>IF(AV215="",0,VLOOKUP(AV215,Tables!$AB$3:$AC$12,2))</f>
        <v>0</v>
      </c>
      <c r="BP215" s="79">
        <f>IF(AW215="",0,VLOOKUP(AW215,Tables!$AB$3:$AC$12,2))</f>
        <v>0</v>
      </c>
      <c r="BQ215" s="79">
        <f>IF(AX215="",0,VLOOKUP(AX215,Tables!$AB$3:$AC$12,2))</f>
        <v>0</v>
      </c>
      <c r="BR215" s="78">
        <f>IF(AY215="",0,VLOOKUP(AY215,Tables!$AB$3:$AC$12,2))</f>
        <v>0</v>
      </c>
      <c r="BS215" s="79">
        <f>IF(AZ215="",0,VLOOKUP(AZ215,Tables!$AB$3:$AC$12,2))</f>
        <v>0</v>
      </c>
      <c r="BT215" s="79">
        <f>IF(BA215="",0,VLOOKUP(BA215,Tables!$AB$3:$AC$12,2))</f>
        <v>1</v>
      </c>
      <c r="BU215" s="80">
        <f>IF(BB215="",0,VLOOKUP(BB215,Tables!$AB$3:$AC$12,2))</f>
        <v>1</v>
      </c>
      <c r="BV215" s="85">
        <f>IF(AN215="",0,VLOOKUP(B215,Tables!$B$3:$D$36,2,FALSE())*X$1)</f>
        <v>0</v>
      </c>
      <c r="BW215" s="72">
        <f>IF(AO215="",0,VLOOKUP(C215,Tables!$B$3:$D$36,2,FALSE())*Y$1)</f>
        <v>0</v>
      </c>
      <c r="BX215" s="72">
        <f>IF(AP215="",0,VLOOKUP(D215,Tables!$B$3:$D$36,2,FALSE())*Z$1)</f>
        <v>0</v>
      </c>
      <c r="BY215" s="85">
        <f>IF(AQ215="",0,VLOOKUP(E215,Tables!$B$3:$D$36,2,FALSE())*AA$1)</f>
        <v>0</v>
      </c>
      <c r="BZ215" s="72">
        <f>IF(AR215="",0,VLOOKUP(F215,Tables!$B$3:$D$36,2,FALSE())*AB$1)</f>
        <v>0</v>
      </c>
      <c r="CA215" s="72">
        <f>IF(AS215="",0,VLOOKUP(G215,Tables!$B$3:$D$36,2,FALSE())*AC$1)</f>
        <v>0</v>
      </c>
      <c r="CB215" s="72">
        <f>IF(AT215="",0,VLOOKUP(H215,Tables!$B$3:$D$36,2,FALSE())*AD$1)</f>
        <v>0</v>
      </c>
      <c r="CC215" s="72">
        <f>IF(AU215="",0,VLOOKUP(I215,Tables!$B$3:$D$36,2,FALSE())*AE$1)</f>
        <v>0</v>
      </c>
      <c r="CD215" s="85">
        <f>IF(AV215="",0,VLOOKUP(J215,Tables!$B$3:$D$36,2,FALSE())*AF$1)</f>
        <v>0</v>
      </c>
      <c r="CE215" s="72">
        <f>IF(AW215="",0,VLOOKUP(K215,Tables!$B$3:$D$36,2,FALSE())*AG$1)</f>
        <v>0</v>
      </c>
      <c r="CF215" s="72">
        <f>IF(AX215="",0,VLOOKUP(L215,Tables!$B$3:$D$36,2,FALSE())*AH$1)</f>
        <v>0</v>
      </c>
      <c r="CG215" s="85">
        <f>IF(AY215="",0,VLOOKUP(M215,Tables!$B$3:$D$36,2,FALSE())*AI$1)</f>
        <v>0</v>
      </c>
      <c r="CH215" s="72">
        <f>IF(AZ215="",0,VLOOKUP(N215,Tables!$B$3:$D$36,2,FALSE())*AJ$1)</f>
        <v>0</v>
      </c>
      <c r="CI215" s="72">
        <f>IF(BA215="",0,VLOOKUP(O215,Tables!$B$3:$D$36,2,FALSE())*AK$1)</f>
        <v>9.6</v>
      </c>
      <c r="CJ215" s="86">
        <f>IF(BB215="",0,VLOOKUP(P215,Tables!$B$3:$D$36,2,FALSE())*AL$1)</f>
        <v>5.6000000000000005</v>
      </c>
      <c r="CK215" s="87">
        <f>IF(AN215="",0,VLOOKUP(B215,Tables!$B$3:$D$36,3,FALSE())*X$1)*IF(OR(AN215="K",AN215="P"),2,1)</f>
        <v>0</v>
      </c>
      <c r="CL215" s="73">
        <f>IF(AO215="",0,VLOOKUP(C215,Tables!$B$3:$D$36,3,FALSE())*Y$1)*IF(OR(AO215="K",AO215="P"),2,1)</f>
        <v>0</v>
      </c>
      <c r="CM215" s="73">
        <f>IF(AP215="",0,VLOOKUP(D215,Tables!$B$3:$D$36,3,FALSE())*Z$1)*IF(OR(AP215="K",AP215="P"),2,1)</f>
        <v>0</v>
      </c>
      <c r="CN215" s="87">
        <f>IF(AQ215="",0,VLOOKUP(E215,Tables!$B$3:$D$36,3,FALSE())*AA$1)</f>
        <v>0</v>
      </c>
      <c r="CO215" s="73">
        <f>IF(AR215="",0,VLOOKUP(F215,Tables!$B$3:$D$36,3,FALSE())*AB$1)</f>
        <v>0</v>
      </c>
      <c r="CP215" s="73">
        <f>IF(AS215="",0,VLOOKUP(G215,Tables!$B$3:$D$36,3,FALSE())*AC$1)</f>
        <v>0</v>
      </c>
      <c r="CQ215" s="73">
        <f>IF(AT215="",0,VLOOKUP(H215,Tables!$B$3:$D$36,3,FALSE())*AD$1)</f>
        <v>0</v>
      </c>
      <c r="CR215" s="73">
        <f>IF(AU215="",0,VLOOKUP(I215,Tables!$B$3:$D$36,3,FALSE())*AE$1)</f>
        <v>0</v>
      </c>
      <c r="CS215" s="87">
        <f>IF(AV215="",0,VLOOKUP(J215,Tables!$B$3:$D$36,3,FALSE())*AF$1)</f>
        <v>0</v>
      </c>
      <c r="CT215" s="73">
        <f>IF(AW215="",0,VLOOKUP(K215,Tables!$B$3:$D$36,3,FALSE())*AG$1)</f>
        <v>0</v>
      </c>
      <c r="CU215" s="73">
        <f>IF(AX215="",0,VLOOKUP(L215,Tables!$B$3:$D$36,3,FALSE())*AH$1)</f>
        <v>0</v>
      </c>
      <c r="CV215" s="87">
        <f>IF(AY215="",0,VLOOKUP(M215,Tables!$B$3:$D$36,3,FALSE())*AI$1)</f>
        <v>0</v>
      </c>
      <c r="CW215" s="73">
        <f>IF(AZ215="",0,VLOOKUP(N215,Tables!$B$3:$D$36,3,FALSE())*AJ$1)</f>
        <v>0</v>
      </c>
      <c r="CX215" s="73">
        <f>IF(BA215="",0,VLOOKUP(O215,Tables!$B$3:$D$36,3,FALSE())*AK$1)</f>
        <v>0.6</v>
      </c>
      <c r="CY215" s="88">
        <f>IF(BB215="",0,VLOOKUP(P215,Tables!$B$3:$D$36,3,FALSE())*AL$1)</f>
        <v>0.35000000000000003</v>
      </c>
      <c r="CZ215" s="89">
        <f t="shared" si="208"/>
        <v>0</v>
      </c>
      <c r="DA215" s="75">
        <f t="shared" si="209"/>
        <v>0</v>
      </c>
      <c r="DB215" s="75">
        <f t="shared" si="210"/>
        <v>0</v>
      </c>
      <c r="DC215" s="89">
        <f t="shared" si="211"/>
        <v>0</v>
      </c>
      <c r="DD215" s="75">
        <f t="shared" si="212"/>
        <v>0</v>
      </c>
      <c r="DE215" s="75">
        <f t="shared" si="213"/>
        <v>0</v>
      </c>
      <c r="DF215" s="75">
        <f t="shared" si="214"/>
        <v>0</v>
      </c>
      <c r="DG215" s="75">
        <f t="shared" si="215"/>
        <v>0</v>
      </c>
      <c r="DH215" s="89">
        <f t="shared" si="216"/>
        <v>0</v>
      </c>
      <c r="DI215" s="75">
        <f t="shared" si="217"/>
        <v>0</v>
      </c>
      <c r="DJ215" s="75">
        <f t="shared" si="218"/>
        <v>0</v>
      </c>
      <c r="DK215" s="89">
        <f t="shared" si="219"/>
        <v>0</v>
      </c>
      <c r="DL215" s="75">
        <f t="shared" si="220"/>
        <v>0</v>
      </c>
      <c r="DM215" s="75">
        <f t="shared" si="221"/>
        <v>1</v>
      </c>
      <c r="DN215" s="90">
        <f t="shared" si="222"/>
        <v>1</v>
      </c>
      <c r="DO215" s="91">
        <f>IF(AN215="",0,VLOOKUP(B215,Tables!$B$3:$M$36,11,FALSE())*X$1)</f>
        <v>0</v>
      </c>
      <c r="DP215" s="92">
        <f>IF(AO215="",0,VLOOKUP(C215,Tables!$B$3:$M$36,11,FALSE())*Y$1)</f>
        <v>0</v>
      </c>
      <c r="DQ215" s="92">
        <f>IF(AP215="",0,VLOOKUP(D215,Tables!$B$3:$M$36,11,FALSE())*Z$1)</f>
        <v>0</v>
      </c>
      <c r="DR215" s="91">
        <f>IF(AQ215="",0,VLOOKUP(E215,Tables!$B$3:$M$36,11,FALSE())*AA$1)</f>
        <v>0</v>
      </c>
      <c r="DS215" s="92">
        <f>IF(AR215="",0,VLOOKUP(F215,Tables!$B$3:$M$36,11,FALSE())*AB$1)</f>
        <v>0</v>
      </c>
      <c r="DT215" s="92">
        <f>IF(AS215="",0,VLOOKUP(G215,Tables!$B$3:$M$36,11,FALSE())*AC$1)</f>
        <v>0</v>
      </c>
      <c r="DU215" s="92">
        <f>IF(AT215="",0,VLOOKUP(H215,Tables!$B$3:$M$36,11,FALSE())*AD$1)</f>
        <v>0</v>
      </c>
      <c r="DV215" s="92">
        <f>IF(AU215="",0,VLOOKUP(I215,Tables!$B$3:$M$36,11,FALSE())*AE$1)</f>
        <v>0</v>
      </c>
      <c r="DW215" s="91">
        <f>IF(AV215="",0,VLOOKUP(J215,Tables!$B$3:$M$36,11,FALSE())*AF$1)</f>
        <v>0</v>
      </c>
      <c r="DX215" s="92">
        <f>IF(AW215="",0,VLOOKUP(K215,Tables!$B$3:$M$36,11,FALSE())*AG$1)</f>
        <v>0</v>
      </c>
      <c r="DY215" s="92">
        <f>IF(AX215="",0,VLOOKUP(L215,Tables!$B$3:$M$36,11,FALSE())*AH$1)</f>
        <v>0</v>
      </c>
      <c r="DZ215" s="91">
        <f>IF(AY215="",0,VLOOKUP(M215,Tables!$B$3:$M$36,11,FALSE())*AI$1)</f>
        <v>0</v>
      </c>
      <c r="EA215" s="92">
        <f>IF(AZ215="",0,VLOOKUP(N215,Tables!$B$3:$M$36,11,FALSE())*AJ$1)</f>
        <v>0</v>
      </c>
      <c r="EB215" s="92">
        <f>IF(BA215="",0,VLOOKUP(O215,Tables!$B$3:$M$36,11,FALSE())*AK$1)</f>
        <v>2.4</v>
      </c>
      <c r="EC215" s="93">
        <f>IF(BB215="",0,VLOOKUP(P215,Tables!$B$3:$M$36,11,FALSE())*AL$1)</f>
        <v>1.4000000000000001</v>
      </c>
      <c r="ED215" s="91">
        <f>IF(AN215="",0,VLOOKUP(B215,Tables!$B$3:$M$36,12,FALSE())*X$1)</f>
        <v>0</v>
      </c>
      <c r="EE215" s="92">
        <f>IF(AO215="",0,VLOOKUP(C215,Tables!$B$3:$M$36,12,FALSE())*Y$1)</f>
        <v>0</v>
      </c>
      <c r="EF215" s="92">
        <f>IF(AP215="",0,VLOOKUP(D215,Tables!$B$3:$M$36,12,FALSE())*Z$1)</f>
        <v>0</v>
      </c>
      <c r="EG215" s="91">
        <f>IF(AQ215="",0,VLOOKUP(E215,Tables!$B$3:$M$36,12,FALSE())*AA$1)</f>
        <v>0</v>
      </c>
      <c r="EH215" s="92">
        <f>IF(AR215="",0,VLOOKUP(F215,Tables!$B$3:$M$36,12,FALSE())*AB$1)</f>
        <v>0</v>
      </c>
      <c r="EI215" s="92">
        <f>IF(AS215="",0,VLOOKUP(G215,Tables!$B$3:$M$36,12,FALSE())*AC$1)</f>
        <v>0</v>
      </c>
      <c r="EJ215" s="92">
        <f>IF(AT215="",0,VLOOKUP(H215,Tables!$B$3:$M$36,12,FALSE())*AD$1)</f>
        <v>0</v>
      </c>
      <c r="EK215" s="92">
        <f>IF(AU215="",0,VLOOKUP(I215,Tables!$B$3:$M$36,12,FALSE())*AE$1)</f>
        <v>0</v>
      </c>
      <c r="EL215" s="91">
        <f>IF(AV215="",0,VLOOKUP(J215,Tables!$B$3:$M$36,12,FALSE())*AF$1)</f>
        <v>0</v>
      </c>
      <c r="EM215" s="92">
        <f>IF(AW215="",0,VLOOKUP(K215,Tables!$B$3:$M$36,12,FALSE())*AG$1)</f>
        <v>0</v>
      </c>
      <c r="EN215" s="92">
        <f>IF(AX215="",0,VLOOKUP(L215,Tables!$B$3:$M$36,12,FALSE())*AH$1)</f>
        <v>0</v>
      </c>
      <c r="EO215" s="91">
        <f>IF(AY215="",0,VLOOKUP(M215,Tables!$B$3:$M$36,12,FALSE())*AI$1)</f>
        <v>0</v>
      </c>
      <c r="EP215" s="92">
        <f>IF(AZ215="",0,VLOOKUP(N215,Tables!$B$3:$M$36,12,FALSE())*AJ$1)</f>
        <v>0</v>
      </c>
      <c r="EQ215" s="92">
        <f>IF(BA215="",0,VLOOKUP(O215,Tables!$B$3:$M$36,12,FALSE())*AK$1)</f>
        <v>7.1999999999999993</v>
      </c>
      <c r="ER215" s="93">
        <f>IF(BB215="",0,VLOOKUP(P215,Tables!$B$3:$M$36,12,FALSE())*AL$1)</f>
        <v>4.2</v>
      </c>
      <c r="ES215" s="94">
        <f t="shared" si="223"/>
        <v>0</v>
      </c>
      <c r="ET215" s="95">
        <f>IF(AN215="",10,MIN(VLOOKUP(B215,MATERIAL,13,FALSE()),'Item Builder'!$W215))</f>
        <v>10</v>
      </c>
      <c r="EU215" s="95">
        <f>IF(AO215="",10,MIN(VLOOKUP(C215,MATERIAL,13,FALSE()),'Item Builder'!$W215))</f>
        <v>10</v>
      </c>
      <c r="EV215" s="95">
        <f>IF(AP215="",10,MIN(VLOOKUP(D215,MATERIAL,13,FALSE()),'Item Builder'!$W215))</f>
        <v>10</v>
      </c>
      <c r="EW215" s="95">
        <f>IF(AQ215="",10,MIN(VLOOKUP(E215,MATERIAL,13,FALSE()),'Item Builder'!$W215))</f>
        <v>10</v>
      </c>
      <c r="EX215" s="95">
        <f>IF(AR215="",10,MIN(VLOOKUP(F215,MATERIAL,13,FALSE()),'Item Builder'!$W215))</f>
        <v>10</v>
      </c>
      <c r="EY215" s="95">
        <f>IF(AS215="",10,MIN(VLOOKUP(G215,MATERIAL,13,FALSE()),'Item Builder'!$W215))</f>
        <v>10</v>
      </c>
      <c r="EZ215" s="95">
        <f>IF(AT215="",10,MIN(VLOOKUP(H215,MATERIAL,13,FALSE()),'Item Builder'!$W215))</f>
        <v>10</v>
      </c>
      <c r="FA215" s="95">
        <f>IF(AU215="",10,MIN(VLOOKUP(I215,MATERIAL,13,FALSE()),'Item Builder'!$W215))</f>
        <v>10</v>
      </c>
      <c r="FB215" s="95">
        <f>IF(AV215="",10,MIN(VLOOKUP(J215,MATERIAL,13,FALSE()),'Item Builder'!$W215))</f>
        <v>10</v>
      </c>
      <c r="FC215" s="95">
        <f>IF(AW215="",10,MIN(VLOOKUP(K215,MATERIAL,13,FALSE()),'Item Builder'!$W215))</f>
        <v>10</v>
      </c>
      <c r="FD215" s="95">
        <f>IF(AX215="",10,MIN(VLOOKUP(L215,MATERIAL,13,FALSE()),'Item Builder'!$W215))</f>
        <v>10</v>
      </c>
      <c r="FE215" s="95">
        <f>IF(AY215="",10,MIN(VLOOKUP(M215,MATERIAL,13,FALSE()),'Item Builder'!$W215))</f>
        <v>10</v>
      </c>
      <c r="FF215" s="95">
        <f>IF(AZ215="",10,MIN(VLOOKUP(N215,MATERIAL,13,FALSE()),'Item Builder'!$W215))</f>
        <v>10</v>
      </c>
      <c r="FG215" s="95">
        <f>IF(BA215="",10,MIN(VLOOKUP(O215,MATERIAL,13,FALSE()),'Item Builder'!$W215))</f>
        <v>0</v>
      </c>
      <c r="FH215" s="95">
        <f>IF(BB215="",10,MIN(VLOOKUP(P215,MATERIAL,13,FALSE()),'Item Builder'!$W215))</f>
        <v>0</v>
      </c>
    </row>
    <row r="216" spans="1:164" x14ac:dyDescent="0.25">
      <c r="A216" s="67" t="s">
        <v>356</v>
      </c>
      <c r="B216" s="68" t="s">
        <v>183</v>
      </c>
      <c r="C216" s="69"/>
      <c r="D216" s="70"/>
      <c r="E216" s="68"/>
      <c r="F216" s="69"/>
      <c r="G216" s="69"/>
      <c r="H216" s="69"/>
      <c r="I216" s="70"/>
      <c r="J216" s="68"/>
      <c r="K216" s="69"/>
      <c r="L216" s="70"/>
      <c r="M216" s="68"/>
      <c r="N216" s="69"/>
      <c r="O216" s="69"/>
      <c r="P216" s="71"/>
      <c r="Q216" s="72">
        <f>SUM(BV216:CJ216)*VLOOKUP(W216,Tables!$W$3:$Z$8,4)</f>
        <v>12</v>
      </c>
      <c r="R216" s="73">
        <f t="shared" si="168"/>
        <v>0.4</v>
      </c>
      <c r="S216" s="74">
        <f t="shared" si="169"/>
        <v>0</v>
      </c>
      <c r="T216" s="74">
        <f t="shared" si="170"/>
        <v>0</v>
      </c>
      <c r="U216" s="75">
        <f t="shared" si="171"/>
        <v>2.4</v>
      </c>
      <c r="V216" s="76">
        <f t="shared" si="172"/>
        <v>9.6</v>
      </c>
      <c r="W216" s="77">
        <v>0</v>
      </c>
      <c r="X216" s="78">
        <f t="shared" si="173"/>
        <v>1</v>
      </c>
      <c r="Y216" s="79">
        <f t="shared" si="174"/>
        <v>0</v>
      </c>
      <c r="Z216" s="79">
        <f t="shared" si="175"/>
        <v>0</v>
      </c>
      <c r="AA216" s="78">
        <f t="shared" si="176"/>
        <v>0</v>
      </c>
      <c r="AB216" s="79">
        <f t="shared" si="177"/>
        <v>0</v>
      </c>
      <c r="AC216" s="79">
        <f t="shared" si="178"/>
        <v>0</v>
      </c>
      <c r="AD216" s="79">
        <f t="shared" si="179"/>
        <v>0</v>
      </c>
      <c r="AE216" s="79">
        <f t="shared" si="180"/>
        <v>0</v>
      </c>
      <c r="AF216" s="78">
        <f t="shared" si="181"/>
        <v>0</v>
      </c>
      <c r="AG216" s="79">
        <f t="shared" si="182"/>
        <v>0</v>
      </c>
      <c r="AH216" s="79">
        <f t="shared" si="183"/>
        <v>0</v>
      </c>
      <c r="AI216" s="78">
        <f t="shared" si="184"/>
        <v>0</v>
      </c>
      <c r="AJ216" s="79">
        <f t="shared" si="185"/>
        <v>0</v>
      </c>
      <c r="AK216" s="79">
        <f t="shared" si="186"/>
        <v>0</v>
      </c>
      <c r="AL216" s="80">
        <f t="shared" si="187"/>
        <v>0</v>
      </c>
      <c r="AM216" s="81">
        <f t="shared" si="188"/>
        <v>0.04</v>
      </c>
      <c r="AN216" s="82" t="str">
        <f t="shared" si="189"/>
        <v>D</v>
      </c>
      <c r="AO216" s="79" t="str">
        <f t="shared" si="190"/>
        <v/>
      </c>
      <c r="AP216" t="str">
        <f t="shared" si="191"/>
        <v/>
      </c>
      <c r="AQ216" s="82" t="str">
        <f t="shared" si="192"/>
        <v/>
      </c>
      <c r="AR216" t="str">
        <f t="shared" si="193"/>
        <v/>
      </c>
      <c r="AS216" t="str">
        <f t="shared" si="194"/>
        <v/>
      </c>
      <c r="AT216" t="str">
        <f t="shared" si="195"/>
        <v/>
      </c>
      <c r="AU216" t="str">
        <f t="shared" si="196"/>
        <v/>
      </c>
      <c r="AV216" s="82" t="str">
        <f t="shared" si="197"/>
        <v/>
      </c>
      <c r="AW216" t="str">
        <f t="shared" si="198"/>
        <v/>
      </c>
      <c r="AX216" t="str">
        <f t="shared" si="199"/>
        <v/>
      </c>
      <c r="AY216" s="82" t="str">
        <f t="shared" si="200"/>
        <v/>
      </c>
      <c r="AZ216" t="str">
        <f t="shared" si="201"/>
        <v/>
      </c>
      <c r="BA216" t="str">
        <f t="shared" si="202"/>
        <v/>
      </c>
      <c r="BB216" s="83" t="str">
        <f t="shared" si="203"/>
        <v/>
      </c>
      <c r="BC216" s="84">
        <f t="shared" si="204"/>
        <v>0.44444444444444442</v>
      </c>
      <c r="BD216" s="84">
        <f t="shared" si="205"/>
        <v>0</v>
      </c>
      <c r="BE216" s="84">
        <f t="shared" si="206"/>
        <v>0</v>
      </c>
      <c r="BF216" s="84">
        <f t="shared" si="207"/>
        <v>0</v>
      </c>
      <c r="BG216" s="78">
        <f>IF(AN216="",0,VLOOKUP(AN216,Tables!$AB$3:$AC$12,2))</f>
        <v>1.5</v>
      </c>
      <c r="BH216" s="79">
        <f>IF(AO216="",0,VLOOKUP(AO216,Tables!$AB$3:$AC$12,2))</f>
        <v>0</v>
      </c>
      <c r="BI216" s="79">
        <f>IF(AP216="",0,VLOOKUP(AP216,Tables!$AB$3:$AC$12,2))</f>
        <v>0</v>
      </c>
      <c r="BJ216" s="78">
        <f>IF(AQ216="",0,VLOOKUP(AQ216,Tables!$AB$3:$AC$12,2))</f>
        <v>0</v>
      </c>
      <c r="BK216" s="79">
        <f>IF(AR216="",0,VLOOKUP(AR216,Tables!$AB$3:$AC$12,2))</f>
        <v>0</v>
      </c>
      <c r="BL216" s="79">
        <f>IF(AS216="",0,VLOOKUP(AS216,Tables!$AB$3:$AC$12,2))</f>
        <v>0</v>
      </c>
      <c r="BM216" s="79">
        <f>IF(AT216="",0,VLOOKUP(AT216,Tables!$AB$3:$AC$12,2))</f>
        <v>0</v>
      </c>
      <c r="BN216" s="79">
        <f>IF(AU216="",0,VLOOKUP(AU216,Tables!$AB$3:$AC$12,2))</f>
        <v>0</v>
      </c>
      <c r="BO216" s="78">
        <f>IF(AV216="",0,VLOOKUP(AV216,Tables!$AB$3:$AC$12,2))</f>
        <v>0</v>
      </c>
      <c r="BP216" s="79">
        <f>IF(AW216="",0,VLOOKUP(AW216,Tables!$AB$3:$AC$12,2))</f>
        <v>0</v>
      </c>
      <c r="BQ216" s="79">
        <f>IF(AX216="",0,VLOOKUP(AX216,Tables!$AB$3:$AC$12,2))</f>
        <v>0</v>
      </c>
      <c r="BR216" s="78">
        <f>IF(AY216="",0,VLOOKUP(AY216,Tables!$AB$3:$AC$12,2))</f>
        <v>0</v>
      </c>
      <c r="BS216" s="79">
        <f>IF(AZ216="",0,VLOOKUP(AZ216,Tables!$AB$3:$AC$12,2))</f>
        <v>0</v>
      </c>
      <c r="BT216" s="79">
        <f>IF(BA216="",0,VLOOKUP(BA216,Tables!$AB$3:$AC$12,2))</f>
        <v>0</v>
      </c>
      <c r="BU216" s="80">
        <f>IF(BB216="",0,VLOOKUP(BB216,Tables!$AB$3:$AC$12,2))</f>
        <v>0</v>
      </c>
      <c r="BV216" s="85">
        <f>IF(AN216="",0,VLOOKUP(B216,Tables!$B$3:$D$36,2,FALSE())*X$1)</f>
        <v>12</v>
      </c>
      <c r="BW216" s="72">
        <f>IF(AO216="",0,VLOOKUP(C216,Tables!$B$3:$D$36,2,FALSE())*Y$1)</f>
        <v>0</v>
      </c>
      <c r="BX216" s="72">
        <f>IF(AP216="",0,VLOOKUP(D216,Tables!$B$3:$D$36,2,FALSE())*Z$1)</f>
        <v>0</v>
      </c>
      <c r="BY216" s="85">
        <f>IF(AQ216="",0,VLOOKUP(E216,Tables!$B$3:$D$36,2,FALSE())*AA$1)</f>
        <v>0</v>
      </c>
      <c r="BZ216" s="72">
        <f>IF(AR216="",0,VLOOKUP(F216,Tables!$B$3:$D$36,2,FALSE())*AB$1)</f>
        <v>0</v>
      </c>
      <c r="CA216" s="72">
        <f>IF(AS216="",0,VLOOKUP(G216,Tables!$B$3:$D$36,2,FALSE())*AC$1)</f>
        <v>0</v>
      </c>
      <c r="CB216" s="72">
        <f>IF(AT216="",0,VLOOKUP(H216,Tables!$B$3:$D$36,2,FALSE())*AD$1)</f>
        <v>0</v>
      </c>
      <c r="CC216" s="72">
        <f>IF(AU216="",0,VLOOKUP(I216,Tables!$B$3:$D$36,2,FALSE())*AE$1)</f>
        <v>0</v>
      </c>
      <c r="CD216" s="85">
        <f>IF(AV216="",0,VLOOKUP(J216,Tables!$B$3:$D$36,2,FALSE())*AF$1)</f>
        <v>0</v>
      </c>
      <c r="CE216" s="72">
        <f>IF(AW216="",0,VLOOKUP(K216,Tables!$B$3:$D$36,2,FALSE())*AG$1)</f>
        <v>0</v>
      </c>
      <c r="CF216" s="72">
        <f>IF(AX216="",0,VLOOKUP(L216,Tables!$B$3:$D$36,2,FALSE())*AH$1)</f>
        <v>0</v>
      </c>
      <c r="CG216" s="85">
        <f>IF(AY216="",0,VLOOKUP(M216,Tables!$B$3:$D$36,2,FALSE())*AI$1)</f>
        <v>0</v>
      </c>
      <c r="CH216" s="72">
        <f>IF(AZ216="",0,VLOOKUP(N216,Tables!$B$3:$D$36,2,FALSE())*AJ$1)</f>
        <v>0</v>
      </c>
      <c r="CI216" s="72">
        <f>IF(BA216="",0,VLOOKUP(O216,Tables!$B$3:$D$36,2,FALSE())*AK$1)</f>
        <v>0</v>
      </c>
      <c r="CJ216" s="86">
        <f>IF(BB216="",0,VLOOKUP(P216,Tables!$B$3:$D$36,2,FALSE())*AL$1)</f>
        <v>0</v>
      </c>
      <c r="CK216" s="87">
        <f>IF(AN216="",0,VLOOKUP(B216,Tables!$B$3:$D$36,3,FALSE())*X$1)*IF(OR(AN216="K",AN216="P"),2,1)</f>
        <v>0.4</v>
      </c>
      <c r="CL216" s="73">
        <f>IF(AO216="",0,VLOOKUP(C216,Tables!$B$3:$D$36,3,FALSE())*Y$1)*IF(OR(AO216="K",AO216="P"),2,1)</f>
        <v>0</v>
      </c>
      <c r="CM216" s="73">
        <f>IF(AP216="",0,VLOOKUP(D216,Tables!$B$3:$D$36,3,FALSE())*Z$1)*IF(OR(AP216="K",AP216="P"),2,1)</f>
        <v>0</v>
      </c>
      <c r="CN216" s="87">
        <f>IF(AQ216="",0,VLOOKUP(E216,Tables!$B$3:$D$36,3,FALSE())*AA$1)</f>
        <v>0</v>
      </c>
      <c r="CO216" s="73">
        <f>IF(AR216="",0,VLOOKUP(F216,Tables!$B$3:$D$36,3,FALSE())*AB$1)</f>
        <v>0</v>
      </c>
      <c r="CP216" s="73">
        <f>IF(AS216="",0,VLOOKUP(G216,Tables!$B$3:$D$36,3,FALSE())*AC$1)</f>
        <v>0</v>
      </c>
      <c r="CQ216" s="73">
        <f>IF(AT216="",0,VLOOKUP(H216,Tables!$B$3:$D$36,3,FALSE())*AD$1)</f>
        <v>0</v>
      </c>
      <c r="CR216" s="73">
        <f>IF(AU216="",0,VLOOKUP(I216,Tables!$B$3:$D$36,3,FALSE())*AE$1)</f>
        <v>0</v>
      </c>
      <c r="CS216" s="87">
        <f>IF(AV216="",0,VLOOKUP(J216,Tables!$B$3:$D$36,3,FALSE())*AF$1)</f>
        <v>0</v>
      </c>
      <c r="CT216" s="73">
        <f>IF(AW216="",0,VLOOKUP(K216,Tables!$B$3:$D$36,3,FALSE())*AG$1)</f>
        <v>0</v>
      </c>
      <c r="CU216" s="73">
        <f>IF(AX216="",0,VLOOKUP(L216,Tables!$B$3:$D$36,3,FALSE())*AH$1)</f>
        <v>0</v>
      </c>
      <c r="CV216" s="87">
        <f>IF(AY216="",0,VLOOKUP(M216,Tables!$B$3:$D$36,3,FALSE())*AI$1)</f>
        <v>0</v>
      </c>
      <c r="CW216" s="73">
        <f>IF(AZ216="",0,VLOOKUP(N216,Tables!$B$3:$D$36,3,FALSE())*AJ$1)</f>
        <v>0</v>
      </c>
      <c r="CX216" s="73">
        <f>IF(BA216="",0,VLOOKUP(O216,Tables!$B$3:$D$36,3,FALSE())*AK$1)</f>
        <v>0</v>
      </c>
      <c r="CY216" s="88">
        <f>IF(BB216="",0,VLOOKUP(P216,Tables!$B$3:$D$36,3,FALSE())*AL$1)</f>
        <v>0</v>
      </c>
      <c r="CZ216" s="89">
        <f t="shared" si="208"/>
        <v>1</v>
      </c>
      <c r="DA216" s="75">
        <f t="shared" si="209"/>
        <v>0</v>
      </c>
      <c r="DB216" s="75">
        <f t="shared" si="210"/>
        <v>0</v>
      </c>
      <c r="DC216" s="89">
        <f t="shared" si="211"/>
        <v>0</v>
      </c>
      <c r="DD216" s="75">
        <f t="shared" si="212"/>
        <v>0</v>
      </c>
      <c r="DE216" s="75">
        <f t="shared" si="213"/>
        <v>0</v>
      </c>
      <c r="DF216" s="75">
        <f t="shared" si="214"/>
        <v>0</v>
      </c>
      <c r="DG216" s="75">
        <f t="shared" si="215"/>
        <v>0</v>
      </c>
      <c r="DH216" s="89">
        <f t="shared" si="216"/>
        <v>0</v>
      </c>
      <c r="DI216" s="75">
        <f t="shared" si="217"/>
        <v>0</v>
      </c>
      <c r="DJ216" s="75">
        <f t="shared" si="218"/>
        <v>0</v>
      </c>
      <c r="DK216" s="89">
        <f t="shared" si="219"/>
        <v>0</v>
      </c>
      <c r="DL216" s="75">
        <f t="shared" si="220"/>
        <v>0</v>
      </c>
      <c r="DM216" s="75">
        <f t="shared" si="221"/>
        <v>0</v>
      </c>
      <c r="DN216" s="90">
        <f t="shared" si="222"/>
        <v>0</v>
      </c>
      <c r="DO216" s="91">
        <f>IF(AN216="",0,VLOOKUP(B216,Tables!$B$3:$M$36,11,FALSE())*X$1)</f>
        <v>2.4</v>
      </c>
      <c r="DP216" s="92">
        <f>IF(AO216="",0,VLOOKUP(C216,Tables!$B$3:$M$36,11,FALSE())*Y$1)</f>
        <v>0</v>
      </c>
      <c r="DQ216" s="92">
        <f>IF(AP216="",0,VLOOKUP(D216,Tables!$B$3:$M$36,11,FALSE())*Z$1)</f>
        <v>0</v>
      </c>
      <c r="DR216" s="91">
        <f>IF(AQ216="",0,VLOOKUP(E216,Tables!$B$3:$M$36,11,FALSE())*AA$1)</f>
        <v>0</v>
      </c>
      <c r="DS216" s="92">
        <f>IF(AR216="",0,VLOOKUP(F216,Tables!$B$3:$M$36,11,FALSE())*AB$1)</f>
        <v>0</v>
      </c>
      <c r="DT216" s="92">
        <f>IF(AS216="",0,VLOOKUP(G216,Tables!$B$3:$M$36,11,FALSE())*AC$1)</f>
        <v>0</v>
      </c>
      <c r="DU216" s="92">
        <f>IF(AT216="",0,VLOOKUP(H216,Tables!$B$3:$M$36,11,FALSE())*AD$1)</f>
        <v>0</v>
      </c>
      <c r="DV216" s="92">
        <f>IF(AU216="",0,VLOOKUP(I216,Tables!$B$3:$M$36,11,FALSE())*AE$1)</f>
        <v>0</v>
      </c>
      <c r="DW216" s="91">
        <f>IF(AV216="",0,VLOOKUP(J216,Tables!$B$3:$M$36,11,FALSE())*AF$1)</f>
        <v>0</v>
      </c>
      <c r="DX216" s="92">
        <f>IF(AW216="",0,VLOOKUP(K216,Tables!$B$3:$M$36,11,FALSE())*AG$1)</f>
        <v>0</v>
      </c>
      <c r="DY216" s="92">
        <f>IF(AX216="",0,VLOOKUP(L216,Tables!$B$3:$M$36,11,FALSE())*AH$1)</f>
        <v>0</v>
      </c>
      <c r="DZ216" s="91">
        <f>IF(AY216="",0,VLOOKUP(M216,Tables!$B$3:$M$36,11,FALSE())*AI$1)</f>
        <v>0</v>
      </c>
      <c r="EA216" s="92">
        <f>IF(AZ216="",0,VLOOKUP(N216,Tables!$B$3:$M$36,11,FALSE())*AJ$1)</f>
        <v>0</v>
      </c>
      <c r="EB216" s="92">
        <f>IF(BA216="",0,VLOOKUP(O216,Tables!$B$3:$M$36,11,FALSE())*AK$1)</f>
        <v>0</v>
      </c>
      <c r="EC216" s="93">
        <f>IF(BB216="",0,VLOOKUP(P216,Tables!$B$3:$M$36,11,FALSE())*AL$1)</f>
        <v>0</v>
      </c>
      <c r="ED216" s="91">
        <f>IF(AN216="",0,VLOOKUP(B216,Tables!$B$3:$M$36,12,FALSE())*X$1)</f>
        <v>9.6</v>
      </c>
      <c r="EE216" s="92">
        <f>IF(AO216="",0,VLOOKUP(C216,Tables!$B$3:$M$36,12,FALSE())*Y$1)</f>
        <v>0</v>
      </c>
      <c r="EF216" s="92">
        <f>IF(AP216="",0,VLOOKUP(D216,Tables!$B$3:$M$36,12,FALSE())*Z$1)</f>
        <v>0</v>
      </c>
      <c r="EG216" s="91">
        <f>IF(AQ216="",0,VLOOKUP(E216,Tables!$B$3:$M$36,12,FALSE())*AA$1)</f>
        <v>0</v>
      </c>
      <c r="EH216" s="92">
        <f>IF(AR216="",0,VLOOKUP(F216,Tables!$B$3:$M$36,12,FALSE())*AB$1)</f>
        <v>0</v>
      </c>
      <c r="EI216" s="92">
        <f>IF(AS216="",0,VLOOKUP(G216,Tables!$B$3:$M$36,12,FALSE())*AC$1)</f>
        <v>0</v>
      </c>
      <c r="EJ216" s="92">
        <f>IF(AT216="",0,VLOOKUP(H216,Tables!$B$3:$M$36,12,FALSE())*AD$1)</f>
        <v>0</v>
      </c>
      <c r="EK216" s="92">
        <f>IF(AU216="",0,VLOOKUP(I216,Tables!$B$3:$M$36,12,FALSE())*AE$1)</f>
        <v>0</v>
      </c>
      <c r="EL216" s="91">
        <f>IF(AV216="",0,VLOOKUP(J216,Tables!$B$3:$M$36,12,FALSE())*AF$1)</f>
        <v>0</v>
      </c>
      <c r="EM216" s="92">
        <f>IF(AW216="",0,VLOOKUP(K216,Tables!$B$3:$M$36,12,FALSE())*AG$1)</f>
        <v>0</v>
      </c>
      <c r="EN216" s="92">
        <f>IF(AX216="",0,VLOOKUP(L216,Tables!$B$3:$M$36,12,FALSE())*AH$1)</f>
        <v>0</v>
      </c>
      <c r="EO216" s="91">
        <f>IF(AY216="",0,VLOOKUP(M216,Tables!$B$3:$M$36,12,FALSE())*AI$1)</f>
        <v>0</v>
      </c>
      <c r="EP216" s="92">
        <f>IF(AZ216="",0,VLOOKUP(N216,Tables!$B$3:$M$36,12,FALSE())*AJ$1)</f>
        <v>0</v>
      </c>
      <c r="EQ216" s="92">
        <f>IF(BA216="",0,VLOOKUP(O216,Tables!$B$3:$M$36,12,FALSE())*AK$1)</f>
        <v>0</v>
      </c>
      <c r="ER216" s="93">
        <f>IF(BB216="",0,VLOOKUP(P216,Tables!$B$3:$M$36,12,FALSE())*AL$1)</f>
        <v>0</v>
      </c>
      <c r="ES216" s="94">
        <f t="shared" si="223"/>
        <v>0</v>
      </c>
      <c r="ET216" s="95">
        <f>IF(AN216="",10,MIN(VLOOKUP(B216,MATERIAL,13,FALSE()),'Item Builder'!$W216))</f>
        <v>0</v>
      </c>
      <c r="EU216" s="95">
        <f>IF(AO216="",10,MIN(VLOOKUP(C216,MATERIAL,13,FALSE()),'Item Builder'!$W216))</f>
        <v>10</v>
      </c>
      <c r="EV216" s="95">
        <f>IF(AP216="",10,MIN(VLOOKUP(D216,MATERIAL,13,FALSE()),'Item Builder'!$W216))</f>
        <v>10</v>
      </c>
      <c r="EW216" s="95">
        <f>IF(AQ216="",10,MIN(VLOOKUP(E216,MATERIAL,13,FALSE()),'Item Builder'!$W216))</f>
        <v>10</v>
      </c>
      <c r="EX216" s="95">
        <f>IF(AR216="",10,MIN(VLOOKUP(F216,MATERIAL,13,FALSE()),'Item Builder'!$W216))</f>
        <v>10</v>
      </c>
      <c r="EY216" s="95">
        <f>IF(AS216="",10,MIN(VLOOKUP(G216,MATERIAL,13,FALSE()),'Item Builder'!$W216))</f>
        <v>10</v>
      </c>
      <c r="EZ216" s="95">
        <f>IF(AT216="",10,MIN(VLOOKUP(H216,MATERIAL,13,FALSE()),'Item Builder'!$W216))</f>
        <v>10</v>
      </c>
      <c r="FA216" s="95">
        <f>IF(AU216="",10,MIN(VLOOKUP(I216,MATERIAL,13,FALSE()),'Item Builder'!$W216))</f>
        <v>10</v>
      </c>
      <c r="FB216" s="95">
        <f>IF(AV216="",10,MIN(VLOOKUP(J216,MATERIAL,13,FALSE()),'Item Builder'!$W216))</f>
        <v>10</v>
      </c>
      <c r="FC216" s="95">
        <f>IF(AW216="",10,MIN(VLOOKUP(K216,MATERIAL,13,FALSE()),'Item Builder'!$W216))</f>
        <v>10</v>
      </c>
      <c r="FD216" s="95">
        <f>IF(AX216="",10,MIN(VLOOKUP(L216,MATERIAL,13,FALSE()),'Item Builder'!$W216))</f>
        <v>10</v>
      </c>
      <c r="FE216" s="95">
        <f>IF(AY216="",10,MIN(VLOOKUP(M216,MATERIAL,13,FALSE()),'Item Builder'!$W216))</f>
        <v>10</v>
      </c>
      <c r="FF216" s="95">
        <f>IF(AZ216="",10,MIN(VLOOKUP(N216,MATERIAL,13,FALSE()),'Item Builder'!$W216))</f>
        <v>10</v>
      </c>
      <c r="FG216" s="95">
        <f>IF(BA216="",10,MIN(VLOOKUP(O216,MATERIAL,13,FALSE()),'Item Builder'!$W216))</f>
        <v>10</v>
      </c>
      <c r="FH216" s="95">
        <f>IF(BB216="",10,MIN(VLOOKUP(P216,MATERIAL,13,FALSE()),'Item Builder'!$W216))</f>
        <v>10</v>
      </c>
    </row>
    <row r="217" spans="1:164" x14ac:dyDescent="0.25">
      <c r="A217" s="67" t="s">
        <v>357</v>
      </c>
      <c r="B217" s="68"/>
      <c r="C217" s="69"/>
      <c r="D217" s="70"/>
      <c r="E217" s="68" t="s">
        <v>183</v>
      </c>
      <c r="F217" s="69" t="s">
        <v>183</v>
      </c>
      <c r="G217" s="69"/>
      <c r="H217" s="69"/>
      <c r="I217" s="70"/>
      <c r="J217" s="68" t="s">
        <v>183</v>
      </c>
      <c r="K217" s="69"/>
      <c r="L217" s="70"/>
      <c r="M217" s="68"/>
      <c r="N217" s="69"/>
      <c r="O217" s="69"/>
      <c r="P217" s="71"/>
      <c r="Q217" s="72">
        <f>SUM(BV217:CJ217)*VLOOKUP(W217,Tables!$W$3:$Z$8,4)</f>
        <v>63</v>
      </c>
      <c r="R217" s="73">
        <f t="shared" si="168"/>
        <v>2.0999999999999996</v>
      </c>
      <c r="S217" s="74">
        <f t="shared" si="169"/>
        <v>0</v>
      </c>
      <c r="T217" s="74">
        <f t="shared" si="170"/>
        <v>0</v>
      </c>
      <c r="U217" s="75">
        <f t="shared" si="171"/>
        <v>12.599999999999998</v>
      </c>
      <c r="V217" s="76">
        <f t="shared" si="172"/>
        <v>50.399999999999991</v>
      </c>
      <c r="W217" s="77">
        <v>0</v>
      </c>
      <c r="X217" s="78">
        <f t="shared" si="173"/>
        <v>0</v>
      </c>
      <c r="Y217" s="79">
        <f t="shared" si="174"/>
        <v>0</v>
      </c>
      <c r="Z217" s="79">
        <f t="shared" si="175"/>
        <v>0</v>
      </c>
      <c r="AA217" s="78">
        <f t="shared" si="176"/>
        <v>1</v>
      </c>
      <c r="AB217" s="79">
        <f t="shared" si="177"/>
        <v>1</v>
      </c>
      <c r="AC217" s="79">
        <f t="shared" si="178"/>
        <v>0</v>
      </c>
      <c r="AD217" s="79">
        <f t="shared" si="179"/>
        <v>0</v>
      </c>
      <c r="AE217" s="79">
        <f t="shared" si="180"/>
        <v>0</v>
      </c>
      <c r="AF217" s="78">
        <f t="shared" si="181"/>
        <v>1</v>
      </c>
      <c r="AG217" s="79">
        <f t="shared" si="182"/>
        <v>0</v>
      </c>
      <c r="AH217" s="79">
        <f t="shared" si="183"/>
        <v>0</v>
      </c>
      <c r="AI217" s="78">
        <f t="shared" si="184"/>
        <v>0</v>
      </c>
      <c r="AJ217" s="79">
        <f t="shared" si="185"/>
        <v>0</v>
      </c>
      <c r="AK217" s="79">
        <f t="shared" si="186"/>
        <v>0</v>
      </c>
      <c r="AL217" s="80">
        <f t="shared" si="187"/>
        <v>0</v>
      </c>
      <c r="AM217" s="81">
        <f t="shared" si="188"/>
        <v>0.21</v>
      </c>
      <c r="AN217" s="82" t="str">
        <f t="shared" si="189"/>
        <v/>
      </c>
      <c r="AO217" s="79" t="str">
        <f t="shared" si="190"/>
        <v/>
      </c>
      <c r="AP217" t="str">
        <f t="shared" si="191"/>
        <v/>
      </c>
      <c r="AQ217" s="82" t="str">
        <f t="shared" si="192"/>
        <v>D</v>
      </c>
      <c r="AR217" t="str">
        <f t="shared" si="193"/>
        <v>D</v>
      </c>
      <c r="AS217" t="str">
        <f t="shared" si="194"/>
        <v/>
      </c>
      <c r="AT217" t="str">
        <f t="shared" si="195"/>
        <v/>
      </c>
      <c r="AU217" t="str">
        <f t="shared" si="196"/>
        <v/>
      </c>
      <c r="AV217" s="82" t="str">
        <f t="shared" si="197"/>
        <v>D</v>
      </c>
      <c r="AW217" t="str">
        <f t="shared" si="198"/>
        <v/>
      </c>
      <c r="AX217" t="str">
        <f t="shared" si="199"/>
        <v/>
      </c>
      <c r="AY217" s="82" t="str">
        <f t="shared" si="200"/>
        <v/>
      </c>
      <c r="AZ217" t="str">
        <f t="shared" si="201"/>
        <v/>
      </c>
      <c r="BA217" t="str">
        <f t="shared" si="202"/>
        <v/>
      </c>
      <c r="BB217" s="83" t="str">
        <f t="shared" si="203"/>
        <v/>
      </c>
      <c r="BC217" s="84">
        <f t="shared" si="204"/>
        <v>0</v>
      </c>
      <c r="BD217" s="84">
        <f t="shared" si="205"/>
        <v>0.42857142857142849</v>
      </c>
      <c r="BE217" s="84">
        <f t="shared" si="206"/>
        <v>0.35294117647058826</v>
      </c>
      <c r="BF217" s="84">
        <f t="shared" si="207"/>
        <v>0</v>
      </c>
      <c r="BG217" s="78">
        <f>IF(AN217="",0,VLOOKUP(AN217,Tables!$AB$3:$AC$12,2))</f>
        <v>0</v>
      </c>
      <c r="BH217" s="79">
        <f>IF(AO217="",0,VLOOKUP(AO217,Tables!$AB$3:$AC$12,2))</f>
        <v>0</v>
      </c>
      <c r="BI217" s="79">
        <f>IF(AP217="",0,VLOOKUP(AP217,Tables!$AB$3:$AC$12,2))</f>
        <v>0</v>
      </c>
      <c r="BJ217" s="78">
        <f>IF(AQ217="",0,VLOOKUP(AQ217,Tables!$AB$3:$AC$12,2))</f>
        <v>1.5</v>
      </c>
      <c r="BK217" s="79">
        <f>IF(AR217="",0,VLOOKUP(AR217,Tables!$AB$3:$AC$12,2))</f>
        <v>1.5</v>
      </c>
      <c r="BL217" s="79">
        <f>IF(AS217="",0,VLOOKUP(AS217,Tables!$AB$3:$AC$12,2))</f>
        <v>0</v>
      </c>
      <c r="BM217" s="79">
        <f>IF(AT217="",0,VLOOKUP(AT217,Tables!$AB$3:$AC$12,2))</f>
        <v>0</v>
      </c>
      <c r="BN217" s="79">
        <f>IF(AU217="",0,VLOOKUP(AU217,Tables!$AB$3:$AC$12,2))</f>
        <v>0</v>
      </c>
      <c r="BO217" s="78">
        <f>IF(AV217="",0,VLOOKUP(AV217,Tables!$AB$3:$AC$12,2))</f>
        <v>1.5</v>
      </c>
      <c r="BP217" s="79">
        <f>IF(AW217="",0,VLOOKUP(AW217,Tables!$AB$3:$AC$12,2))</f>
        <v>0</v>
      </c>
      <c r="BQ217" s="79">
        <f>IF(AX217="",0,VLOOKUP(AX217,Tables!$AB$3:$AC$12,2))</f>
        <v>0</v>
      </c>
      <c r="BR217" s="78">
        <f>IF(AY217="",0,VLOOKUP(AY217,Tables!$AB$3:$AC$12,2))</f>
        <v>0</v>
      </c>
      <c r="BS217" s="79">
        <f>IF(AZ217="",0,VLOOKUP(AZ217,Tables!$AB$3:$AC$12,2))</f>
        <v>0</v>
      </c>
      <c r="BT217" s="79">
        <f>IF(BA217="",0,VLOOKUP(BA217,Tables!$AB$3:$AC$12,2))</f>
        <v>0</v>
      </c>
      <c r="BU217" s="80">
        <f>IF(BB217="",0,VLOOKUP(BB217,Tables!$AB$3:$AC$12,2))</f>
        <v>0</v>
      </c>
      <c r="BV217" s="85">
        <f>IF(AN217="",0,VLOOKUP(B217,Tables!$B$3:$D$36,2,FALSE())*X$1)</f>
        <v>0</v>
      </c>
      <c r="BW217" s="72">
        <f>IF(AO217="",0,VLOOKUP(C217,Tables!$B$3:$D$36,2,FALSE())*Y$1)</f>
        <v>0</v>
      </c>
      <c r="BX217" s="72">
        <f>IF(AP217="",0,VLOOKUP(D217,Tables!$B$3:$D$36,2,FALSE())*Z$1)</f>
        <v>0</v>
      </c>
      <c r="BY217" s="85">
        <f>IF(AQ217="",0,VLOOKUP(E217,Tables!$B$3:$D$36,2,FALSE())*AA$1)</f>
        <v>9</v>
      </c>
      <c r="BZ217" s="72">
        <f>IF(AR217="",0,VLOOKUP(F217,Tables!$B$3:$D$36,2,FALSE())*AB$1)</f>
        <v>18</v>
      </c>
      <c r="CA217" s="72">
        <f>IF(AS217="",0,VLOOKUP(G217,Tables!$B$3:$D$36,2,FALSE())*AC$1)</f>
        <v>0</v>
      </c>
      <c r="CB217" s="72">
        <f>IF(AT217="",0,VLOOKUP(H217,Tables!$B$3:$D$36,2,FALSE())*AD$1)</f>
        <v>0</v>
      </c>
      <c r="CC217" s="72">
        <f>IF(AU217="",0,VLOOKUP(I217,Tables!$B$3:$D$36,2,FALSE())*AE$1)</f>
        <v>0</v>
      </c>
      <c r="CD217" s="85">
        <f>IF(AV217="",0,VLOOKUP(J217,Tables!$B$3:$D$36,2,FALSE())*AF$1)</f>
        <v>36</v>
      </c>
      <c r="CE217" s="72">
        <f>IF(AW217="",0,VLOOKUP(K217,Tables!$B$3:$D$36,2,FALSE())*AG$1)</f>
        <v>0</v>
      </c>
      <c r="CF217" s="72">
        <f>IF(AX217="",0,VLOOKUP(L217,Tables!$B$3:$D$36,2,FALSE())*AH$1)</f>
        <v>0</v>
      </c>
      <c r="CG217" s="85">
        <f>IF(AY217="",0,VLOOKUP(M217,Tables!$B$3:$D$36,2,FALSE())*AI$1)</f>
        <v>0</v>
      </c>
      <c r="CH217" s="72">
        <f>IF(AZ217="",0,VLOOKUP(N217,Tables!$B$3:$D$36,2,FALSE())*AJ$1)</f>
        <v>0</v>
      </c>
      <c r="CI217" s="72">
        <f>IF(BA217="",0,VLOOKUP(O217,Tables!$B$3:$D$36,2,FALSE())*AK$1)</f>
        <v>0</v>
      </c>
      <c r="CJ217" s="86">
        <f>IF(BB217="",0,VLOOKUP(P217,Tables!$B$3:$D$36,2,FALSE())*AL$1)</f>
        <v>0</v>
      </c>
      <c r="CK217" s="87">
        <f>IF(AN217="",0,VLOOKUP(B217,Tables!$B$3:$D$36,3,FALSE())*X$1)*IF(OR(AN217="K",AN217="P"),2,1)</f>
        <v>0</v>
      </c>
      <c r="CL217" s="73">
        <f>IF(AO217="",0,VLOOKUP(C217,Tables!$B$3:$D$36,3,FALSE())*Y$1)*IF(OR(AO217="K",AO217="P"),2,1)</f>
        <v>0</v>
      </c>
      <c r="CM217" s="73">
        <f>IF(AP217="",0,VLOOKUP(D217,Tables!$B$3:$D$36,3,FALSE())*Z$1)*IF(OR(AP217="K",AP217="P"),2,1)</f>
        <v>0</v>
      </c>
      <c r="CN217" s="87">
        <f>IF(AQ217="",0,VLOOKUP(E217,Tables!$B$3:$D$36,3,FALSE())*AA$1)</f>
        <v>0.3</v>
      </c>
      <c r="CO217" s="73">
        <f>IF(AR217="",0,VLOOKUP(F217,Tables!$B$3:$D$36,3,FALSE())*AB$1)</f>
        <v>0.6</v>
      </c>
      <c r="CP217" s="73">
        <f>IF(AS217="",0,VLOOKUP(G217,Tables!$B$3:$D$36,3,FALSE())*AC$1)</f>
        <v>0</v>
      </c>
      <c r="CQ217" s="73">
        <f>IF(AT217="",0,VLOOKUP(H217,Tables!$B$3:$D$36,3,FALSE())*AD$1)</f>
        <v>0</v>
      </c>
      <c r="CR217" s="73">
        <f>IF(AU217="",0,VLOOKUP(I217,Tables!$B$3:$D$36,3,FALSE())*AE$1)</f>
        <v>0</v>
      </c>
      <c r="CS217" s="87">
        <f>IF(AV217="",0,VLOOKUP(J217,Tables!$B$3:$D$36,3,FALSE())*AF$1)</f>
        <v>1.2</v>
      </c>
      <c r="CT217" s="73">
        <f>IF(AW217="",0,VLOOKUP(K217,Tables!$B$3:$D$36,3,FALSE())*AG$1)</f>
        <v>0</v>
      </c>
      <c r="CU217" s="73">
        <f>IF(AX217="",0,VLOOKUP(L217,Tables!$B$3:$D$36,3,FALSE())*AH$1)</f>
        <v>0</v>
      </c>
      <c r="CV217" s="87">
        <f>IF(AY217="",0,VLOOKUP(M217,Tables!$B$3:$D$36,3,FALSE())*AI$1)</f>
        <v>0</v>
      </c>
      <c r="CW217" s="73">
        <f>IF(AZ217="",0,VLOOKUP(N217,Tables!$B$3:$D$36,3,FALSE())*AJ$1)</f>
        <v>0</v>
      </c>
      <c r="CX217" s="73">
        <f>IF(BA217="",0,VLOOKUP(O217,Tables!$B$3:$D$36,3,FALSE())*AK$1)</f>
        <v>0</v>
      </c>
      <c r="CY217" s="88">
        <f>IF(BB217="",0,VLOOKUP(P217,Tables!$B$3:$D$36,3,FALSE())*AL$1)</f>
        <v>0</v>
      </c>
      <c r="CZ217" s="89">
        <f t="shared" si="208"/>
        <v>0</v>
      </c>
      <c r="DA217" s="75">
        <f t="shared" si="209"/>
        <v>0</v>
      </c>
      <c r="DB217" s="75">
        <f t="shared" si="210"/>
        <v>0</v>
      </c>
      <c r="DC217" s="89">
        <f t="shared" si="211"/>
        <v>1</v>
      </c>
      <c r="DD217" s="75">
        <f t="shared" si="212"/>
        <v>1</v>
      </c>
      <c r="DE217" s="75">
        <f t="shared" si="213"/>
        <v>0</v>
      </c>
      <c r="DF217" s="75">
        <f t="shared" si="214"/>
        <v>0</v>
      </c>
      <c r="DG217" s="75">
        <f t="shared" si="215"/>
        <v>0</v>
      </c>
      <c r="DH217" s="89">
        <f t="shared" si="216"/>
        <v>1</v>
      </c>
      <c r="DI217" s="75">
        <f t="shared" si="217"/>
        <v>0</v>
      </c>
      <c r="DJ217" s="75">
        <f t="shared" si="218"/>
        <v>0</v>
      </c>
      <c r="DK217" s="89">
        <f t="shared" si="219"/>
        <v>0</v>
      </c>
      <c r="DL217" s="75">
        <f t="shared" si="220"/>
        <v>0</v>
      </c>
      <c r="DM217" s="75">
        <f t="shared" si="221"/>
        <v>0</v>
      </c>
      <c r="DN217" s="90">
        <f t="shared" si="222"/>
        <v>0</v>
      </c>
      <c r="DO217" s="91">
        <f>IF(AN217="",0,VLOOKUP(B217,Tables!$B$3:$M$36,11,FALSE())*X$1)</f>
        <v>0</v>
      </c>
      <c r="DP217" s="92">
        <f>IF(AO217="",0,VLOOKUP(C217,Tables!$B$3:$M$36,11,FALSE())*Y$1)</f>
        <v>0</v>
      </c>
      <c r="DQ217" s="92">
        <f>IF(AP217="",0,VLOOKUP(D217,Tables!$B$3:$M$36,11,FALSE())*Z$1)</f>
        <v>0</v>
      </c>
      <c r="DR217" s="91">
        <f>IF(AQ217="",0,VLOOKUP(E217,Tables!$B$3:$M$36,11,FALSE())*AA$1)</f>
        <v>1.7999999999999998</v>
      </c>
      <c r="DS217" s="92">
        <f>IF(AR217="",0,VLOOKUP(F217,Tables!$B$3:$M$36,11,FALSE())*AB$1)</f>
        <v>3.5999999999999996</v>
      </c>
      <c r="DT217" s="92">
        <f>IF(AS217="",0,VLOOKUP(G217,Tables!$B$3:$M$36,11,FALSE())*AC$1)</f>
        <v>0</v>
      </c>
      <c r="DU217" s="92">
        <f>IF(AT217="",0,VLOOKUP(H217,Tables!$B$3:$M$36,11,FALSE())*AD$1)</f>
        <v>0</v>
      </c>
      <c r="DV217" s="92">
        <f>IF(AU217="",0,VLOOKUP(I217,Tables!$B$3:$M$36,11,FALSE())*AE$1)</f>
        <v>0</v>
      </c>
      <c r="DW217" s="91">
        <f>IF(AV217="",0,VLOOKUP(J217,Tables!$B$3:$M$36,11,FALSE())*AF$1)</f>
        <v>7.1999999999999993</v>
      </c>
      <c r="DX217" s="92">
        <f>IF(AW217="",0,VLOOKUP(K217,Tables!$B$3:$M$36,11,FALSE())*AG$1)</f>
        <v>0</v>
      </c>
      <c r="DY217" s="92">
        <f>IF(AX217="",0,VLOOKUP(L217,Tables!$B$3:$M$36,11,FALSE())*AH$1)</f>
        <v>0</v>
      </c>
      <c r="DZ217" s="91">
        <f>IF(AY217="",0,VLOOKUP(M217,Tables!$B$3:$M$36,11,FALSE())*AI$1)</f>
        <v>0</v>
      </c>
      <c r="EA217" s="92">
        <f>IF(AZ217="",0,VLOOKUP(N217,Tables!$B$3:$M$36,11,FALSE())*AJ$1)</f>
        <v>0</v>
      </c>
      <c r="EB217" s="92">
        <f>IF(BA217="",0,VLOOKUP(O217,Tables!$B$3:$M$36,11,FALSE())*AK$1)</f>
        <v>0</v>
      </c>
      <c r="EC217" s="93">
        <f>IF(BB217="",0,VLOOKUP(P217,Tables!$B$3:$M$36,11,FALSE())*AL$1)</f>
        <v>0</v>
      </c>
      <c r="ED217" s="91">
        <f>IF(AN217="",0,VLOOKUP(B217,Tables!$B$3:$M$36,12,FALSE())*X$1)</f>
        <v>0</v>
      </c>
      <c r="EE217" s="92">
        <f>IF(AO217="",0,VLOOKUP(C217,Tables!$B$3:$M$36,12,FALSE())*Y$1)</f>
        <v>0</v>
      </c>
      <c r="EF217" s="92">
        <f>IF(AP217="",0,VLOOKUP(D217,Tables!$B$3:$M$36,12,FALSE())*Z$1)</f>
        <v>0</v>
      </c>
      <c r="EG217" s="91">
        <f>IF(AQ217="",0,VLOOKUP(E217,Tables!$B$3:$M$36,12,FALSE())*AA$1)</f>
        <v>7.1999999999999993</v>
      </c>
      <c r="EH217" s="92">
        <f>IF(AR217="",0,VLOOKUP(F217,Tables!$B$3:$M$36,12,FALSE())*AB$1)</f>
        <v>14.399999999999999</v>
      </c>
      <c r="EI217" s="92">
        <f>IF(AS217="",0,VLOOKUP(G217,Tables!$B$3:$M$36,12,FALSE())*AC$1)</f>
        <v>0</v>
      </c>
      <c r="EJ217" s="92">
        <f>IF(AT217="",0,VLOOKUP(H217,Tables!$B$3:$M$36,12,FALSE())*AD$1)</f>
        <v>0</v>
      </c>
      <c r="EK217" s="92">
        <f>IF(AU217="",0,VLOOKUP(I217,Tables!$B$3:$M$36,12,FALSE())*AE$1)</f>
        <v>0</v>
      </c>
      <c r="EL217" s="91">
        <f>IF(AV217="",0,VLOOKUP(J217,Tables!$B$3:$M$36,12,FALSE())*AF$1)</f>
        <v>28.799999999999997</v>
      </c>
      <c r="EM217" s="92">
        <f>IF(AW217="",0,VLOOKUP(K217,Tables!$B$3:$M$36,12,FALSE())*AG$1)</f>
        <v>0</v>
      </c>
      <c r="EN217" s="92">
        <f>IF(AX217="",0,VLOOKUP(L217,Tables!$B$3:$M$36,12,FALSE())*AH$1)</f>
        <v>0</v>
      </c>
      <c r="EO217" s="91">
        <f>IF(AY217="",0,VLOOKUP(M217,Tables!$B$3:$M$36,12,FALSE())*AI$1)</f>
        <v>0</v>
      </c>
      <c r="EP217" s="92">
        <f>IF(AZ217="",0,VLOOKUP(N217,Tables!$B$3:$M$36,12,FALSE())*AJ$1)</f>
        <v>0</v>
      </c>
      <c r="EQ217" s="92">
        <f>IF(BA217="",0,VLOOKUP(O217,Tables!$B$3:$M$36,12,FALSE())*AK$1)</f>
        <v>0</v>
      </c>
      <c r="ER217" s="93">
        <f>IF(BB217="",0,VLOOKUP(P217,Tables!$B$3:$M$36,12,FALSE())*AL$1)</f>
        <v>0</v>
      </c>
      <c r="ES217" s="94">
        <f t="shared" si="223"/>
        <v>0</v>
      </c>
      <c r="ET217" s="95">
        <f>IF(AN217="",10,MIN(VLOOKUP(B217,MATERIAL,13,FALSE()),'Item Builder'!$W217))</f>
        <v>10</v>
      </c>
      <c r="EU217" s="95">
        <f>IF(AO217="",10,MIN(VLOOKUP(C217,MATERIAL,13,FALSE()),'Item Builder'!$W217))</f>
        <v>10</v>
      </c>
      <c r="EV217" s="95">
        <f>IF(AP217="",10,MIN(VLOOKUP(D217,MATERIAL,13,FALSE()),'Item Builder'!$W217))</f>
        <v>10</v>
      </c>
      <c r="EW217" s="95">
        <f>IF(AQ217="",10,MIN(VLOOKUP(E217,MATERIAL,13,FALSE()),'Item Builder'!$W217))</f>
        <v>0</v>
      </c>
      <c r="EX217" s="95">
        <f>IF(AR217="",10,MIN(VLOOKUP(F217,MATERIAL,13,FALSE()),'Item Builder'!$W217))</f>
        <v>0</v>
      </c>
      <c r="EY217" s="95">
        <f>IF(AS217="",10,MIN(VLOOKUP(G217,MATERIAL,13,FALSE()),'Item Builder'!$W217))</f>
        <v>10</v>
      </c>
      <c r="EZ217" s="95">
        <f>IF(AT217="",10,MIN(VLOOKUP(H217,MATERIAL,13,FALSE()),'Item Builder'!$W217))</f>
        <v>10</v>
      </c>
      <c r="FA217" s="95">
        <f>IF(AU217="",10,MIN(VLOOKUP(I217,MATERIAL,13,FALSE()),'Item Builder'!$W217))</f>
        <v>10</v>
      </c>
      <c r="FB217" s="95">
        <f>IF(AV217="",10,MIN(VLOOKUP(J217,MATERIAL,13,FALSE()),'Item Builder'!$W217))</f>
        <v>0</v>
      </c>
      <c r="FC217" s="95">
        <f>IF(AW217="",10,MIN(VLOOKUP(K217,MATERIAL,13,FALSE()),'Item Builder'!$W217))</f>
        <v>10</v>
      </c>
      <c r="FD217" s="95">
        <f>IF(AX217="",10,MIN(VLOOKUP(L217,MATERIAL,13,FALSE()),'Item Builder'!$W217))</f>
        <v>10</v>
      </c>
      <c r="FE217" s="95">
        <f>IF(AY217="",10,MIN(VLOOKUP(M217,MATERIAL,13,FALSE()),'Item Builder'!$W217))</f>
        <v>10</v>
      </c>
      <c r="FF217" s="95">
        <f>IF(AZ217="",10,MIN(VLOOKUP(N217,MATERIAL,13,FALSE()),'Item Builder'!$W217))</f>
        <v>10</v>
      </c>
      <c r="FG217" s="95">
        <f>IF(BA217="",10,MIN(VLOOKUP(O217,MATERIAL,13,FALSE()),'Item Builder'!$W217))</f>
        <v>10</v>
      </c>
      <c r="FH217" s="95">
        <f>IF(BB217="",10,MIN(VLOOKUP(P217,MATERIAL,13,FALSE()),'Item Builder'!$W217))</f>
        <v>10</v>
      </c>
    </row>
    <row r="218" spans="1:164" x14ac:dyDescent="0.25">
      <c r="A218" s="67" t="s">
        <v>358</v>
      </c>
      <c r="B218" s="68"/>
      <c r="C218" s="69"/>
      <c r="D218" s="70"/>
      <c r="E218" s="68"/>
      <c r="F218" s="69"/>
      <c r="G218" s="69"/>
      <c r="H218" s="69"/>
      <c r="I218" s="70" t="s">
        <v>183</v>
      </c>
      <c r="J218" s="68"/>
      <c r="K218" s="69"/>
      <c r="L218" s="70"/>
      <c r="M218" s="68"/>
      <c r="N218" s="69"/>
      <c r="O218" s="69"/>
      <c r="P218" s="71"/>
      <c r="Q218" s="72">
        <f>SUM(BV218:CJ218)*VLOOKUP(W218,Tables!$W$3:$Z$8,4)</f>
        <v>15</v>
      </c>
      <c r="R218" s="73">
        <f t="shared" si="168"/>
        <v>0.5</v>
      </c>
      <c r="S218" s="74">
        <f t="shared" si="169"/>
        <v>0</v>
      </c>
      <c r="T218" s="74">
        <f t="shared" si="170"/>
        <v>0</v>
      </c>
      <c r="U218" s="75">
        <f t="shared" si="171"/>
        <v>3</v>
      </c>
      <c r="V218" s="76">
        <f t="shared" si="172"/>
        <v>12</v>
      </c>
      <c r="W218" s="77">
        <v>0</v>
      </c>
      <c r="X218" s="78">
        <f t="shared" si="173"/>
        <v>0</v>
      </c>
      <c r="Y218" s="79">
        <f t="shared" si="174"/>
        <v>0</v>
      </c>
      <c r="Z218" s="79">
        <f t="shared" si="175"/>
        <v>0</v>
      </c>
      <c r="AA218" s="78">
        <f t="shared" si="176"/>
        <v>0</v>
      </c>
      <c r="AB218" s="79">
        <f t="shared" si="177"/>
        <v>0</v>
      </c>
      <c r="AC218" s="79">
        <f t="shared" si="178"/>
        <v>0</v>
      </c>
      <c r="AD218" s="79">
        <f t="shared" si="179"/>
        <v>0</v>
      </c>
      <c r="AE218" s="79">
        <f t="shared" si="180"/>
        <v>1</v>
      </c>
      <c r="AF218" s="78">
        <f t="shared" si="181"/>
        <v>0</v>
      </c>
      <c r="AG218" s="79">
        <f t="shared" si="182"/>
        <v>0</v>
      </c>
      <c r="AH218" s="79">
        <f t="shared" si="183"/>
        <v>0</v>
      </c>
      <c r="AI218" s="78">
        <f t="shared" si="184"/>
        <v>0</v>
      </c>
      <c r="AJ218" s="79">
        <f t="shared" si="185"/>
        <v>0</v>
      </c>
      <c r="AK218" s="79">
        <f t="shared" si="186"/>
        <v>0</v>
      </c>
      <c r="AL218" s="80">
        <f t="shared" si="187"/>
        <v>0</v>
      </c>
      <c r="AM218" s="81">
        <f t="shared" si="188"/>
        <v>0.05</v>
      </c>
      <c r="AN218" s="82" t="str">
        <f t="shared" si="189"/>
        <v/>
      </c>
      <c r="AO218" s="79" t="str">
        <f t="shared" si="190"/>
        <v/>
      </c>
      <c r="AP218" t="str">
        <f t="shared" si="191"/>
        <v/>
      </c>
      <c r="AQ218" s="82" t="str">
        <f t="shared" si="192"/>
        <v/>
      </c>
      <c r="AR218" t="str">
        <f t="shared" si="193"/>
        <v/>
      </c>
      <c r="AS218" t="str">
        <f t="shared" si="194"/>
        <v/>
      </c>
      <c r="AT218" t="str">
        <f t="shared" si="195"/>
        <v/>
      </c>
      <c r="AU218" t="str">
        <f t="shared" si="196"/>
        <v>D</v>
      </c>
      <c r="AV218" s="82" t="str">
        <f t="shared" si="197"/>
        <v/>
      </c>
      <c r="AW218" t="str">
        <f t="shared" si="198"/>
        <v/>
      </c>
      <c r="AX218" t="str">
        <f t="shared" si="199"/>
        <v/>
      </c>
      <c r="AY218" s="82" t="str">
        <f t="shared" si="200"/>
        <v/>
      </c>
      <c r="AZ218" t="str">
        <f t="shared" si="201"/>
        <v/>
      </c>
      <c r="BA218" t="str">
        <f t="shared" si="202"/>
        <v/>
      </c>
      <c r="BB218" s="83" t="str">
        <f t="shared" si="203"/>
        <v/>
      </c>
      <c r="BC218" s="84">
        <f t="shared" si="204"/>
        <v>0</v>
      </c>
      <c r="BD218" s="84">
        <f t="shared" si="205"/>
        <v>0.23809523809523808</v>
      </c>
      <c r="BE218" s="84">
        <f t="shared" si="206"/>
        <v>0</v>
      </c>
      <c r="BF218" s="84">
        <f t="shared" si="207"/>
        <v>0</v>
      </c>
      <c r="BG218" s="78">
        <f>IF(AN218="",0,VLOOKUP(AN218,Tables!$AB$3:$AC$12,2))</f>
        <v>0</v>
      </c>
      <c r="BH218" s="79">
        <f>IF(AO218="",0,VLOOKUP(AO218,Tables!$AB$3:$AC$12,2))</f>
        <v>0</v>
      </c>
      <c r="BI218" s="79">
        <f>IF(AP218="",0,VLOOKUP(AP218,Tables!$AB$3:$AC$12,2))</f>
        <v>0</v>
      </c>
      <c r="BJ218" s="78">
        <f>IF(AQ218="",0,VLOOKUP(AQ218,Tables!$AB$3:$AC$12,2))</f>
        <v>0</v>
      </c>
      <c r="BK218" s="79">
        <f>IF(AR218="",0,VLOOKUP(AR218,Tables!$AB$3:$AC$12,2))</f>
        <v>0</v>
      </c>
      <c r="BL218" s="79">
        <f>IF(AS218="",0,VLOOKUP(AS218,Tables!$AB$3:$AC$12,2))</f>
        <v>0</v>
      </c>
      <c r="BM218" s="79">
        <f>IF(AT218="",0,VLOOKUP(AT218,Tables!$AB$3:$AC$12,2))</f>
        <v>0</v>
      </c>
      <c r="BN218" s="79">
        <f>IF(AU218="",0,VLOOKUP(AU218,Tables!$AB$3:$AC$12,2))</f>
        <v>1.5</v>
      </c>
      <c r="BO218" s="78">
        <f>IF(AV218="",0,VLOOKUP(AV218,Tables!$AB$3:$AC$12,2))</f>
        <v>0</v>
      </c>
      <c r="BP218" s="79">
        <f>IF(AW218="",0,VLOOKUP(AW218,Tables!$AB$3:$AC$12,2))</f>
        <v>0</v>
      </c>
      <c r="BQ218" s="79">
        <f>IF(AX218="",0,VLOOKUP(AX218,Tables!$AB$3:$AC$12,2))</f>
        <v>0</v>
      </c>
      <c r="BR218" s="78">
        <f>IF(AY218="",0,VLOOKUP(AY218,Tables!$AB$3:$AC$12,2))</f>
        <v>0</v>
      </c>
      <c r="BS218" s="79">
        <f>IF(AZ218="",0,VLOOKUP(AZ218,Tables!$AB$3:$AC$12,2))</f>
        <v>0</v>
      </c>
      <c r="BT218" s="79">
        <f>IF(BA218="",0,VLOOKUP(BA218,Tables!$AB$3:$AC$12,2))</f>
        <v>0</v>
      </c>
      <c r="BU218" s="80">
        <f>IF(BB218="",0,VLOOKUP(BB218,Tables!$AB$3:$AC$12,2))</f>
        <v>0</v>
      </c>
      <c r="BV218" s="85">
        <f>IF(AN218="",0,VLOOKUP(B218,Tables!$B$3:$D$36,2,FALSE())*X$1)</f>
        <v>0</v>
      </c>
      <c r="BW218" s="72">
        <f>IF(AO218="",0,VLOOKUP(C218,Tables!$B$3:$D$36,2,FALSE())*Y$1)</f>
        <v>0</v>
      </c>
      <c r="BX218" s="72">
        <f>IF(AP218="",0,VLOOKUP(D218,Tables!$B$3:$D$36,2,FALSE())*Z$1)</f>
        <v>0</v>
      </c>
      <c r="BY218" s="85">
        <f>IF(AQ218="",0,VLOOKUP(E218,Tables!$B$3:$D$36,2,FALSE())*AA$1)</f>
        <v>0</v>
      </c>
      <c r="BZ218" s="72">
        <f>IF(AR218="",0,VLOOKUP(F218,Tables!$B$3:$D$36,2,FALSE())*AB$1)</f>
        <v>0</v>
      </c>
      <c r="CA218" s="72">
        <f>IF(AS218="",0,VLOOKUP(G218,Tables!$B$3:$D$36,2,FALSE())*AC$1)</f>
        <v>0</v>
      </c>
      <c r="CB218" s="72">
        <f>IF(AT218="",0,VLOOKUP(H218,Tables!$B$3:$D$36,2,FALSE())*AD$1)</f>
        <v>0</v>
      </c>
      <c r="CC218" s="72">
        <f>IF(AU218="",0,VLOOKUP(I218,Tables!$B$3:$D$36,2,FALSE())*AE$1)</f>
        <v>15</v>
      </c>
      <c r="CD218" s="85">
        <f>IF(AV218="",0,VLOOKUP(J218,Tables!$B$3:$D$36,2,FALSE())*AF$1)</f>
        <v>0</v>
      </c>
      <c r="CE218" s="72">
        <f>IF(AW218="",0,VLOOKUP(K218,Tables!$B$3:$D$36,2,FALSE())*AG$1)</f>
        <v>0</v>
      </c>
      <c r="CF218" s="72">
        <f>IF(AX218="",0,VLOOKUP(L218,Tables!$B$3:$D$36,2,FALSE())*AH$1)</f>
        <v>0</v>
      </c>
      <c r="CG218" s="85">
        <f>IF(AY218="",0,VLOOKUP(M218,Tables!$B$3:$D$36,2,FALSE())*AI$1)</f>
        <v>0</v>
      </c>
      <c r="CH218" s="72">
        <f>IF(AZ218="",0,VLOOKUP(N218,Tables!$B$3:$D$36,2,FALSE())*AJ$1)</f>
        <v>0</v>
      </c>
      <c r="CI218" s="72">
        <f>IF(BA218="",0,VLOOKUP(O218,Tables!$B$3:$D$36,2,FALSE())*AK$1)</f>
        <v>0</v>
      </c>
      <c r="CJ218" s="86">
        <f>IF(BB218="",0,VLOOKUP(P218,Tables!$B$3:$D$36,2,FALSE())*AL$1)</f>
        <v>0</v>
      </c>
      <c r="CK218" s="87">
        <f>IF(AN218="",0,VLOOKUP(B218,Tables!$B$3:$D$36,3,FALSE())*X$1)*IF(OR(AN218="K",AN218="P"),2,1)</f>
        <v>0</v>
      </c>
      <c r="CL218" s="73">
        <f>IF(AO218="",0,VLOOKUP(C218,Tables!$B$3:$D$36,3,FALSE())*Y$1)*IF(OR(AO218="K",AO218="P"),2,1)</f>
        <v>0</v>
      </c>
      <c r="CM218" s="73">
        <f>IF(AP218="",0,VLOOKUP(D218,Tables!$B$3:$D$36,3,FALSE())*Z$1)*IF(OR(AP218="K",AP218="P"),2,1)</f>
        <v>0</v>
      </c>
      <c r="CN218" s="87">
        <f>IF(AQ218="",0,VLOOKUP(E218,Tables!$B$3:$D$36,3,FALSE())*AA$1)</f>
        <v>0</v>
      </c>
      <c r="CO218" s="73">
        <f>IF(AR218="",0,VLOOKUP(F218,Tables!$B$3:$D$36,3,FALSE())*AB$1)</f>
        <v>0</v>
      </c>
      <c r="CP218" s="73">
        <f>IF(AS218="",0,VLOOKUP(G218,Tables!$B$3:$D$36,3,FALSE())*AC$1)</f>
        <v>0</v>
      </c>
      <c r="CQ218" s="73">
        <f>IF(AT218="",0,VLOOKUP(H218,Tables!$B$3:$D$36,3,FALSE())*AD$1)</f>
        <v>0</v>
      </c>
      <c r="CR218" s="73">
        <f>IF(AU218="",0,VLOOKUP(I218,Tables!$B$3:$D$36,3,FALSE())*AE$1)</f>
        <v>0.5</v>
      </c>
      <c r="CS218" s="87">
        <f>IF(AV218="",0,VLOOKUP(J218,Tables!$B$3:$D$36,3,FALSE())*AF$1)</f>
        <v>0</v>
      </c>
      <c r="CT218" s="73">
        <f>IF(AW218="",0,VLOOKUP(K218,Tables!$B$3:$D$36,3,FALSE())*AG$1)</f>
        <v>0</v>
      </c>
      <c r="CU218" s="73">
        <f>IF(AX218="",0,VLOOKUP(L218,Tables!$B$3:$D$36,3,FALSE())*AH$1)</f>
        <v>0</v>
      </c>
      <c r="CV218" s="87">
        <f>IF(AY218="",0,VLOOKUP(M218,Tables!$B$3:$D$36,3,FALSE())*AI$1)</f>
        <v>0</v>
      </c>
      <c r="CW218" s="73">
        <f>IF(AZ218="",0,VLOOKUP(N218,Tables!$B$3:$D$36,3,FALSE())*AJ$1)</f>
        <v>0</v>
      </c>
      <c r="CX218" s="73">
        <f>IF(BA218="",0,VLOOKUP(O218,Tables!$B$3:$D$36,3,FALSE())*AK$1)</f>
        <v>0</v>
      </c>
      <c r="CY218" s="88">
        <f>IF(BB218="",0,VLOOKUP(P218,Tables!$B$3:$D$36,3,FALSE())*AL$1)</f>
        <v>0</v>
      </c>
      <c r="CZ218" s="89">
        <f t="shared" si="208"/>
        <v>0</v>
      </c>
      <c r="DA218" s="75">
        <f t="shared" si="209"/>
        <v>0</v>
      </c>
      <c r="DB218" s="75">
        <f t="shared" si="210"/>
        <v>0</v>
      </c>
      <c r="DC218" s="89">
        <f t="shared" si="211"/>
        <v>0</v>
      </c>
      <c r="DD218" s="75">
        <f t="shared" si="212"/>
        <v>0</v>
      </c>
      <c r="DE218" s="75">
        <f t="shared" si="213"/>
        <v>0</v>
      </c>
      <c r="DF218" s="75">
        <f t="shared" si="214"/>
        <v>0</v>
      </c>
      <c r="DG218" s="75">
        <f t="shared" si="215"/>
        <v>1</v>
      </c>
      <c r="DH218" s="89">
        <f t="shared" si="216"/>
        <v>0</v>
      </c>
      <c r="DI218" s="75">
        <f t="shared" si="217"/>
        <v>0</v>
      </c>
      <c r="DJ218" s="75">
        <f t="shared" si="218"/>
        <v>0</v>
      </c>
      <c r="DK218" s="89">
        <f t="shared" si="219"/>
        <v>0</v>
      </c>
      <c r="DL218" s="75">
        <f t="shared" si="220"/>
        <v>0</v>
      </c>
      <c r="DM218" s="75">
        <f t="shared" si="221"/>
        <v>0</v>
      </c>
      <c r="DN218" s="90">
        <f t="shared" si="222"/>
        <v>0</v>
      </c>
      <c r="DO218" s="91">
        <f>IF(AN218="",0,VLOOKUP(B218,Tables!$B$3:$M$36,11,FALSE())*X$1)</f>
        <v>0</v>
      </c>
      <c r="DP218" s="92">
        <f>IF(AO218="",0,VLOOKUP(C218,Tables!$B$3:$M$36,11,FALSE())*Y$1)</f>
        <v>0</v>
      </c>
      <c r="DQ218" s="92">
        <f>IF(AP218="",0,VLOOKUP(D218,Tables!$B$3:$M$36,11,FALSE())*Z$1)</f>
        <v>0</v>
      </c>
      <c r="DR218" s="91">
        <f>IF(AQ218="",0,VLOOKUP(E218,Tables!$B$3:$M$36,11,FALSE())*AA$1)</f>
        <v>0</v>
      </c>
      <c r="DS218" s="92">
        <f>IF(AR218="",0,VLOOKUP(F218,Tables!$B$3:$M$36,11,FALSE())*AB$1)</f>
        <v>0</v>
      </c>
      <c r="DT218" s="92">
        <f>IF(AS218="",0,VLOOKUP(G218,Tables!$B$3:$M$36,11,FALSE())*AC$1)</f>
        <v>0</v>
      </c>
      <c r="DU218" s="92">
        <f>IF(AT218="",0,VLOOKUP(H218,Tables!$B$3:$M$36,11,FALSE())*AD$1)</f>
        <v>0</v>
      </c>
      <c r="DV218" s="92">
        <f>IF(AU218="",0,VLOOKUP(I218,Tables!$B$3:$M$36,11,FALSE())*AE$1)</f>
        <v>3</v>
      </c>
      <c r="DW218" s="91">
        <f>IF(AV218="",0,VLOOKUP(J218,Tables!$B$3:$M$36,11,FALSE())*AF$1)</f>
        <v>0</v>
      </c>
      <c r="DX218" s="92">
        <f>IF(AW218="",0,VLOOKUP(K218,Tables!$B$3:$M$36,11,FALSE())*AG$1)</f>
        <v>0</v>
      </c>
      <c r="DY218" s="92">
        <f>IF(AX218="",0,VLOOKUP(L218,Tables!$B$3:$M$36,11,FALSE())*AH$1)</f>
        <v>0</v>
      </c>
      <c r="DZ218" s="91">
        <f>IF(AY218="",0,VLOOKUP(M218,Tables!$B$3:$M$36,11,FALSE())*AI$1)</f>
        <v>0</v>
      </c>
      <c r="EA218" s="92">
        <f>IF(AZ218="",0,VLOOKUP(N218,Tables!$B$3:$M$36,11,FALSE())*AJ$1)</f>
        <v>0</v>
      </c>
      <c r="EB218" s="92">
        <f>IF(BA218="",0,VLOOKUP(O218,Tables!$B$3:$M$36,11,FALSE())*AK$1)</f>
        <v>0</v>
      </c>
      <c r="EC218" s="93">
        <f>IF(BB218="",0,VLOOKUP(P218,Tables!$B$3:$M$36,11,FALSE())*AL$1)</f>
        <v>0</v>
      </c>
      <c r="ED218" s="91">
        <f>IF(AN218="",0,VLOOKUP(B218,Tables!$B$3:$M$36,12,FALSE())*X$1)</f>
        <v>0</v>
      </c>
      <c r="EE218" s="92">
        <f>IF(AO218="",0,VLOOKUP(C218,Tables!$B$3:$M$36,12,FALSE())*Y$1)</f>
        <v>0</v>
      </c>
      <c r="EF218" s="92">
        <f>IF(AP218="",0,VLOOKUP(D218,Tables!$B$3:$M$36,12,FALSE())*Z$1)</f>
        <v>0</v>
      </c>
      <c r="EG218" s="91">
        <f>IF(AQ218="",0,VLOOKUP(E218,Tables!$B$3:$M$36,12,FALSE())*AA$1)</f>
        <v>0</v>
      </c>
      <c r="EH218" s="92">
        <f>IF(AR218="",0,VLOOKUP(F218,Tables!$B$3:$M$36,12,FALSE())*AB$1)</f>
        <v>0</v>
      </c>
      <c r="EI218" s="92">
        <f>IF(AS218="",0,VLOOKUP(G218,Tables!$B$3:$M$36,12,FALSE())*AC$1)</f>
        <v>0</v>
      </c>
      <c r="EJ218" s="92">
        <f>IF(AT218="",0,VLOOKUP(H218,Tables!$B$3:$M$36,12,FALSE())*AD$1)</f>
        <v>0</v>
      </c>
      <c r="EK218" s="92">
        <f>IF(AU218="",0,VLOOKUP(I218,Tables!$B$3:$M$36,12,FALSE())*AE$1)</f>
        <v>12</v>
      </c>
      <c r="EL218" s="91">
        <f>IF(AV218="",0,VLOOKUP(J218,Tables!$B$3:$M$36,12,FALSE())*AF$1)</f>
        <v>0</v>
      </c>
      <c r="EM218" s="92">
        <f>IF(AW218="",0,VLOOKUP(K218,Tables!$B$3:$M$36,12,FALSE())*AG$1)</f>
        <v>0</v>
      </c>
      <c r="EN218" s="92">
        <f>IF(AX218="",0,VLOOKUP(L218,Tables!$B$3:$M$36,12,FALSE())*AH$1)</f>
        <v>0</v>
      </c>
      <c r="EO218" s="91">
        <f>IF(AY218="",0,VLOOKUP(M218,Tables!$B$3:$M$36,12,FALSE())*AI$1)</f>
        <v>0</v>
      </c>
      <c r="EP218" s="92">
        <f>IF(AZ218="",0,VLOOKUP(N218,Tables!$B$3:$M$36,12,FALSE())*AJ$1)</f>
        <v>0</v>
      </c>
      <c r="EQ218" s="92">
        <f>IF(BA218="",0,VLOOKUP(O218,Tables!$B$3:$M$36,12,FALSE())*AK$1)</f>
        <v>0</v>
      </c>
      <c r="ER218" s="93">
        <f>IF(BB218="",0,VLOOKUP(P218,Tables!$B$3:$M$36,12,FALSE())*AL$1)</f>
        <v>0</v>
      </c>
      <c r="ES218" s="94">
        <f t="shared" si="223"/>
        <v>0</v>
      </c>
      <c r="ET218" s="95">
        <f>IF(AN218="",10,MIN(VLOOKUP(B218,MATERIAL,13,FALSE()),'Item Builder'!$W218))</f>
        <v>10</v>
      </c>
      <c r="EU218" s="95">
        <f>IF(AO218="",10,MIN(VLOOKUP(C218,MATERIAL,13,FALSE()),'Item Builder'!$W218))</f>
        <v>10</v>
      </c>
      <c r="EV218" s="95">
        <f>IF(AP218="",10,MIN(VLOOKUP(D218,MATERIAL,13,FALSE()),'Item Builder'!$W218))</f>
        <v>10</v>
      </c>
      <c r="EW218" s="95">
        <f>IF(AQ218="",10,MIN(VLOOKUP(E218,MATERIAL,13,FALSE()),'Item Builder'!$W218))</f>
        <v>10</v>
      </c>
      <c r="EX218" s="95">
        <f>IF(AR218="",10,MIN(VLOOKUP(F218,MATERIAL,13,FALSE()),'Item Builder'!$W218))</f>
        <v>10</v>
      </c>
      <c r="EY218" s="95">
        <f>IF(AS218="",10,MIN(VLOOKUP(G218,MATERIAL,13,FALSE()),'Item Builder'!$W218))</f>
        <v>10</v>
      </c>
      <c r="EZ218" s="95">
        <f>IF(AT218="",10,MIN(VLOOKUP(H218,MATERIAL,13,FALSE()),'Item Builder'!$W218))</f>
        <v>10</v>
      </c>
      <c r="FA218" s="95">
        <f>IF(AU218="",10,MIN(VLOOKUP(I218,MATERIAL,13,FALSE()),'Item Builder'!$W218))</f>
        <v>0</v>
      </c>
      <c r="FB218" s="95">
        <f>IF(AV218="",10,MIN(VLOOKUP(J218,MATERIAL,13,FALSE()),'Item Builder'!$W218))</f>
        <v>10</v>
      </c>
      <c r="FC218" s="95">
        <f>IF(AW218="",10,MIN(VLOOKUP(K218,MATERIAL,13,FALSE()),'Item Builder'!$W218))</f>
        <v>10</v>
      </c>
      <c r="FD218" s="95">
        <f>IF(AX218="",10,MIN(VLOOKUP(L218,MATERIAL,13,FALSE()),'Item Builder'!$W218))</f>
        <v>10</v>
      </c>
      <c r="FE218" s="95">
        <f>IF(AY218="",10,MIN(VLOOKUP(M218,MATERIAL,13,FALSE()),'Item Builder'!$W218))</f>
        <v>10</v>
      </c>
      <c r="FF218" s="95">
        <f>IF(AZ218="",10,MIN(VLOOKUP(N218,MATERIAL,13,FALSE()),'Item Builder'!$W218))</f>
        <v>10</v>
      </c>
      <c r="FG218" s="95">
        <f>IF(BA218="",10,MIN(VLOOKUP(O218,MATERIAL,13,FALSE()),'Item Builder'!$W218))</f>
        <v>10</v>
      </c>
      <c r="FH218" s="95">
        <f>IF(BB218="",10,MIN(VLOOKUP(P218,MATERIAL,13,FALSE()),'Item Builder'!$W218))</f>
        <v>10</v>
      </c>
    </row>
    <row r="219" spans="1:164" x14ac:dyDescent="0.25">
      <c r="A219" s="67" t="s">
        <v>359</v>
      </c>
      <c r="B219" s="68"/>
      <c r="C219" s="69"/>
      <c r="D219" s="70"/>
      <c r="E219" s="68"/>
      <c r="F219" s="69"/>
      <c r="G219" s="69"/>
      <c r="H219" s="69"/>
      <c r="I219" s="70"/>
      <c r="J219" s="68" t="s">
        <v>183</v>
      </c>
      <c r="K219" s="69" t="s">
        <v>183</v>
      </c>
      <c r="L219" s="70"/>
      <c r="M219" s="68"/>
      <c r="N219" s="69"/>
      <c r="O219" s="69"/>
      <c r="P219" s="71"/>
      <c r="Q219" s="72">
        <f>SUM(BV219:CJ219)*VLOOKUP(W219,Tables!$W$3:$Z$8,4)</f>
        <v>72</v>
      </c>
      <c r="R219" s="73">
        <f t="shared" si="168"/>
        <v>2.4</v>
      </c>
      <c r="S219" s="74">
        <f t="shared" si="169"/>
        <v>0</v>
      </c>
      <c r="T219" s="74">
        <f t="shared" si="170"/>
        <v>0</v>
      </c>
      <c r="U219" s="75">
        <f t="shared" si="171"/>
        <v>14.399999999999999</v>
      </c>
      <c r="V219" s="76">
        <f t="shared" si="172"/>
        <v>57.599999999999994</v>
      </c>
      <c r="W219" s="77">
        <v>0</v>
      </c>
      <c r="X219" s="78">
        <f t="shared" si="173"/>
        <v>0</v>
      </c>
      <c r="Y219" s="79">
        <f t="shared" si="174"/>
        <v>0</v>
      </c>
      <c r="Z219" s="79">
        <f t="shared" si="175"/>
        <v>0</v>
      </c>
      <c r="AA219" s="78">
        <f t="shared" si="176"/>
        <v>0</v>
      </c>
      <c r="AB219" s="79">
        <f t="shared" si="177"/>
        <v>0</v>
      </c>
      <c r="AC219" s="79">
        <f t="shared" si="178"/>
        <v>0</v>
      </c>
      <c r="AD219" s="79">
        <f t="shared" si="179"/>
        <v>0</v>
      </c>
      <c r="AE219" s="79">
        <f t="shared" si="180"/>
        <v>0</v>
      </c>
      <c r="AF219" s="78">
        <f t="shared" si="181"/>
        <v>1</v>
      </c>
      <c r="AG219" s="79">
        <f t="shared" si="182"/>
        <v>1</v>
      </c>
      <c r="AH219" s="79">
        <f t="shared" si="183"/>
        <v>0</v>
      </c>
      <c r="AI219" s="78">
        <f t="shared" si="184"/>
        <v>0</v>
      </c>
      <c r="AJ219" s="79">
        <f t="shared" si="185"/>
        <v>0</v>
      </c>
      <c r="AK219" s="79">
        <f t="shared" si="186"/>
        <v>0</v>
      </c>
      <c r="AL219" s="80">
        <f t="shared" si="187"/>
        <v>0</v>
      </c>
      <c r="AM219" s="81">
        <f t="shared" si="188"/>
        <v>0.24</v>
      </c>
      <c r="AN219" s="82" t="str">
        <f t="shared" si="189"/>
        <v/>
      </c>
      <c r="AO219" s="79" t="str">
        <f t="shared" si="190"/>
        <v/>
      </c>
      <c r="AP219" t="str">
        <f t="shared" si="191"/>
        <v/>
      </c>
      <c r="AQ219" s="82" t="str">
        <f t="shared" si="192"/>
        <v/>
      </c>
      <c r="AR219" t="str">
        <f t="shared" si="193"/>
        <v/>
      </c>
      <c r="AS219" t="str">
        <f t="shared" si="194"/>
        <v/>
      </c>
      <c r="AT219" t="str">
        <f t="shared" si="195"/>
        <v/>
      </c>
      <c r="AU219" t="str">
        <f t="shared" si="196"/>
        <v/>
      </c>
      <c r="AV219" s="82" t="str">
        <f t="shared" si="197"/>
        <v>D</v>
      </c>
      <c r="AW219" t="str">
        <f t="shared" si="198"/>
        <v>D</v>
      </c>
      <c r="AX219" t="str">
        <f t="shared" si="199"/>
        <v/>
      </c>
      <c r="AY219" s="82" t="str">
        <f t="shared" si="200"/>
        <v/>
      </c>
      <c r="AZ219" t="str">
        <f t="shared" si="201"/>
        <v/>
      </c>
      <c r="BA219" t="str">
        <f t="shared" si="202"/>
        <v/>
      </c>
      <c r="BB219" s="83" t="str">
        <f t="shared" si="203"/>
        <v/>
      </c>
      <c r="BC219" s="84">
        <f t="shared" si="204"/>
        <v>0</v>
      </c>
      <c r="BD219" s="84">
        <f t="shared" si="205"/>
        <v>0</v>
      </c>
      <c r="BE219" s="84">
        <f t="shared" si="206"/>
        <v>0.70588235294117652</v>
      </c>
      <c r="BF219" s="84">
        <f t="shared" si="207"/>
        <v>0</v>
      </c>
      <c r="BG219" s="78">
        <f>IF(AN219="",0,VLOOKUP(AN219,Tables!$AB$3:$AC$12,2))</f>
        <v>0</v>
      </c>
      <c r="BH219" s="79">
        <f>IF(AO219="",0,VLOOKUP(AO219,Tables!$AB$3:$AC$12,2))</f>
        <v>0</v>
      </c>
      <c r="BI219" s="79">
        <f>IF(AP219="",0,VLOOKUP(AP219,Tables!$AB$3:$AC$12,2))</f>
        <v>0</v>
      </c>
      <c r="BJ219" s="78">
        <f>IF(AQ219="",0,VLOOKUP(AQ219,Tables!$AB$3:$AC$12,2))</f>
        <v>0</v>
      </c>
      <c r="BK219" s="79">
        <f>IF(AR219="",0,VLOOKUP(AR219,Tables!$AB$3:$AC$12,2))</f>
        <v>0</v>
      </c>
      <c r="BL219" s="79">
        <f>IF(AS219="",0,VLOOKUP(AS219,Tables!$AB$3:$AC$12,2))</f>
        <v>0</v>
      </c>
      <c r="BM219" s="79">
        <f>IF(AT219="",0,VLOOKUP(AT219,Tables!$AB$3:$AC$12,2))</f>
        <v>0</v>
      </c>
      <c r="BN219" s="79">
        <f>IF(AU219="",0,VLOOKUP(AU219,Tables!$AB$3:$AC$12,2))</f>
        <v>0</v>
      </c>
      <c r="BO219" s="78">
        <f>IF(AV219="",0,VLOOKUP(AV219,Tables!$AB$3:$AC$12,2))</f>
        <v>1.5</v>
      </c>
      <c r="BP219" s="79">
        <f>IF(AW219="",0,VLOOKUP(AW219,Tables!$AB$3:$AC$12,2))</f>
        <v>1.5</v>
      </c>
      <c r="BQ219" s="79">
        <f>IF(AX219="",0,VLOOKUP(AX219,Tables!$AB$3:$AC$12,2))</f>
        <v>0</v>
      </c>
      <c r="BR219" s="78">
        <f>IF(AY219="",0,VLOOKUP(AY219,Tables!$AB$3:$AC$12,2))</f>
        <v>0</v>
      </c>
      <c r="BS219" s="79">
        <f>IF(AZ219="",0,VLOOKUP(AZ219,Tables!$AB$3:$AC$12,2))</f>
        <v>0</v>
      </c>
      <c r="BT219" s="79">
        <f>IF(BA219="",0,VLOOKUP(BA219,Tables!$AB$3:$AC$12,2))</f>
        <v>0</v>
      </c>
      <c r="BU219" s="80">
        <f>IF(BB219="",0,VLOOKUP(BB219,Tables!$AB$3:$AC$12,2))</f>
        <v>0</v>
      </c>
      <c r="BV219" s="85">
        <f>IF(AN219="",0,VLOOKUP(B219,Tables!$B$3:$D$36,2,FALSE())*X$1)</f>
        <v>0</v>
      </c>
      <c r="BW219" s="72">
        <f>IF(AO219="",0,VLOOKUP(C219,Tables!$B$3:$D$36,2,FALSE())*Y$1)</f>
        <v>0</v>
      </c>
      <c r="BX219" s="72">
        <f>IF(AP219="",0,VLOOKUP(D219,Tables!$B$3:$D$36,2,FALSE())*Z$1)</f>
        <v>0</v>
      </c>
      <c r="BY219" s="85">
        <f>IF(AQ219="",0,VLOOKUP(E219,Tables!$B$3:$D$36,2,FALSE())*AA$1)</f>
        <v>0</v>
      </c>
      <c r="BZ219" s="72">
        <f>IF(AR219="",0,VLOOKUP(F219,Tables!$B$3:$D$36,2,FALSE())*AB$1)</f>
        <v>0</v>
      </c>
      <c r="CA219" s="72">
        <f>IF(AS219="",0,VLOOKUP(G219,Tables!$B$3:$D$36,2,FALSE())*AC$1)</f>
        <v>0</v>
      </c>
      <c r="CB219" s="72">
        <f>IF(AT219="",0,VLOOKUP(H219,Tables!$B$3:$D$36,2,FALSE())*AD$1)</f>
        <v>0</v>
      </c>
      <c r="CC219" s="72">
        <f>IF(AU219="",0,VLOOKUP(I219,Tables!$B$3:$D$36,2,FALSE())*AE$1)</f>
        <v>0</v>
      </c>
      <c r="CD219" s="85">
        <f>IF(AV219="",0,VLOOKUP(J219,Tables!$B$3:$D$36,2,FALSE())*AF$1)</f>
        <v>36</v>
      </c>
      <c r="CE219" s="72">
        <f>IF(AW219="",0,VLOOKUP(K219,Tables!$B$3:$D$36,2,FALSE())*AG$1)</f>
        <v>36</v>
      </c>
      <c r="CF219" s="72">
        <f>IF(AX219="",0,VLOOKUP(L219,Tables!$B$3:$D$36,2,FALSE())*AH$1)</f>
        <v>0</v>
      </c>
      <c r="CG219" s="85">
        <f>IF(AY219="",0,VLOOKUP(M219,Tables!$B$3:$D$36,2,FALSE())*AI$1)</f>
        <v>0</v>
      </c>
      <c r="CH219" s="72">
        <f>IF(AZ219="",0,VLOOKUP(N219,Tables!$B$3:$D$36,2,FALSE())*AJ$1)</f>
        <v>0</v>
      </c>
      <c r="CI219" s="72">
        <f>IF(BA219="",0,VLOOKUP(O219,Tables!$B$3:$D$36,2,FALSE())*AK$1)</f>
        <v>0</v>
      </c>
      <c r="CJ219" s="86">
        <f>IF(BB219="",0,VLOOKUP(P219,Tables!$B$3:$D$36,2,FALSE())*AL$1)</f>
        <v>0</v>
      </c>
      <c r="CK219" s="87">
        <f>IF(AN219="",0,VLOOKUP(B219,Tables!$B$3:$D$36,3,FALSE())*X$1)*IF(OR(AN219="K",AN219="P"),2,1)</f>
        <v>0</v>
      </c>
      <c r="CL219" s="73">
        <f>IF(AO219="",0,VLOOKUP(C219,Tables!$B$3:$D$36,3,FALSE())*Y$1)*IF(OR(AO219="K",AO219="P"),2,1)</f>
        <v>0</v>
      </c>
      <c r="CM219" s="73">
        <f>IF(AP219="",0,VLOOKUP(D219,Tables!$B$3:$D$36,3,FALSE())*Z$1)*IF(OR(AP219="K",AP219="P"),2,1)</f>
        <v>0</v>
      </c>
      <c r="CN219" s="87">
        <f>IF(AQ219="",0,VLOOKUP(E219,Tables!$B$3:$D$36,3,FALSE())*AA$1)</f>
        <v>0</v>
      </c>
      <c r="CO219" s="73">
        <f>IF(AR219="",0,VLOOKUP(F219,Tables!$B$3:$D$36,3,FALSE())*AB$1)</f>
        <v>0</v>
      </c>
      <c r="CP219" s="73">
        <f>IF(AS219="",0,VLOOKUP(G219,Tables!$B$3:$D$36,3,FALSE())*AC$1)</f>
        <v>0</v>
      </c>
      <c r="CQ219" s="73">
        <f>IF(AT219="",0,VLOOKUP(H219,Tables!$B$3:$D$36,3,FALSE())*AD$1)</f>
        <v>0</v>
      </c>
      <c r="CR219" s="73">
        <f>IF(AU219="",0,VLOOKUP(I219,Tables!$B$3:$D$36,3,FALSE())*AE$1)</f>
        <v>0</v>
      </c>
      <c r="CS219" s="87">
        <f>IF(AV219="",0,VLOOKUP(J219,Tables!$B$3:$D$36,3,FALSE())*AF$1)</f>
        <v>1.2</v>
      </c>
      <c r="CT219" s="73">
        <f>IF(AW219="",0,VLOOKUP(K219,Tables!$B$3:$D$36,3,FALSE())*AG$1)</f>
        <v>1.2</v>
      </c>
      <c r="CU219" s="73">
        <f>IF(AX219="",0,VLOOKUP(L219,Tables!$B$3:$D$36,3,FALSE())*AH$1)</f>
        <v>0</v>
      </c>
      <c r="CV219" s="87">
        <f>IF(AY219="",0,VLOOKUP(M219,Tables!$B$3:$D$36,3,FALSE())*AI$1)</f>
        <v>0</v>
      </c>
      <c r="CW219" s="73">
        <f>IF(AZ219="",0,VLOOKUP(N219,Tables!$B$3:$D$36,3,FALSE())*AJ$1)</f>
        <v>0</v>
      </c>
      <c r="CX219" s="73">
        <f>IF(BA219="",0,VLOOKUP(O219,Tables!$B$3:$D$36,3,FALSE())*AK$1)</f>
        <v>0</v>
      </c>
      <c r="CY219" s="88">
        <f>IF(BB219="",0,VLOOKUP(P219,Tables!$B$3:$D$36,3,FALSE())*AL$1)</f>
        <v>0</v>
      </c>
      <c r="CZ219" s="89">
        <f t="shared" si="208"/>
        <v>0</v>
      </c>
      <c r="DA219" s="75">
        <f t="shared" si="209"/>
        <v>0</v>
      </c>
      <c r="DB219" s="75">
        <f t="shared" si="210"/>
        <v>0</v>
      </c>
      <c r="DC219" s="89">
        <f t="shared" si="211"/>
        <v>0</v>
      </c>
      <c r="DD219" s="75">
        <f t="shared" si="212"/>
        <v>0</v>
      </c>
      <c r="DE219" s="75">
        <f t="shared" si="213"/>
        <v>0</v>
      </c>
      <c r="DF219" s="75">
        <f t="shared" si="214"/>
        <v>0</v>
      </c>
      <c r="DG219" s="75">
        <f t="shared" si="215"/>
        <v>0</v>
      </c>
      <c r="DH219" s="89">
        <f t="shared" si="216"/>
        <v>1</v>
      </c>
      <c r="DI219" s="75">
        <f t="shared" si="217"/>
        <v>1</v>
      </c>
      <c r="DJ219" s="75">
        <f t="shared" si="218"/>
        <v>0</v>
      </c>
      <c r="DK219" s="89">
        <f t="shared" si="219"/>
        <v>0</v>
      </c>
      <c r="DL219" s="75">
        <f t="shared" si="220"/>
        <v>0</v>
      </c>
      <c r="DM219" s="75">
        <f t="shared" si="221"/>
        <v>0</v>
      </c>
      <c r="DN219" s="90">
        <f t="shared" si="222"/>
        <v>0</v>
      </c>
      <c r="DO219" s="91">
        <f>IF(AN219="",0,VLOOKUP(B219,Tables!$B$3:$M$36,11,FALSE())*X$1)</f>
        <v>0</v>
      </c>
      <c r="DP219" s="92">
        <f>IF(AO219="",0,VLOOKUP(C219,Tables!$B$3:$M$36,11,FALSE())*Y$1)</f>
        <v>0</v>
      </c>
      <c r="DQ219" s="92">
        <f>IF(AP219="",0,VLOOKUP(D219,Tables!$B$3:$M$36,11,FALSE())*Z$1)</f>
        <v>0</v>
      </c>
      <c r="DR219" s="91">
        <f>IF(AQ219="",0,VLOOKUP(E219,Tables!$B$3:$M$36,11,FALSE())*AA$1)</f>
        <v>0</v>
      </c>
      <c r="DS219" s="92">
        <f>IF(AR219="",0,VLOOKUP(F219,Tables!$B$3:$M$36,11,FALSE())*AB$1)</f>
        <v>0</v>
      </c>
      <c r="DT219" s="92">
        <f>IF(AS219="",0,VLOOKUP(G219,Tables!$B$3:$M$36,11,FALSE())*AC$1)</f>
        <v>0</v>
      </c>
      <c r="DU219" s="92">
        <f>IF(AT219="",0,VLOOKUP(H219,Tables!$B$3:$M$36,11,FALSE())*AD$1)</f>
        <v>0</v>
      </c>
      <c r="DV219" s="92">
        <f>IF(AU219="",0,VLOOKUP(I219,Tables!$B$3:$M$36,11,FALSE())*AE$1)</f>
        <v>0</v>
      </c>
      <c r="DW219" s="91">
        <f>IF(AV219="",0,VLOOKUP(J219,Tables!$B$3:$M$36,11,FALSE())*AF$1)</f>
        <v>7.1999999999999993</v>
      </c>
      <c r="DX219" s="92">
        <f>IF(AW219="",0,VLOOKUP(K219,Tables!$B$3:$M$36,11,FALSE())*AG$1)</f>
        <v>7.1999999999999993</v>
      </c>
      <c r="DY219" s="92">
        <f>IF(AX219="",0,VLOOKUP(L219,Tables!$B$3:$M$36,11,FALSE())*AH$1)</f>
        <v>0</v>
      </c>
      <c r="DZ219" s="91">
        <f>IF(AY219="",0,VLOOKUP(M219,Tables!$B$3:$M$36,11,FALSE())*AI$1)</f>
        <v>0</v>
      </c>
      <c r="EA219" s="92">
        <f>IF(AZ219="",0,VLOOKUP(N219,Tables!$B$3:$M$36,11,FALSE())*AJ$1)</f>
        <v>0</v>
      </c>
      <c r="EB219" s="92">
        <f>IF(BA219="",0,VLOOKUP(O219,Tables!$B$3:$M$36,11,FALSE())*AK$1)</f>
        <v>0</v>
      </c>
      <c r="EC219" s="93">
        <f>IF(BB219="",0,VLOOKUP(P219,Tables!$B$3:$M$36,11,FALSE())*AL$1)</f>
        <v>0</v>
      </c>
      <c r="ED219" s="91">
        <f>IF(AN219="",0,VLOOKUP(B219,Tables!$B$3:$M$36,12,FALSE())*X$1)</f>
        <v>0</v>
      </c>
      <c r="EE219" s="92">
        <f>IF(AO219="",0,VLOOKUP(C219,Tables!$B$3:$M$36,12,FALSE())*Y$1)</f>
        <v>0</v>
      </c>
      <c r="EF219" s="92">
        <f>IF(AP219="",0,VLOOKUP(D219,Tables!$B$3:$M$36,12,FALSE())*Z$1)</f>
        <v>0</v>
      </c>
      <c r="EG219" s="91">
        <f>IF(AQ219="",0,VLOOKUP(E219,Tables!$B$3:$M$36,12,FALSE())*AA$1)</f>
        <v>0</v>
      </c>
      <c r="EH219" s="92">
        <f>IF(AR219="",0,VLOOKUP(F219,Tables!$B$3:$M$36,12,FALSE())*AB$1)</f>
        <v>0</v>
      </c>
      <c r="EI219" s="92">
        <f>IF(AS219="",0,VLOOKUP(G219,Tables!$B$3:$M$36,12,FALSE())*AC$1)</f>
        <v>0</v>
      </c>
      <c r="EJ219" s="92">
        <f>IF(AT219="",0,VLOOKUP(H219,Tables!$B$3:$M$36,12,FALSE())*AD$1)</f>
        <v>0</v>
      </c>
      <c r="EK219" s="92">
        <f>IF(AU219="",0,VLOOKUP(I219,Tables!$B$3:$M$36,12,FALSE())*AE$1)</f>
        <v>0</v>
      </c>
      <c r="EL219" s="91">
        <f>IF(AV219="",0,VLOOKUP(J219,Tables!$B$3:$M$36,12,FALSE())*AF$1)</f>
        <v>28.799999999999997</v>
      </c>
      <c r="EM219" s="92">
        <f>IF(AW219="",0,VLOOKUP(K219,Tables!$B$3:$M$36,12,FALSE())*AG$1)</f>
        <v>28.799999999999997</v>
      </c>
      <c r="EN219" s="92">
        <f>IF(AX219="",0,VLOOKUP(L219,Tables!$B$3:$M$36,12,FALSE())*AH$1)</f>
        <v>0</v>
      </c>
      <c r="EO219" s="91">
        <f>IF(AY219="",0,VLOOKUP(M219,Tables!$B$3:$M$36,12,FALSE())*AI$1)</f>
        <v>0</v>
      </c>
      <c r="EP219" s="92">
        <f>IF(AZ219="",0,VLOOKUP(N219,Tables!$B$3:$M$36,12,FALSE())*AJ$1)</f>
        <v>0</v>
      </c>
      <c r="EQ219" s="92">
        <f>IF(BA219="",0,VLOOKUP(O219,Tables!$B$3:$M$36,12,FALSE())*AK$1)</f>
        <v>0</v>
      </c>
      <c r="ER219" s="93">
        <f>IF(BB219="",0,VLOOKUP(P219,Tables!$B$3:$M$36,12,FALSE())*AL$1)</f>
        <v>0</v>
      </c>
      <c r="ES219" s="94">
        <f t="shared" si="223"/>
        <v>0</v>
      </c>
      <c r="ET219" s="95">
        <f>IF(AN219="",10,MIN(VLOOKUP(B219,MATERIAL,13,FALSE()),'Item Builder'!$W219))</f>
        <v>10</v>
      </c>
      <c r="EU219" s="95">
        <f>IF(AO219="",10,MIN(VLOOKUP(C219,MATERIAL,13,FALSE()),'Item Builder'!$W219))</f>
        <v>10</v>
      </c>
      <c r="EV219" s="95">
        <f>IF(AP219="",10,MIN(VLOOKUP(D219,MATERIAL,13,FALSE()),'Item Builder'!$W219))</f>
        <v>10</v>
      </c>
      <c r="EW219" s="95">
        <f>IF(AQ219="",10,MIN(VLOOKUP(E219,MATERIAL,13,FALSE()),'Item Builder'!$W219))</f>
        <v>10</v>
      </c>
      <c r="EX219" s="95">
        <f>IF(AR219="",10,MIN(VLOOKUP(F219,MATERIAL,13,FALSE()),'Item Builder'!$W219))</f>
        <v>10</v>
      </c>
      <c r="EY219" s="95">
        <f>IF(AS219="",10,MIN(VLOOKUP(G219,MATERIAL,13,FALSE()),'Item Builder'!$W219))</f>
        <v>10</v>
      </c>
      <c r="EZ219" s="95">
        <f>IF(AT219="",10,MIN(VLOOKUP(H219,MATERIAL,13,FALSE()),'Item Builder'!$W219))</f>
        <v>10</v>
      </c>
      <c r="FA219" s="95">
        <f>IF(AU219="",10,MIN(VLOOKUP(I219,MATERIAL,13,FALSE()),'Item Builder'!$W219))</f>
        <v>10</v>
      </c>
      <c r="FB219" s="95">
        <f>IF(AV219="",10,MIN(VLOOKUP(J219,MATERIAL,13,FALSE()),'Item Builder'!$W219))</f>
        <v>0</v>
      </c>
      <c r="FC219" s="95">
        <f>IF(AW219="",10,MIN(VLOOKUP(K219,MATERIAL,13,FALSE()),'Item Builder'!$W219))</f>
        <v>0</v>
      </c>
      <c r="FD219" s="95">
        <f>IF(AX219="",10,MIN(VLOOKUP(L219,MATERIAL,13,FALSE()),'Item Builder'!$W219))</f>
        <v>10</v>
      </c>
      <c r="FE219" s="95">
        <f>IF(AY219="",10,MIN(VLOOKUP(M219,MATERIAL,13,FALSE()),'Item Builder'!$W219))</f>
        <v>10</v>
      </c>
      <c r="FF219" s="95">
        <f>IF(AZ219="",10,MIN(VLOOKUP(N219,MATERIAL,13,FALSE()),'Item Builder'!$W219))</f>
        <v>10</v>
      </c>
      <c r="FG219" s="95">
        <f>IF(BA219="",10,MIN(VLOOKUP(O219,MATERIAL,13,FALSE()),'Item Builder'!$W219))</f>
        <v>10</v>
      </c>
      <c r="FH219" s="95">
        <f>IF(BB219="",10,MIN(VLOOKUP(P219,MATERIAL,13,FALSE()),'Item Builder'!$W219))</f>
        <v>10</v>
      </c>
    </row>
    <row r="220" spans="1:164" x14ac:dyDescent="0.25">
      <c r="A220" s="67" t="s">
        <v>360</v>
      </c>
      <c r="B220" s="68"/>
      <c r="C220" s="69"/>
      <c r="D220" s="70"/>
      <c r="E220" s="68" t="s">
        <v>183</v>
      </c>
      <c r="F220" s="69"/>
      <c r="G220" s="69"/>
      <c r="H220" s="69"/>
      <c r="I220" s="70"/>
      <c r="J220" s="68" t="s">
        <v>183</v>
      </c>
      <c r="K220" s="69" t="s">
        <v>183</v>
      </c>
      <c r="L220" s="70"/>
      <c r="M220" s="68"/>
      <c r="N220" s="69"/>
      <c r="O220" s="69"/>
      <c r="P220" s="71"/>
      <c r="Q220" s="72">
        <f>SUM(BV220:CJ220)*VLOOKUP(W220,Tables!$W$3:$Z$8,4)</f>
        <v>81</v>
      </c>
      <c r="R220" s="73">
        <f t="shared" si="168"/>
        <v>2.7</v>
      </c>
      <c r="S220" s="74">
        <f t="shared" si="169"/>
        <v>0</v>
      </c>
      <c r="T220" s="74">
        <f t="shared" si="170"/>
        <v>0</v>
      </c>
      <c r="U220" s="75">
        <f t="shared" si="171"/>
        <v>16.2</v>
      </c>
      <c r="V220" s="76">
        <f t="shared" si="172"/>
        <v>64.8</v>
      </c>
      <c r="W220" s="77">
        <v>0</v>
      </c>
      <c r="X220" s="78">
        <f t="shared" si="173"/>
        <v>0</v>
      </c>
      <c r="Y220" s="79">
        <f t="shared" si="174"/>
        <v>0</v>
      </c>
      <c r="Z220" s="79">
        <f t="shared" si="175"/>
        <v>0</v>
      </c>
      <c r="AA220" s="78">
        <f t="shared" si="176"/>
        <v>1</v>
      </c>
      <c r="AB220" s="79">
        <f t="shared" si="177"/>
        <v>0</v>
      </c>
      <c r="AC220" s="79">
        <f t="shared" si="178"/>
        <v>0</v>
      </c>
      <c r="AD220" s="79">
        <f t="shared" si="179"/>
        <v>0</v>
      </c>
      <c r="AE220" s="79">
        <f t="shared" si="180"/>
        <v>0</v>
      </c>
      <c r="AF220" s="78">
        <f t="shared" si="181"/>
        <v>1</v>
      </c>
      <c r="AG220" s="79">
        <f t="shared" si="182"/>
        <v>1</v>
      </c>
      <c r="AH220" s="79">
        <f t="shared" si="183"/>
        <v>0</v>
      </c>
      <c r="AI220" s="78">
        <f t="shared" si="184"/>
        <v>0</v>
      </c>
      <c r="AJ220" s="79">
        <f t="shared" si="185"/>
        <v>0</v>
      </c>
      <c r="AK220" s="79">
        <f t="shared" si="186"/>
        <v>0</v>
      </c>
      <c r="AL220" s="80">
        <f t="shared" si="187"/>
        <v>0</v>
      </c>
      <c r="AM220" s="81">
        <f t="shared" si="188"/>
        <v>0.27</v>
      </c>
      <c r="AN220" s="82" t="str">
        <f t="shared" si="189"/>
        <v/>
      </c>
      <c r="AO220" s="79" t="str">
        <f t="shared" si="190"/>
        <v/>
      </c>
      <c r="AP220" t="str">
        <f t="shared" si="191"/>
        <v/>
      </c>
      <c r="AQ220" s="82" t="str">
        <f t="shared" si="192"/>
        <v>D</v>
      </c>
      <c r="AR220" t="str">
        <f t="shared" si="193"/>
        <v/>
      </c>
      <c r="AS220" t="str">
        <f t="shared" si="194"/>
        <v/>
      </c>
      <c r="AT220" t="str">
        <f t="shared" si="195"/>
        <v/>
      </c>
      <c r="AU220" t="str">
        <f t="shared" si="196"/>
        <v/>
      </c>
      <c r="AV220" s="82" t="str">
        <f t="shared" si="197"/>
        <v>D</v>
      </c>
      <c r="AW220" t="str">
        <f t="shared" si="198"/>
        <v>D</v>
      </c>
      <c r="AX220" t="str">
        <f t="shared" si="199"/>
        <v/>
      </c>
      <c r="AY220" s="82" t="str">
        <f t="shared" si="200"/>
        <v/>
      </c>
      <c r="AZ220" t="str">
        <f t="shared" si="201"/>
        <v/>
      </c>
      <c r="BA220" t="str">
        <f t="shared" si="202"/>
        <v/>
      </c>
      <c r="BB220" s="83" t="str">
        <f t="shared" si="203"/>
        <v/>
      </c>
      <c r="BC220" s="84">
        <f t="shared" si="204"/>
        <v>0</v>
      </c>
      <c r="BD220" s="84">
        <f t="shared" si="205"/>
        <v>0.14285714285714285</v>
      </c>
      <c r="BE220" s="84">
        <f t="shared" si="206"/>
        <v>0.70588235294117652</v>
      </c>
      <c r="BF220" s="84">
        <f t="shared" si="207"/>
        <v>0</v>
      </c>
      <c r="BG220" s="78">
        <f>IF(AN220="",0,VLOOKUP(AN220,Tables!$AB$3:$AC$12,2))</f>
        <v>0</v>
      </c>
      <c r="BH220" s="79">
        <f>IF(AO220="",0,VLOOKUP(AO220,Tables!$AB$3:$AC$12,2))</f>
        <v>0</v>
      </c>
      <c r="BI220" s="79">
        <f>IF(AP220="",0,VLOOKUP(AP220,Tables!$AB$3:$AC$12,2))</f>
        <v>0</v>
      </c>
      <c r="BJ220" s="78">
        <f>IF(AQ220="",0,VLOOKUP(AQ220,Tables!$AB$3:$AC$12,2))</f>
        <v>1.5</v>
      </c>
      <c r="BK220" s="79">
        <f>IF(AR220="",0,VLOOKUP(AR220,Tables!$AB$3:$AC$12,2))</f>
        <v>0</v>
      </c>
      <c r="BL220" s="79">
        <f>IF(AS220="",0,VLOOKUP(AS220,Tables!$AB$3:$AC$12,2))</f>
        <v>0</v>
      </c>
      <c r="BM220" s="79">
        <f>IF(AT220="",0,VLOOKUP(AT220,Tables!$AB$3:$AC$12,2))</f>
        <v>0</v>
      </c>
      <c r="BN220" s="79">
        <f>IF(AU220="",0,VLOOKUP(AU220,Tables!$AB$3:$AC$12,2))</f>
        <v>0</v>
      </c>
      <c r="BO220" s="78">
        <f>IF(AV220="",0,VLOOKUP(AV220,Tables!$AB$3:$AC$12,2))</f>
        <v>1.5</v>
      </c>
      <c r="BP220" s="79">
        <f>IF(AW220="",0,VLOOKUP(AW220,Tables!$AB$3:$AC$12,2))</f>
        <v>1.5</v>
      </c>
      <c r="BQ220" s="79">
        <f>IF(AX220="",0,VLOOKUP(AX220,Tables!$AB$3:$AC$12,2))</f>
        <v>0</v>
      </c>
      <c r="BR220" s="78">
        <f>IF(AY220="",0,VLOOKUP(AY220,Tables!$AB$3:$AC$12,2))</f>
        <v>0</v>
      </c>
      <c r="BS220" s="79">
        <f>IF(AZ220="",0,VLOOKUP(AZ220,Tables!$AB$3:$AC$12,2))</f>
        <v>0</v>
      </c>
      <c r="BT220" s="79">
        <f>IF(BA220="",0,VLOOKUP(BA220,Tables!$AB$3:$AC$12,2))</f>
        <v>0</v>
      </c>
      <c r="BU220" s="80">
        <f>IF(BB220="",0,VLOOKUP(BB220,Tables!$AB$3:$AC$12,2))</f>
        <v>0</v>
      </c>
      <c r="BV220" s="85">
        <f>IF(AN220="",0,VLOOKUP(B220,Tables!$B$3:$D$36,2,FALSE())*X$1)</f>
        <v>0</v>
      </c>
      <c r="BW220" s="72">
        <f>IF(AO220="",0,VLOOKUP(C220,Tables!$B$3:$D$36,2,FALSE())*Y$1)</f>
        <v>0</v>
      </c>
      <c r="BX220" s="72">
        <f>IF(AP220="",0,VLOOKUP(D220,Tables!$B$3:$D$36,2,FALSE())*Z$1)</f>
        <v>0</v>
      </c>
      <c r="BY220" s="85">
        <f>IF(AQ220="",0,VLOOKUP(E220,Tables!$B$3:$D$36,2,FALSE())*AA$1)</f>
        <v>9</v>
      </c>
      <c r="BZ220" s="72">
        <f>IF(AR220="",0,VLOOKUP(F220,Tables!$B$3:$D$36,2,FALSE())*AB$1)</f>
        <v>0</v>
      </c>
      <c r="CA220" s="72">
        <f>IF(AS220="",0,VLOOKUP(G220,Tables!$B$3:$D$36,2,FALSE())*AC$1)</f>
        <v>0</v>
      </c>
      <c r="CB220" s="72">
        <f>IF(AT220="",0,VLOOKUP(H220,Tables!$B$3:$D$36,2,FALSE())*AD$1)</f>
        <v>0</v>
      </c>
      <c r="CC220" s="72">
        <f>IF(AU220="",0,VLOOKUP(I220,Tables!$B$3:$D$36,2,FALSE())*AE$1)</f>
        <v>0</v>
      </c>
      <c r="CD220" s="85">
        <f>IF(AV220="",0,VLOOKUP(J220,Tables!$B$3:$D$36,2,FALSE())*AF$1)</f>
        <v>36</v>
      </c>
      <c r="CE220" s="72">
        <f>IF(AW220="",0,VLOOKUP(K220,Tables!$B$3:$D$36,2,FALSE())*AG$1)</f>
        <v>36</v>
      </c>
      <c r="CF220" s="72">
        <f>IF(AX220="",0,VLOOKUP(L220,Tables!$B$3:$D$36,2,FALSE())*AH$1)</f>
        <v>0</v>
      </c>
      <c r="CG220" s="85">
        <f>IF(AY220="",0,VLOOKUP(M220,Tables!$B$3:$D$36,2,FALSE())*AI$1)</f>
        <v>0</v>
      </c>
      <c r="CH220" s="72">
        <f>IF(AZ220="",0,VLOOKUP(N220,Tables!$B$3:$D$36,2,FALSE())*AJ$1)</f>
        <v>0</v>
      </c>
      <c r="CI220" s="72">
        <f>IF(BA220="",0,VLOOKUP(O220,Tables!$B$3:$D$36,2,FALSE())*AK$1)</f>
        <v>0</v>
      </c>
      <c r="CJ220" s="86">
        <f>IF(BB220="",0,VLOOKUP(P220,Tables!$B$3:$D$36,2,FALSE())*AL$1)</f>
        <v>0</v>
      </c>
      <c r="CK220" s="87">
        <f>IF(AN220="",0,VLOOKUP(B220,Tables!$B$3:$D$36,3,FALSE())*X$1)*IF(OR(AN220="K",AN220="P"),2,1)</f>
        <v>0</v>
      </c>
      <c r="CL220" s="73">
        <f>IF(AO220="",0,VLOOKUP(C220,Tables!$B$3:$D$36,3,FALSE())*Y$1)*IF(OR(AO220="K",AO220="P"),2,1)</f>
        <v>0</v>
      </c>
      <c r="CM220" s="73">
        <f>IF(AP220="",0,VLOOKUP(D220,Tables!$B$3:$D$36,3,FALSE())*Z$1)*IF(OR(AP220="K",AP220="P"),2,1)</f>
        <v>0</v>
      </c>
      <c r="CN220" s="87">
        <f>IF(AQ220="",0,VLOOKUP(E220,Tables!$B$3:$D$36,3,FALSE())*AA$1)</f>
        <v>0.3</v>
      </c>
      <c r="CO220" s="73">
        <f>IF(AR220="",0,VLOOKUP(F220,Tables!$B$3:$D$36,3,FALSE())*AB$1)</f>
        <v>0</v>
      </c>
      <c r="CP220" s="73">
        <f>IF(AS220="",0,VLOOKUP(G220,Tables!$B$3:$D$36,3,FALSE())*AC$1)</f>
        <v>0</v>
      </c>
      <c r="CQ220" s="73">
        <f>IF(AT220="",0,VLOOKUP(H220,Tables!$B$3:$D$36,3,FALSE())*AD$1)</f>
        <v>0</v>
      </c>
      <c r="CR220" s="73">
        <f>IF(AU220="",0,VLOOKUP(I220,Tables!$B$3:$D$36,3,FALSE())*AE$1)</f>
        <v>0</v>
      </c>
      <c r="CS220" s="87">
        <f>IF(AV220="",0,VLOOKUP(J220,Tables!$B$3:$D$36,3,FALSE())*AF$1)</f>
        <v>1.2</v>
      </c>
      <c r="CT220" s="73">
        <f>IF(AW220="",0,VLOOKUP(K220,Tables!$B$3:$D$36,3,FALSE())*AG$1)</f>
        <v>1.2</v>
      </c>
      <c r="CU220" s="73">
        <f>IF(AX220="",0,VLOOKUP(L220,Tables!$B$3:$D$36,3,FALSE())*AH$1)</f>
        <v>0</v>
      </c>
      <c r="CV220" s="87">
        <f>IF(AY220="",0,VLOOKUP(M220,Tables!$B$3:$D$36,3,FALSE())*AI$1)</f>
        <v>0</v>
      </c>
      <c r="CW220" s="73">
        <f>IF(AZ220="",0,VLOOKUP(N220,Tables!$B$3:$D$36,3,FALSE())*AJ$1)</f>
        <v>0</v>
      </c>
      <c r="CX220" s="73">
        <f>IF(BA220="",0,VLOOKUP(O220,Tables!$B$3:$D$36,3,FALSE())*AK$1)</f>
        <v>0</v>
      </c>
      <c r="CY220" s="88">
        <f>IF(BB220="",0,VLOOKUP(P220,Tables!$B$3:$D$36,3,FALSE())*AL$1)</f>
        <v>0</v>
      </c>
      <c r="CZ220" s="89">
        <f t="shared" si="208"/>
        <v>0</v>
      </c>
      <c r="DA220" s="75">
        <f t="shared" si="209"/>
        <v>0</v>
      </c>
      <c r="DB220" s="75">
        <f t="shared" si="210"/>
        <v>0</v>
      </c>
      <c r="DC220" s="89">
        <f t="shared" si="211"/>
        <v>1</v>
      </c>
      <c r="DD220" s="75">
        <f t="shared" si="212"/>
        <v>0</v>
      </c>
      <c r="DE220" s="75">
        <f t="shared" si="213"/>
        <v>0</v>
      </c>
      <c r="DF220" s="75">
        <f t="shared" si="214"/>
        <v>0</v>
      </c>
      <c r="DG220" s="75">
        <f t="shared" si="215"/>
        <v>0</v>
      </c>
      <c r="DH220" s="89">
        <f t="shared" si="216"/>
        <v>1</v>
      </c>
      <c r="DI220" s="75">
        <f t="shared" si="217"/>
        <v>1</v>
      </c>
      <c r="DJ220" s="75">
        <f t="shared" si="218"/>
        <v>0</v>
      </c>
      <c r="DK220" s="89">
        <f t="shared" si="219"/>
        <v>0</v>
      </c>
      <c r="DL220" s="75">
        <f t="shared" si="220"/>
        <v>0</v>
      </c>
      <c r="DM220" s="75">
        <f t="shared" si="221"/>
        <v>0</v>
      </c>
      <c r="DN220" s="90">
        <f t="shared" si="222"/>
        <v>0</v>
      </c>
      <c r="DO220" s="91">
        <f>IF(AN220="",0,VLOOKUP(B220,Tables!$B$3:$M$36,11,FALSE())*X$1)</f>
        <v>0</v>
      </c>
      <c r="DP220" s="92">
        <f>IF(AO220="",0,VLOOKUP(C220,Tables!$B$3:$M$36,11,FALSE())*Y$1)</f>
        <v>0</v>
      </c>
      <c r="DQ220" s="92">
        <f>IF(AP220="",0,VLOOKUP(D220,Tables!$B$3:$M$36,11,FALSE())*Z$1)</f>
        <v>0</v>
      </c>
      <c r="DR220" s="91">
        <f>IF(AQ220="",0,VLOOKUP(E220,Tables!$B$3:$M$36,11,FALSE())*AA$1)</f>
        <v>1.7999999999999998</v>
      </c>
      <c r="DS220" s="92">
        <f>IF(AR220="",0,VLOOKUP(F220,Tables!$B$3:$M$36,11,FALSE())*AB$1)</f>
        <v>0</v>
      </c>
      <c r="DT220" s="92">
        <f>IF(AS220="",0,VLOOKUP(G220,Tables!$B$3:$M$36,11,FALSE())*AC$1)</f>
        <v>0</v>
      </c>
      <c r="DU220" s="92">
        <f>IF(AT220="",0,VLOOKUP(H220,Tables!$B$3:$M$36,11,FALSE())*AD$1)</f>
        <v>0</v>
      </c>
      <c r="DV220" s="92">
        <f>IF(AU220="",0,VLOOKUP(I220,Tables!$B$3:$M$36,11,FALSE())*AE$1)</f>
        <v>0</v>
      </c>
      <c r="DW220" s="91">
        <f>IF(AV220="",0,VLOOKUP(J220,Tables!$B$3:$M$36,11,FALSE())*AF$1)</f>
        <v>7.1999999999999993</v>
      </c>
      <c r="DX220" s="92">
        <f>IF(AW220="",0,VLOOKUP(K220,Tables!$B$3:$M$36,11,FALSE())*AG$1)</f>
        <v>7.1999999999999993</v>
      </c>
      <c r="DY220" s="92">
        <f>IF(AX220="",0,VLOOKUP(L220,Tables!$B$3:$M$36,11,FALSE())*AH$1)</f>
        <v>0</v>
      </c>
      <c r="DZ220" s="91">
        <f>IF(AY220="",0,VLOOKUP(M220,Tables!$B$3:$M$36,11,FALSE())*AI$1)</f>
        <v>0</v>
      </c>
      <c r="EA220" s="92">
        <f>IF(AZ220="",0,VLOOKUP(N220,Tables!$B$3:$M$36,11,FALSE())*AJ$1)</f>
        <v>0</v>
      </c>
      <c r="EB220" s="92">
        <f>IF(BA220="",0,VLOOKUP(O220,Tables!$B$3:$M$36,11,FALSE())*AK$1)</f>
        <v>0</v>
      </c>
      <c r="EC220" s="93">
        <f>IF(BB220="",0,VLOOKUP(P220,Tables!$B$3:$M$36,11,FALSE())*AL$1)</f>
        <v>0</v>
      </c>
      <c r="ED220" s="91">
        <f>IF(AN220="",0,VLOOKUP(B220,Tables!$B$3:$M$36,12,FALSE())*X$1)</f>
        <v>0</v>
      </c>
      <c r="EE220" s="92">
        <f>IF(AO220="",0,VLOOKUP(C220,Tables!$B$3:$M$36,12,FALSE())*Y$1)</f>
        <v>0</v>
      </c>
      <c r="EF220" s="92">
        <f>IF(AP220="",0,VLOOKUP(D220,Tables!$B$3:$M$36,12,FALSE())*Z$1)</f>
        <v>0</v>
      </c>
      <c r="EG220" s="91">
        <f>IF(AQ220="",0,VLOOKUP(E220,Tables!$B$3:$M$36,12,FALSE())*AA$1)</f>
        <v>7.1999999999999993</v>
      </c>
      <c r="EH220" s="92">
        <f>IF(AR220="",0,VLOOKUP(F220,Tables!$B$3:$M$36,12,FALSE())*AB$1)</f>
        <v>0</v>
      </c>
      <c r="EI220" s="92">
        <f>IF(AS220="",0,VLOOKUP(G220,Tables!$B$3:$M$36,12,FALSE())*AC$1)</f>
        <v>0</v>
      </c>
      <c r="EJ220" s="92">
        <f>IF(AT220="",0,VLOOKUP(H220,Tables!$B$3:$M$36,12,FALSE())*AD$1)</f>
        <v>0</v>
      </c>
      <c r="EK220" s="92">
        <f>IF(AU220="",0,VLOOKUP(I220,Tables!$B$3:$M$36,12,FALSE())*AE$1)</f>
        <v>0</v>
      </c>
      <c r="EL220" s="91">
        <f>IF(AV220="",0,VLOOKUP(J220,Tables!$B$3:$M$36,12,FALSE())*AF$1)</f>
        <v>28.799999999999997</v>
      </c>
      <c r="EM220" s="92">
        <f>IF(AW220="",0,VLOOKUP(K220,Tables!$B$3:$M$36,12,FALSE())*AG$1)</f>
        <v>28.799999999999997</v>
      </c>
      <c r="EN220" s="92">
        <f>IF(AX220="",0,VLOOKUP(L220,Tables!$B$3:$M$36,12,FALSE())*AH$1)</f>
        <v>0</v>
      </c>
      <c r="EO220" s="91">
        <f>IF(AY220="",0,VLOOKUP(M220,Tables!$B$3:$M$36,12,FALSE())*AI$1)</f>
        <v>0</v>
      </c>
      <c r="EP220" s="92">
        <f>IF(AZ220="",0,VLOOKUP(N220,Tables!$B$3:$M$36,12,FALSE())*AJ$1)</f>
        <v>0</v>
      </c>
      <c r="EQ220" s="92">
        <f>IF(BA220="",0,VLOOKUP(O220,Tables!$B$3:$M$36,12,FALSE())*AK$1)</f>
        <v>0</v>
      </c>
      <c r="ER220" s="93">
        <f>IF(BB220="",0,VLOOKUP(P220,Tables!$B$3:$M$36,12,FALSE())*AL$1)</f>
        <v>0</v>
      </c>
      <c r="ES220" s="94">
        <f t="shared" si="223"/>
        <v>0</v>
      </c>
      <c r="ET220" s="95">
        <f>IF(AN220="",10,MIN(VLOOKUP(B220,MATERIAL,13,FALSE()),'Item Builder'!$W220))</f>
        <v>10</v>
      </c>
      <c r="EU220" s="95">
        <f>IF(AO220="",10,MIN(VLOOKUP(C220,MATERIAL,13,FALSE()),'Item Builder'!$W220))</f>
        <v>10</v>
      </c>
      <c r="EV220" s="95">
        <f>IF(AP220="",10,MIN(VLOOKUP(D220,MATERIAL,13,FALSE()),'Item Builder'!$W220))</f>
        <v>10</v>
      </c>
      <c r="EW220" s="95">
        <f>IF(AQ220="",10,MIN(VLOOKUP(E220,MATERIAL,13,FALSE()),'Item Builder'!$W220))</f>
        <v>0</v>
      </c>
      <c r="EX220" s="95">
        <f>IF(AR220="",10,MIN(VLOOKUP(F220,MATERIAL,13,FALSE()),'Item Builder'!$W220))</f>
        <v>10</v>
      </c>
      <c r="EY220" s="95">
        <f>IF(AS220="",10,MIN(VLOOKUP(G220,MATERIAL,13,FALSE()),'Item Builder'!$W220))</f>
        <v>10</v>
      </c>
      <c r="EZ220" s="95">
        <f>IF(AT220="",10,MIN(VLOOKUP(H220,MATERIAL,13,FALSE()),'Item Builder'!$W220))</f>
        <v>10</v>
      </c>
      <c r="FA220" s="95">
        <f>IF(AU220="",10,MIN(VLOOKUP(I220,MATERIAL,13,FALSE()),'Item Builder'!$W220))</f>
        <v>10</v>
      </c>
      <c r="FB220" s="95">
        <f>IF(AV220="",10,MIN(VLOOKUP(J220,MATERIAL,13,FALSE()),'Item Builder'!$W220))</f>
        <v>0</v>
      </c>
      <c r="FC220" s="95">
        <f>IF(AW220="",10,MIN(VLOOKUP(K220,MATERIAL,13,FALSE()),'Item Builder'!$W220))</f>
        <v>0</v>
      </c>
      <c r="FD220" s="95">
        <f>IF(AX220="",10,MIN(VLOOKUP(L220,MATERIAL,13,FALSE()),'Item Builder'!$W220))</f>
        <v>10</v>
      </c>
      <c r="FE220" s="95">
        <f>IF(AY220="",10,MIN(VLOOKUP(M220,MATERIAL,13,FALSE()),'Item Builder'!$W220))</f>
        <v>10</v>
      </c>
      <c r="FF220" s="95">
        <f>IF(AZ220="",10,MIN(VLOOKUP(N220,MATERIAL,13,FALSE()),'Item Builder'!$W220))</f>
        <v>10</v>
      </c>
      <c r="FG220" s="95">
        <f>IF(BA220="",10,MIN(VLOOKUP(O220,MATERIAL,13,FALSE()),'Item Builder'!$W220))</f>
        <v>10</v>
      </c>
      <c r="FH220" s="95">
        <f>IF(BB220="",10,MIN(VLOOKUP(P220,MATERIAL,13,FALSE()),'Item Builder'!$W220))</f>
        <v>10</v>
      </c>
    </row>
    <row r="221" spans="1:164" x14ac:dyDescent="0.25">
      <c r="A221" s="67" t="s">
        <v>361</v>
      </c>
      <c r="B221" s="68"/>
      <c r="C221" s="69"/>
      <c r="D221" s="70"/>
      <c r="E221" s="68" t="s">
        <v>183</v>
      </c>
      <c r="F221" s="69"/>
      <c r="G221" s="69"/>
      <c r="H221" s="69"/>
      <c r="I221" s="70"/>
      <c r="J221" s="68" t="s">
        <v>183</v>
      </c>
      <c r="K221" s="69" t="s">
        <v>183</v>
      </c>
      <c r="L221" s="70" t="s">
        <v>183</v>
      </c>
      <c r="M221" s="68" t="s">
        <v>183</v>
      </c>
      <c r="N221" s="69" t="s">
        <v>183</v>
      </c>
      <c r="O221" s="69" t="s">
        <v>183</v>
      </c>
      <c r="P221" s="71"/>
      <c r="Q221" s="72">
        <f>SUM(BV221:CJ221)*VLOOKUP(W221,Tables!$W$3:$Z$8,4)</f>
        <v>198</v>
      </c>
      <c r="R221" s="73">
        <f t="shared" si="168"/>
        <v>6.6000000000000005</v>
      </c>
      <c r="S221" s="74">
        <f t="shared" si="169"/>
        <v>5</v>
      </c>
      <c r="T221" s="74">
        <f t="shared" si="170"/>
        <v>0</v>
      </c>
      <c r="U221" s="75">
        <f t="shared" si="171"/>
        <v>39.599999999999994</v>
      </c>
      <c r="V221" s="76">
        <f t="shared" si="172"/>
        <v>158.39999999999998</v>
      </c>
      <c r="W221" s="77">
        <v>0</v>
      </c>
      <c r="X221" s="78">
        <f t="shared" si="173"/>
        <v>0</v>
      </c>
      <c r="Y221" s="79">
        <f t="shared" si="174"/>
        <v>0</v>
      </c>
      <c r="Z221" s="79">
        <f t="shared" si="175"/>
        <v>0</v>
      </c>
      <c r="AA221" s="78">
        <f t="shared" si="176"/>
        <v>1</v>
      </c>
      <c r="AB221" s="79">
        <f t="shared" si="177"/>
        <v>0</v>
      </c>
      <c r="AC221" s="79">
        <f t="shared" si="178"/>
        <v>0</v>
      </c>
      <c r="AD221" s="79">
        <f t="shared" si="179"/>
        <v>0</v>
      </c>
      <c r="AE221" s="79">
        <f t="shared" si="180"/>
        <v>0</v>
      </c>
      <c r="AF221" s="78">
        <f t="shared" si="181"/>
        <v>1</v>
      </c>
      <c r="AG221" s="79">
        <f t="shared" si="182"/>
        <v>1</v>
      </c>
      <c r="AH221" s="79">
        <f t="shared" si="183"/>
        <v>1</v>
      </c>
      <c r="AI221" s="78">
        <f t="shared" si="184"/>
        <v>1</v>
      </c>
      <c r="AJ221" s="79">
        <f t="shared" si="185"/>
        <v>1</v>
      </c>
      <c r="AK221" s="79">
        <f t="shared" si="186"/>
        <v>1</v>
      </c>
      <c r="AL221" s="80">
        <f t="shared" si="187"/>
        <v>0</v>
      </c>
      <c r="AM221" s="81">
        <f t="shared" si="188"/>
        <v>0.66</v>
      </c>
      <c r="AN221" s="82" t="str">
        <f t="shared" si="189"/>
        <v/>
      </c>
      <c r="AO221" s="79" t="str">
        <f t="shared" si="190"/>
        <v/>
      </c>
      <c r="AP221" t="str">
        <f t="shared" si="191"/>
        <v/>
      </c>
      <c r="AQ221" s="82" t="str">
        <f t="shared" si="192"/>
        <v>D</v>
      </c>
      <c r="AR221" t="str">
        <f t="shared" si="193"/>
        <v/>
      </c>
      <c r="AS221" t="str">
        <f t="shared" si="194"/>
        <v/>
      </c>
      <c r="AT221" t="str">
        <f t="shared" si="195"/>
        <v/>
      </c>
      <c r="AU221" t="str">
        <f t="shared" si="196"/>
        <v/>
      </c>
      <c r="AV221" s="82" t="str">
        <f t="shared" si="197"/>
        <v>D</v>
      </c>
      <c r="AW221" t="str">
        <f t="shared" si="198"/>
        <v>D</v>
      </c>
      <c r="AX221" t="str">
        <f t="shared" si="199"/>
        <v>D</v>
      </c>
      <c r="AY221" s="82" t="str">
        <f t="shared" si="200"/>
        <v>D</v>
      </c>
      <c r="AZ221" t="str">
        <f t="shared" si="201"/>
        <v>D</v>
      </c>
      <c r="BA221" t="str">
        <f t="shared" si="202"/>
        <v>D</v>
      </c>
      <c r="BB221" s="83" t="str">
        <f t="shared" si="203"/>
        <v/>
      </c>
      <c r="BC221" s="84">
        <f t="shared" si="204"/>
        <v>0</v>
      </c>
      <c r="BD221" s="84">
        <f t="shared" si="205"/>
        <v>0.14285714285714285</v>
      </c>
      <c r="BE221" s="84">
        <f t="shared" si="206"/>
        <v>1</v>
      </c>
      <c r="BF221" s="84">
        <f t="shared" si="207"/>
        <v>0.80555555555555558</v>
      </c>
      <c r="BG221" s="78">
        <f>IF(AN221="",0,VLOOKUP(AN221,Tables!$AB$3:$AC$12,2))</f>
        <v>0</v>
      </c>
      <c r="BH221" s="79">
        <f>IF(AO221="",0,VLOOKUP(AO221,Tables!$AB$3:$AC$12,2))</f>
        <v>0</v>
      </c>
      <c r="BI221" s="79">
        <f>IF(AP221="",0,VLOOKUP(AP221,Tables!$AB$3:$AC$12,2))</f>
        <v>0</v>
      </c>
      <c r="BJ221" s="78">
        <f>IF(AQ221="",0,VLOOKUP(AQ221,Tables!$AB$3:$AC$12,2))</f>
        <v>1.5</v>
      </c>
      <c r="BK221" s="79">
        <f>IF(AR221="",0,VLOOKUP(AR221,Tables!$AB$3:$AC$12,2))</f>
        <v>0</v>
      </c>
      <c r="BL221" s="79">
        <f>IF(AS221="",0,VLOOKUP(AS221,Tables!$AB$3:$AC$12,2))</f>
        <v>0</v>
      </c>
      <c r="BM221" s="79">
        <f>IF(AT221="",0,VLOOKUP(AT221,Tables!$AB$3:$AC$12,2))</f>
        <v>0</v>
      </c>
      <c r="BN221" s="79">
        <f>IF(AU221="",0,VLOOKUP(AU221,Tables!$AB$3:$AC$12,2))</f>
        <v>0</v>
      </c>
      <c r="BO221" s="78">
        <f>IF(AV221="",0,VLOOKUP(AV221,Tables!$AB$3:$AC$12,2))</f>
        <v>1.5</v>
      </c>
      <c r="BP221" s="79">
        <f>IF(AW221="",0,VLOOKUP(AW221,Tables!$AB$3:$AC$12,2))</f>
        <v>1.5</v>
      </c>
      <c r="BQ221" s="79">
        <f>IF(AX221="",0,VLOOKUP(AX221,Tables!$AB$3:$AC$12,2))</f>
        <v>1.5</v>
      </c>
      <c r="BR221" s="78">
        <f>IF(AY221="",0,VLOOKUP(AY221,Tables!$AB$3:$AC$12,2))</f>
        <v>1.5</v>
      </c>
      <c r="BS221" s="79">
        <f>IF(AZ221="",0,VLOOKUP(AZ221,Tables!$AB$3:$AC$12,2))</f>
        <v>1.5</v>
      </c>
      <c r="BT221" s="79">
        <f>IF(BA221="",0,VLOOKUP(BA221,Tables!$AB$3:$AC$12,2))</f>
        <v>1.5</v>
      </c>
      <c r="BU221" s="80">
        <f>IF(BB221="",0,VLOOKUP(BB221,Tables!$AB$3:$AC$12,2))</f>
        <v>0</v>
      </c>
      <c r="BV221" s="85">
        <f>IF(AN221="",0,VLOOKUP(B221,Tables!$B$3:$D$36,2,FALSE())*X$1)</f>
        <v>0</v>
      </c>
      <c r="BW221" s="72">
        <f>IF(AO221="",0,VLOOKUP(C221,Tables!$B$3:$D$36,2,FALSE())*Y$1)</f>
        <v>0</v>
      </c>
      <c r="BX221" s="72">
        <f>IF(AP221="",0,VLOOKUP(D221,Tables!$B$3:$D$36,2,FALSE())*Z$1)</f>
        <v>0</v>
      </c>
      <c r="BY221" s="85">
        <f>IF(AQ221="",0,VLOOKUP(E221,Tables!$B$3:$D$36,2,FALSE())*AA$1)</f>
        <v>9</v>
      </c>
      <c r="BZ221" s="72">
        <f>IF(AR221="",0,VLOOKUP(F221,Tables!$B$3:$D$36,2,FALSE())*AB$1)</f>
        <v>0</v>
      </c>
      <c r="CA221" s="72">
        <f>IF(AS221="",0,VLOOKUP(G221,Tables!$B$3:$D$36,2,FALSE())*AC$1)</f>
        <v>0</v>
      </c>
      <c r="CB221" s="72">
        <f>IF(AT221="",0,VLOOKUP(H221,Tables!$B$3:$D$36,2,FALSE())*AD$1)</f>
        <v>0</v>
      </c>
      <c r="CC221" s="72">
        <f>IF(AU221="",0,VLOOKUP(I221,Tables!$B$3:$D$36,2,FALSE())*AE$1)</f>
        <v>0</v>
      </c>
      <c r="CD221" s="85">
        <f>IF(AV221="",0,VLOOKUP(J221,Tables!$B$3:$D$36,2,FALSE())*AF$1)</f>
        <v>36</v>
      </c>
      <c r="CE221" s="72">
        <f>IF(AW221="",0,VLOOKUP(K221,Tables!$B$3:$D$36,2,FALSE())*AG$1)</f>
        <v>36</v>
      </c>
      <c r="CF221" s="72">
        <f>IF(AX221="",0,VLOOKUP(L221,Tables!$B$3:$D$36,2,FALSE())*AH$1)</f>
        <v>30</v>
      </c>
      <c r="CG221" s="85">
        <f>IF(AY221="",0,VLOOKUP(M221,Tables!$B$3:$D$36,2,FALSE())*AI$1)</f>
        <v>42.000000000000007</v>
      </c>
      <c r="CH221" s="72">
        <f>IF(AZ221="",0,VLOOKUP(N221,Tables!$B$3:$D$36,2,FALSE())*AJ$1)</f>
        <v>9</v>
      </c>
      <c r="CI221" s="72">
        <f>IF(BA221="",0,VLOOKUP(O221,Tables!$B$3:$D$36,2,FALSE())*AK$1)</f>
        <v>36</v>
      </c>
      <c r="CJ221" s="86">
        <f>IF(BB221="",0,VLOOKUP(P221,Tables!$B$3:$D$36,2,FALSE())*AL$1)</f>
        <v>0</v>
      </c>
      <c r="CK221" s="87">
        <f>IF(AN221="",0,VLOOKUP(B221,Tables!$B$3:$D$36,3,FALSE())*X$1)*IF(OR(AN221="K",AN221="P"),2,1)</f>
        <v>0</v>
      </c>
      <c r="CL221" s="73">
        <f>IF(AO221="",0,VLOOKUP(C221,Tables!$B$3:$D$36,3,FALSE())*Y$1)*IF(OR(AO221="K",AO221="P"),2,1)</f>
        <v>0</v>
      </c>
      <c r="CM221" s="73">
        <f>IF(AP221="",0,VLOOKUP(D221,Tables!$B$3:$D$36,3,FALSE())*Z$1)*IF(OR(AP221="K",AP221="P"),2,1)</f>
        <v>0</v>
      </c>
      <c r="CN221" s="87">
        <f>IF(AQ221="",0,VLOOKUP(E221,Tables!$B$3:$D$36,3,FALSE())*AA$1)</f>
        <v>0.3</v>
      </c>
      <c r="CO221" s="73">
        <f>IF(AR221="",0,VLOOKUP(F221,Tables!$B$3:$D$36,3,FALSE())*AB$1)</f>
        <v>0</v>
      </c>
      <c r="CP221" s="73">
        <f>IF(AS221="",0,VLOOKUP(G221,Tables!$B$3:$D$36,3,FALSE())*AC$1)</f>
        <v>0</v>
      </c>
      <c r="CQ221" s="73">
        <f>IF(AT221="",0,VLOOKUP(H221,Tables!$B$3:$D$36,3,FALSE())*AD$1)</f>
        <v>0</v>
      </c>
      <c r="CR221" s="73">
        <f>IF(AU221="",0,VLOOKUP(I221,Tables!$B$3:$D$36,3,FALSE())*AE$1)</f>
        <v>0</v>
      </c>
      <c r="CS221" s="87">
        <f>IF(AV221="",0,VLOOKUP(J221,Tables!$B$3:$D$36,3,FALSE())*AF$1)</f>
        <v>1.2</v>
      </c>
      <c r="CT221" s="73">
        <f>IF(AW221="",0,VLOOKUP(K221,Tables!$B$3:$D$36,3,FALSE())*AG$1)</f>
        <v>1.2</v>
      </c>
      <c r="CU221" s="73">
        <f>IF(AX221="",0,VLOOKUP(L221,Tables!$B$3:$D$36,3,FALSE())*AH$1)</f>
        <v>1</v>
      </c>
      <c r="CV221" s="87">
        <f>IF(AY221="",0,VLOOKUP(M221,Tables!$B$3:$D$36,3,FALSE())*AI$1)</f>
        <v>1.4000000000000001</v>
      </c>
      <c r="CW221" s="73">
        <f>IF(AZ221="",0,VLOOKUP(N221,Tables!$B$3:$D$36,3,FALSE())*AJ$1)</f>
        <v>0.3</v>
      </c>
      <c r="CX221" s="73">
        <f>IF(BA221="",0,VLOOKUP(O221,Tables!$B$3:$D$36,3,FALSE())*AK$1)</f>
        <v>1.2</v>
      </c>
      <c r="CY221" s="88">
        <f>IF(BB221="",0,VLOOKUP(P221,Tables!$B$3:$D$36,3,FALSE())*AL$1)</f>
        <v>0</v>
      </c>
      <c r="CZ221" s="89">
        <f t="shared" si="208"/>
        <v>0</v>
      </c>
      <c r="DA221" s="75">
        <f t="shared" si="209"/>
        <v>0</v>
      </c>
      <c r="DB221" s="75">
        <f t="shared" si="210"/>
        <v>0</v>
      </c>
      <c r="DC221" s="89">
        <f t="shared" si="211"/>
        <v>1</v>
      </c>
      <c r="DD221" s="75">
        <f t="shared" si="212"/>
        <v>0</v>
      </c>
      <c r="DE221" s="75">
        <f t="shared" si="213"/>
        <v>0</v>
      </c>
      <c r="DF221" s="75">
        <f t="shared" si="214"/>
        <v>0</v>
      </c>
      <c r="DG221" s="75">
        <f t="shared" si="215"/>
        <v>0</v>
      </c>
      <c r="DH221" s="89">
        <f t="shared" si="216"/>
        <v>1</v>
      </c>
      <c r="DI221" s="75">
        <f t="shared" si="217"/>
        <v>1</v>
      </c>
      <c r="DJ221" s="75">
        <f t="shared" si="218"/>
        <v>1</v>
      </c>
      <c r="DK221" s="89">
        <f t="shared" si="219"/>
        <v>1</v>
      </c>
      <c r="DL221" s="75">
        <f t="shared" si="220"/>
        <v>1</v>
      </c>
      <c r="DM221" s="75">
        <f t="shared" si="221"/>
        <v>1</v>
      </c>
      <c r="DN221" s="90">
        <f t="shared" si="222"/>
        <v>0</v>
      </c>
      <c r="DO221" s="91">
        <f>IF(AN221="",0,VLOOKUP(B221,Tables!$B$3:$M$36,11,FALSE())*X$1)</f>
        <v>0</v>
      </c>
      <c r="DP221" s="92">
        <f>IF(AO221="",0,VLOOKUP(C221,Tables!$B$3:$M$36,11,FALSE())*Y$1)</f>
        <v>0</v>
      </c>
      <c r="DQ221" s="92">
        <f>IF(AP221="",0,VLOOKUP(D221,Tables!$B$3:$M$36,11,FALSE())*Z$1)</f>
        <v>0</v>
      </c>
      <c r="DR221" s="91">
        <f>IF(AQ221="",0,VLOOKUP(E221,Tables!$B$3:$M$36,11,FALSE())*AA$1)</f>
        <v>1.7999999999999998</v>
      </c>
      <c r="DS221" s="92">
        <f>IF(AR221="",0,VLOOKUP(F221,Tables!$B$3:$M$36,11,FALSE())*AB$1)</f>
        <v>0</v>
      </c>
      <c r="DT221" s="92">
        <f>IF(AS221="",0,VLOOKUP(G221,Tables!$B$3:$M$36,11,FALSE())*AC$1)</f>
        <v>0</v>
      </c>
      <c r="DU221" s="92">
        <f>IF(AT221="",0,VLOOKUP(H221,Tables!$B$3:$M$36,11,FALSE())*AD$1)</f>
        <v>0</v>
      </c>
      <c r="DV221" s="92">
        <f>IF(AU221="",0,VLOOKUP(I221,Tables!$B$3:$M$36,11,FALSE())*AE$1)</f>
        <v>0</v>
      </c>
      <c r="DW221" s="91">
        <f>IF(AV221="",0,VLOOKUP(J221,Tables!$B$3:$M$36,11,FALSE())*AF$1)</f>
        <v>7.1999999999999993</v>
      </c>
      <c r="DX221" s="92">
        <f>IF(AW221="",0,VLOOKUP(K221,Tables!$B$3:$M$36,11,FALSE())*AG$1)</f>
        <v>7.1999999999999993</v>
      </c>
      <c r="DY221" s="92">
        <f>IF(AX221="",0,VLOOKUP(L221,Tables!$B$3:$M$36,11,FALSE())*AH$1)</f>
        <v>6</v>
      </c>
      <c r="DZ221" s="91">
        <f>IF(AY221="",0,VLOOKUP(M221,Tables!$B$3:$M$36,11,FALSE())*AI$1)</f>
        <v>8.4</v>
      </c>
      <c r="EA221" s="92">
        <f>IF(AZ221="",0,VLOOKUP(N221,Tables!$B$3:$M$36,11,FALSE())*AJ$1)</f>
        <v>1.7999999999999998</v>
      </c>
      <c r="EB221" s="92">
        <f>IF(BA221="",0,VLOOKUP(O221,Tables!$B$3:$M$36,11,FALSE())*AK$1)</f>
        <v>7.1999999999999993</v>
      </c>
      <c r="EC221" s="93">
        <f>IF(BB221="",0,VLOOKUP(P221,Tables!$B$3:$M$36,11,FALSE())*AL$1)</f>
        <v>0</v>
      </c>
      <c r="ED221" s="91">
        <f>IF(AN221="",0,VLOOKUP(B221,Tables!$B$3:$M$36,12,FALSE())*X$1)</f>
        <v>0</v>
      </c>
      <c r="EE221" s="92">
        <f>IF(AO221="",0,VLOOKUP(C221,Tables!$B$3:$M$36,12,FALSE())*Y$1)</f>
        <v>0</v>
      </c>
      <c r="EF221" s="92">
        <f>IF(AP221="",0,VLOOKUP(D221,Tables!$B$3:$M$36,12,FALSE())*Z$1)</f>
        <v>0</v>
      </c>
      <c r="EG221" s="91">
        <f>IF(AQ221="",0,VLOOKUP(E221,Tables!$B$3:$M$36,12,FALSE())*AA$1)</f>
        <v>7.1999999999999993</v>
      </c>
      <c r="EH221" s="92">
        <f>IF(AR221="",0,VLOOKUP(F221,Tables!$B$3:$M$36,12,FALSE())*AB$1)</f>
        <v>0</v>
      </c>
      <c r="EI221" s="92">
        <f>IF(AS221="",0,VLOOKUP(G221,Tables!$B$3:$M$36,12,FALSE())*AC$1)</f>
        <v>0</v>
      </c>
      <c r="EJ221" s="92">
        <f>IF(AT221="",0,VLOOKUP(H221,Tables!$B$3:$M$36,12,FALSE())*AD$1)</f>
        <v>0</v>
      </c>
      <c r="EK221" s="92">
        <f>IF(AU221="",0,VLOOKUP(I221,Tables!$B$3:$M$36,12,FALSE())*AE$1)</f>
        <v>0</v>
      </c>
      <c r="EL221" s="91">
        <f>IF(AV221="",0,VLOOKUP(J221,Tables!$B$3:$M$36,12,FALSE())*AF$1)</f>
        <v>28.799999999999997</v>
      </c>
      <c r="EM221" s="92">
        <f>IF(AW221="",0,VLOOKUP(K221,Tables!$B$3:$M$36,12,FALSE())*AG$1)</f>
        <v>28.799999999999997</v>
      </c>
      <c r="EN221" s="92">
        <f>IF(AX221="",0,VLOOKUP(L221,Tables!$B$3:$M$36,12,FALSE())*AH$1)</f>
        <v>24</v>
      </c>
      <c r="EO221" s="91">
        <f>IF(AY221="",0,VLOOKUP(M221,Tables!$B$3:$M$36,12,FALSE())*AI$1)</f>
        <v>33.6</v>
      </c>
      <c r="EP221" s="92">
        <f>IF(AZ221="",0,VLOOKUP(N221,Tables!$B$3:$M$36,12,FALSE())*AJ$1)</f>
        <v>7.1999999999999993</v>
      </c>
      <c r="EQ221" s="92">
        <f>IF(BA221="",0,VLOOKUP(O221,Tables!$B$3:$M$36,12,FALSE())*AK$1)</f>
        <v>28.799999999999997</v>
      </c>
      <c r="ER221" s="93">
        <f>IF(BB221="",0,VLOOKUP(P221,Tables!$B$3:$M$36,12,FALSE())*AL$1)</f>
        <v>0</v>
      </c>
      <c r="ES221" s="94">
        <f t="shared" si="223"/>
        <v>0</v>
      </c>
      <c r="ET221" s="95">
        <f>IF(AN221="",10,MIN(VLOOKUP(B221,MATERIAL,13,FALSE()),'Item Builder'!$W221))</f>
        <v>10</v>
      </c>
      <c r="EU221" s="95">
        <f>IF(AO221="",10,MIN(VLOOKUP(C221,MATERIAL,13,FALSE()),'Item Builder'!$W221))</f>
        <v>10</v>
      </c>
      <c r="EV221" s="95">
        <f>IF(AP221="",10,MIN(VLOOKUP(D221,MATERIAL,13,FALSE()),'Item Builder'!$W221))</f>
        <v>10</v>
      </c>
      <c r="EW221" s="95">
        <f>IF(AQ221="",10,MIN(VLOOKUP(E221,MATERIAL,13,FALSE()),'Item Builder'!$W221))</f>
        <v>0</v>
      </c>
      <c r="EX221" s="95">
        <f>IF(AR221="",10,MIN(VLOOKUP(F221,MATERIAL,13,FALSE()),'Item Builder'!$W221))</f>
        <v>10</v>
      </c>
      <c r="EY221" s="95">
        <f>IF(AS221="",10,MIN(VLOOKUP(G221,MATERIAL,13,FALSE()),'Item Builder'!$W221))</f>
        <v>10</v>
      </c>
      <c r="EZ221" s="95">
        <f>IF(AT221="",10,MIN(VLOOKUP(H221,MATERIAL,13,FALSE()),'Item Builder'!$W221))</f>
        <v>10</v>
      </c>
      <c r="FA221" s="95">
        <f>IF(AU221="",10,MIN(VLOOKUP(I221,MATERIAL,13,FALSE()),'Item Builder'!$W221))</f>
        <v>10</v>
      </c>
      <c r="FB221" s="95">
        <f>IF(AV221="",10,MIN(VLOOKUP(J221,MATERIAL,13,FALSE()),'Item Builder'!$W221))</f>
        <v>0</v>
      </c>
      <c r="FC221" s="95">
        <f>IF(AW221="",10,MIN(VLOOKUP(K221,MATERIAL,13,FALSE()),'Item Builder'!$W221))</f>
        <v>0</v>
      </c>
      <c r="FD221" s="95">
        <f>IF(AX221="",10,MIN(VLOOKUP(L221,MATERIAL,13,FALSE()),'Item Builder'!$W221))</f>
        <v>0</v>
      </c>
      <c r="FE221" s="95">
        <f>IF(AY221="",10,MIN(VLOOKUP(M221,MATERIAL,13,FALSE()),'Item Builder'!$W221))</f>
        <v>0</v>
      </c>
      <c r="FF221" s="95">
        <f>IF(AZ221="",10,MIN(VLOOKUP(N221,MATERIAL,13,FALSE()),'Item Builder'!$W221))</f>
        <v>0</v>
      </c>
      <c r="FG221" s="95">
        <f>IF(BA221="",10,MIN(VLOOKUP(O221,MATERIAL,13,FALSE()),'Item Builder'!$W221))</f>
        <v>0</v>
      </c>
      <c r="FH221" s="95">
        <f>IF(BB221="",10,MIN(VLOOKUP(P221,MATERIAL,13,FALSE()),'Item Builder'!$W221))</f>
        <v>10</v>
      </c>
    </row>
    <row r="222" spans="1:164" x14ac:dyDescent="0.25">
      <c r="A222" s="67" t="s">
        <v>362</v>
      </c>
      <c r="B222" s="68"/>
      <c r="C222" s="69"/>
      <c r="D222" s="70"/>
      <c r="E222" s="68"/>
      <c r="F222" s="69"/>
      <c r="G222" s="69"/>
      <c r="H222" s="69"/>
      <c r="I222" s="70"/>
      <c r="J222" s="68"/>
      <c r="K222" s="69"/>
      <c r="L222" s="70"/>
      <c r="M222" s="68"/>
      <c r="N222" s="69"/>
      <c r="O222" s="69" t="s">
        <v>183</v>
      </c>
      <c r="P222" s="71" t="s">
        <v>183</v>
      </c>
      <c r="Q222" s="72">
        <f>SUM(BV222:CJ222)*VLOOKUP(W222,Tables!$W$3:$Z$8,4)</f>
        <v>57</v>
      </c>
      <c r="R222" s="73">
        <f t="shared" si="168"/>
        <v>1.9</v>
      </c>
      <c r="S222" s="74">
        <f t="shared" si="169"/>
        <v>0</v>
      </c>
      <c r="T222" s="74">
        <f t="shared" si="170"/>
        <v>0</v>
      </c>
      <c r="U222" s="75">
        <f t="shared" si="171"/>
        <v>11.399999999999999</v>
      </c>
      <c r="V222" s="76">
        <f t="shared" si="172"/>
        <v>45.599999999999994</v>
      </c>
      <c r="W222" s="77">
        <v>0</v>
      </c>
      <c r="X222" s="78">
        <f t="shared" si="173"/>
        <v>0</v>
      </c>
      <c r="Y222" s="79">
        <f t="shared" si="174"/>
        <v>0</v>
      </c>
      <c r="Z222" s="79">
        <f t="shared" si="175"/>
        <v>0</v>
      </c>
      <c r="AA222" s="78">
        <f t="shared" si="176"/>
        <v>0</v>
      </c>
      <c r="AB222" s="79">
        <f t="shared" si="177"/>
        <v>0</v>
      </c>
      <c r="AC222" s="79">
        <f t="shared" si="178"/>
        <v>0</v>
      </c>
      <c r="AD222" s="79">
        <f t="shared" si="179"/>
        <v>0</v>
      </c>
      <c r="AE222" s="79">
        <f t="shared" si="180"/>
        <v>0</v>
      </c>
      <c r="AF222" s="78">
        <f t="shared" si="181"/>
        <v>0</v>
      </c>
      <c r="AG222" s="79">
        <f t="shared" si="182"/>
        <v>0</v>
      </c>
      <c r="AH222" s="79">
        <f t="shared" si="183"/>
        <v>0</v>
      </c>
      <c r="AI222" s="78">
        <f t="shared" si="184"/>
        <v>0</v>
      </c>
      <c r="AJ222" s="79">
        <f t="shared" si="185"/>
        <v>0</v>
      </c>
      <c r="AK222" s="79">
        <f t="shared" si="186"/>
        <v>1</v>
      </c>
      <c r="AL222" s="80">
        <f t="shared" si="187"/>
        <v>1</v>
      </c>
      <c r="AM222" s="81">
        <f t="shared" si="188"/>
        <v>0.19</v>
      </c>
      <c r="AN222" s="82" t="str">
        <f t="shared" si="189"/>
        <v/>
      </c>
      <c r="AO222" s="79" t="str">
        <f t="shared" si="190"/>
        <v/>
      </c>
      <c r="AP222" t="str">
        <f t="shared" si="191"/>
        <v/>
      </c>
      <c r="AQ222" s="82" t="str">
        <f t="shared" si="192"/>
        <v/>
      </c>
      <c r="AR222" t="str">
        <f t="shared" si="193"/>
        <v/>
      </c>
      <c r="AS222" t="str">
        <f t="shared" si="194"/>
        <v/>
      </c>
      <c r="AT222" t="str">
        <f t="shared" si="195"/>
        <v/>
      </c>
      <c r="AU222" t="str">
        <f t="shared" si="196"/>
        <v/>
      </c>
      <c r="AV222" s="82" t="str">
        <f t="shared" si="197"/>
        <v/>
      </c>
      <c r="AW222" t="str">
        <f t="shared" si="198"/>
        <v/>
      </c>
      <c r="AX222" t="str">
        <f t="shared" si="199"/>
        <v/>
      </c>
      <c r="AY222" s="82" t="str">
        <f t="shared" si="200"/>
        <v/>
      </c>
      <c r="AZ222" t="str">
        <f t="shared" si="201"/>
        <v/>
      </c>
      <c r="BA222" t="str">
        <f t="shared" si="202"/>
        <v>D</v>
      </c>
      <c r="BB222" s="83" t="str">
        <f t="shared" si="203"/>
        <v>D</v>
      </c>
      <c r="BC222" s="84">
        <f t="shared" si="204"/>
        <v>0</v>
      </c>
      <c r="BD222" s="84">
        <f t="shared" si="205"/>
        <v>0</v>
      </c>
      <c r="BE222" s="84">
        <f t="shared" si="206"/>
        <v>0</v>
      </c>
      <c r="BF222" s="84">
        <f t="shared" si="207"/>
        <v>0.52777777777777768</v>
      </c>
      <c r="BG222" s="78">
        <f>IF(AN222="",0,VLOOKUP(AN222,Tables!$AB$3:$AC$12,2))</f>
        <v>0</v>
      </c>
      <c r="BH222" s="79">
        <f>IF(AO222="",0,VLOOKUP(AO222,Tables!$AB$3:$AC$12,2))</f>
        <v>0</v>
      </c>
      <c r="BI222" s="79">
        <f>IF(AP222="",0,VLOOKUP(AP222,Tables!$AB$3:$AC$12,2))</f>
        <v>0</v>
      </c>
      <c r="BJ222" s="78">
        <f>IF(AQ222="",0,VLOOKUP(AQ222,Tables!$AB$3:$AC$12,2))</f>
        <v>0</v>
      </c>
      <c r="BK222" s="79">
        <f>IF(AR222="",0,VLOOKUP(AR222,Tables!$AB$3:$AC$12,2))</f>
        <v>0</v>
      </c>
      <c r="BL222" s="79">
        <f>IF(AS222="",0,VLOOKUP(AS222,Tables!$AB$3:$AC$12,2))</f>
        <v>0</v>
      </c>
      <c r="BM222" s="79">
        <f>IF(AT222="",0,VLOOKUP(AT222,Tables!$AB$3:$AC$12,2))</f>
        <v>0</v>
      </c>
      <c r="BN222" s="79">
        <f>IF(AU222="",0,VLOOKUP(AU222,Tables!$AB$3:$AC$12,2))</f>
        <v>0</v>
      </c>
      <c r="BO222" s="78">
        <f>IF(AV222="",0,VLOOKUP(AV222,Tables!$AB$3:$AC$12,2))</f>
        <v>0</v>
      </c>
      <c r="BP222" s="79">
        <f>IF(AW222="",0,VLOOKUP(AW222,Tables!$AB$3:$AC$12,2))</f>
        <v>0</v>
      </c>
      <c r="BQ222" s="79">
        <f>IF(AX222="",0,VLOOKUP(AX222,Tables!$AB$3:$AC$12,2))</f>
        <v>0</v>
      </c>
      <c r="BR222" s="78">
        <f>IF(AY222="",0,VLOOKUP(AY222,Tables!$AB$3:$AC$12,2))</f>
        <v>0</v>
      </c>
      <c r="BS222" s="79">
        <f>IF(AZ222="",0,VLOOKUP(AZ222,Tables!$AB$3:$AC$12,2))</f>
        <v>0</v>
      </c>
      <c r="BT222" s="79">
        <f>IF(BA222="",0,VLOOKUP(BA222,Tables!$AB$3:$AC$12,2))</f>
        <v>1.5</v>
      </c>
      <c r="BU222" s="80">
        <f>IF(BB222="",0,VLOOKUP(BB222,Tables!$AB$3:$AC$12,2))</f>
        <v>1.5</v>
      </c>
      <c r="BV222" s="85">
        <f>IF(AN222="",0,VLOOKUP(B222,Tables!$B$3:$D$36,2,FALSE())*X$1)</f>
        <v>0</v>
      </c>
      <c r="BW222" s="72">
        <f>IF(AO222="",0,VLOOKUP(C222,Tables!$B$3:$D$36,2,FALSE())*Y$1)</f>
        <v>0</v>
      </c>
      <c r="BX222" s="72">
        <f>IF(AP222="",0,VLOOKUP(D222,Tables!$B$3:$D$36,2,FALSE())*Z$1)</f>
        <v>0</v>
      </c>
      <c r="BY222" s="85">
        <f>IF(AQ222="",0,VLOOKUP(E222,Tables!$B$3:$D$36,2,FALSE())*AA$1)</f>
        <v>0</v>
      </c>
      <c r="BZ222" s="72">
        <f>IF(AR222="",0,VLOOKUP(F222,Tables!$B$3:$D$36,2,FALSE())*AB$1)</f>
        <v>0</v>
      </c>
      <c r="CA222" s="72">
        <f>IF(AS222="",0,VLOOKUP(G222,Tables!$B$3:$D$36,2,FALSE())*AC$1)</f>
        <v>0</v>
      </c>
      <c r="CB222" s="72">
        <f>IF(AT222="",0,VLOOKUP(H222,Tables!$B$3:$D$36,2,FALSE())*AD$1)</f>
        <v>0</v>
      </c>
      <c r="CC222" s="72">
        <f>IF(AU222="",0,VLOOKUP(I222,Tables!$B$3:$D$36,2,FALSE())*AE$1)</f>
        <v>0</v>
      </c>
      <c r="CD222" s="85">
        <f>IF(AV222="",0,VLOOKUP(J222,Tables!$B$3:$D$36,2,FALSE())*AF$1)</f>
        <v>0</v>
      </c>
      <c r="CE222" s="72">
        <f>IF(AW222="",0,VLOOKUP(K222,Tables!$B$3:$D$36,2,FALSE())*AG$1)</f>
        <v>0</v>
      </c>
      <c r="CF222" s="72">
        <f>IF(AX222="",0,VLOOKUP(L222,Tables!$B$3:$D$36,2,FALSE())*AH$1)</f>
        <v>0</v>
      </c>
      <c r="CG222" s="85">
        <f>IF(AY222="",0,VLOOKUP(M222,Tables!$B$3:$D$36,2,FALSE())*AI$1)</f>
        <v>0</v>
      </c>
      <c r="CH222" s="72">
        <f>IF(AZ222="",0,VLOOKUP(N222,Tables!$B$3:$D$36,2,FALSE())*AJ$1)</f>
        <v>0</v>
      </c>
      <c r="CI222" s="72">
        <f>IF(BA222="",0,VLOOKUP(O222,Tables!$B$3:$D$36,2,FALSE())*AK$1)</f>
        <v>36</v>
      </c>
      <c r="CJ222" s="86">
        <f>IF(BB222="",0,VLOOKUP(P222,Tables!$B$3:$D$36,2,FALSE())*AL$1)</f>
        <v>21.000000000000004</v>
      </c>
      <c r="CK222" s="87">
        <f>IF(AN222="",0,VLOOKUP(B222,Tables!$B$3:$D$36,3,FALSE())*X$1)*IF(OR(AN222="K",AN222="P"),2,1)</f>
        <v>0</v>
      </c>
      <c r="CL222" s="73">
        <f>IF(AO222="",0,VLOOKUP(C222,Tables!$B$3:$D$36,3,FALSE())*Y$1)*IF(OR(AO222="K",AO222="P"),2,1)</f>
        <v>0</v>
      </c>
      <c r="CM222" s="73">
        <f>IF(AP222="",0,VLOOKUP(D222,Tables!$B$3:$D$36,3,FALSE())*Z$1)*IF(OR(AP222="K",AP222="P"),2,1)</f>
        <v>0</v>
      </c>
      <c r="CN222" s="87">
        <f>IF(AQ222="",0,VLOOKUP(E222,Tables!$B$3:$D$36,3,FALSE())*AA$1)</f>
        <v>0</v>
      </c>
      <c r="CO222" s="73">
        <f>IF(AR222="",0,VLOOKUP(F222,Tables!$B$3:$D$36,3,FALSE())*AB$1)</f>
        <v>0</v>
      </c>
      <c r="CP222" s="73">
        <f>IF(AS222="",0,VLOOKUP(G222,Tables!$B$3:$D$36,3,FALSE())*AC$1)</f>
        <v>0</v>
      </c>
      <c r="CQ222" s="73">
        <f>IF(AT222="",0,VLOOKUP(H222,Tables!$B$3:$D$36,3,FALSE())*AD$1)</f>
        <v>0</v>
      </c>
      <c r="CR222" s="73">
        <f>IF(AU222="",0,VLOOKUP(I222,Tables!$B$3:$D$36,3,FALSE())*AE$1)</f>
        <v>0</v>
      </c>
      <c r="CS222" s="87">
        <f>IF(AV222="",0,VLOOKUP(J222,Tables!$B$3:$D$36,3,FALSE())*AF$1)</f>
        <v>0</v>
      </c>
      <c r="CT222" s="73">
        <f>IF(AW222="",0,VLOOKUP(K222,Tables!$B$3:$D$36,3,FALSE())*AG$1)</f>
        <v>0</v>
      </c>
      <c r="CU222" s="73">
        <f>IF(AX222="",0,VLOOKUP(L222,Tables!$B$3:$D$36,3,FALSE())*AH$1)</f>
        <v>0</v>
      </c>
      <c r="CV222" s="87">
        <f>IF(AY222="",0,VLOOKUP(M222,Tables!$B$3:$D$36,3,FALSE())*AI$1)</f>
        <v>0</v>
      </c>
      <c r="CW222" s="73">
        <f>IF(AZ222="",0,VLOOKUP(N222,Tables!$B$3:$D$36,3,FALSE())*AJ$1)</f>
        <v>0</v>
      </c>
      <c r="CX222" s="73">
        <f>IF(BA222="",0,VLOOKUP(O222,Tables!$B$3:$D$36,3,FALSE())*AK$1)</f>
        <v>1.2</v>
      </c>
      <c r="CY222" s="88">
        <f>IF(BB222="",0,VLOOKUP(P222,Tables!$B$3:$D$36,3,FALSE())*AL$1)</f>
        <v>0.70000000000000007</v>
      </c>
      <c r="CZ222" s="89">
        <f t="shared" si="208"/>
        <v>0</v>
      </c>
      <c r="DA222" s="75">
        <f t="shared" si="209"/>
        <v>0</v>
      </c>
      <c r="DB222" s="75">
        <f t="shared" si="210"/>
        <v>0</v>
      </c>
      <c r="DC222" s="89">
        <f t="shared" si="211"/>
        <v>0</v>
      </c>
      <c r="DD222" s="75">
        <f t="shared" si="212"/>
        <v>0</v>
      </c>
      <c r="DE222" s="75">
        <f t="shared" si="213"/>
        <v>0</v>
      </c>
      <c r="DF222" s="75">
        <f t="shared" si="214"/>
        <v>0</v>
      </c>
      <c r="DG222" s="75">
        <f t="shared" si="215"/>
        <v>0</v>
      </c>
      <c r="DH222" s="89">
        <f t="shared" si="216"/>
        <v>0</v>
      </c>
      <c r="DI222" s="75">
        <f t="shared" si="217"/>
        <v>0</v>
      </c>
      <c r="DJ222" s="75">
        <f t="shared" si="218"/>
        <v>0</v>
      </c>
      <c r="DK222" s="89">
        <f t="shared" si="219"/>
        <v>0</v>
      </c>
      <c r="DL222" s="75">
        <f t="shared" si="220"/>
        <v>0</v>
      </c>
      <c r="DM222" s="75">
        <f t="shared" si="221"/>
        <v>1</v>
      </c>
      <c r="DN222" s="90">
        <f t="shared" si="222"/>
        <v>1</v>
      </c>
      <c r="DO222" s="91">
        <f>IF(AN222="",0,VLOOKUP(B222,Tables!$B$3:$M$36,11,FALSE())*X$1)</f>
        <v>0</v>
      </c>
      <c r="DP222" s="92">
        <f>IF(AO222="",0,VLOOKUP(C222,Tables!$B$3:$M$36,11,FALSE())*Y$1)</f>
        <v>0</v>
      </c>
      <c r="DQ222" s="92">
        <f>IF(AP222="",0,VLOOKUP(D222,Tables!$B$3:$M$36,11,FALSE())*Z$1)</f>
        <v>0</v>
      </c>
      <c r="DR222" s="91">
        <f>IF(AQ222="",0,VLOOKUP(E222,Tables!$B$3:$M$36,11,FALSE())*AA$1)</f>
        <v>0</v>
      </c>
      <c r="DS222" s="92">
        <f>IF(AR222="",0,VLOOKUP(F222,Tables!$B$3:$M$36,11,FALSE())*AB$1)</f>
        <v>0</v>
      </c>
      <c r="DT222" s="92">
        <f>IF(AS222="",0,VLOOKUP(G222,Tables!$B$3:$M$36,11,FALSE())*AC$1)</f>
        <v>0</v>
      </c>
      <c r="DU222" s="92">
        <f>IF(AT222="",0,VLOOKUP(H222,Tables!$B$3:$M$36,11,FALSE())*AD$1)</f>
        <v>0</v>
      </c>
      <c r="DV222" s="92">
        <f>IF(AU222="",0,VLOOKUP(I222,Tables!$B$3:$M$36,11,FALSE())*AE$1)</f>
        <v>0</v>
      </c>
      <c r="DW222" s="91">
        <f>IF(AV222="",0,VLOOKUP(J222,Tables!$B$3:$M$36,11,FALSE())*AF$1)</f>
        <v>0</v>
      </c>
      <c r="DX222" s="92">
        <f>IF(AW222="",0,VLOOKUP(K222,Tables!$B$3:$M$36,11,FALSE())*AG$1)</f>
        <v>0</v>
      </c>
      <c r="DY222" s="92">
        <f>IF(AX222="",0,VLOOKUP(L222,Tables!$B$3:$M$36,11,FALSE())*AH$1)</f>
        <v>0</v>
      </c>
      <c r="DZ222" s="91">
        <f>IF(AY222="",0,VLOOKUP(M222,Tables!$B$3:$M$36,11,FALSE())*AI$1)</f>
        <v>0</v>
      </c>
      <c r="EA222" s="92">
        <f>IF(AZ222="",0,VLOOKUP(N222,Tables!$B$3:$M$36,11,FALSE())*AJ$1)</f>
        <v>0</v>
      </c>
      <c r="EB222" s="92">
        <f>IF(BA222="",0,VLOOKUP(O222,Tables!$B$3:$M$36,11,FALSE())*AK$1)</f>
        <v>7.1999999999999993</v>
      </c>
      <c r="EC222" s="93">
        <f>IF(BB222="",0,VLOOKUP(P222,Tables!$B$3:$M$36,11,FALSE())*AL$1)</f>
        <v>4.2</v>
      </c>
      <c r="ED222" s="91">
        <f>IF(AN222="",0,VLOOKUP(B222,Tables!$B$3:$M$36,12,FALSE())*X$1)</f>
        <v>0</v>
      </c>
      <c r="EE222" s="92">
        <f>IF(AO222="",0,VLOOKUP(C222,Tables!$B$3:$M$36,12,FALSE())*Y$1)</f>
        <v>0</v>
      </c>
      <c r="EF222" s="92">
        <f>IF(AP222="",0,VLOOKUP(D222,Tables!$B$3:$M$36,12,FALSE())*Z$1)</f>
        <v>0</v>
      </c>
      <c r="EG222" s="91">
        <f>IF(AQ222="",0,VLOOKUP(E222,Tables!$B$3:$M$36,12,FALSE())*AA$1)</f>
        <v>0</v>
      </c>
      <c r="EH222" s="92">
        <f>IF(AR222="",0,VLOOKUP(F222,Tables!$B$3:$M$36,12,FALSE())*AB$1)</f>
        <v>0</v>
      </c>
      <c r="EI222" s="92">
        <f>IF(AS222="",0,VLOOKUP(G222,Tables!$B$3:$M$36,12,FALSE())*AC$1)</f>
        <v>0</v>
      </c>
      <c r="EJ222" s="92">
        <f>IF(AT222="",0,VLOOKUP(H222,Tables!$B$3:$M$36,12,FALSE())*AD$1)</f>
        <v>0</v>
      </c>
      <c r="EK222" s="92">
        <f>IF(AU222="",0,VLOOKUP(I222,Tables!$B$3:$M$36,12,FALSE())*AE$1)</f>
        <v>0</v>
      </c>
      <c r="EL222" s="91">
        <f>IF(AV222="",0,VLOOKUP(J222,Tables!$B$3:$M$36,12,FALSE())*AF$1)</f>
        <v>0</v>
      </c>
      <c r="EM222" s="92">
        <f>IF(AW222="",0,VLOOKUP(K222,Tables!$B$3:$M$36,12,FALSE())*AG$1)</f>
        <v>0</v>
      </c>
      <c r="EN222" s="92">
        <f>IF(AX222="",0,VLOOKUP(L222,Tables!$B$3:$M$36,12,FALSE())*AH$1)</f>
        <v>0</v>
      </c>
      <c r="EO222" s="91">
        <f>IF(AY222="",0,VLOOKUP(M222,Tables!$B$3:$M$36,12,FALSE())*AI$1)</f>
        <v>0</v>
      </c>
      <c r="EP222" s="92">
        <f>IF(AZ222="",0,VLOOKUP(N222,Tables!$B$3:$M$36,12,FALSE())*AJ$1)</f>
        <v>0</v>
      </c>
      <c r="EQ222" s="92">
        <f>IF(BA222="",0,VLOOKUP(O222,Tables!$B$3:$M$36,12,FALSE())*AK$1)</f>
        <v>28.799999999999997</v>
      </c>
      <c r="ER222" s="93">
        <f>IF(BB222="",0,VLOOKUP(P222,Tables!$B$3:$M$36,12,FALSE())*AL$1)</f>
        <v>16.8</v>
      </c>
      <c r="ES222" s="94">
        <f t="shared" si="223"/>
        <v>0</v>
      </c>
      <c r="ET222" s="95">
        <f>IF(AN222="",10,MIN(VLOOKUP(B222,MATERIAL,13,FALSE()),'Item Builder'!$W222))</f>
        <v>10</v>
      </c>
      <c r="EU222" s="95">
        <f>IF(AO222="",10,MIN(VLOOKUP(C222,MATERIAL,13,FALSE()),'Item Builder'!$W222))</f>
        <v>10</v>
      </c>
      <c r="EV222" s="95">
        <f>IF(AP222="",10,MIN(VLOOKUP(D222,MATERIAL,13,FALSE()),'Item Builder'!$W222))</f>
        <v>10</v>
      </c>
      <c r="EW222" s="95">
        <f>IF(AQ222="",10,MIN(VLOOKUP(E222,MATERIAL,13,FALSE()),'Item Builder'!$W222))</f>
        <v>10</v>
      </c>
      <c r="EX222" s="95">
        <f>IF(AR222="",10,MIN(VLOOKUP(F222,MATERIAL,13,FALSE()),'Item Builder'!$W222))</f>
        <v>10</v>
      </c>
      <c r="EY222" s="95">
        <f>IF(AS222="",10,MIN(VLOOKUP(G222,MATERIAL,13,FALSE()),'Item Builder'!$W222))</f>
        <v>10</v>
      </c>
      <c r="EZ222" s="95">
        <f>IF(AT222="",10,MIN(VLOOKUP(H222,MATERIAL,13,FALSE()),'Item Builder'!$W222))</f>
        <v>10</v>
      </c>
      <c r="FA222" s="95">
        <f>IF(AU222="",10,MIN(VLOOKUP(I222,MATERIAL,13,FALSE()),'Item Builder'!$W222))</f>
        <v>10</v>
      </c>
      <c r="FB222" s="95">
        <f>IF(AV222="",10,MIN(VLOOKUP(J222,MATERIAL,13,FALSE()),'Item Builder'!$W222))</f>
        <v>10</v>
      </c>
      <c r="FC222" s="95">
        <f>IF(AW222="",10,MIN(VLOOKUP(K222,MATERIAL,13,FALSE()),'Item Builder'!$W222))</f>
        <v>10</v>
      </c>
      <c r="FD222" s="95">
        <f>IF(AX222="",10,MIN(VLOOKUP(L222,MATERIAL,13,FALSE()),'Item Builder'!$W222))</f>
        <v>10</v>
      </c>
      <c r="FE222" s="95">
        <f>IF(AY222="",10,MIN(VLOOKUP(M222,MATERIAL,13,FALSE()),'Item Builder'!$W222))</f>
        <v>10</v>
      </c>
      <c r="FF222" s="95">
        <f>IF(AZ222="",10,MIN(VLOOKUP(N222,MATERIAL,13,FALSE()),'Item Builder'!$W222))</f>
        <v>10</v>
      </c>
      <c r="FG222" s="95">
        <f>IF(BA222="",10,MIN(VLOOKUP(O222,MATERIAL,13,FALSE()),'Item Builder'!$W222))</f>
        <v>0</v>
      </c>
      <c r="FH222" s="95">
        <f>IF(BB222="",10,MIN(VLOOKUP(P222,MATERIAL,13,FALSE()),'Item Builder'!$W222))</f>
        <v>0</v>
      </c>
    </row>
    <row r="223" spans="1:164" x14ac:dyDescent="0.25">
      <c r="A223" s="67" t="s">
        <v>363</v>
      </c>
      <c r="B223" s="68" t="s">
        <v>186</v>
      </c>
      <c r="C223" s="69"/>
      <c r="D223" s="70"/>
      <c r="E223" s="68"/>
      <c r="F223" s="69"/>
      <c r="G223" s="69"/>
      <c r="H223" s="69"/>
      <c r="I223" s="70"/>
      <c r="J223" s="68"/>
      <c r="K223" s="69"/>
      <c r="L223" s="70"/>
      <c r="M223" s="68"/>
      <c r="N223" s="69"/>
      <c r="O223" s="69"/>
      <c r="P223" s="71"/>
      <c r="Q223" s="72">
        <f>SUM(BV223:CJ223)*VLOOKUP(W223,Tables!$W$3:$Z$8,4)</f>
        <v>24</v>
      </c>
      <c r="R223" s="73">
        <f t="shared" si="168"/>
        <v>0.8</v>
      </c>
      <c r="S223" s="74">
        <f t="shared" si="169"/>
        <v>0</v>
      </c>
      <c r="T223" s="74">
        <f t="shared" si="170"/>
        <v>0</v>
      </c>
      <c r="U223" s="75">
        <f t="shared" si="171"/>
        <v>4.8</v>
      </c>
      <c r="V223" s="76">
        <f t="shared" si="172"/>
        <v>18</v>
      </c>
      <c r="W223" s="77">
        <v>0</v>
      </c>
      <c r="X223" s="78">
        <f t="shared" si="173"/>
        <v>1</v>
      </c>
      <c r="Y223" s="79">
        <f t="shared" si="174"/>
        <v>0</v>
      </c>
      <c r="Z223" s="79">
        <f t="shared" si="175"/>
        <v>0</v>
      </c>
      <c r="AA223" s="78">
        <f t="shared" si="176"/>
        <v>0</v>
      </c>
      <c r="AB223" s="79">
        <f t="shared" si="177"/>
        <v>0</v>
      </c>
      <c r="AC223" s="79">
        <f t="shared" si="178"/>
        <v>0</v>
      </c>
      <c r="AD223" s="79">
        <f t="shared" si="179"/>
        <v>0</v>
      </c>
      <c r="AE223" s="79">
        <f t="shared" si="180"/>
        <v>0</v>
      </c>
      <c r="AF223" s="78">
        <f t="shared" si="181"/>
        <v>0</v>
      </c>
      <c r="AG223" s="79">
        <f t="shared" si="182"/>
        <v>0</v>
      </c>
      <c r="AH223" s="79">
        <f t="shared" si="183"/>
        <v>0</v>
      </c>
      <c r="AI223" s="78">
        <f t="shared" si="184"/>
        <v>0</v>
      </c>
      <c r="AJ223" s="79">
        <f t="shared" si="185"/>
        <v>0</v>
      </c>
      <c r="AK223" s="79">
        <f t="shared" si="186"/>
        <v>0</v>
      </c>
      <c r="AL223" s="80">
        <f t="shared" si="187"/>
        <v>0</v>
      </c>
      <c r="AM223" s="81">
        <f t="shared" si="188"/>
        <v>0.04</v>
      </c>
      <c r="AN223" s="82" t="str">
        <f t="shared" si="189"/>
        <v>Q</v>
      </c>
      <c r="AO223" s="79" t="str">
        <f t="shared" si="190"/>
        <v/>
      </c>
      <c r="AP223" t="str">
        <f t="shared" si="191"/>
        <v/>
      </c>
      <c r="AQ223" s="82" t="str">
        <f t="shared" si="192"/>
        <v/>
      </c>
      <c r="AR223" t="str">
        <f t="shared" si="193"/>
        <v/>
      </c>
      <c r="AS223" t="str">
        <f t="shared" si="194"/>
        <v/>
      </c>
      <c r="AT223" t="str">
        <f t="shared" si="195"/>
        <v/>
      </c>
      <c r="AU223" t="str">
        <f t="shared" si="196"/>
        <v/>
      </c>
      <c r="AV223" s="82" t="str">
        <f t="shared" si="197"/>
        <v/>
      </c>
      <c r="AW223" t="str">
        <f t="shared" si="198"/>
        <v/>
      </c>
      <c r="AX223" t="str">
        <f t="shared" si="199"/>
        <v/>
      </c>
      <c r="AY223" s="82" t="str">
        <f t="shared" si="200"/>
        <v/>
      </c>
      <c r="AZ223" t="str">
        <f t="shared" si="201"/>
        <v/>
      </c>
      <c r="BA223" t="str">
        <f t="shared" si="202"/>
        <v/>
      </c>
      <c r="BB223" s="83" t="str">
        <f t="shared" si="203"/>
        <v/>
      </c>
      <c r="BC223" s="84">
        <f t="shared" si="204"/>
        <v>0.44444444444444442</v>
      </c>
      <c r="BD223" s="84">
        <f t="shared" si="205"/>
        <v>0</v>
      </c>
      <c r="BE223" s="84">
        <f t="shared" si="206"/>
        <v>0</v>
      </c>
      <c r="BF223" s="84">
        <f t="shared" si="207"/>
        <v>0</v>
      </c>
      <c r="BG223" s="78">
        <f>IF(AN223="",0,VLOOKUP(AN223,Tables!$AB$3:$AC$12,2))</f>
        <v>2</v>
      </c>
      <c r="BH223" s="79">
        <f>IF(AO223="",0,VLOOKUP(AO223,Tables!$AB$3:$AC$12,2))</f>
        <v>0</v>
      </c>
      <c r="BI223" s="79">
        <f>IF(AP223="",0,VLOOKUP(AP223,Tables!$AB$3:$AC$12,2))</f>
        <v>0</v>
      </c>
      <c r="BJ223" s="78">
        <f>IF(AQ223="",0,VLOOKUP(AQ223,Tables!$AB$3:$AC$12,2))</f>
        <v>0</v>
      </c>
      <c r="BK223" s="79">
        <f>IF(AR223="",0,VLOOKUP(AR223,Tables!$AB$3:$AC$12,2))</f>
        <v>0</v>
      </c>
      <c r="BL223" s="79">
        <f>IF(AS223="",0,VLOOKUP(AS223,Tables!$AB$3:$AC$12,2))</f>
        <v>0</v>
      </c>
      <c r="BM223" s="79">
        <f>IF(AT223="",0,VLOOKUP(AT223,Tables!$AB$3:$AC$12,2))</f>
        <v>0</v>
      </c>
      <c r="BN223" s="79">
        <f>IF(AU223="",0,VLOOKUP(AU223,Tables!$AB$3:$AC$12,2))</f>
        <v>0</v>
      </c>
      <c r="BO223" s="78">
        <f>IF(AV223="",0,VLOOKUP(AV223,Tables!$AB$3:$AC$12,2))</f>
        <v>0</v>
      </c>
      <c r="BP223" s="79">
        <f>IF(AW223="",0,VLOOKUP(AW223,Tables!$AB$3:$AC$12,2))</f>
        <v>0</v>
      </c>
      <c r="BQ223" s="79">
        <f>IF(AX223="",0,VLOOKUP(AX223,Tables!$AB$3:$AC$12,2))</f>
        <v>0</v>
      </c>
      <c r="BR223" s="78">
        <f>IF(AY223="",0,VLOOKUP(AY223,Tables!$AB$3:$AC$12,2))</f>
        <v>0</v>
      </c>
      <c r="BS223" s="79">
        <f>IF(AZ223="",0,VLOOKUP(AZ223,Tables!$AB$3:$AC$12,2))</f>
        <v>0</v>
      </c>
      <c r="BT223" s="79">
        <f>IF(BA223="",0,VLOOKUP(BA223,Tables!$AB$3:$AC$12,2))</f>
        <v>0</v>
      </c>
      <c r="BU223" s="80">
        <f>IF(BB223="",0,VLOOKUP(BB223,Tables!$AB$3:$AC$12,2))</f>
        <v>0</v>
      </c>
      <c r="BV223" s="85">
        <f>IF(AN223="",0,VLOOKUP(B223,Tables!$B$3:$D$36,2,FALSE())*X$1)</f>
        <v>24</v>
      </c>
      <c r="BW223" s="72">
        <f>IF(AO223="",0,VLOOKUP(C223,Tables!$B$3:$D$36,2,FALSE())*Y$1)</f>
        <v>0</v>
      </c>
      <c r="BX223" s="72">
        <f>IF(AP223="",0,VLOOKUP(D223,Tables!$B$3:$D$36,2,FALSE())*Z$1)</f>
        <v>0</v>
      </c>
      <c r="BY223" s="85">
        <f>IF(AQ223="",0,VLOOKUP(E223,Tables!$B$3:$D$36,2,FALSE())*AA$1)</f>
        <v>0</v>
      </c>
      <c r="BZ223" s="72">
        <f>IF(AR223="",0,VLOOKUP(F223,Tables!$B$3:$D$36,2,FALSE())*AB$1)</f>
        <v>0</v>
      </c>
      <c r="CA223" s="72">
        <f>IF(AS223="",0,VLOOKUP(G223,Tables!$B$3:$D$36,2,FALSE())*AC$1)</f>
        <v>0</v>
      </c>
      <c r="CB223" s="72">
        <f>IF(AT223="",0,VLOOKUP(H223,Tables!$B$3:$D$36,2,FALSE())*AD$1)</f>
        <v>0</v>
      </c>
      <c r="CC223" s="72">
        <f>IF(AU223="",0,VLOOKUP(I223,Tables!$B$3:$D$36,2,FALSE())*AE$1)</f>
        <v>0</v>
      </c>
      <c r="CD223" s="85">
        <f>IF(AV223="",0,VLOOKUP(J223,Tables!$B$3:$D$36,2,FALSE())*AF$1)</f>
        <v>0</v>
      </c>
      <c r="CE223" s="72">
        <f>IF(AW223="",0,VLOOKUP(K223,Tables!$B$3:$D$36,2,FALSE())*AG$1)</f>
        <v>0</v>
      </c>
      <c r="CF223" s="72">
        <f>IF(AX223="",0,VLOOKUP(L223,Tables!$B$3:$D$36,2,FALSE())*AH$1)</f>
        <v>0</v>
      </c>
      <c r="CG223" s="85">
        <f>IF(AY223="",0,VLOOKUP(M223,Tables!$B$3:$D$36,2,FALSE())*AI$1)</f>
        <v>0</v>
      </c>
      <c r="CH223" s="72">
        <f>IF(AZ223="",0,VLOOKUP(N223,Tables!$B$3:$D$36,2,FALSE())*AJ$1)</f>
        <v>0</v>
      </c>
      <c r="CI223" s="72">
        <f>IF(BA223="",0,VLOOKUP(O223,Tables!$B$3:$D$36,2,FALSE())*AK$1)</f>
        <v>0</v>
      </c>
      <c r="CJ223" s="86">
        <f>IF(BB223="",0,VLOOKUP(P223,Tables!$B$3:$D$36,2,FALSE())*AL$1)</f>
        <v>0</v>
      </c>
      <c r="CK223" s="87">
        <f>IF(AN223="",0,VLOOKUP(B223,Tables!$B$3:$D$36,3,FALSE())*X$1)*IF(OR(AN223="K",AN223="P"),2,1)</f>
        <v>0.8</v>
      </c>
      <c r="CL223" s="73">
        <f>IF(AO223="",0,VLOOKUP(C223,Tables!$B$3:$D$36,3,FALSE())*Y$1)*IF(OR(AO223="K",AO223="P"),2,1)</f>
        <v>0</v>
      </c>
      <c r="CM223" s="73">
        <f>IF(AP223="",0,VLOOKUP(D223,Tables!$B$3:$D$36,3,FALSE())*Z$1)*IF(OR(AP223="K",AP223="P"),2,1)</f>
        <v>0</v>
      </c>
      <c r="CN223" s="87">
        <f>IF(AQ223="",0,VLOOKUP(E223,Tables!$B$3:$D$36,3,FALSE())*AA$1)</f>
        <v>0</v>
      </c>
      <c r="CO223" s="73">
        <f>IF(AR223="",0,VLOOKUP(F223,Tables!$B$3:$D$36,3,FALSE())*AB$1)</f>
        <v>0</v>
      </c>
      <c r="CP223" s="73">
        <f>IF(AS223="",0,VLOOKUP(G223,Tables!$B$3:$D$36,3,FALSE())*AC$1)</f>
        <v>0</v>
      </c>
      <c r="CQ223" s="73">
        <f>IF(AT223="",0,VLOOKUP(H223,Tables!$B$3:$D$36,3,FALSE())*AD$1)</f>
        <v>0</v>
      </c>
      <c r="CR223" s="73">
        <f>IF(AU223="",0,VLOOKUP(I223,Tables!$B$3:$D$36,3,FALSE())*AE$1)</f>
        <v>0</v>
      </c>
      <c r="CS223" s="87">
        <f>IF(AV223="",0,VLOOKUP(J223,Tables!$B$3:$D$36,3,FALSE())*AF$1)</f>
        <v>0</v>
      </c>
      <c r="CT223" s="73">
        <f>IF(AW223="",0,VLOOKUP(K223,Tables!$B$3:$D$36,3,FALSE())*AG$1)</f>
        <v>0</v>
      </c>
      <c r="CU223" s="73">
        <f>IF(AX223="",0,VLOOKUP(L223,Tables!$B$3:$D$36,3,FALSE())*AH$1)</f>
        <v>0</v>
      </c>
      <c r="CV223" s="87">
        <f>IF(AY223="",0,VLOOKUP(M223,Tables!$B$3:$D$36,3,FALSE())*AI$1)</f>
        <v>0</v>
      </c>
      <c r="CW223" s="73">
        <f>IF(AZ223="",0,VLOOKUP(N223,Tables!$B$3:$D$36,3,FALSE())*AJ$1)</f>
        <v>0</v>
      </c>
      <c r="CX223" s="73">
        <f>IF(BA223="",0,VLOOKUP(O223,Tables!$B$3:$D$36,3,FALSE())*AK$1)</f>
        <v>0</v>
      </c>
      <c r="CY223" s="88">
        <f>IF(BB223="",0,VLOOKUP(P223,Tables!$B$3:$D$36,3,FALSE())*AL$1)</f>
        <v>0</v>
      </c>
      <c r="CZ223" s="89">
        <f t="shared" si="208"/>
        <v>1</v>
      </c>
      <c r="DA223" s="75">
        <f t="shared" si="209"/>
        <v>0</v>
      </c>
      <c r="DB223" s="75">
        <f t="shared" si="210"/>
        <v>0</v>
      </c>
      <c r="DC223" s="89">
        <f t="shared" si="211"/>
        <v>0</v>
      </c>
      <c r="DD223" s="75">
        <f t="shared" si="212"/>
        <v>0</v>
      </c>
      <c r="DE223" s="75">
        <f t="shared" si="213"/>
        <v>0</v>
      </c>
      <c r="DF223" s="75">
        <f t="shared" si="214"/>
        <v>0</v>
      </c>
      <c r="DG223" s="75">
        <f t="shared" si="215"/>
        <v>0</v>
      </c>
      <c r="DH223" s="89">
        <f t="shared" si="216"/>
        <v>0</v>
      </c>
      <c r="DI223" s="75">
        <f t="shared" si="217"/>
        <v>0</v>
      </c>
      <c r="DJ223" s="75">
        <f t="shared" si="218"/>
        <v>0</v>
      </c>
      <c r="DK223" s="89">
        <f t="shared" si="219"/>
        <v>0</v>
      </c>
      <c r="DL223" s="75">
        <f t="shared" si="220"/>
        <v>0</v>
      </c>
      <c r="DM223" s="75">
        <f t="shared" si="221"/>
        <v>0</v>
      </c>
      <c r="DN223" s="90">
        <f t="shared" si="222"/>
        <v>0</v>
      </c>
      <c r="DO223" s="91">
        <f>IF(AN223="",0,VLOOKUP(B223,Tables!$B$3:$M$36,11,FALSE())*X$1)</f>
        <v>4.8</v>
      </c>
      <c r="DP223" s="92">
        <f>IF(AO223="",0,VLOOKUP(C223,Tables!$B$3:$M$36,11,FALSE())*Y$1)</f>
        <v>0</v>
      </c>
      <c r="DQ223" s="92">
        <f>IF(AP223="",0,VLOOKUP(D223,Tables!$B$3:$M$36,11,FALSE())*Z$1)</f>
        <v>0</v>
      </c>
      <c r="DR223" s="91">
        <f>IF(AQ223="",0,VLOOKUP(E223,Tables!$B$3:$M$36,11,FALSE())*AA$1)</f>
        <v>0</v>
      </c>
      <c r="DS223" s="92">
        <f>IF(AR223="",0,VLOOKUP(F223,Tables!$B$3:$M$36,11,FALSE())*AB$1)</f>
        <v>0</v>
      </c>
      <c r="DT223" s="92">
        <f>IF(AS223="",0,VLOOKUP(G223,Tables!$B$3:$M$36,11,FALSE())*AC$1)</f>
        <v>0</v>
      </c>
      <c r="DU223" s="92">
        <f>IF(AT223="",0,VLOOKUP(H223,Tables!$B$3:$M$36,11,FALSE())*AD$1)</f>
        <v>0</v>
      </c>
      <c r="DV223" s="92">
        <f>IF(AU223="",0,VLOOKUP(I223,Tables!$B$3:$M$36,11,FALSE())*AE$1)</f>
        <v>0</v>
      </c>
      <c r="DW223" s="91">
        <f>IF(AV223="",0,VLOOKUP(J223,Tables!$B$3:$M$36,11,FALSE())*AF$1)</f>
        <v>0</v>
      </c>
      <c r="DX223" s="92">
        <f>IF(AW223="",0,VLOOKUP(K223,Tables!$B$3:$M$36,11,FALSE())*AG$1)</f>
        <v>0</v>
      </c>
      <c r="DY223" s="92">
        <f>IF(AX223="",0,VLOOKUP(L223,Tables!$B$3:$M$36,11,FALSE())*AH$1)</f>
        <v>0</v>
      </c>
      <c r="DZ223" s="91">
        <f>IF(AY223="",0,VLOOKUP(M223,Tables!$B$3:$M$36,11,FALSE())*AI$1)</f>
        <v>0</v>
      </c>
      <c r="EA223" s="92">
        <f>IF(AZ223="",0,VLOOKUP(N223,Tables!$B$3:$M$36,11,FALSE())*AJ$1)</f>
        <v>0</v>
      </c>
      <c r="EB223" s="92">
        <f>IF(BA223="",0,VLOOKUP(O223,Tables!$B$3:$M$36,11,FALSE())*AK$1)</f>
        <v>0</v>
      </c>
      <c r="EC223" s="93">
        <f>IF(BB223="",0,VLOOKUP(P223,Tables!$B$3:$M$36,11,FALSE())*AL$1)</f>
        <v>0</v>
      </c>
      <c r="ED223" s="91">
        <f>IF(AN223="",0,VLOOKUP(B223,Tables!$B$3:$M$36,12,FALSE())*X$1)</f>
        <v>18</v>
      </c>
      <c r="EE223" s="92">
        <f>IF(AO223="",0,VLOOKUP(C223,Tables!$B$3:$M$36,12,FALSE())*Y$1)</f>
        <v>0</v>
      </c>
      <c r="EF223" s="92">
        <f>IF(AP223="",0,VLOOKUP(D223,Tables!$B$3:$M$36,12,FALSE())*Z$1)</f>
        <v>0</v>
      </c>
      <c r="EG223" s="91">
        <f>IF(AQ223="",0,VLOOKUP(E223,Tables!$B$3:$M$36,12,FALSE())*AA$1)</f>
        <v>0</v>
      </c>
      <c r="EH223" s="92">
        <f>IF(AR223="",0,VLOOKUP(F223,Tables!$B$3:$M$36,12,FALSE())*AB$1)</f>
        <v>0</v>
      </c>
      <c r="EI223" s="92">
        <f>IF(AS223="",0,VLOOKUP(G223,Tables!$B$3:$M$36,12,FALSE())*AC$1)</f>
        <v>0</v>
      </c>
      <c r="EJ223" s="92">
        <f>IF(AT223="",0,VLOOKUP(H223,Tables!$B$3:$M$36,12,FALSE())*AD$1)</f>
        <v>0</v>
      </c>
      <c r="EK223" s="92">
        <f>IF(AU223="",0,VLOOKUP(I223,Tables!$B$3:$M$36,12,FALSE())*AE$1)</f>
        <v>0</v>
      </c>
      <c r="EL223" s="91">
        <f>IF(AV223="",0,VLOOKUP(J223,Tables!$B$3:$M$36,12,FALSE())*AF$1)</f>
        <v>0</v>
      </c>
      <c r="EM223" s="92">
        <f>IF(AW223="",0,VLOOKUP(K223,Tables!$B$3:$M$36,12,FALSE())*AG$1)</f>
        <v>0</v>
      </c>
      <c r="EN223" s="92">
        <f>IF(AX223="",0,VLOOKUP(L223,Tables!$B$3:$M$36,12,FALSE())*AH$1)</f>
        <v>0</v>
      </c>
      <c r="EO223" s="91">
        <f>IF(AY223="",0,VLOOKUP(M223,Tables!$B$3:$M$36,12,FALSE())*AI$1)</f>
        <v>0</v>
      </c>
      <c r="EP223" s="92">
        <f>IF(AZ223="",0,VLOOKUP(N223,Tables!$B$3:$M$36,12,FALSE())*AJ$1)</f>
        <v>0</v>
      </c>
      <c r="EQ223" s="92">
        <f>IF(BA223="",0,VLOOKUP(O223,Tables!$B$3:$M$36,12,FALSE())*AK$1)</f>
        <v>0</v>
      </c>
      <c r="ER223" s="93">
        <f>IF(BB223="",0,VLOOKUP(P223,Tables!$B$3:$M$36,12,FALSE())*AL$1)</f>
        <v>0</v>
      </c>
      <c r="ES223" s="94">
        <f t="shared" si="223"/>
        <v>0</v>
      </c>
      <c r="ET223" s="95">
        <f>IF(AN223="",10,MIN(VLOOKUP(B223,MATERIAL,13,FALSE()),'Item Builder'!$W223))</f>
        <v>0</v>
      </c>
      <c r="EU223" s="95">
        <f>IF(AO223="",10,MIN(VLOOKUP(C223,MATERIAL,13,FALSE()),'Item Builder'!$W223))</f>
        <v>10</v>
      </c>
      <c r="EV223" s="95">
        <f>IF(AP223="",10,MIN(VLOOKUP(D223,MATERIAL,13,FALSE()),'Item Builder'!$W223))</f>
        <v>10</v>
      </c>
      <c r="EW223" s="95">
        <f>IF(AQ223="",10,MIN(VLOOKUP(E223,MATERIAL,13,FALSE()),'Item Builder'!$W223))</f>
        <v>10</v>
      </c>
      <c r="EX223" s="95">
        <f>IF(AR223="",10,MIN(VLOOKUP(F223,MATERIAL,13,FALSE()),'Item Builder'!$W223))</f>
        <v>10</v>
      </c>
      <c r="EY223" s="95">
        <f>IF(AS223="",10,MIN(VLOOKUP(G223,MATERIAL,13,FALSE()),'Item Builder'!$W223))</f>
        <v>10</v>
      </c>
      <c r="EZ223" s="95">
        <f>IF(AT223="",10,MIN(VLOOKUP(H223,MATERIAL,13,FALSE()),'Item Builder'!$W223))</f>
        <v>10</v>
      </c>
      <c r="FA223" s="95">
        <f>IF(AU223="",10,MIN(VLOOKUP(I223,MATERIAL,13,FALSE()),'Item Builder'!$W223))</f>
        <v>10</v>
      </c>
      <c r="FB223" s="95">
        <f>IF(AV223="",10,MIN(VLOOKUP(J223,MATERIAL,13,FALSE()),'Item Builder'!$W223))</f>
        <v>10</v>
      </c>
      <c r="FC223" s="95">
        <f>IF(AW223="",10,MIN(VLOOKUP(K223,MATERIAL,13,FALSE()),'Item Builder'!$W223))</f>
        <v>10</v>
      </c>
      <c r="FD223" s="95">
        <f>IF(AX223="",10,MIN(VLOOKUP(L223,MATERIAL,13,FALSE()),'Item Builder'!$W223))</f>
        <v>10</v>
      </c>
      <c r="FE223" s="95">
        <f>IF(AY223="",10,MIN(VLOOKUP(M223,MATERIAL,13,FALSE()),'Item Builder'!$W223))</f>
        <v>10</v>
      </c>
      <c r="FF223" s="95">
        <f>IF(AZ223="",10,MIN(VLOOKUP(N223,MATERIAL,13,FALSE()),'Item Builder'!$W223))</f>
        <v>10</v>
      </c>
      <c r="FG223" s="95">
        <f>IF(BA223="",10,MIN(VLOOKUP(O223,MATERIAL,13,FALSE()),'Item Builder'!$W223))</f>
        <v>10</v>
      </c>
      <c r="FH223" s="95">
        <f>IF(BB223="",10,MIN(VLOOKUP(P223,MATERIAL,13,FALSE()),'Item Builder'!$W223))</f>
        <v>10</v>
      </c>
    </row>
    <row r="224" spans="1:164" x14ac:dyDescent="0.25">
      <c r="A224" s="67" t="s">
        <v>364</v>
      </c>
      <c r="B224" s="68"/>
      <c r="C224" s="69"/>
      <c r="D224" s="70"/>
      <c r="E224" s="68" t="s">
        <v>186</v>
      </c>
      <c r="F224" s="69" t="s">
        <v>186</v>
      </c>
      <c r="G224" s="69"/>
      <c r="H224" s="69"/>
      <c r="I224" s="70"/>
      <c r="J224" s="68" t="s">
        <v>186</v>
      </c>
      <c r="K224" s="69"/>
      <c r="L224" s="70"/>
      <c r="M224" s="68"/>
      <c r="N224" s="69"/>
      <c r="O224" s="69"/>
      <c r="P224" s="71"/>
      <c r="Q224" s="72">
        <f>SUM(BV224:CJ224)*VLOOKUP(W224,Tables!$W$3:$Z$8,4)</f>
        <v>126</v>
      </c>
      <c r="R224" s="73">
        <f t="shared" si="168"/>
        <v>4.1999999999999993</v>
      </c>
      <c r="S224" s="74">
        <f t="shared" si="169"/>
        <v>0</v>
      </c>
      <c r="T224" s="74">
        <f t="shared" si="170"/>
        <v>0</v>
      </c>
      <c r="U224" s="75">
        <f t="shared" si="171"/>
        <v>25.199999999999996</v>
      </c>
      <c r="V224" s="76">
        <f t="shared" si="172"/>
        <v>94.5</v>
      </c>
      <c r="W224" s="77">
        <v>0</v>
      </c>
      <c r="X224" s="78">
        <f t="shared" si="173"/>
        <v>0</v>
      </c>
      <c r="Y224" s="79">
        <f t="shared" si="174"/>
        <v>0</v>
      </c>
      <c r="Z224" s="79">
        <f t="shared" si="175"/>
        <v>0</v>
      </c>
      <c r="AA224" s="78">
        <f t="shared" si="176"/>
        <v>1</v>
      </c>
      <c r="AB224" s="79">
        <f t="shared" si="177"/>
        <v>1</v>
      </c>
      <c r="AC224" s="79">
        <f t="shared" si="178"/>
        <v>0</v>
      </c>
      <c r="AD224" s="79">
        <f t="shared" si="179"/>
        <v>0</v>
      </c>
      <c r="AE224" s="79">
        <f t="shared" si="180"/>
        <v>0</v>
      </c>
      <c r="AF224" s="78">
        <f t="shared" si="181"/>
        <v>1</v>
      </c>
      <c r="AG224" s="79">
        <f t="shared" si="182"/>
        <v>0</v>
      </c>
      <c r="AH224" s="79">
        <f t="shared" si="183"/>
        <v>0</v>
      </c>
      <c r="AI224" s="78">
        <f t="shared" si="184"/>
        <v>0</v>
      </c>
      <c r="AJ224" s="79">
        <f t="shared" si="185"/>
        <v>0</v>
      </c>
      <c r="AK224" s="79">
        <f t="shared" si="186"/>
        <v>0</v>
      </c>
      <c r="AL224" s="80">
        <f t="shared" si="187"/>
        <v>0</v>
      </c>
      <c r="AM224" s="81">
        <f t="shared" si="188"/>
        <v>0.21</v>
      </c>
      <c r="AN224" s="82" t="str">
        <f t="shared" si="189"/>
        <v/>
      </c>
      <c r="AO224" s="79" t="str">
        <f t="shared" si="190"/>
        <v/>
      </c>
      <c r="AP224" t="str">
        <f t="shared" si="191"/>
        <v/>
      </c>
      <c r="AQ224" s="82" t="str">
        <f t="shared" si="192"/>
        <v>Q</v>
      </c>
      <c r="AR224" t="str">
        <f t="shared" si="193"/>
        <v>Q</v>
      </c>
      <c r="AS224" t="str">
        <f t="shared" si="194"/>
        <v/>
      </c>
      <c r="AT224" t="str">
        <f t="shared" si="195"/>
        <v/>
      </c>
      <c r="AU224" t="str">
        <f t="shared" si="196"/>
        <v/>
      </c>
      <c r="AV224" s="82" t="str">
        <f t="shared" si="197"/>
        <v>Q</v>
      </c>
      <c r="AW224" t="str">
        <f t="shared" si="198"/>
        <v/>
      </c>
      <c r="AX224" t="str">
        <f t="shared" si="199"/>
        <v/>
      </c>
      <c r="AY224" s="82" t="str">
        <f t="shared" si="200"/>
        <v/>
      </c>
      <c r="AZ224" t="str">
        <f t="shared" si="201"/>
        <v/>
      </c>
      <c r="BA224" t="str">
        <f t="shared" si="202"/>
        <v/>
      </c>
      <c r="BB224" s="83" t="str">
        <f t="shared" si="203"/>
        <v/>
      </c>
      <c r="BC224" s="84">
        <f t="shared" si="204"/>
        <v>0</v>
      </c>
      <c r="BD224" s="84">
        <f t="shared" si="205"/>
        <v>0.42857142857142849</v>
      </c>
      <c r="BE224" s="84">
        <f t="shared" si="206"/>
        <v>0.35294117647058826</v>
      </c>
      <c r="BF224" s="84">
        <f t="shared" si="207"/>
        <v>0</v>
      </c>
      <c r="BG224" s="78">
        <f>IF(AN224="",0,VLOOKUP(AN224,Tables!$AB$3:$AC$12,2))</f>
        <v>0</v>
      </c>
      <c r="BH224" s="79">
        <f>IF(AO224="",0,VLOOKUP(AO224,Tables!$AB$3:$AC$12,2))</f>
        <v>0</v>
      </c>
      <c r="BI224" s="79">
        <f>IF(AP224="",0,VLOOKUP(AP224,Tables!$AB$3:$AC$12,2))</f>
        <v>0</v>
      </c>
      <c r="BJ224" s="78">
        <f>IF(AQ224="",0,VLOOKUP(AQ224,Tables!$AB$3:$AC$12,2))</f>
        <v>2</v>
      </c>
      <c r="BK224" s="79">
        <f>IF(AR224="",0,VLOOKUP(AR224,Tables!$AB$3:$AC$12,2))</f>
        <v>2</v>
      </c>
      <c r="BL224" s="79">
        <f>IF(AS224="",0,VLOOKUP(AS224,Tables!$AB$3:$AC$12,2))</f>
        <v>0</v>
      </c>
      <c r="BM224" s="79">
        <f>IF(AT224="",0,VLOOKUP(AT224,Tables!$AB$3:$AC$12,2))</f>
        <v>0</v>
      </c>
      <c r="BN224" s="79">
        <f>IF(AU224="",0,VLOOKUP(AU224,Tables!$AB$3:$AC$12,2))</f>
        <v>0</v>
      </c>
      <c r="BO224" s="78">
        <f>IF(AV224="",0,VLOOKUP(AV224,Tables!$AB$3:$AC$12,2))</f>
        <v>2</v>
      </c>
      <c r="BP224" s="79">
        <f>IF(AW224="",0,VLOOKUP(AW224,Tables!$AB$3:$AC$12,2))</f>
        <v>0</v>
      </c>
      <c r="BQ224" s="79">
        <f>IF(AX224="",0,VLOOKUP(AX224,Tables!$AB$3:$AC$12,2))</f>
        <v>0</v>
      </c>
      <c r="BR224" s="78">
        <f>IF(AY224="",0,VLOOKUP(AY224,Tables!$AB$3:$AC$12,2))</f>
        <v>0</v>
      </c>
      <c r="BS224" s="79">
        <f>IF(AZ224="",0,VLOOKUP(AZ224,Tables!$AB$3:$AC$12,2))</f>
        <v>0</v>
      </c>
      <c r="BT224" s="79">
        <f>IF(BA224="",0,VLOOKUP(BA224,Tables!$AB$3:$AC$12,2))</f>
        <v>0</v>
      </c>
      <c r="BU224" s="80">
        <f>IF(BB224="",0,VLOOKUP(BB224,Tables!$AB$3:$AC$12,2))</f>
        <v>0</v>
      </c>
      <c r="BV224" s="85">
        <f>IF(AN224="",0,VLOOKUP(B224,Tables!$B$3:$D$36,2,FALSE())*X$1)</f>
        <v>0</v>
      </c>
      <c r="BW224" s="72">
        <f>IF(AO224="",0,VLOOKUP(C224,Tables!$B$3:$D$36,2,FALSE())*Y$1)</f>
        <v>0</v>
      </c>
      <c r="BX224" s="72">
        <f>IF(AP224="",0,VLOOKUP(D224,Tables!$B$3:$D$36,2,FALSE())*Z$1)</f>
        <v>0</v>
      </c>
      <c r="BY224" s="85">
        <f>IF(AQ224="",0,VLOOKUP(E224,Tables!$B$3:$D$36,2,FALSE())*AA$1)</f>
        <v>18</v>
      </c>
      <c r="BZ224" s="72">
        <f>IF(AR224="",0,VLOOKUP(F224,Tables!$B$3:$D$36,2,FALSE())*AB$1)</f>
        <v>36</v>
      </c>
      <c r="CA224" s="72">
        <f>IF(AS224="",0,VLOOKUP(G224,Tables!$B$3:$D$36,2,FALSE())*AC$1)</f>
        <v>0</v>
      </c>
      <c r="CB224" s="72">
        <f>IF(AT224="",0,VLOOKUP(H224,Tables!$B$3:$D$36,2,FALSE())*AD$1)</f>
        <v>0</v>
      </c>
      <c r="CC224" s="72">
        <f>IF(AU224="",0,VLOOKUP(I224,Tables!$B$3:$D$36,2,FALSE())*AE$1)</f>
        <v>0</v>
      </c>
      <c r="CD224" s="85">
        <f>IF(AV224="",0,VLOOKUP(J224,Tables!$B$3:$D$36,2,FALSE())*AF$1)</f>
        <v>72</v>
      </c>
      <c r="CE224" s="72">
        <f>IF(AW224="",0,VLOOKUP(K224,Tables!$B$3:$D$36,2,FALSE())*AG$1)</f>
        <v>0</v>
      </c>
      <c r="CF224" s="72">
        <f>IF(AX224="",0,VLOOKUP(L224,Tables!$B$3:$D$36,2,FALSE())*AH$1)</f>
        <v>0</v>
      </c>
      <c r="CG224" s="85">
        <f>IF(AY224="",0,VLOOKUP(M224,Tables!$B$3:$D$36,2,FALSE())*AI$1)</f>
        <v>0</v>
      </c>
      <c r="CH224" s="72">
        <f>IF(AZ224="",0,VLOOKUP(N224,Tables!$B$3:$D$36,2,FALSE())*AJ$1)</f>
        <v>0</v>
      </c>
      <c r="CI224" s="72">
        <f>IF(BA224="",0,VLOOKUP(O224,Tables!$B$3:$D$36,2,FALSE())*AK$1)</f>
        <v>0</v>
      </c>
      <c r="CJ224" s="86">
        <f>IF(BB224="",0,VLOOKUP(P224,Tables!$B$3:$D$36,2,FALSE())*AL$1)</f>
        <v>0</v>
      </c>
      <c r="CK224" s="87">
        <f>IF(AN224="",0,VLOOKUP(B224,Tables!$B$3:$D$36,3,FALSE())*X$1)*IF(OR(AN224="K",AN224="P"),2,1)</f>
        <v>0</v>
      </c>
      <c r="CL224" s="73">
        <f>IF(AO224="",0,VLOOKUP(C224,Tables!$B$3:$D$36,3,FALSE())*Y$1)*IF(OR(AO224="K",AO224="P"),2,1)</f>
        <v>0</v>
      </c>
      <c r="CM224" s="73">
        <f>IF(AP224="",0,VLOOKUP(D224,Tables!$B$3:$D$36,3,FALSE())*Z$1)*IF(OR(AP224="K",AP224="P"),2,1)</f>
        <v>0</v>
      </c>
      <c r="CN224" s="87">
        <f>IF(AQ224="",0,VLOOKUP(E224,Tables!$B$3:$D$36,3,FALSE())*AA$1)</f>
        <v>0.6</v>
      </c>
      <c r="CO224" s="73">
        <f>IF(AR224="",0,VLOOKUP(F224,Tables!$B$3:$D$36,3,FALSE())*AB$1)</f>
        <v>1.2</v>
      </c>
      <c r="CP224" s="73">
        <f>IF(AS224="",0,VLOOKUP(G224,Tables!$B$3:$D$36,3,FALSE())*AC$1)</f>
        <v>0</v>
      </c>
      <c r="CQ224" s="73">
        <f>IF(AT224="",0,VLOOKUP(H224,Tables!$B$3:$D$36,3,FALSE())*AD$1)</f>
        <v>0</v>
      </c>
      <c r="CR224" s="73">
        <f>IF(AU224="",0,VLOOKUP(I224,Tables!$B$3:$D$36,3,FALSE())*AE$1)</f>
        <v>0</v>
      </c>
      <c r="CS224" s="87">
        <f>IF(AV224="",0,VLOOKUP(J224,Tables!$B$3:$D$36,3,FALSE())*AF$1)</f>
        <v>2.4</v>
      </c>
      <c r="CT224" s="73">
        <f>IF(AW224="",0,VLOOKUP(K224,Tables!$B$3:$D$36,3,FALSE())*AG$1)</f>
        <v>0</v>
      </c>
      <c r="CU224" s="73">
        <f>IF(AX224="",0,VLOOKUP(L224,Tables!$B$3:$D$36,3,FALSE())*AH$1)</f>
        <v>0</v>
      </c>
      <c r="CV224" s="87">
        <f>IF(AY224="",0,VLOOKUP(M224,Tables!$B$3:$D$36,3,FALSE())*AI$1)</f>
        <v>0</v>
      </c>
      <c r="CW224" s="73">
        <f>IF(AZ224="",0,VLOOKUP(N224,Tables!$B$3:$D$36,3,FALSE())*AJ$1)</f>
        <v>0</v>
      </c>
      <c r="CX224" s="73">
        <f>IF(BA224="",0,VLOOKUP(O224,Tables!$B$3:$D$36,3,FALSE())*AK$1)</f>
        <v>0</v>
      </c>
      <c r="CY224" s="88">
        <f>IF(BB224="",0,VLOOKUP(P224,Tables!$B$3:$D$36,3,FALSE())*AL$1)</f>
        <v>0</v>
      </c>
      <c r="CZ224" s="89">
        <f t="shared" si="208"/>
        <v>0</v>
      </c>
      <c r="DA224" s="75">
        <f t="shared" si="209"/>
        <v>0</v>
      </c>
      <c r="DB224" s="75">
        <f t="shared" si="210"/>
        <v>0</v>
      </c>
      <c r="DC224" s="89">
        <f t="shared" si="211"/>
        <v>1</v>
      </c>
      <c r="DD224" s="75">
        <f t="shared" si="212"/>
        <v>1</v>
      </c>
      <c r="DE224" s="75">
        <f t="shared" si="213"/>
        <v>0</v>
      </c>
      <c r="DF224" s="75">
        <f t="shared" si="214"/>
        <v>0</v>
      </c>
      <c r="DG224" s="75">
        <f t="shared" si="215"/>
        <v>0</v>
      </c>
      <c r="DH224" s="89">
        <f t="shared" si="216"/>
        <v>1</v>
      </c>
      <c r="DI224" s="75">
        <f t="shared" si="217"/>
        <v>0</v>
      </c>
      <c r="DJ224" s="75">
        <f t="shared" si="218"/>
        <v>0</v>
      </c>
      <c r="DK224" s="89">
        <f t="shared" si="219"/>
        <v>0</v>
      </c>
      <c r="DL224" s="75">
        <f t="shared" si="220"/>
        <v>0</v>
      </c>
      <c r="DM224" s="75">
        <f t="shared" si="221"/>
        <v>0</v>
      </c>
      <c r="DN224" s="90">
        <f t="shared" si="222"/>
        <v>0</v>
      </c>
      <c r="DO224" s="91">
        <f>IF(AN224="",0,VLOOKUP(B224,Tables!$B$3:$M$36,11,FALSE())*X$1)</f>
        <v>0</v>
      </c>
      <c r="DP224" s="92">
        <f>IF(AO224="",0,VLOOKUP(C224,Tables!$B$3:$M$36,11,FALSE())*Y$1)</f>
        <v>0</v>
      </c>
      <c r="DQ224" s="92">
        <f>IF(AP224="",0,VLOOKUP(D224,Tables!$B$3:$M$36,11,FALSE())*Z$1)</f>
        <v>0</v>
      </c>
      <c r="DR224" s="91">
        <f>IF(AQ224="",0,VLOOKUP(E224,Tables!$B$3:$M$36,11,FALSE())*AA$1)</f>
        <v>3.5999999999999996</v>
      </c>
      <c r="DS224" s="92">
        <f>IF(AR224="",0,VLOOKUP(F224,Tables!$B$3:$M$36,11,FALSE())*AB$1)</f>
        <v>7.1999999999999993</v>
      </c>
      <c r="DT224" s="92">
        <f>IF(AS224="",0,VLOOKUP(G224,Tables!$B$3:$M$36,11,FALSE())*AC$1)</f>
        <v>0</v>
      </c>
      <c r="DU224" s="92">
        <f>IF(AT224="",0,VLOOKUP(H224,Tables!$B$3:$M$36,11,FALSE())*AD$1)</f>
        <v>0</v>
      </c>
      <c r="DV224" s="92">
        <f>IF(AU224="",0,VLOOKUP(I224,Tables!$B$3:$M$36,11,FALSE())*AE$1)</f>
        <v>0</v>
      </c>
      <c r="DW224" s="91">
        <f>IF(AV224="",0,VLOOKUP(J224,Tables!$B$3:$M$36,11,FALSE())*AF$1)</f>
        <v>14.399999999999999</v>
      </c>
      <c r="DX224" s="92">
        <f>IF(AW224="",0,VLOOKUP(K224,Tables!$B$3:$M$36,11,FALSE())*AG$1)</f>
        <v>0</v>
      </c>
      <c r="DY224" s="92">
        <f>IF(AX224="",0,VLOOKUP(L224,Tables!$B$3:$M$36,11,FALSE())*AH$1)</f>
        <v>0</v>
      </c>
      <c r="DZ224" s="91">
        <f>IF(AY224="",0,VLOOKUP(M224,Tables!$B$3:$M$36,11,FALSE())*AI$1)</f>
        <v>0</v>
      </c>
      <c r="EA224" s="92">
        <f>IF(AZ224="",0,VLOOKUP(N224,Tables!$B$3:$M$36,11,FALSE())*AJ$1)</f>
        <v>0</v>
      </c>
      <c r="EB224" s="92">
        <f>IF(BA224="",0,VLOOKUP(O224,Tables!$B$3:$M$36,11,FALSE())*AK$1)</f>
        <v>0</v>
      </c>
      <c r="EC224" s="93">
        <f>IF(BB224="",0,VLOOKUP(P224,Tables!$B$3:$M$36,11,FALSE())*AL$1)</f>
        <v>0</v>
      </c>
      <c r="ED224" s="91">
        <f>IF(AN224="",0,VLOOKUP(B224,Tables!$B$3:$M$36,12,FALSE())*X$1)</f>
        <v>0</v>
      </c>
      <c r="EE224" s="92">
        <f>IF(AO224="",0,VLOOKUP(C224,Tables!$B$3:$M$36,12,FALSE())*Y$1)</f>
        <v>0</v>
      </c>
      <c r="EF224" s="92">
        <f>IF(AP224="",0,VLOOKUP(D224,Tables!$B$3:$M$36,12,FALSE())*Z$1)</f>
        <v>0</v>
      </c>
      <c r="EG224" s="91">
        <f>IF(AQ224="",0,VLOOKUP(E224,Tables!$B$3:$M$36,12,FALSE())*AA$1)</f>
        <v>13.5</v>
      </c>
      <c r="EH224" s="92">
        <f>IF(AR224="",0,VLOOKUP(F224,Tables!$B$3:$M$36,12,FALSE())*AB$1)</f>
        <v>27</v>
      </c>
      <c r="EI224" s="92">
        <f>IF(AS224="",0,VLOOKUP(G224,Tables!$B$3:$M$36,12,FALSE())*AC$1)</f>
        <v>0</v>
      </c>
      <c r="EJ224" s="92">
        <f>IF(AT224="",0,VLOOKUP(H224,Tables!$B$3:$M$36,12,FALSE())*AD$1)</f>
        <v>0</v>
      </c>
      <c r="EK224" s="92">
        <f>IF(AU224="",0,VLOOKUP(I224,Tables!$B$3:$M$36,12,FALSE())*AE$1)</f>
        <v>0</v>
      </c>
      <c r="EL224" s="91">
        <f>IF(AV224="",0,VLOOKUP(J224,Tables!$B$3:$M$36,12,FALSE())*AF$1)</f>
        <v>54</v>
      </c>
      <c r="EM224" s="92">
        <f>IF(AW224="",0,VLOOKUP(K224,Tables!$B$3:$M$36,12,FALSE())*AG$1)</f>
        <v>0</v>
      </c>
      <c r="EN224" s="92">
        <f>IF(AX224="",0,VLOOKUP(L224,Tables!$B$3:$M$36,12,FALSE())*AH$1)</f>
        <v>0</v>
      </c>
      <c r="EO224" s="91">
        <f>IF(AY224="",0,VLOOKUP(M224,Tables!$B$3:$M$36,12,FALSE())*AI$1)</f>
        <v>0</v>
      </c>
      <c r="EP224" s="92">
        <f>IF(AZ224="",0,VLOOKUP(N224,Tables!$B$3:$M$36,12,FALSE())*AJ$1)</f>
        <v>0</v>
      </c>
      <c r="EQ224" s="92">
        <f>IF(BA224="",0,VLOOKUP(O224,Tables!$B$3:$M$36,12,FALSE())*AK$1)</f>
        <v>0</v>
      </c>
      <c r="ER224" s="93">
        <f>IF(BB224="",0,VLOOKUP(P224,Tables!$B$3:$M$36,12,FALSE())*AL$1)</f>
        <v>0</v>
      </c>
      <c r="ES224" s="94">
        <f t="shared" si="223"/>
        <v>0</v>
      </c>
      <c r="ET224" s="95">
        <f>IF(AN224="",10,MIN(VLOOKUP(B224,MATERIAL,13,FALSE()),'Item Builder'!$W224))</f>
        <v>10</v>
      </c>
      <c r="EU224" s="95">
        <f>IF(AO224="",10,MIN(VLOOKUP(C224,MATERIAL,13,FALSE()),'Item Builder'!$W224))</f>
        <v>10</v>
      </c>
      <c r="EV224" s="95">
        <f>IF(AP224="",10,MIN(VLOOKUP(D224,MATERIAL,13,FALSE()),'Item Builder'!$W224))</f>
        <v>10</v>
      </c>
      <c r="EW224" s="95">
        <f>IF(AQ224="",10,MIN(VLOOKUP(E224,MATERIAL,13,FALSE()),'Item Builder'!$W224))</f>
        <v>0</v>
      </c>
      <c r="EX224" s="95">
        <f>IF(AR224="",10,MIN(VLOOKUP(F224,MATERIAL,13,FALSE()),'Item Builder'!$W224))</f>
        <v>0</v>
      </c>
      <c r="EY224" s="95">
        <f>IF(AS224="",10,MIN(VLOOKUP(G224,MATERIAL,13,FALSE()),'Item Builder'!$W224))</f>
        <v>10</v>
      </c>
      <c r="EZ224" s="95">
        <f>IF(AT224="",10,MIN(VLOOKUP(H224,MATERIAL,13,FALSE()),'Item Builder'!$W224))</f>
        <v>10</v>
      </c>
      <c r="FA224" s="95">
        <f>IF(AU224="",10,MIN(VLOOKUP(I224,MATERIAL,13,FALSE()),'Item Builder'!$W224))</f>
        <v>10</v>
      </c>
      <c r="FB224" s="95">
        <f>IF(AV224="",10,MIN(VLOOKUP(J224,MATERIAL,13,FALSE()),'Item Builder'!$W224))</f>
        <v>0</v>
      </c>
      <c r="FC224" s="95">
        <f>IF(AW224="",10,MIN(VLOOKUP(K224,MATERIAL,13,FALSE()),'Item Builder'!$W224))</f>
        <v>10</v>
      </c>
      <c r="FD224" s="95">
        <f>IF(AX224="",10,MIN(VLOOKUP(L224,MATERIAL,13,FALSE()),'Item Builder'!$W224))</f>
        <v>10</v>
      </c>
      <c r="FE224" s="95">
        <f>IF(AY224="",10,MIN(VLOOKUP(M224,MATERIAL,13,FALSE()),'Item Builder'!$W224))</f>
        <v>10</v>
      </c>
      <c r="FF224" s="95">
        <f>IF(AZ224="",10,MIN(VLOOKUP(N224,MATERIAL,13,FALSE()),'Item Builder'!$W224))</f>
        <v>10</v>
      </c>
      <c r="FG224" s="95">
        <f>IF(BA224="",10,MIN(VLOOKUP(O224,MATERIAL,13,FALSE()),'Item Builder'!$W224))</f>
        <v>10</v>
      </c>
      <c r="FH224" s="95">
        <f>IF(BB224="",10,MIN(VLOOKUP(P224,MATERIAL,13,FALSE()),'Item Builder'!$W224))</f>
        <v>10</v>
      </c>
    </row>
    <row r="225" spans="1:164" x14ac:dyDescent="0.25">
      <c r="A225" s="67" t="s">
        <v>365</v>
      </c>
      <c r="B225" s="68"/>
      <c r="C225" s="69"/>
      <c r="D225" s="70"/>
      <c r="E225" s="68"/>
      <c r="F225" s="69"/>
      <c r="G225" s="69"/>
      <c r="H225" s="69"/>
      <c r="I225" s="70" t="s">
        <v>186</v>
      </c>
      <c r="J225" s="68"/>
      <c r="K225" s="69"/>
      <c r="L225" s="70"/>
      <c r="M225" s="68"/>
      <c r="N225" s="69"/>
      <c r="O225" s="69"/>
      <c r="P225" s="71"/>
      <c r="Q225" s="72">
        <f>SUM(BV225:CJ225)*VLOOKUP(W225,Tables!$W$3:$Z$8,4)</f>
        <v>30</v>
      </c>
      <c r="R225" s="73">
        <f t="shared" si="168"/>
        <v>1</v>
      </c>
      <c r="S225" s="74">
        <f t="shared" si="169"/>
        <v>0</v>
      </c>
      <c r="T225" s="74">
        <f t="shared" si="170"/>
        <v>0</v>
      </c>
      <c r="U225" s="75">
        <f t="shared" si="171"/>
        <v>6</v>
      </c>
      <c r="V225" s="76">
        <f t="shared" si="172"/>
        <v>22.5</v>
      </c>
      <c r="W225" s="77">
        <v>0</v>
      </c>
      <c r="X225" s="78">
        <f t="shared" si="173"/>
        <v>0</v>
      </c>
      <c r="Y225" s="79">
        <f t="shared" si="174"/>
        <v>0</v>
      </c>
      <c r="Z225" s="79">
        <f t="shared" si="175"/>
        <v>0</v>
      </c>
      <c r="AA225" s="78">
        <f t="shared" si="176"/>
        <v>0</v>
      </c>
      <c r="AB225" s="79">
        <f t="shared" si="177"/>
        <v>0</v>
      </c>
      <c r="AC225" s="79">
        <f t="shared" si="178"/>
        <v>0</v>
      </c>
      <c r="AD225" s="79">
        <f t="shared" si="179"/>
        <v>0</v>
      </c>
      <c r="AE225" s="79">
        <f t="shared" si="180"/>
        <v>1</v>
      </c>
      <c r="AF225" s="78">
        <f t="shared" si="181"/>
        <v>0</v>
      </c>
      <c r="AG225" s="79">
        <f t="shared" si="182"/>
        <v>0</v>
      </c>
      <c r="AH225" s="79">
        <f t="shared" si="183"/>
        <v>0</v>
      </c>
      <c r="AI225" s="78">
        <f t="shared" si="184"/>
        <v>0</v>
      </c>
      <c r="AJ225" s="79">
        <f t="shared" si="185"/>
        <v>0</v>
      </c>
      <c r="AK225" s="79">
        <f t="shared" si="186"/>
        <v>0</v>
      </c>
      <c r="AL225" s="80">
        <f t="shared" si="187"/>
        <v>0</v>
      </c>
      <c r="AM225" s="81">
        <f t="shared" si="188"/>
        <v>0.05</v>
      </c>
      <c r="AN225" s="82" t="str">
        <f t="shared" si="189"/>
        <v/>
      </c>
      <c r="AO225" s="79" t="str">
        <f t="shared" si="190"/>
        <v/>
      </c>
      <c r="AP225" t="str">
        <f t="shared" si="191"/>
        <v/>
      </c>
      <c r="AQ225" s="82" t="str">
        <f t="shared" si="192"/>
        <v/>
      </c>
      <c r="AR225" t="str">
        <f t="shared" si="193"/>
        <v/>
      </c>
      <c r="AS225" t="str">
        <f t="shared" si="194"/>
        <v/>
      </c>
      <c r="AT225" t="str">
        <f t="shared" si="195"/>
        <v/>
      </c>
      <c r="AU225" t="str">
        <f t="shared" si="196"/>
        <v>Q</v>
      </c>
      <c r="AV225" s="82" t="str">
        <f t="shared" si="197"/>
        <v/>
      </c>
      <c r="AW225" t="str">
        <f t="shared" si="198"/>
        <v/>
      </c>
      <c r="AX225" t="str">
        <f t="shared" si="199"/>
        <v/>
      </c>
      <c r="AY225" s="82" t="str">
        <f t="shared" si="200"/>
        <v/>
      </c>
      <c r="AZ225" t="str">
        <f t="shared" si="201"/>
        <v/>
      </c>
      <c r="BA225" t="str">
        <f t="shared" si="202"/>
        <v/>
      </c>
      <c r="BB225" s="83" t="str">
        <f t="shared" si="203"/>
        <v/>
      </c>
      <c r="BC225" s="84">
        <f t="shared" si="204"/>
        <v>0</v>
      </c>
      <c r="BD225" s="84">
        <f t="shared" si="205"/>
        <v>0.23809523809523808</v>
      </c>
      <c r="BE225" s="84">
        <f t="shared" si="206"/>
        <v>0</v>
      </c>
      <c r="BF225" s="84">
        <f t="shared" si="207"/>
        <v>0</v>
      </c>
      <c r="BG225" s="78">
        <f>IF(AN225="",0,VLOOKUP(AN225,Tables!$AB$3:$AC$12,2))</f>
        <v>0</v>
      </c>
      <c r="BH225" s="79">
        <f>IF(AO225="",0,VLOOKUP(AO225,Tables!$AB$3:$AC$12,2))</f>
        <v>0</v>
      </c>
      <c r="BI225" s="79">
        <f>IF(AP225="",0,VLOOKUP(AP225,Tables!$AB$3:$AC$12,2))</f>
        <v>0</v>
      </c>
      <c r="BJ225" s="78">
        <f>IF(AQ225="",0,VLOOKUP(AQ225,Tables!$AB$3:$AC$12,2))</f>
        <v>0</v>
      </c>
      <c r="BK225" s="79">
        <f>IF(AR225="",0,VLOOKUP(AR225,Tables!$AB$3:$AC$12,2))</f>
        <v>0</v>
      </c>
      <c r="BL225" s="79">
        <f>IF(AS225="",0,VLOOKUP(AS225,Tables!$AB$3:$AC$12,2))</f>
        <v>0</v>
      </c>
      <c r="BM225" s="79">
        <f>IF(AT225="",0,VLOOKUP(AT225,Tables!$AB$3:$AC$12,2))</f>
        <v>0</v>
      </c>
      <c r="BN225" s="79">
        <f>IF(AU225="",0,VLOOKUP(AU225,Tables!$AB$3:$AC$12,2))</f>
        <v>2</v>
      </c>
      <c r="BO225" s="78">
        <f>IF(AV225="",0,VLOOKUP(AV225,Tables!$AB$3:$AC$12,2))</f>
        <v>0</v>
      </c>
      <c r="BP225" s="79">
        <f>IF(AW225="",0,VLOOKUP(AW225,Tables!$AB$3:$AC$12,2))</f>
        <v>0</v>
      </c>
      <c r="BQ225" s="79">
        <f>IF(AX225="",0,VLOOKUP(AX225,Tables!$AB$3:$AC$12,2))</f>
        <v>0</v>
      </c>
      <c r="BR225" s="78">
        <f>IF(AY225="",0,VLOOKUP(AY225,Tables!$AB$3:$AC$12,2))</f>
        <v>0</v>
      </c>
      <c r="BS225" s="79">
        <f>IF(AZ225="",0,VLOOKUP(AZ225,Tables!$AB$3:$AC$12,2))</f>
        <v>0</v>
      </c>
      <c r="BT225" s="79">
        <f>IF(BA225="",0,VLOOKUP(BA225,Tables!$AB$3:$AC$12,2))</f>
        <v>0</v>
      </c>
      <c r="BU225" s="80">
        <f>IF(BB225="",0,VLOOKUP(BB225,Tables!$AB$3:$AC$12,2))</f>
        <v>0</v>
      </c>
      <c r="BV225" s="85">
        <f>IF(AN225="",0,VLOOKUP(B225,Tables!$B$3:$D$36,2,FALSE())*X$1)</f>
        <v>0</v>
      </c>
      <c r="BW225" s="72">
        <f>IF(AO225="",0,VLOOKUP(C225,Tables!$B$3:$D$36,2,FALSE())*Y$1)</f>
        <v>0</v>
      </c>
      <c r="BX225" s="72">
        <f>IF(AP225="",0,VLOOKUP(D225,Tables!$B$3:$D$36,2,FALSE())*Z$1)</f>
        <v>0</v>
      </c>
      <c r="BY225" s="85">
        <f>IF(AQ225="",0,VLOOKUP(E225,Tables!$B$3:$D$36,2,FALSE())*AA$1)</f>
        <v>0</v>
      </c>
      <c r="BZ225" s="72">
        <f>IF(AR225="",0,VLOOKUP(F225,Tables!$B$3:$D$36,2,FALSE())*AB$1)</f>
        <v>0</v>
      </c>
      <c r="CA225" s="72">
        <f>IF(AS225="",0,VLOOKUP(G225,Tables!$B$3:$D$36,2,FALSE())*AC$1)</f>
        <v>0</v>
      </c>
      <c r="CB225" s="72">
        <f>IF(AT225="",0,VLOOKUP(H225,Tables!$B$3:$D$36,2,FALSE())*AD$1)</f>
        <v>0</v>
      </c>
      <c r="CC225" s="72">
        <f>IF(AU225="",0,VLOOKUP(I225,Tables!$B$3:$D$36,2,FALSE())*AE$1)</f>
        <v>30</v>
      </c>
      <c r="CD225" s="85">
        <f>IF(AV225="",0,VLOOKUP(J225,Tables!$B$3:$D$36,2,FALSE())*AF$1)</f>
        <v>0</v>
      </c>
      <c r="CE225" s="72">
        <f>IF(AW225="",0,VLOOKUP(K225,Tables!$B$3:$D$36,2,FALSE())*AG$1)</f>
        <v>0</v>
      </c>
      <c r="CF225" s="72">
        <f>IF(AX225="",0,VLOOKUP(L225,Tables!$B$3:$D$36,2,FALSE())*AH$1)</f>
        <v>0</v>
      </c>
      <c r="CG225" s="85">
        <f>IF(AY225="",0,VLOOKUP(M225,Tables!$B$3:$D$36,2,FALSE())*AI$1)</f>
        <v>0</v>
      </c>
      <c r="CH225" s="72">
        <f>IF(AZ225="",0,VLOOKUP(N225,Tables!$B$3:$D$36,2,FALSE())*AJ$1)</f>
        <v>0</v>
      </c>
      <c r="CI225" s="72">
        <f>IF(BA225="",0,VLOOKUP(O225,Tables!$B$3:$D$36,2,FALSE())*AK$1)</f>
        <v>0</v>
      </c>
      <c r="CJ225" s="86">
        <f>IF(BB225="",0,VLOOKUP(P225,Tables!$B$3:$D$36,2,FALSE())*AL$1)</f>
        <v>0</v>
      </c>
      <c r="CK225" s="87">
        <f>IF(AN225="",0,VLOOKUP(B225,Tables!$B$3:$D$36,3,FALSE())*X$1)*IF(OR(AN225="K",AN225="P"),2,1)</f>
        <v>0</v>
      </c>
      <c r="CL225" s="73">
        <f>IF(AO225="",0,VLOOKUP(C225,Tables!$B$3:$D$36,3,FALSE())*Y$1)*IF(OR(AO225="K",AO225="P"),2,1)</f>
        <v>0</v>
      </c>
      <c r="CM225" s="73">
        <f>IF(AP225="",0,VLOOKUP(D225,Tables!$B$3:$D$36,3,FALSE())*Z$1)*IF(OR(AP225="K",AP225="P"),2,1)</f>
        <v>0</v>
      </c>
      <c r="CN225" s="87">
        <f>IF(AQ225="",0,VLOOKUP(E225,Tables!$B$3:$D$36,3,FALSE())*AA$1)</f>
        <v>0</v>
      </c>
      <c r="CO225" s="73">
        <f>IF(AR225="",0,VLOOKUP(F225,Tables!$B$3:$D$36,3,FALSE())*AB$1)</f>
        <v>0</v>
      </c>
      <c r="CP225" s="73">
        <f>IF(AS225="",0,VLOOKUP(G225,Tables!$B$3:$D$36,3,FALSE())*AC$1)</f>
        <v>0</v>
      </c>
      <c r="CQ225" s="73">
        <f>IF(AT225="",0,VLOOKUP(H225,Tables!$B$3:$D$36,3,FALSE())*AD$1)</f>
        <v>0</v>
      </c>
      <c r="CR225" s="73">
        <f>IF(AU225="",0,VLOOKUP(I225,Tables!$B$3:$D$36,3,FALSE())*AE$1)</f>
        <v>1</v>
      </c>
      <c r="CS225" s="87">
        <f>IF(AV225="",0,VLOOKUP(J225,Tables!$B$3:$D$36,3,FALSE())*AF$1)</f>
        <v>0</v>
      </c>
      <c r="CT225" s="73">
        <f>IF(AW225="",0,VLOOKUP(K225,Tables!$B$3:$D$36,3,FALSE())*AG$1)</f>
        <v>0</v>
      </c>
      <c r="CU225" s="73">
        <f>IF(AX225="",0,VLOOKUP(L225,Tables!$B$3:$D$36,3,FALSE())*AH$1)</f>
        <v>0</v>
      </c>
      <c r="CV225" s="87">
        <f>IF(AY225="",0,VLOOKUP(M225,Tables!$B$3:$D$36,3,FALSE())*AI$1)</f>
        <v>0</v>
      </c>
      <c r="CW225" s="73">
        <f>IF(AZ225="",0,VLOOKUP(N225,Tables!$B$3:$D$36,3,FALSE())*AJ$1)</f>
        <v>0</v>
      </c>
      <c r="CX225" s="73">
        <f>IF(BA225="",0,VLOOKUP(O225,Tables!$B$3:$D$36,3,FALSE())*AK$1)</f>
        <v>0</v>
      </c>
      <c r="CY225" s="88">
        <f>IF(BB225="",0,VLOOKUP(P225,Tables!$B$3:$D$36,3,FALSE())*AL$1)</f>
        <v>0</v>
      </c>
      <c r="CZ225" s="89">
        <f t="shared" si="208"/>
        <v>0</v>
      </c>
      <c r="DA225" s="75">
        <f t="shared" si="209"/>
        <v>0</v>
      </c>
      <c r="DB225" s="75">
        <f t="shared" si="210"/>
        <v>0</v>
      </c>
      <c r="DC225" s="89">
        <f t="shared" si="211"/>
        <v>0</v>
      </c>
      <c r="DD225" s="75">
        <f t="shared" si="212"/>
        <v>0</v>
      </c>
      <c r="DE225" s="75">
        <f t="shared" si="213"/>
        <v>0</v>
      </c>
      <c r="DF225" s="75">
        <f t="shared" si="214"/>
        <v>0</v>
      </c>
      <c r="DG225" s="75">
        <f t="shared" si="215"/>
        <v>1</v>
      </c>
      <c r="DH225" s="89">
        <f t="shared" si="216"/>
        <v>0</v>
      </c>
      <c r="DI225" s="75">
        <f t="shared" si="217"/>
        <v>0</v>
      </c>
      <c r="DJ225" s="75">
        <f t="shared" si="218"/>
        <v>0</v>
      </c>
      <c r="DK225" s="89">
        <f t="shared" si="219"/>
        <v>0</v>
      </c>
      <c r="DL225" s="75">
        <f t="shared" si="220"/>
        <v>0</v>
      </c>
      <c r="DM225" s="75">
        <f t="shared" si="221"/>
        <v>0</v>
      </c>
      <c r="DN225" s="90">
        <f t="shared" si="222"/>
        <v>0</v>
      </c>
      <c r="DO225" s="91">
        <f>IF(AN225="",0,VLOOKUP(B225,Tables!$B$3:$M$36,11,FALSE())*X$1)</f>
        <v>0</v>
      </c>
      <c r="DP225" s="92">
        <f>IF(AO225="",0,VLOOKUP(C225,Tables!$B$3:$M$36,11,FALSE())*Y$1)</f>
        <v>0</v>
      </c>
      <c r="DQ225" s="92">
        <f>IF(AP225="",0,VLOOKUP(D225,Tables!$B$3:$M$36,11,FALSE())*Z$1)</f>
        <v>0</v>
      </c>
      <c r="DR225" s="91">
        <f>IF(AQ225="",0,VLOOKUP(E225,Tables!$B$3:$M$36,11,FALSE())*AA$1)</f>
        <v>0</v>
      </c>
      <c r="DS225" s="92">
        <f>IF(AR225="",0,VLOOKUP(F225,Tables!$B$3:$M$36,11,FALSE())*AB$1)</f>
        <v>0</v>
      </c>
      <c r="DT225" s="92">
        <f>IF(AS225="",0,VLOOKUP(G225,Tables!$B$3:$M$36,11,FALSE())*AC$1)</f>
        <v>0</v>
      </c>
      <c r="DU225" s="92">
        <f>IF(AT225="",0,VLOOKUP(H225,Tables!$B$3:$M$36,11,FALSE())*AD$1)</f>
        <v>0</v>
      </c>
      <c r="DV225" s="92">
        <f>IF(AU225="",0,VLOOKUP(I225,Tables!$B$3:$M$36,11,FALSE())*AE$1)</f>
        <v>6</v>
      </c>
      <c r="DW225" s="91">
        <f>IF(AV225="",0,VLOOKUP(J225,Tables!$B$3:$M$36,11,FALSE())*AF$1)</f>
        <v>0</v>
      </c>
      <c r="DX225" s="92">
        <f>IF(AW225="",0,VLOOKUP(K225,Tables!$B$3:$M$36,11,FALSE())*AG$1)</f>
        <v>0</v>
      </c>
      <c r="DY225" s="92">
        <f>IF(AX225="",0,VLOOKUP(L225,Tables!$B$3:$M$36,11,FALSE())*AH$1)</f>
        <v>0</v>
      </c>
      <c r="DZ225" s="91">
        <f>IF(AY225="",0,VLOOKUP(M225,Tables!$B$3:$M$36,11,FALSE())*AI$1)</f>
        <v>0</v>
      </c>
      <c r="EA225" s="92">
        <f>IF(AZ225="",0,VLOOKUP(N225,Tables!$B$3:$M$36,11,FALSE())*AJ$1)</f>
        <v>0</v>
      </c>
      <c r="EB225" s="92">
        <f>IF(BA225="",0,VLOOKUP(O225,Tables!$B$3:$M$36,11,FALSE())*AK$1)</f>
        <v>0</v>
      </c>
      <c r="EC225" s="93">
        <f>IF(BB225="",0,VLOOKUP(P225,Tables!$B$3:$M$36,11,FALSE())*AL$1)</f>
        <v>0</v>
      </c>
      <c r="ED225" s="91">
        <f>IF(AN225="",0,VLOOKUP(B225,Tables!$B$3:$M$36,12,FALSE())*X$1)</f>
        <v>0</v>
      </c>
      <c r="EE225" s="92">
        <f>IF(AO225="",0,VLOOKUP(C225,Tables!$B$3:$M$36,12,FALSE())*Y$1)</f>
        <v>0</v>
      </c>
      <c r="EF225" s="92">
        <f>IF(AP225="",0,VLOOKUP(D225,Tables!$B$3:$M$36,12,FALSE())*Z$1)</f>
        <v>0</v>
      </c>
      <c r="EG225" s="91">
        <f>IF(AQ225="",0,VLOOKUP(E225,Tables!$B$3:$M$36,12,FALSE())*AA$1)</f>
        <v>0</v>
      </c>
      <c r="EH225" s="92">
        <f>IF(AR225="",0,VLOOKUP(F225,Tables!$B$3:$M$36,12,FALSE())*AB$1)</f>
        <v>0</v>
      </c>
      <c r="EI225" s="92">
        <f>IF(AS225="",0,VLOOKUP(G225,Tables!$B$3:$M$36,12,FALSE())*AC$1)</f>
        <v>0</v>
      </c>
      <c r="EJ225" s="92">
        <f>IF(AT225="",0,VLOOKUP(H225,Tables!$B$3:$M$36,12,FALSE())*AD$1)</f>
        <v>0</v>
      </c>
      <c r="EK225" s="92">
        <f>IF(AU225="",0,VLOOKUP(I225,Tables!$B$3:$M$36,12,FALSE())*AE$1)</f>
        <v>22.5</v>
      </c>
      <c r="EL225" s="91">
        <f>IF(AV225="",0,VLOOKUP(J225,Tables!$B$3:$M$36,12,FALSE())*AF$1)</f>
        <v>0</v>
      </c>
      <c r="EM225" s="92">
        <f>IF(AW225="",0,VLOOKUP(K225,Tables!$B$3:$M$36,12,FALSE())*AG$1)</f>
        <v>0</v>
      </c>
      <c r="EN225" s="92">
        <f>IF(AX225="",0,VLOOKUP(L225,Tables!$B$3:$M$36,12,FALSE())*AH$1)</f>
        <v>0</v>
      </c>
      <c r="EO225" s="91">
        <f>IF(AY225="",0,VLOOKUP(M225,Tables!$B$3:$M$36,12,FALSE())*AI$1)</f>
        <v>0</v>
      </c>
      <c r="EP225" s="92">
        <f>IF(AZ225="",0,VLOOKUP(N225,Tables!$B$3:$M$36,12,FALSE())*AJ$1)</f>
        <v>0</v>
      </c>
      <c r="EQ225" s="92">
        <f>IF(BA225="",0,VLOOKUP(O225,Tables!$B$3:$M$36,12,FALSE())*AK$1)</f>
        <v>0</v>
      </c>
      <c r="ER225" s="93">
        <f>IF(BB225="",0,VLOOKUP(P225,Tables!$B$3:$M$36,12,FALSE())*AL$1)</f>
        <v>0</v>
      </c>
      <c r="ES225" s="94">
        <f t="shared" si="223"/>
        <v>0</v>
      </c>
      <c r="ET225" s="95">
        <f>IF(AN225="",10,MIN(VLOOKUP(B225,MATERIAL,13,FALSE()),'Item Builder'!$W225))</f>
        <v>10</v>
      </c>
      <c r="EU225" s="95">
        <f>IF(AO225="",10,MIN(VLOOKUP(C225,MATERIAL,13,FALSE()),'Item Builder'!$W225))</f>
        <v>10</v>
      </c>
      <c r="EV225" s="95">
        <f>IF(AP225="",10,MIN(VLOOKUP(D225,MATERIAL,13,FALSE()),'Item Builder'!$W225))</f>
        <v>10</v>
      </c>
      <c r="EW225" s="95">
        <f>IF(AQ225="",10,MIN(VLOOKUP(E225,MATERIAL,13,FALSE()),'Item Builder'!$W225))</f>
        <v>10</v>
      </c>
      <c r="EX225" s="95">
        <f>IF(AR225="",10,MIN(VLOOKUP(F225,MATERIAL,13,FALSE()),'Item Builder'!$W225))</f>
        <v>10</v>
      </c>
      <c r="EY225" s="95">
        <f>IF(AS225="",10,MIN(VLOOKUP(G225,MATERIAL,13,FALSE()),'Item Builder'!$W225))</f>
        <v>10</v>
      </c>
      <c r="EZ225" s="95">
        <f>IF(AT225="",10,MIN(VLOOKUP(H225,MATERIAL,13,FALSE()),'Item Builder'!$W225))</f>
        <v>10</v>
      </c>
      <c r="FA225" s="95">
        <f>IF(AU225="",10,MIN(VLOOKUP(I225,MATERIAL,13,FALSE()),'Item Builder'!$W225))</f>
        <v>0</v>
      </c>
      <c r="FB225" s="95">
        <f>IF(AV225="",10,MIN(VLOOKUP(J225,MATERIAL,13,FALSE()),'Item Builder'!$W225))</f>
        <v>10</v>
      </c>
      <c r="FC225" s="95">
        <f>IF(AW225="",10,MIN(VLOOKUP(K225,MATERIAL,13,FALSE()),'Item Builder'!$W225))</f>
        <v>10</v>
      </c>
      <c r="FD225" s="95">
        <f>IF(AX225="",10,MIN(VLOOKUP(L225,MATERIAL,13,FALSE()),'Item Builder'!$W225))</f>
        <v>10</v>
      </c>
      <c r="FE225" s="95">
        <f>IF(AY225="",10,MIN(VLOOKUP(M225,MATERIAL,13,FALSE()),'Item Builder'!$W225))</f>
        <v>10</v>
      </c>
      <c r="FF225" s="95">
        <f>IF(AZ225="",10,MIN(VLOOKUP(N225,MATERIAL,13,FALSE()),'Item Builder'!$W225))</f>
        <v>10</v>
      </c>
      <c r="FG225" s="95">
        <f>IF(BA225="",10,MIN(VLOOKUP(O225,MATERIAL,13,FALSE()),'Item Builder'!$W225))</f>
        <v>10</v>
      </c>
      <c r="FH225" s="95">
        <f>IF(BB225="",10,MIN(VLOOKUP(P225,MATERIAL,13,FALSE()),'Item Builder'!$W225))</f>
        <v>10</v>
      </c>
    </row>
    <row r="226" spans="1:164" x14ac:dyDescent="0.25">
      <c r="A226" s="67" t="s">
        <v>366</v>
      </c>
      <c r="B226" s="68"/>
      <c r="C226" s="69"/>
      <c r="D226" s="70"/>
      <c r="E226" s="68"/>
      <c r="F226" s="69"/>
      <c r="G226" s="69"/>
      <c r="H226" s="69"/>
      <c r="I226" s="70"/>
      <c r="J226" s="68" t="s">
        <v>186</v>
      </c>
      <c r="K226" s="69" t="s">
        <v>186</v>
      </c>
      <c r="L226" s="70"/>
      <c r="M226" s="68"/>
      <c r="N226" s="69"/>
      <c r="O226" s="69"/>
      <c r="P226" s="71"/>
      <c r="Q226" s="72">
        <f>SUM(BV226:CJ226)*VLOOKUP(W226,Tables!$W$3:$Z$8,4)</f>
        <v>144</v>
      </c>
      <c r="R226" s="73">
        <f t="shared" si="168"/>
        <v>4.8</v>
      </c>
      <c r="S226" s="74">
        <f t="shared" si="169"/>
        <v>0</v>
      </c>
      <c r="T226" s="74">
        <f t="shared" si="170"/>
        <v>0</v>
      </c>
      <c r="U226" s="75">
        <f t="shared" si="171"/>
        <v>28.799999999999997</v>
      </c>
      <c r="V226" s="76">
        <f t="shared" si="172"/>
        <v>108</v>
      </c>
      <c r="W226" s="77">
        <v>0</v>
      </c>
      <c r="X226" s="78">
        <f t="shared" si="173"/>
        <v>0</v>
      </c>
      <c r="Y226" s="79">
        <f t="shared" si="174"/>
        <v>0</v>
      </c>
      <c r="Z226" s="79">
        <f t="shared" si="175"/>
        <v>0</v>
      </c>
      <c r="AA226" s="78">
        <f t="shared" si="176"/>
        <v>0</v>
      </c>
      <c r="AB226" s="79">
        <f t="shared" si="177"/>
        <v>0</v>
      </c>
      <c r="AC226" s="79">
        <f t="shared" si="178"/>
        <v>0</v>
      </c>
      <c r="AD226" s="79">
        <f t="shared" si="179"/>
        <v>0</v>
      </c>
      <c r="AE226" s="79">
        <f t="shared" si="180"/>
        <v>0</v>
      </c>
      <c r="AF226" s="78">
        <f t="shared" si="181"/>
        <v>1</v>
      </c>
      <c r="AG226" s="79">
        <f t="shared" si="182"/>
        <v>1</v>
      </c>
      <c r="AH226" s="79">
        <f t="shared" si="183"/>
        <v>0</v>
      </c>
      <c r="AI226" s="78">
        <f t="shared" si="184"/>
        <v>0</v>
      </c>
      <c r="AJ226" s="79">
        <f t="shared" si="185"/>
        <v>0</v>
      </c>
      <c r="AK226" s="79">
        <f t="shared" si="186"/>
        <v>0</v>
      </c>
      <c r="AL226" s="80">
        <f t="shared" si="187"/>
        <v>0</v>
      </c>
      <c r="AM226" s="81">
        <f t="shared" si="188"/>
        <v>0.24</v>
      </c>
      <c r="AN226" s="82" t="str">
        <f t="shared" si="189"/>
        <v/>
      </c>
      <c r="AO226" s="79" t="str">
        <f t="shared" si="190"/>
        <v/>
      </c>
      <c r="AP226" t="str">
        <f t="shared" si="191"/>
        <v/>
      </c>
      <c r="AQ226" s="82" t="str">
        <f t="shared" si="192"/>
        <v/>
      </c>
      <c r="AR226" t="str">
        <f t="shared" si="193"/>
        <v/>
      </c>
      <c r="AS226" t="str">
        <f t="shared" si="194"/>
        <v/>
      </c>
      <c r="AT226" t="str">
        <f t="shared" si="195"/>
        <v/>
      </c>
      <c r="AU226" t="str">
        <f t="shared" si="196"/>
        <v/>
      </c>
      <c r="AV226" s="82" t="str">
        <f t="shared" si="197"/>
        <v>Q</v>
      </c>
      <c r="AW226" t="str">
        <f t="shared" si="198"/>
        <v>Q</v>
      </c>
      <c r="AX226" t="str">
        <f t="shared" si="199"/>
        <v/>
      </c>
      <c r="AY226" s="82" t="str">
        <f t="shared" si="200"/>
        <v/>
      </c>
      <c r="AZ226" t="str">
        <f t="shared" si="201"/>
        <v/>
      </c>
      <c r="BA226" t="str">
        <f t="shared" si="202"/>
        <v/>
      </c>
      <c r="BB226" s="83" t="str">
        <f t="shared" si="203"/>
        <v/>
      </c>
      <c r="BC226" s="84">
        <f t="shared" si="204"/>
        <v>0</v>
      </c>
      <c r="BD226" s="84">
        <f t="shared" si="205"/>
        <v>0</v>
      </c>
      <c r="BE226" s="84">
        <f t="shared" si="206"/>
        <v>0.70588235294117652</v>
      </c>
      <c r="BF226" s="84">
        <f t="shared" si="207"/>
        <v>0</v>
      </c>
      <c r="BG226" s="78">
        <f>IF(AN226="",0,VLOOKUP(AN226,Tables!$AB$3:$AC$12,2))</f>
        <v>0</v>
      </c>
      <c r="BH226" s="79">
        <f>IF(AO226="",0,VLOOKUP(AO226,Tables!$AB$3:$AC$12,2))</f>
        <v>0</v>
      </c>
      <c r="BI226" s="79">
        <f>IF(AP226="",0,VLOOKUP(AP226,Tables!$AB$3:$AC$12,2))</f>
        <v>0</v>
      </c>
      <c r="BJ226" s="78">
        <f>IF(AQ226="",0,VLOOKUP(AQ226,Tables!$AB$3:$AC$12,2))</f>
        <v>0</v>
      </c>
      <c r="BK226" s="79">
        <f>IF(AR226="",0,VLOOKUP(AR226,Tables!$AB$3:$AC$12,2))</f>
        <v>0</v>
      </c>
      <c r="BL226" s="79">
        <f>IF(AS226="",0,VLOOKUP(AS226,Tables!$AB$3:$AC$12,2))</f>
        <v>0</v>
      </c>
      <c r="BM226" s="79">
        <f>IF(AT226="",0,VLOOKUP(AT226,Tables!$AB$3:$AC$12,2))</f>
        <v>0</v>
      </c>
      <c r="BN226" s="79">
        <f>IF(AU226="",0,VLOOKUP(AU226,Tables!$AB$3:$AC$12,2))</f>
        <v>0</v>
      </c>
      <c r="BO226" s="78">
        <f>IF(AV226="",0,VLOOKUP(AV226,Tables!$AB$3:$AC$12,2))</f>
        <v>2</v>
      </c>
      <c r="BP226" s="79">
        <f>IF(AW226="",0,VLOOKUP(AW226,Tables!$AB$3:$AC$12,2))</f>
        <v>2</v>
      </c>
      <c r="BQ226" s="79">
        <f>IF(AX226="",0,VLOOKUP(AX226,Tables!$AB$3:$AC$12,2))</f>
        <v>0</v>
      </c>
      <c r="BR226" s="78">
        <f>IF(AY226="",0,VLOOKUP(AY226,Tables!$AB$3:$AC$12,2))</f>
        <v>0</v>
      </c>
      <c r="BS226" s="79">
        <f>IF(AZ226="",0,VLOOKUP(AZ226,Tables!$AB$3:$AC$12,2))</f>
        <v>0</v>
      </c>
      <c r="BT226" s="79">
        <f>IF(BA226="",0,VLOOKUP(BA226,Tables!$AB$3:$AC$12,2))</f>
        <v>0</v>
      </c>
      <c r="BU226" s="80">
        <f>IF(BB226="",0,VLOOKUP(BB226,Tables!$AB$3:$AC$12,2))</f>
        <v>0</v>
      </c>
      <c r="BV226" s="85">
        <f>IF(AN226="",0,VLOOKUP(B226,Tables!$B$3:$D$36,2,FALSE())*X$1)</f>
        <v>0</v>
      </c>
      <c r="BW226" s="72">
        <f>IF(AO226="",0,VLOOKUP(C226,Tables!$B$3:$D$36,2,FALSE())*Y$1)</f>
        <v>0</v>
      </c>
      <c r="BX226" s="72">
        <f>IF(AP226="",0,VLOOKUP(D226,Tables!$B$3:$D$36,2,FALSE())*Z$1)</f>
        <v>0</v>
      </c>
      <c r="BY226" s="85">
        <f>IF(AQ226="",0,VLOOKUP(E226,Tables!$B$3:$D$36,2,FALSE())*AA$1)</f>
        <v>0</v>
      </c>
      <c r="BZ226" s="72">
        <f>IF(AR226="",0,VLOOKUP(F226,Tables!$B$3:$D$36,2,FALSE())*AB$1)</f>
        <v>0</v>
      </c>
      <c r="CA226" s="72">
        <f>IF(AS226="",0,VLOOKUP(G226,Tables!$B$3:$D$36,2,FALSE())*AC$1)</f>
        <v>0</v>
      </c>
      <c r="CB226" s="72">
        <f>IF(AT226="",0,VLOOKUP(H226,Tables!$B$3:$D$36,2,FALSE())*AD$1)</f>
        <v>0</v>
      </c>
      <c r="CC226" s="72">
        <f>IF(AU226="",0,VLOOKUP(I226,Tables!$B$3:$D$36,2,FALSE())*AE$1)</f>
        <v>0</v>
      </c>
      <c r="CD226" s="85">
        <f>IF(AV226="",0,VLOOKUP(J226,Tables!$B$3:$D$36,2,FALSE())*AF$1)</f>
        <v>72</v>
      </c>
      <c r="CE226" s="72">
        <f>IF(AW226="",0,VLOOKUP(K226,Tables!$B$3:$D$36,2,FALSE())*AG$1)</f>
        <v>72</v>
      </c>
      <c r="CF226" s="72">
        <f>IF(AX226="",0,VLOOKUP(L226,Tables!$B$3:$D$36,2,FALSE())*AH$1)</f>
        <v>0</v>
      </c>
      <c r="CG226" s="85">
        <f>IF(AY226="",0,VLOOKUP(M226,Tables!$B$3:$D$36,2,FALSE())*AI$1)</f>
        <v>0</v>
      </c>
      <c r="CH226" s="72">
        <f>IF(AZ226="",0,VLOOKUP(N226,Tables!$B$3:$D$36,2,FALSE())*AJ$1)</f>
        <v>0</v>
      </c>
      <c r="CI226" s="72">
        <f>IF(BA226="",0,VLOOKUP(O226,Tables!$B$3:$D$36,2,FALSE())*AK$1)</f>
        <v>0</v>
      </c>
      <c r="CJ226" s="86">
        <f>IF(BB226="",0,VLOOKUP(P226,Tables!$B$3:$D$36,2,FALSE())*AL$1)</f>
        <v>0</v>
      </c>
      <c r="CK226" s="87">
        <f>IF(AN226="",0,VLOOKUP(B226,Tables!$B$3:$D$36,3,FALSE())*X$1)*IF(OR(AN226="K",AN226="P"),2,1)</f>
        <v>0</v>
      </c>
      <c r="CL226" s="73">
        <f>IF(AO226="",0,VLOOKUP(C226,Tables!$B$3:$D$36,3,FALSE())*Y$1)*IF(OR(AO226="K",AO226="P"),2,1)</f>
        <v>0</v>
      </c>
      <c r="CM226" s="73">
        <f>IF(AP226="",0,VLOOKUP(D226,Tables!$B$3:$D$36,3,FALSE())*Z$1)*IF(OR(AP226="K",AP226="P"),2,1)</f>
        <v>0</v>
      </c>
      <c r="CN226" s="87">
        <f>IF(AQ226="",0,VLOOKUP(E226,Tables!$B$3:$D$36,3,FALSE())*AA$1)</f>
        <v>0</v>
      </c>
      <c r="CO226" s="73">
        <f>IF(AR226="",0,VLOOKUP(F226,Tables!$B$3:$D$36,3,FALSE())*AB$1)</f>
        <v>0</v>
      </c>
      <c r="CP226" s="73">
        <f>IF(AS226="",0,VLOOKUP(G226,Tables!$B$3:$D$36,3,FALSE())*AC$1)</f>
        <v>0</v>
      </c>
      <c r="CQ226" s="73">
        <f>IF(AT226="",0,VLOOKUP(H226,Tables!$B$3:$D$36,3,FALSE())*AD$1)</f>
        <v>0</v>
      </c>
      <c r="CR226" s="73">
        <f>IF(AU226="",0,VLOOKUP(I226,Tables!$B$3:$D$36,3,FALSE())*AE$1)</f>
        <v>0</v>
      </c>
      <c r="CS226" s="87">
        <f>IF(AV226="",0,VLOOKUP(J226,Tables!$B$3:$D$36,3,FALSE())*AF$1)</f>
        <v>2.4</v>
      </c>
      <c r="CT226" s="73">
        <f>IF(AW226="",0,VLOOKUP(K226,Tables!$B$3:$D$36,3,FALSE())*AG$1)</f>
        <v>2.4</v>
      </c>
      <c r="CU226" s="73">
        <f>IF(AX226="",0,VLOOKUP(L226,Tables!$B$3:$D$36,3,FALSE())*AH$1)</f>
        <v>0</v>
      </c>
      <c r="CV226" s="87">
        <f>IF(AY226="",0,VLOOKUP(M226,Tables!$B$3:$D$36,3,FALSE())*AI$1)</f>
        <v>0</v>
      </c>
      <c r="CW226" s="73">
        <f>IF(AZ226="",0,VLOOKUP(N226,Tables!$B$3:$D$36,3,FALSE())*AJ$1)</f>
        <v>0</v>
      </c>
      <c r="CX226" s="73">
        <f>IF(BA226="",0,VLOOKUP(O226,Tables!$B$3:$D$36,3,FALSE())*AK$1)</f>
        <v>0</v>
      </c>
      <c r="CY226" s="88">
        <f>IF(BB226="",0,VLOOKUP(P226,Tables!$B$3:$D$36,3,FALSE())*AL$1)</f>
        <v>0</v>
      </c>
      <c r="CZ226" s="89">
        <f t="shared" si="208"/>
        <v>0</v>
      </c>
      <c r="DA226" s="75">
        <f t="shared" si="209"/>
        <v>0</v>
      </c>
      <c r="DB226" s="75">
        <f t="shared" si="210"/>
        <v>0</v>
      </c>
      <c r="DC226" s="89">
        <f t="shared" si="211"/>
        <v>0</v>
      </c>
      <c r="DD226" s="75">
        <f t="shared" si="212"/>
        <v>0</v>
      </c>
      <c r="DE226" s="75">
        <f t="shared" si="213"/>
        <v>0</v>
      </c>
      <c r="DF226" s="75">
        <f t="shared" si="214"/>
        <v>0</v>
      </c>
      <c r="DG226" s="75">
        <f t="shared" si="215"/>
        <v>0</v>
      </c>
      <c r="DH226" s="89">
        <f t="shared" si="216"/>
        <v>1</v>
      </c>
      <c r="DI226" s="75">
        <f t="shared" si="217"/>
        <v>1</v>
      </c>
      <c r="DJ226" s="75">
        <f t="shared" si="218"/>
        <v>0</v>
      </c>
      <c r="DK226" s="89">
        <f t="shared" si="219"/>
        <v>0</v>
      </c>
      <c r="DL226" s="75">
        <f t="shared" si="220"/>
        <v>0</v>
      </c>
      <c r="DM226" s="75">
        <f t="shared" si="221"/>
        <v>0</v>
      </c>
      <c r="DN226" s="90">
        <f t="shared" si="222"/>
        <v>0</v>
      </c>
      <c r="DO226" s="91">
        <f>IF(AN226="",0,VLOOKUP(B226,Tables!$B$3:$M$36,11,FALSE())*X$1)</f>
        <v>0</v>
      </c>
      <c r="DP226" s="92">
        <f>IF(AO226="",0,VLOOKUP(C226,Tables!$B$3:$M$36,11,FALSE())*Y$1)</f>
        <v>0</v>
      </c>
      <c r="DQ226" s="92">
        <f>IF(AP226="",0,VLOOKUP(D226,Tables!$B$3:$M$36,11,FALSE())*Z$1)</f>
        <v>0</v>
      </c>
      <c r="DR226" s="91">
        <f>IF(AQ226="",0,VLOOKUP(E226,Tables!$B$3:$M$36,11,FALSE())*AA$1)</f>
        <v>0</v>
      </c>
      <c r="DS226" s="92">
        <f>IF(AR226="",0,VLOOKUP(F226,Tables!$B$3:$M$36,11,FALSE())*AB$1)</f>
        <v>0</v>
      </c>
      <c r="DT226" s="92">
        <f>IF(AS226="",0,VLOOKUP(G226,Tables!$B$3:$M$36,11,FALSE())*AC$1)</f>
        <v>0</v>
      </c>
      <c r="DU226" s="92">
        <f>IF(AT226="",0,VLOOKUP(H226,Tables!$B$3:$M$36,11,FALSE())*AD$1)</f>
        <v>0</v>
      </c>
      <c r="DV226" s="92">
        <f>IF(AU226="",0,VLOOKUP(I226,Tables!$B$3:$M$36,11,FALSE())*AE$1)</f>
        <v>0</v>
      </c>
      <c r="DW226" s="91">
        <f>IF(AV226="",0,VLOOKUP(J226,Tables!$B$3:$M$36,11,FALSE())*AF$1)</f>
        <v>14.399999999999999</v>
      </c>
      <c r="DX226" s="92">
        <f>IF(AW226="",0,VLOOKUP(K226,Tables!$B$3:$M$36,11,FALSE())*AG$1)</f>
        <v>14.399999999999999</v>
      </c>
      <c r="DY226" s="92">
        <f>IF(AX226="",0,VLOOKUP(L226,Tables!$B$3:$M$36,11,FALSE())*AH$1)</f>
        <v>0</v>
      </c>
      <c r="DZ226" s="91">
        <f>IF(AY226="",0,VLOOKUP(M226,Tables!$B$3:$M$36,11,FALSE())*AI$1)</f>
        <v>0</v>
      </c>
      <c r="EA226" s="92">
        <f>IF(AZ226="",0,VLOOKUP(N226,Tables!$B$3:$M$36,11,FALSE())*AJ$1)</f>
        <v>0</v>
      </c>
      <c r="EB226" s="92">
        <f>IF(BA226="",0,VLOOKUP(O226,Tables!$B$3:$M$36,11,FALSE())*AK$1)</f>
        <v>0</v>
      </c>
      <c r="EC226" s="93">
        <f>IF(BB226="",0,VLOOKUP(P226,Tables!$B$3:$M$36,11,FALSE())*AL$1)</f>
        <v>0</v>
      </c>
      <c r="ED226" s="91">
        <f>IF(AN226="",0,VLOOKUP(B226,Tables!$B$3:$M$36,12,FALSE())*X$1)</f>
        <v>0</v>
      </c>
      <c r="EE226" s="92">
        <f>IF(AO226="",0,VLOOKUP(C226,Tables!$B$3:$M$36,12,FALSE())*Y$1)</f>
        <v>0</v>
      </c>
      <c r="EF226" s="92">
        <f>IF(AP226="",0,VLOOKUP(D226,Tables!$B$3:$M$36,12,FALSE())*Z$1)</f>
        <v>0</v>
      </c>
      <c r="EG226" s="91">
        <f>IF(AQ226="",0,VLOOKUP(E226,Tables!$B$3:$M$36,12,FALSE())*AA$1)</f>
        <v>0</v>
      </c>
      <c r="EH226" s="92">
        <f>IF(AR226="",0,VLOOKUP(F226,Tables!$B$3:$M$36,12,FALSE())*AB$1)</f>
        <v>0</v>
      </c>
      <c r="EI226" s="92">
        <f>IF(AS226="",0,VLOOKUP(G226,Tables!$B$3:$M$36,12,FALSE())*AC$1)</f>
        <v>0</v>
      </c>
      <c r="EJ226" s="92">
        <f>IF(AT226="",0,VLOOKUP(H226,Tables!$B$3:$M$36,12,FALSE())*AD$1)</f>
        <v>0</v>
      </c>
      <c r="EK226" s="92">
        <f>IF(AU226="",0,VLOOKUP(I226,Tables!$B$3:$M$36,12,FALSE())*AE$1)</f>
        <v>0</v>
      </c>
      <c r="EL226" s="91">
        <f>IF(AV226="",0,VLOOKUP(J226,Tables!$B$3:$M$36,12,FALSE())*AF$1)</f>
        <v>54</v>
      </c>
      <c r="EM226" s="92">
        <f>IF(AW226="",0,VLOOKUP(K226,Tables!$B$3:$M$36,12,FALSE())*AG$1)</f>
        <v>54</v>
      </c>
      <c r="EN226" s="92">
        <f>IF(AX226="",0,VLOOKUP(L226,Tables!$B$3:$M$36,12,FALSE())*AH$1)</f>
        <v>0</v>
      </c>
      <c r="EO226" s="91">
        <f>IF(AY226="",0,VLOOKUP(M226,Tables!$B$3:$M$36,12,FALSE())*AI$1)</f>
        <v>0</v>
      </c>
      <c r="EP226" s="92">
        <f>IF(AZ226="",0,VLOOKUP(N226,Tables!$B$3:$M$36,12,FALSE())*AJ$1)</f>
        <v>0</v>
      </c>
      <c r="EQ226" s="92">
        <f>IF(BA226="",0,VLOOKUP(O226,Tables!$B$3:$M$36,12,FALSE())*AK$1)</f>
        <v>0</v>
      </c>
      <c r="ER226" s="93">
        <f>IF(BB226="",0,VLOOKUP(P226,Tables!$B$3:$M$36,12,FALSE())*AL$1)</f>
        <v>0</v>
      </c>
      <c r="ES226" s="94">
        <f t="shared" si="223"/>
        <v>0</v>
      </c>
      <c r="ET226" s="95">
        <f>IF(AN226="",10,MIN(VLOOKUP(B226,MATERIAL,13,FALSE()),'Item Builder'!$W226))</f>
        <v>10</v>
      </c>
      <c r="EU226" s="95">
        <f>IF(AO226="",10,MIN(VLOOKUP(C226,MATERIAL,13,FALSE()),'Item Builder'!$W226))</f>
        <v>10</v>
      </c>
      <c r="EV226" s="95">
        <f>IF(AP226="",10,MIN(VLOOKUP(D226,MATERIAL,13,FALSE()),'Item Builder'!$W226))</f>
        <v>10</v>
      </c>
      <c r="EW226" s="95">
        <f>IF(AQ226="",10,MIN(VLOOKUP(E226,MATERIAL,13,FALSE()),'Item Builder'!$W226))</f>
        <v>10</v>
      </c>
      <c r="EX226" s="95">
        <f>IF(AR226="",10,MIN(VLOOKUP(F226,MATERIAL,13,FALSE()),'Item Builder'!$W226))</f>
        <v>10</v>
      </c>
      <c r="EY226" s="95">
        <f>IF(AS226="",10,MIN(VLOOKUP(G226,MATERIAL,13,FALSE()),'Item Builder'!$W226))</f>
        <v>10</v>
      </c>
      <c r="EZ226" s="95">
        <f>IF(AT226="",10,MIN(VLOOKUP(H226,MATERIAL,13,FALSE()),'Item Builder'!$W226))</f>
        <v>10</v>
      </c>
      <c r="FA226" s="95">
        <f>IF(AU226="",10,MIN(VLOOKUP(I226,MATERIAL,13,FALSE()),'Item Builder'!$W226))</f>
        <v>10</v>
      </c>
      <c r="FB226" s="95">
        <f>IF(AV226="",10,MIN(VLOOKUP(J226,MATERIAL,13,FALSE()),'Item Builder'!$W226))</f>
        <v>0</v>
      </c>
      <c r="FC226" s="95">
        <f>IF(AW226="",10,MIN(VLOOKUP(K226,MATERIAL,13,FALSE()),'Item Builder'!$W226))</f>
        <v>0</v>
      </c>
      <c r="FD226" s="95">
        <f>IF(AX226="",10,MIN(VLOOKUP(L226,MATERIAL,13,FALSE()),'Item Builder'!$W226))</f>
        <v>10</v>
      </c>
      <c r="FE226" s="95">
        <f>IF(AY226="",10,MIN(VLOOKUP(M226,MATERIAL,13,FALSE()),'Item Builder'!$W226))</f>
        <v>10</v>
      </c>
      <c r="FF226" s="95">
        <f>IF(AZ226="",10,MIN(VLOOKUP(N226,MATERIAL,13,FALSE()),'Item Builder'!$W226))</f>
        <v>10</v>
      </c>
      <c r="FG226" s="95">
        <f>IF(BA226="",10,MIN(VLOOKUP(O226,MATERIAL,13,FALSE()),'Item Builder'!$W226))</f>
        <v>10</v>
      </c>
      <c r="FH226" s="95">
        <f>IF(BB226="",10,MIN(VLOOKUP(P226,MATERIAL,13,FALSE()),'Item Builder'!$W226))</f>
        <v>10</v>
      </c>
    </row>
    <row r="227" spans="1:164" x14ac:dyDescent="0.25">
      <c r="A227" s="67" t="s">
        <v>367</v>
      </c>
      <c r="B227" s="68"/>
      <c r="C227" s="69"/>
      <c r="D227" s="70"/>
      <c r="E227" s="68" t="s">
        <v>186</v>
      </c>
      <c r="F227" s="69"/>
      <c r="G227" s="69"/>
      <c r="H227" s="69"/>
      <c r="I227" s="70"/>
      <c r="J227" s="68" t="s">
        <v>186</v>
      </c>
      <c r="K227" s="69" t="s">
        <v>186</v>
      </c>
      <c r="L227" s="70"/>
      <c r="M227" s="68"/>
      <c r="N227" s="69"/>
      <c r="O227" s="69"/>
      <c r="P227" s="71"/>
      <c r="Q227" s="72">
        <f>SUM(BV227:CJ227)*VLOOKUP(W227,Tables!$W$3:$Z$8,4)</f>
        <v>162</v>
      </c>
      <c r="R227" s="73">
        <f t="shared" si="168"/>
        <v>5.4</v>
      </c>
      <c r="S227" s="74">
        <f t="shared" si="169"/>
        <v>0</v>
      </c>
      <c r="T227" s="74">
        <f t="shared" si="170"/>
        <v>0</v>
      </c>
      <c r="U227" s="75">
        <f t="shared" si="171"/>
        <v>32.4</v>
      </c>
      <c r="V227" s="76">
        <f t="shared" si="172"/>
        <v>121.5</v>
      </c>
      <c r="W227" s="77">
        <v>0</v>
      </c>
      <c r="X227" s="78">
        <f t="shared" si="173"/>
        <v>0</v>
      </c>
      <c r="Y227" s="79">
        <f t="shared" si="174"/>
        <v>0</v>
      </c>
      <c r="Z227" s="79">
        <f t="shared" si="175"/>
        <v>0</v>
      </c>
      <c r="AA227" s="78">
        <f t="shared" si="176"/>
        <v>1</v>
      </c>
      <c r="AB227" s="79">
        <f t="shared" si="177"/>
        <v>0</v>
      </c>
      <c r="AC227" s="79">
        <f t="shared" si="178"/>
        <v>0</v>
      </c>
      <c r="AD227" s="79">
        <f t="shared" si="179"/>
        <v>0</v>
      </c>
      <c r="AE227" s="79">
        <f t="shared" si="180"/>
        <v>0</v>
      </c>
      <c r="AF227" s="78">
        <f t="shared" si="181"/>
        <v>1</v>
      </c>
      <c r="AG227" s="79">
        <f t="shared" si="182"/>
        <v>1</v>
      </c>
      <c r="AH227" s="79">
        <f t="shared" si="183"/>
        <v>0</v>
      </c>
      <c r="AI227" s="78">
        <f t="shared" si="184"/>
        <v>0</v>
      </c>
      <c r="AJ227" s="79">
        <f t="shared" si="185"/>
        <v>0</v>
      </c>
      <c r="AK227" s="79">
        <f t="shared" si="186"/>
        <v>0</v>
      </c>
      <c r="AL227" s="80">
        <f t="shared" si="187"/>
        <v>0</v>
      </c>
      <c r="AM227" s="81">
        <f t="shared" si="188"/>
        <v>0.27</v>
      </c>
      <c r="AN227" s="82" t="str">
        <f t="shared" si="189"/>
        <v/>
      </c>
      <c r="AO227" s="79" t="str">
        <f t="shared" si="190"/>
        <v/>
      </c>
      <c r="AP227" t="str">
        <f t="shared" si="191"/>
        <v/>
      </c>
      <c r="AQ227" s="82" t="str">
        <f t="shared" si="192"/>
        <v>Q</v>
      </c>
      <c r="AR227" t="str">
        <f t="shared" si="193"/>
        <v/>
      </c>
      <c r="AS227" t="str">
        <f t="shared" si="194"/>
        <v/>
      </c>
      <c r="AT227" t="str">
        <f t="shared" si="195"/>
        <v/>
      </c>
      <c r="AU227" t="str">
        <f t="shared" si="196"/>
        <v/>
      </c>
      <c r="AV227" s="82" t="str">
        <f t="shared" si="197"/>
        <v>Q</v>
      </c>
      <c r="AW227" t="str">
        <f t="shared" si="198"/>
        <v>Q</v>
      </c>
      <c r="AX227" t="str">
        <f t="shared" si="199"/>
        <v/>
      </c>
      <c r="AY227" s="82" t="str">
        <f t="shared" si="200"/>
        <v/>
      </c>
      <c r="AZ227" t="str">
        <f t="shared" si="201"/>
        <v/>
      </c>
      <c r="BA227" t="str">
        <f t="shared" si="202"/>
        <v/>
      </c>
      <c r="BB227" s="83" t="str">
        <f t="shared" si="203"/>
        <v/>
      </c>
      <c r="BC227" s="84">
        <f t="shared" si="204"/>
        <v>0</v>
      </c>
      <c r="BD227" s="84">
        <f t="shared" si="205"/>
        <v>0.14285714285714285</v>
      </c>
      <c r="BE227" s="84">
        <f t="shared" si="206"/>
        <v>0.70588235294117652</v>
      </c>
      <c r="BF227" s="84">
        <f t="shared" si="207"/>
        <v>0</v>
      </c>
      <c r="BG227" s="78">
        <f>IF(AN227="",0,VLOOKUP(AN227,Tables!$AB$3:$AC$12,2))</f>
        <v>0</v>
      </c>
      <c r="BH227" s="79">
        <f>IF(AO227="",0,VLOOKUP(AO227,Tables!$AB$3:$AC$12,2))</f>
        <v>0</v>
      </c>
      <c r="BI227" s="79">
        <f>IF(AP227="",0,VLOOKUP(AP227,Tables!$AB$3:$AC$12,2))</f>
        <v>0</v>
      </c>
      <c r="BJ227" s="78">
        <f>IF(AQ227="",0,VLOOKUP(AQ227,Tables!$AB$3:$AC$12,2))</f>
        <v>2</v>
      </c>
      <c r="BK227" s="79">
        <f>IF(AR227="",0,VLOOKUP(AR227,Tables!$AB$3:$AC$12,2))</f>
        <v>0</v>
      </c>
      <c r="BL227" s="79">
        <f>IF(AS227="",0,VLOOKUP(AS227,Tables!$AB$3:$AC$12,2))</f>
        <v>0</v>
      </c>
      <c r="BM227" s="79">
        <f>IF(AT227="",0,VLOOKUP(AT227,Tables!$AB$3:$AC$12,2))</f>
        <v>0</v>
      </c>
      <c r="BN227" s="79">
        <f>IF(AU227="",0,VLOOKUP(AU227,Tables!$AB$3:$AC$12,2))</f>
        <v>0</v>
      </c>
      <c r="BO227" s="78">
        <f>IF(AV227="",0,VLOOKUP(AV227,Tables!$AB$3:$AC$12,2))</f>
        <v>2</v>
      </c>
      <c r="BP227" s="79">
        <f>IF(AW227="",0,VLOOKUP(AW227,Tables!$AB$3:$AC$12,2))</f>
        <v>2</v>
      </c>
      <c r="BQ227" s="79">
        <f>IF(AX227="",0,VLOOKUP(AX227,Tables!$AB$3:$AC$12,2))</f>
        <v>0</v>
      </c>
      <c r="BR227" s="78">
        <f>IF(AY227="",0,VLOOKUP(AY227,Tables!$AB$3:$AC$12,2))</f>
        <v>0</v>
      </c>
      <c r="BS227" s="79">
        <f>IF(AZ227="",0,VLOOKUP(AZ227,Tables!$AB$3:$AC$12,2))</f>
        <v>0</v>
      </c>
      <c r="BT227" s="79">
        <f>IF(BA227="",0,VLOOKUP(BA227,Tables!$AB$3:$AC$12,2))</f>
        <v>0</v>
      </c>
      <c r="BU227" s="80">
        <f>IF(BB227="",0,VLOOKUP(BB227,Tables!$AB$3:$AC$12,2))</f>
        <v>0</v>
      </c>
      <c r="BV227" s="85">
        <f>IF(AN227="",0,VLOOKUP(B227,Tables!$B$3:$D$36,2,FALSE())*X$1)</f>
        <v>0</v>
      </c>
      <c r="BW227" s="72">
        <f>IF(AO227="",0,VLOOKUP(C227,Tables!$B$3:$D$36,2,FALSE())*Y$1)</f>
        <v>0</v>
      </c>
      <c r="BX227" s="72">
        <f>IF(AP227="",0,VLOOKUP(D227,Tables!$B$3:$D$36,2,FALSE())*Z$1)</f>
        <v>0</v>
      </c>
      <c r="BY227" s="85">
        <f>IF(AQ227="",0,VLOOKUP(E227,Tables!$B$3:$D$36,2,FALSE())*AA$1)</f>
        <v>18</v>
      </c>
      <c r="BZ227" s="72">
        <f>IF(AR227="",0,VLOOKUP(F227,Tables!$B$3:$D$36,2,FALSE())*AB$1)</f>
        <v>0</v>
      </c>
      <c r="CA227" s="72">
        <f>IF(AS227="",0,VLOOKUP(G227,Tables!$B$3:$D$36,2,FALSE())*AC$1)</f>
        <v>0</v>
      </c>
      <c r="CB227" s="72">
        <f>IF(AT227="",0,VLOOKUP(H227,Tables!$B$3:$D$36,2,FALSE())*AD$1)</f>
        <v>0</v>
      </c>
      <c r="CC227" s="72">
        <f>IF(AU227="",0,VLOOKUP(I227,Tables!$B$3:$D$36,2,FALSE())*AE$1)</f>
        <v>0</v>
      </c>
      <c r="CD227" s="85">
        <f>IF(AV227="",0,VLOOKUP(J227,Tables!$B$3:$D$36,2,FALSE())*AF$1)</f>
        <v>72</v>
      </c>
      <c r="CE227" s="72">
        <f>IF(AW227="",0,VLOOKUP(K227,Tables!$B$3:$D$36,2,FALSE())*AG$1)</f>
        <v>72</v>
      </c>
      <c r="CF227" s="72">
        <f>IF(AX227="",0,VLOOKUP(L227,Tables!$B$3:$D$36,2,FALSE())*AH$1)</f>
        <v>0</v>
      </c>
      <c r="CG227" s="85">
        <f>IF(AY227="",0,VLOOKUP(M227,Tables!$B$3:$D$36,2,FALSE())*AI$1)</f>
        <v>0</v>
      </c>
      <c r="CH227" s="72">
        <f>IF(AZ227="",0,VLOOKUP(N227,Tables!$B$3:$D$36,2,FALSE())*AJ$1)</f>
        <v>0</v>
      </c>
      <c r="CI227" s="72">
        <f>IF(BA227="",0,VLOOKUP(O227,Tables!$B$3:$D$36,2,FALSE())*AK$1)</f>
        <v>0</v>
      </c>
      <c r="CJ227" s="86">
        <f>IF(BB227="",0,VLOOKUP(P227,Tables!$B$3:$D$36,2,FALSE())*AL$1)</f>
        <v>0</v>
      </c>
      <c r="CK227" s="87">
        <f>IF(AN227="",0,VLOOKUP(B227,Tables!$B$3:$D$36,3,FALSE())*X$1)*IF(OR(AN227="K",AN227="P"),2,1)</f>
        <v>0</v>
      </c>
      <c r="CL227" s="73">
        <f>IF(AO227="",0,VLOOKUP(C227,Tables!$B$3:$D$36,3,FALSE())*Y$1)*IF(OR(AO227="K",AO227="P"),2,1)</f>
        <v>0</v>
      </c>
      <c r="CM227" s="73">
        <f>IF(AP227="",0,VLOOKUP(D227,Tables!$B$3:$D$36,3,FALSE())*Z$1)*IF(OR(AP227="K",AP227="P"),2,1)</f>
        <v>0</v>
      </c>
      <c r="CN227" s="87">
        <f>IF(AQ227="",0,VLOOKUP(E227,Tables!$B$3:$D$36,3,FALSE())*AA$1)</f>
        <v>0.6</v>
      </c>
      <c r="CO227" s="73">
        <f>IF(AR227="",0,VLOOKUP(F227,Tables!$B$3:$D$36,3,FALSE())*AB$1)</f>
        <v>0</v>
      </c>
      <c r="CP227" s="73">
        <f>IF(AS227="",0,VLOOKUP(G227,Tables!$B$3:$D$36,3,FALSE())*AC$1)</f>
        <v>0</v>
      </c>
      <c r="CQ227" s="73">
        <f>IF(AT227="",0,VLOOKUP(H227,Tables!$B$3:$D$36,3,FALSE())*AD$1)</f>
        <v>0</v>
      </c>
      <c r="CR227" s="73">
        <f>IF(AU227="",0,VLOOKUP(I227,Tables!$B$3:$D$36,3,FALSE())*AE$1)</f>
        <v>0</v>
      </c>
      <c r="CS227" s="87">
        <f>IF(AV227="",0,VLOOKUP(J227,Tables!$B$3:$D$36,3,FALSE())*AF$1)</f>
        <v>2.4</v>
      </c>
      <c r="CT227" s="73">
        <f>IF(AW227="",0,VLOOKUP(K227,Tables!$B$3:$D$36,3,FALSE())*AG$1)</f>
        <v>2.4</v>
      </c>
      <c r="CU227" s="73">
        <f>IF(AX227="",0,VLOOKUP(L227,Tables!$B$3:$D$36,3,FALSE())*AH$1)</f>
        <v>0</v>
      </c>
      <c r="CV227" s="87">
        <f>IF(AY227="",0,VLOOKUP(M227,Tables!$B$3:$D$36,3,FALSE())*AI$1)</f>
        <v>0</v>
      </c>
      <c r="CW227" s="73">
        <f>IF(AZ227="",0,VLOOKUP(N227,Tables!$B$3:$D$36,3,FALSE())*AJ$1)</f>
        <v>0</v>
      </c>
      <c r="CX227" s="73">
        <f>IF(BA227="",0,VLOOKUP(O227,Tables!$B$3:$D$36,3,FALSE())*AK$1)</f>
        <v>0</v>
      </c>
      <c r="CY227" s="88">
        <f>IF(BB227="",0,VLOOKUP(P227,Tables!$B$3:$D$36,3,FALSE())*AL$1)</f>
        <v>0</v>
      </c>
      <c r="CZ227" s="89">
        <f t="shared" si="208"/>
        <v>0</v>
      </c>
      <c r="DA227" s="75">
        <f t="shared" si="209"/>
        <v>0</v>
      </c>
      <c r="DB227" s="75">
        <f t="shared" si="210"/>
        <v>0</v>
      </c>
      <c r="DC227" s="89">
        <f t="shared" si="211"/>
        <v>1</v>
      </c>
      <c r="DD227" s="75">
        <f t="shared" si="212"/>
        <v>0</v>
      </c>
      <c r="DE227" s="75">
        <f t="shared" si="213"/>
        <v>0</v>
      </c>
      <c r="DF227" s="75">
        <f t="shared" si="214"/>
        <v>0</v>
      </c>
      <c r="DG227" s="75">
        <f t="shared" si="215"/>
        <v>0</v>
      </c>
      <c r="DH227" s="89">
        <f t="shared" si="216"/>
        <v>1</v>
      </c>
      <c r="DI227" s="75">
        <f t="shared" si="217"/>
        <v>1</v>
      </c>
      <c r="DJ227" s="75">
        <f t="shared" si="218"/>
        <v>0</v>
      </c>
      <c r="DK227" s="89">
        <f t="shared" si="219"/>
        <v>0</v>
      </c>
      <c r="DL227" s="75">
        <f t="shared" si="220"/>
        <v>0</v>
      </c>
      <c r="DM227" s="75">
        <f t="shared" si="221"/>
        <v>0</v>
      </c>
      <c r="DN227" s="90">
        <f t="shared" si="222"/>
        <v>0</v>
      </c>
      <c r="DO227" s="91">
        <f>IF(AN227="",0,VLOOKUP(B227,Tables!$B$3:$M$36,11,FALSE())*X$1)</f>
        <v>0</v>
      </c>
      <c r="DP227" s="92">
        <f>IF(AO227="",0,VLOOKUP(C227,Tables!$B$3:$M$36,11,FALSE())*Y$1)</f>
        <v>0</v>
      </c>
      <c r="DQ227" s="92">
        <f>IF(AP227="",0,VLOOKUP(D227,Tables!$B$3:$M$36,11,FALSE())*Z$1)</f>
        <v>0</v>
      </c>
      <c r="DR227" s="91">
        <f>IF(AQ227="",0,VLOOKUP(E227,Tables!$B$3:$M$36,11,FALSE())*AA$1)</f>
        <v>3.5999999999999996</v>
      </c>
      <c r="DS227" s="92">
        <f>IF(AR227="",0,VLOOKUP(F227,Tables!$B$3:$M$36,11,FALSE())*AB$1)</f>
        <v>0</v>
      </c>
      <c r="DT227" s="92">
        <f>IF(AS227="",0,VLOOKUP(G227,Tables!$B$3:$M$36,11,FALSE())*AC$1)</f>
        <v>0</v>
      </c>
      <c r="DU227" s="92">
        <f>IF(AT227="",0,VLOOKUP(H227,Tables!$B$3:$M$36,11,FALSE())*AD$1)</f>
        <v>0</v>
      </c>
      <c r="DV227" s="92">
        <f>IF(AU227="",0,VLOOKUP(I227,Tables!$B$3:$M$36,11,FALSE())*AE$1)</f>
        <v>0</v>
      </c>
      <c r="DW227" s="91">
        <f>IF(AV227="",0,VLOOKUP(J227,Tables!$B$3:$M$36,11,FALSE())*AF$1)</f>
        <v>14.399999999999999</v>
      </c>
      <c r="DX227" s="92">
        <f>IF(AW227="",0,VLOOKUP(K227,Tables!$B$3:$M$36,11,FALSE())*AG$1)</f>
        <v>14.399999999999999</v>
      </c>
      <c r="DY227" s="92">
        <f>IF(AX227="",0,VLOOKUP(L227,Tables!$B$3:$M$36,11,FALSE())*AH$1)</f>
        <v>0</v>
      </c>
      <c r="DZ227" s="91">
        <f>IF(AY227="",0,VLOOKUP(M227,Tables!$B$3:$M$36,11,FALSE())*AI$1)</f>
        <v>0</v>
      </c>
      <c r="EA227" s="92">
        <f>IF(AZ227="",0,VLOOKUP(N227,Tables!$B$3:$M$36,11,FALSE())*AJ$1)</f>
        <v>0</v>
      </c>
      <c r="EB227" s="92">
        <f>IF(BA227="",0,VLOOKUP(O227,Tables!$B$3:$M$36,11,FALSE())*AK$1)</f>
        <v>0</v>
      </c>
      <c r="EC227" s="93">
        <f>IF(BB227="",0,VLOOKUP(P227,Tables!$B$3:$M$36,11,FALSE())*AL$1)</f>
        <v>0</v>
      </c>
      <c r="ED227" s="91">
        <f>IF(AN227="",0,VLOOKUP(B227,Tables!$B$3:$M$36,12,FALSE())*X$1)</f>
        <v>0</v>
      </c>
      <c r="EE227" s="92">
        <f>IF(AO227="",0,VLOOKUP(C227,Tables!$B$3:$M$36,12,FALSE())*Y$1)</f>
        <v>0</v>
      </c>
      <c r="EF227" s="92">
        <f>IF(AP227="",0,VLOOKUP(D227,Tables!$B$3:$M$36,12,FALSE())*Z$1)</f>
        <v>0</v>
      </c>
      <c r="EG227" s="91">
        <f>IF(AQ227="",0,VLOOKUP(E227,Tables!$B$3:$M$36,12,FALSE())*AA$1)</f>
        <v>13.5</v>
      </c>
      <c r="EH227" s="92">
        <f>IF(AR227="",0,VLOOKUP(F227,Tables!$B$3:$M$36,12,FALSE())*AB$1)</f>
        <v>0</v>
      </c>
      <c r="EI227" s="92">
        <f>IF(AS227="",0,VLOOKUP(G227,Tables!$B$3:$M$36,12,FALSE())*AC$1)</f>
        <v>0</v>
      </c>
      <c r="EJ227" s="92">
        <f>IF(AT227="",0,VLOOKUP(H227,Tables!$B$3:$M$36,12,FALSE())*AD$1)</f>
        <v>0</v>
      </c>
      <c r="EK227" s="92">
        <f>IF(AU227="",0,VLOOKUP(I227,Tables!$B$3:$M$36,12,FALSE())*AE$1)</f>
        <v>0</v>
      </c>
      <c r="EL227" s="91">
        <f>IF(AV227="",0,VLOOKUP(J227,Tables!$B$3:$M$36,12,FALSE())*AF$1)</f>
        <v>54</v>
      </c>
      <c r="EM227" s="92">
        <f>IF(AW227="",0,VLOOKUP(K227,Tables!$B$3:$M$36,12,FALSE())*AG$1)</f>
        <v>54</v>
      </c>
      <c r="EN227" s="92">
        <f>IF(AX227="",0,VLOOKUP(L227,Tables!$B$3:$M$36,12,FALSE())*AH$1)</f>
        <v>0</v>
      </c>
      <c r="EO227" s="91">
        <f>IF(AY227="",0,VLOOKUP(M227,Tables!$B$3:$M$36,12,FALSE())*AI$1)</f>
        <v>0</v>
      </c>
      <c r="EP227" s="92">
        <f>IF(AZ227="",0,VLOOKUP(N227,Tables!$B$3:$M$36,12,FALSE())*AJ$1)</f>
        <v>0</v>
      </c>
      <c r="EQ227" s="92">
        <f>IF(BA227="",0,VLOOKUP(O227,Tables!$B$3:$M$36,12,FALSE())*AK$1)</f>
        <v>0</v>
      </c>
      <c r="ER227" s="93">
        <f>IF(BB227="",0,VLOOKUP(P227,Tables!$B$3:$M$36,12,FALSE())*AL$1)</f>
        <v>0</v>
      </c>
      <c r="ES227" s="94">
        <f t="shared" si="223"/>
        <v>0</v>
      </c>
      <c r="ET227" s="95">
        <f>IF(AN227="",10,MIN(VLOOKUP(B227,MATERIAL,13,FALSE()),'Item Builder'!$W227))</f>
        <v>10</v>
      </c>
      <c r="EU227" s="95">
        <f>IF(AO227="",10,MIN(VLOOKUP(C227,MATERIAL,13,FALSE()),'Item Builder'!$W227))</f>
        <v>10</v>
      </c>
      <c r="EV227" s="95">
        <f>IF(AP227="",10,MIN(VLOOKUP(D227,MATERIAL,13,FALSE()),'Item Builder'!$W227))</f>
        <v>10</v>
      </c>
      <c r="EW227" s="95">
        <f>IF(AQ227="",10,MIN(VLOOKUP(E227,MATERIAL,13,FALSE()),'Item Builder'!$W227))</f>
        <v>0</v>
      </c>
      <c r="EX227" s="95">
        <f>IF(AR227="",10,MIN(VLOOKUP(F227,MATERIAL,13,FALSE()),'Item Builder'!$W227))</f>
        <v>10</v>
      </c>
      <c r="EY227" s="95">
        <f>IF(AS227="",10,MIN(VLOOKUP(G227,MATERIAL,13,FALSE()),'Item Builder'!$W227))</f>
        <v>10</v>
      </c>
      <c r="EZ227" s="95">
        <f>IF(AT227="",10,MIN(VLOOKUP(H227,MATERIAL,13,FALSE()),'Item Builder'!$W227))</f>
        <v>10</v>
      </c>
      <c r="FA227" s="95">
        <f>IF(AU227="",10,MIN(VLOOKUP(I227,MATERIAL,13,FALSE()),'Item Builder'!$W227))</f>
        <v>10</v>
      </c>
      <c r="FB227" s="95">
        <f>IF(AV227="",10,MIN(VLOOKUP(J227,MATERIAL,13,FALSE()),'Item Builder'!$W227))</f>
        <v>0</v>
      </c>
      <c r="FC227" s="95">
        <f>IF(AW227="",10,MIN(VLOOKUP(K227,MATERIAL,13,FALSE()),'Item Builder'!$W227))</f>
        <v>0</v>
      </c>
      <c r="FD227" s="95">
        <f>IF(AX227="",10,MIN(VLOOKUP(L227,MATERIAL,13,FALSE()),'Item Builder'!$W227))</f>
        <v>10</v>
      </c>
      <c r="FE227" s="95">
        <f>IF(AY227="",10,MIN(VLOOKUP(M227,MATERIAL,13,FALSE()),'Item Builder'!$W227))</f>
        <v>10</v>
      </c>
      <c r="FF227" s="95">
        <f>IF(AZ227="",10,MIN(VLOOKUP(N227,MATERIAL,13,FALSE()),'Item Builder'!$W227))</f>
        <v>10</v>
      </c>
      <c r="FG227" s="95">
        <f>IF(BA227="",10,MIN(VLOOKUP(O227,MATERIAL,13,FALSE()),'Item Builder'!$W227))</f>
        <v>10</v>
      </c>
      <c r="FH227" s="95">
        <f>IF(BB227="",10,MIN(VLOOKUP(P227,MATERIAL,13,FALSE()),'Item Builder'!$W227))</f>
        <v>10</v>
      </c>
    </row>
    <row r="228" spans="1:164" x14ac:dyDescent="0.25">
      <c r="A228" s="67" t="s">
        <v>368</v>
      </c>
      <c r="B228" s="68"/>
      <c r="C228" s="69"/>
      <c r="D228" s="70"/>
      <c r="E228" s="68" t="s">
        <v>186</v>
      </c>
      <c r="F228" s="69" t="s">
        <v>186</v>
      </c>
      <c r="G228" s="69" t="s">
        <v>186</v>
      </c>
      <c r="H228" s="69"/>
      <c r="I228" s="70"/>
      <c r="J228" s="68" t="s">
        <v>186</v>
      </c>
      <c r="K228" s="69" t="s">
        <v>186</v>
      </c>
      <c r="L228" s="70" t="s">
        <v>186</v>
      </c>
      <c r="M228" s="68"/>
      <c r="N228" s="69"/>
      <c r="O228" s="69"/>
      <c r="P228" s="71"/>
      <c r="Q228" s="72">
        <f>SUM(BV228:CJ228)*VLOOKUP(W228,Tables!$W$3:$Z$8,4)</f>
        <v>270</v>
      </c>
      <c r="R228" s="73">
        <f t="shared" si="168"/>
        <v>9</v>
      </c>
      <c r="S228" s="74">
        <f t="shared" si="169"/>
        <v>5</v>
      </c>
      <c r="T228" s="74">
        <f t="shared" si="170"/>
        <v>0</v>
      </c>
      <c r="U228" s="75">
        <f t="shared" si="171"/>
        <v>54</v>
      </c>
      <c r="V228" s="76">
        <f t="shared" si="172"/>
        <v>202.5</v>
      </c>
      <c r="W228" s="77">
        <v>0</v>
      </c>
      <c r="X228" s="78">
        <f t="shared" si="173"/>
        <v>0</v>
      </c>
      <c r="Y228" s="79">
        <f t="shared" si="174"/>
        <v>0</v>
      </c>
      <c r="Z228" s="79">
        <f t="shared" si="175"/>
        <v>0</v>
      </c>
      <c r="AA228" s="78">
        <f t="shared" si="176"/>
        <v>1</v>
      </c>
      <c r="AB228" s="79">
        <f t="shared" si="177"/>
        <v>1</v>
      </c>
      <c r="AC228" s="79">
        <f t="shared" si="178"/>
        <v>1</v>
      </c>
      <c r="AD228" s="79">
        <f t="shared" si="179"/>
        <v>0</v>
      </c>
      <c r="AE228" s="79">
        <f t="shared" si="180"/>
        <v>0</v>
      </c>
      <c r="AF228" s="78">
        <f t="shared" si="181"/>
        <v>1</v>
      </c>
      <c r="AG228" s="79">
        <f t="shared" si="182"/>
        <v>1</v>
      </c>
      <c r="AH228" s="79">
        <f t="shared" si="183"/>
        <v>1</v>
      </c>
      <c r="AI228" s="78">
        <f t="shared" si="184"/>
        <v>0</v>
      </c>
      <c r="AJ228" s="79">
        <f t="shared" si="185"/>
        <v>0</v>
      </c>
      <c r="AK228" s="79">
        <f t="shared" si="186"/>
        <v>0</v>
      </c>
      <c r="AL228" s="80">
        <f t="shared" si="187"/>
        <v>0</v>
      </c>
      <c r="AM228" s="81">
        <f t="shared" si="188"/>
        <v>0.44999999999999996</v>
      </c>
      <c r="AN228" s="82" t="str">
        <f t="shared" si="189"/>
        <v/>
      </c>
      <c r="AO228" s="79" t="str">
        <f t="shared" si="190"/>
        <v/>
      </c>
      <c r="AP228" t="str">
        <f t="shared" si="191"/>
        <v/>
      </c>
      <c r="AQ228" s="82" t="str">
        <f t="shared" si="192"/>
        <v>Q</v>
      </c>
      <c r="AR228" t="str">
        <f t="shared" si="193"/>
        <v>Q</v>
      </c>
      <c r="AS228" t="str">
        <f t="shared" si="194"/>
        <v>Q</v>
      </c>
      <c r="AT228" t="str">
        <f t="shared" si="195"/>
        <v/>
      </c>
      <c r="AU228" t="str">
        <f t="shared" si="196"/>
        <v/>
      </c>
      <c r="AV228" s="82" t="str">
        <f t="shared" si="197"/>
        <v>Q</v>
      </c>
      <c r="AW228" t="str">
        <f t="shared" si="198"/>
        <v>Q</v>
      </c>
      <c r="AX228" t="str">
        <f t="shared" si="199"/>
        <v>Q</v>
      </c>
      <c r="AY228" s="82" t="str">
        <f t="shared" si="200"/>
        <v/>
      </c>
      <c r="AZ228" t="str">
        <f t="shared" si="201"/>
        <v/>
      </c>
      <c r="BA228" t="str">
        <f t="shared" si="202"/>
        <v/>
      </c>
      <c r="BB228" s="83" t="str">
        <f t="shared" si="203"/>
        <v/>
      </c>
      <c r="BC228" s="84">
        <f t="shared" si="204"/>
        <v>0</v>
      </c>
      <c r="BD228" s="84">
        <f t="shared" si="205"/>
        <v>0.52380952380952372</v>
      </c>
      <c r="BE228" s="84">
        <f t="shared" si="206"/>
        <v>1</v>
      </c>
      <c r="BF228" s="84">
        <f t="shared" si="207"/>
        <v>0</v>
      </c>
      <c r="BG228" s="78">
        <f>IF(AN228="",0,VLOOKUP(AN228,Tables!$AB$3:$AC$12,2))</f>
        <v>0</v>
      </c>
      <c r="BH228" s="79">
        <f>IF(AO228="",0,VLOOKUP(AO228,Tables!$AB$3:$AC$12,2))</f>
        <v>0</v>
      </c>
      <c r="BI228" s="79">
        <f>IF(AP228="",0,VLOOKUP(AP228,Tables!$AB$3:$AC$12,2))</f>
        <v>0</v>
      </c>
      <c r="BJ228" s="78">
        <f>IF(AQ228="",0,VLOOKUP(AQ228,Tables!$AB$3:$AC$12,2))</f>
        <v>2</v>
      </c>
      <c r="BK228" s="79">
        <f>IF(AR228="",0,VLOOKUP(AR228,Tables!$AB$3:$AC$12,2))</f>
        <v>2</v>
      </c>
      <c r="BL228" s="79">
        <f>IF(AS228="",0,VLOOKUP(AS228,Tables!$AB$3:$AC$12,2))</f>
        <v>2</v>
      </c>
      <c r="BM228" s="79">
        <f>IF(AT228="",0,VLOOKUP(AT228,Tables!$AB$3:$AC$12,2))</f>
        <v>0</v>
      </c>
      <c r="BN228" s="79">
        <f>IF(AU228="",0,VLOOKUP(AU228,Tables!$AB$3:$AC$12,2))</f>
        <v>0</v>
      </c>
      <c r="BO228" s="78">
        <f>IF(AV228="",0,VLOOKUP(AV228,Tables!$AB$3:$AC$12,2))</f>
        <v>2</v>
      </c>
      <c r="BP228" s="79">
        <f>IF(AW228="",0,VLOOKUP(AW228,Tables!$AB$3:$AC$12,2))</f>
        <v>2</v>
      </c>
      <c r="BQ228" s="79">
        <f>IF(AX228="",0,VLOOKUP(AX228,Tables!$AB$3:$AC$12,2))</f>
        <v>2</v>
      </c>
      <c r="BR228" s="78">
        <f>IF(AY228="",0,VLOOKUP(AY228,Tables!$AB$3:$AC$12,2))</f>
        <v>0</v>
      </c>
      <c r="BS228" s="79">
        <f>IF(AZ228="",0,VLOOKUP(AZ228,Tables!$AB$3:$AC$12,2))</f>
        <v>0</v>
      </c>
      <c r="BT228" s="79">
        <f>IF(BA228="",0,VLOOKUP(BA228,Tables!$AB$3:$AC$12,2))</f>
        <v>0</v>
      </c>
      <c r="BU228" s="80">
        <f>IF(BB228="",0,VLOOKUP(BB228,Tables!$AB$3:$AC$12,2))</f>
        <v>0</v>
      </c>
      <c r="BV228" s="85">
        <f>IF(AN228="",0,VLOOKUP(B228,Tables!$B$3:$D$36,2,FALSE())*X$1)</f>
        <v>0</v>
      </c>
      <c r="BW228" s="72">
        <f>IF(AO228="",0,VLOOKUP(C228,Tables!$B$3:$D$36,2,FALSE())*Y$1)</f>
        <v>0</v>
      </c>
      <c r="BX228" s="72">
        <f>IF(AP228="",0,VLOOKUP(D228,Tables!$B$3:$D$36,2,FALSE())*Z$1)</f>
        <v>0</v>
      </c>
      <c r="BY228" s="85">
        <f>IF(AQ228="",0,VLOOKUP(E228,Tables!$B$3:$D$36,2,FALSE())*AA$1)</f>
        <v>18</v>
      </c>
      <c r="BZ228" s="72">
        <f>IF(AR228="",0,VLOOKUP(F228,Tables!$B$3:$D$36,2,FALSE())*AB$1)</f>
        <v>36</v>
      </c>
      <c r="CA228" s="72">
        <f>IF(AS228="",0,VLOOKUP(G228,Tables!$B$3:$D$36,2,FALSE())*AC$1)</f>
        <v>12</v>
      </c>
      <c r="CB228" s="72">
        <f>IF(AT228="",0,VLOOKUP(H228,Tables!$B$3:$D$36,2,FALSE())*AD$1)</f>
        <v>0</v>
      </c>
      <c r="CC228" s="72">
        <f>IF(AU228="",0,VLOOKUP(I228,Tables!$B$3:$D$36,2,FALSE())*AE$1)</f>
        <v>0</v>
      </c>
      <c r="CD228" s="85">
        <f>IF(AV228="",0,VLOOKUP(J228,Tables!$B$3:$D$36,2,FALSE())*AF$1)</f>
        <v>72</v>
      </c>
      <c r="CE228" s="72">
        <f>IF(AW228="",0,VLOOKUP(K228,Tables!$B$3:$D$36,2,FALSE())*AG$1)</f>
        <v>72</v>
      </c>
      <c r="CF228" s="72">
        <f>IF(AX228="",0,VLOOKUP(L228,Tables!$B$3:$D$36,2,FALSE())*AH$1)</f>
        <v>60</v>
      </c>
      <c r="CG228" s="85">
        <f>IF(AY228="",0,VLOOKUP(M228,Tables!$B$3:$D$36,2,FALSE())*AI$1)</f>
        <v>0</v>
      </c>
      <c r="CH228" s="72">
        <f>IF(AZ228="",0,VLOOKUP(N228,Tables!$B$3:$D$36,2,FALSE())*AJ$1)</f>
        <v>0</v>
      </c>
      <c r="CI228" s="72">
        <f>IF(BA228="",0,VLOOKUP(O228,Tables!$B$3:$D$36,2,FALSE())*AK$1)</f>
        <v>0</v>
      </c>
      <c r="CJ228" s="86">
        <f>IF(BB228="",0,VLOOKUP(P228,Tables!$B$3:$D$36,2,FALSE())*AL$1)</f>
        <v>0</v>
      </c>
      <c r="CK228" s="87">
        <f>IF(AN228="",0,VLOOKUP(B228,Tables!$B$3:$D$36,3,FALSE())*X$1)*IF(OR(AN228="K",AN228="P"),2,1)</f>
        <v>0</v>
      </c>
      <c r="CL228" s="73">
        <f>IF(AO228="",0,VLOOKUP(C228,Tables!$B$3:$D$36,3,FALSE())*Y$1)*IF(OR(AO228="K",AO228="P"),2,1)</f>
        <v>0</v>
      </c>
      <c r="CM228" s="73">
        <f>IF(AP228="",0,VLOOKUP(D228,Tables!$B$3:$D$36,3,FALSE())*Z$1)*IF(OR(AP228="K",AP228="P"),2,1)</f>
        <v>0</v>
      </c>
      <c r="CN228" s="87">
        <f>IF(AQ228="",0,VLOOKUP(E228,Tables!$B$3:$D$36,3,FALSE())*AA$1)</f>
        <v>0.6</v>
      </c>
      <c r="CO228" s="73">
        <f>IF(AR228="",0,VLOOKUP(F228,Tables!$B$3:$D$36,3,FALSE())*AB$1)</f>
        <v>1.2</v>
      </c>
      <c r="CP228" s="73">
        <f>IF(AS228="",0,VLOOKUP(G228,Tables!$B$3:$D$36,3,FALSE())*AC$1)</f>
        <v>0.4</v>
      </c>
      <c r="CQ228" s="73">
        <f>IF(AT228="",0,VLOOKUP(H228,Tables!$B$3:$D$36,3,FALSE())*AD$1)</f>
        <v>0</v>
      </c>
      <c r="CR228" s="73">
        <f>IF(AU228="",0,VLOOKUP(I228,Tables!$B$3:$D$36,3,FALSE())*AE$1)</f>
        <v>0</v>
      </c>
      <c r="CS228" s="87">
        <f>IF(AV228="",0,VLOOKUP(J228,Tables!$B$3:$D$36,3,FALSE())*AF$1)</f>
        <v>2.4</v>
      </c>
      <c r="CT228" s="73">
        <f>IF(AW228="",0,VLOOKUP(K228,Tables!$B$3:$D$36,3,FALSE())*AG$1)</f>
        <v>2.4</v>
      </c>
      <c r="CU228" s="73">
        <f>IF(AX228="",0,VLOOKUP(L228,Tables!$B$3:$D$36,3,FALSE())*AH$1)</f>
        <v>2</v>
      </c>
      <c r="CV228" s="87">
        <f>IF(AY228="",0,VLOOKUP(M228,Tables!$B$3:$D$36,3,FALSE())*AI$1)</f>
        <v>0</v>
      </c>
      <c r="CW228" s="73">
        <f>IF(AZ228="",0,VLOOKUP(N228,Tables!$B$3:$D$36,3,FALSE())*AJ$1)</f>
        <v>0</v>
      </c>
      <c r="CX228" s="73">
        <f>IF(BA228="",0,VLOOKUP(O228,Tables!$B$3:$D$36,3,FALSE())*AK$1)</f>
        <v>0</v>
      </c>
      <c r="CY228" s="88">
        <f>IF(BB228="",0,VLOOKUP(P228,Tables!$B$3:$D$36,3,FALSE())*AL$1)</f>
        <v>0</v>
      </c>
      <c r="CZ228" s="89">
        <f t="shared" si="208"/>
        <v>0</v>
      </c>
      <c r="DA228" s="75">
        <f t="shared" si="209"/>
        <v>0</v>
      </c>
      <c r="DB228" s="75">
        <f t="shared" si="210"/>
        <v>0</v>
      </c>
      <c r="DC228" s="89">
        <f t="shared" si="211"/>
        <v>1</v>
      </c>
      <c r="DD228" s="75">
        <f t="shared" si="212"/>
        <v>1</v>
      </c>
      <c r="DE228" s="75">
        <f t="shared" si="213"/>
        <v>1</v>
      </c>
      <c r="DF228" s="75">
        <f t="shared" si="214"/>
        <v>0</v>
      </c>
      <c r="DG228" s="75">
        <f t="shared" si="215"/>
        <v>0</v>
      </c>
      <c r="DH228" s="89">
        <f t="shared" si="216"/>
        <v>1</v>
      </c>
      <c r="DI228" s="75">
        <f t="shared" si="217"/>
        <v>1</v>
      </c>
      <c r="DJ228" s="75">
        <f t="shared" si="218"/>
        <v>1</v>
      </c>
      <c r="DK228" s="89">
        <f t="shared" si="219"/>
        <v>0</v>
      </c>
      <c r="DL228" s="75">
        <f t="shared" si="220"/>
        <v>0</v>
      </c>
      <c r="DM228" s="75">
        <f t="shared" si="221"/>
        <v>0</v>
      </c>
      <c r="DN228" s="90">
        <f t="shared" si="222"/>
        <v>0</v>
      </c>
      <c r="DO228" s="91">
        <f>IF(AN228="",0,VLOOKUP(B228,Tables!$B$3:$M$36,11,FALSE())*X$1)</f>
        <v>0</v>
      </c>
      <c r="DP228" s="92">
        <f>IF(AO228="",0,VLOOKUP(C228,Tables!$B$3:$M$36,11,FALSE())*Y$1)</f>
        <v>0</v>
      </c>
      <c r="DQ228" s="92">
        <f>IF(AP228="",0,VLOOKUP(D228,Tables!$B$3:$M$36,11,FALSE())*Z$1)</f>
        <v>0</v>
      </c>
      <c r="DR228" s="91">
        <f>IF(AQ228="",0,VLOOKUP(E228,Tables!$B$3:$M$36,11,FALSE())*AA$1)</f>
        <v>3.5999999999999996</v>
      </c>
      <c r="DS228" s="92">
        <f>IF(AR228="",0,VLOOKUP(F228,Tables!$B$3:$M$36,11,FALSE())*AB$1)</f>
        <v>7.1999999999999993</v>
      </c>
      <c r="DT228" s="92">
        <f>IF(AS228="",0,VLOOKUP(G228,Tables!$B$3:$M$36,11,FALSE())*AC$1)</f>
        <v>2.4</v>
      </c>
      <c r="DU228" s="92">
        <f>IF(AT228="",0,VLOOKUP(H228,Tables!$B$3:$M$36,11,FALSE())*AD$1)</f>
        <v>0</v>
      </c>
      <c r="DV228" s="92">
        <f>IF(AU228="",0,VLOOKUP(I228,Tables!$B$3:$M$36,11,FALSE())*AE$1)</f>
        <v>0</v>
      </c>
      <c r="DW228" s="91">
        <f>IF(AV228="",0,VLOOKUP(J228,Tables!$B$3:$M$36,11,FALSE())*AF$1)</f>
        <v>14.399999999999999</v>
      </c>
      <c r="DX228" s="92">
        <f>IF(AW228="",0,VLOOKUP(K228,Tables!$B$3:$M$36,11,FALSE())*AG$1)</f>
        <v>14.399999999999999</v>
      </c>
      <c r="DY228" s="92">
        <f>IF(AX228="",0,VLOOKUP(L228,Tables!$B$3:$M$36,11,FALSE())*AH$1)</f>
        <v>12</v>
      </c>
      <c r="DZ228" s="91">
        <f>IF(AY228="",0,VLOOKUP(M228,Tables!$B$3:$M$36,11,FALSE())*AI$1)</f>
        <v>0</v>
      </c>
      <c r="EA228" s="92">
        <f>IF(AZ228="",0,VLOOKUP(N228,Tables!$B$3:$M$36,11,FALSE())*AJ$1)</f>
        <v>0</v>
      </c>
      <c r="EB228" s="92">
        <f>IF(BA228="",0,VLOOKUP(O228,Tables!$B$3:$M$36,11,FALSE())*AK$1)</f>
        <v>0</v>
      </c>
      <c r="EC228" s="93">
        <f>IF(BB228="",0,VLOOKUP(P228,Tables!$B$3:$M$36,11,FALSE())*AL$1)</f>
        <v>0</v>
      </c>
      <c r="ED228" s="91">
        <f>IF(AN228="",0,VLOOKUP(B228,Tables!$B$3:$M$36,12,FALSE())*X$1)</f>
        <v>0</v>
      </c>
      <c r="EE228" s="92">
        <f>IF(AO228="",0,VLOOKUP(C228,Tables!$B$3:$M$36,12,FALSE())*Y$1)</f>
        <v>0</v>
      </c>
      <c r="EF228" s="92">
        <f>IF(AP228="",0,VLOOKUP(D228,Tables!$B$3:$M$36,12,FALSE())*Z$1)</f>
        <v>0</v>
      </c>
      <c r="EG228" s="91">
        <f>IF(AQ228="",0,VLOOKUP(E228,Tables!$B$3:$M$36,12,FALSE())*AA$1)</f>
        <v>13.5</v>
      </c>
      <c r="EH228" s="92">
        <f>IF(AR228="",0,VLOOKUP(F228,Tables!$B$3:$M$36,12,FALSE())*AB$1)</f>
        <v>27</v>
      </c>
      <c r="EI228" s="92">
        <f>IF(AS228="",0,VLOOKUP(G228,Tables!$B$3:$M$36,12,FALSE())*AC$1)</f>
        <v>9</v>
      </c>
      <c r="EJ228" s="92">
        <f>IF(AT228="",0,VLOOKUP(H228,Tables!$B$3:$M$36,12,FALSE())*AD$1)</f>
        <v>0</v>
      </c>
      <c r="EK228" s="92">
        <f>IF(AU228="",0,VLOOKUP(I228,Tables!$B$3:$M$36,12,FALSE())*AE$1)</f>
        <v>0</v>
      </c>
      <c r="EL228" s="91">
        <f>IF(AV228="",0,VLOOKUP(J228,Tables!$B$3:$M$36,12,FALSE())*AF$1)</f>
        <v>54</v>
      </c>
      <c r="EM228" s="92">
        <f>IF(AW228="",0,VLOOKUP(K228,Tables!$B$3:$M$36,12,FALSE())*AG$1)</f>
        <v>54</v>
      </c>
      <c r="EN228" s="92">
        <f>IF(AX228="",0,VLOOKUP(L228,Tables!$B$3:$M$36,12,FALSE())*AH$1)</f>
        <v>45</v>
      </c>
      <c r="EO228" s="91">
        <f>IF(AY228="",0,VLOOKUP(M228,Tables!$B$3:$M$36,12,FALSE())*AI$1)</f>
        <v>0</v>
      </c>
      <c r="EP228" s="92">
        <f>IF(AZ228="",0,VLOOKUP(N228,Tables!$B$3:$M$36,12,FALSE())*AJ$1)</f>
        <v>0</v>
      </c>
      <c r="EQ228" s="92">
        <f>IF(BA228="",0,VLOOKUP(O228,Tables!$B$3:$M$36,12,FALSE())*AK$1)</f>
        <v>0</v>
      </c>
      <c r="ER228" s="93">
        <f>IF(BB228="",0,VLOOKUP(P228,Tables!$B$3:$M$36,12,FALSE())*AL$1)</f>
        <v>0</v>
      </c>
      <c r="ES228" s="94">
        <f t="shared" si="223"/>
        <v>0</v>
      </c>
      <c r="ET228" s="95">
        <f>IF(AN228="",10,MIN(VLOOKUP(B228,MATERIAL,13,FALSE()),'Item Builder'!$W228))</f>
        <v>10</v>
      </c>
      <c r="EU228" s="95">
        <f>IF(AO228="",10,MIN(VLOOKUP(C228,MATERIAL,13,FALSE()),'Item Builder'!$W228))</f>
        <v>10</v>
      </c>
      <c r="EV228" s="95">
        <f>IF(AP228="",10,MIN(VLOOKUP(D228,MATERIAL,13,FALSE()),'Item Builder'!$W228))</f>
        <v>10</v>
      </c>
      <c r="EW228" s="95">
        <f>IF(AQ228="",10,MIN(VLOOKUP(E228,MATERIAL,13,FALSE()),'Item Builder'!$W228))</f>
        <v>0</v>
      </c>
      <c r="EX228" s="95">
        <f>IF(AR228="",10,MIN(VLOOKUP(F228,MATERIAL,13,FALSE()),'Item Builder'!$W228))</f>
        <v>0</v>
      </c>
      <c r="EY228" s="95">
        <f>IF(AS228="",10,MIN(VLOOKUP(G228,MATERIAL,13,FALSE()),'Item Builder'!$W228))</f>
        <v>0</v>
      </c>
      <c r="EZ228" s="95">
        <f>IF(AT228="",10,MIN(VLOOKUP(H228,MATERIAL,13,FALSE()),'Item Builder'!$W228))</f>
        <v>10</v>
      </c>
      <c r="FA228" s="95">
        <f>IF(AU228="",10,MIN(VLOOKUP(I228,MATERIAL,13,FALSE()),'Item Builder'!$W228))</f>
        <v>10</v>
      </c>
      <c r="FB228" s="95">
        <f>IF(AV228="",10,MIN(VLOOKUP(J228,MATERIAL,13,FALSE()),'Item Builder'!$W228))</f>
        <v>0</v>
      </c>
      <c r="FC228" s="95">
        <f>IF(AW228="",10,MIN(VLOOKUP(K228,MATERIAL,13,FALSE()),'Item Builder'!$W228))</f>
        <v>0</v>
      </c>
      <c r="FD228" s="95">
        <f>IF(AX228="",10,MIN(VLOOKUP(L228,MATERIAL,13,FALSE()),'Item Builder'!$W228))</f>
        <v>0</v>
      </c>
      <c r="FE228" s="95">
        <f>IF(AY228="",10,MIN(VLOOKUP(M228,MATERIAL,13,FALSE()),'Item Builder'!$W228))</f>
        <v>10</v>
      </c>
      <c r="FF228" s="95">
        <f>IF(AZ228="",10,MIN(VLOOKUP(N228,MATERIAL,13,FALSE()),'Item Builder'!$W228))</f>
        <v>10</v>
      </c>
      <c r="FG228" s="95">
        <f>IF(BA228="",10,MIN(VLOOKUP(O228,MATERIAL,13,FALSE()),'Item Builder'!$W228))</f>
        <v>10</v>
      </c>
      <c r="FH228" s="95">
        <f>IF(BB228="",10,MIN(VLOOKUP(P228,MATERIAL,13,FALSE()),'Item Builder'!$W228))</f>
        <v>10</v>
      </c>
    </row>
    <row r="229" spans="1:164" x14ac:dyDescent="0.25">
      <c r="A229" s="67" t="s">
        <v>369</v>
      </c>
      <c r="B229" s="68"/>
      <c r="C229" s="69"/>
      <c r="D229" s="70"/>
      <c r="E229" s="68"/>
      <c r="F229" s="69"/>
      <c r="G229" s="69"/>
      <c r="H229" s="69"/>
      <c r="I229" s="70"/>
      <c r="J229" s="68"/>
      <c r="K229" s="69"/>
      <c r="L229" s="70"/>
      <c r="M229" s="68"/>
      <c r="N229" s="69"/>
      <c r="O229" s="69" t="s">
        <v>186</v>
      </c>
      <c r="P229" s="71" t="s">
        <v>186</v>
      </c>
      <c r="Q229" s="72">
        <f>SUM(BV229:CJ229)*VLOOKUP(W229,Tables!$W$3:$Z$8,4)</f>
        <v>114</v>
      </c>
      <c r="R229" s="73">
        <f t="shared" si="168"/>
        <v>3.8</v>
      </c>
      <c r="S229" s="74">
        <f t="shared" si="169"/>
        <v>0</v>
      </c>
      <c r="T229" s="74">
        <f t="shared" si="170"/>
        <v>0</v>
      </c>
      <c r="U229" s="75">
        <f t="shared" si="171"/>
        <v>22.799999999999997</v>
      </c>
      <c r="V229" s="76">
        <f t="shared" si="172"/>
        <v>85.5</v>
      </c>
      <c r="W229" s="77">
        <v>0</v>
      </c>
      <c r="X229" s="78">
        <f t="shared" si="173"/>
        <v>0</v>
      </c>
      <c r="Y229" s="79">
        <f t="shared" si="174"/>
        <v>0</v>
      </c>
      <c r="Z229" s="79">
        <f t="shared" si="175"/>
        <v>0</v>
      </c>
      <c r="AA229" s="78">
        <f t="shared" si="176"/>
        <v>0</v>
      </c>
      <c r="AB229" s="79">
        <f t="shared" si="177"/>
        <v>0</v>
      </c>
      <c r="AC229" s="79">
        <f t="shared" si="178"/>
        <v>0</v>
      </c>
      <c r="AD229" s="79">
        <f t="shared" si="179"/>
        <v>0</v>
      </c>
      <c r="AE229" s="79">
        <f t="shared" si="180"/>
        <v>0</v>
      </c>
      <c r="AF229" s="78">
        <f t="shared" si="181"/>
        <v>0</v>
      </c>
      <c r="AG229" s="79">
        <f t="shared" si="182"/>
        <v>0</v>
      </c>
      <c r="AH229" s="79">
        <f t="shared" si="183"/>
        <v>0</v>
      </c>
      <c r="AI229" s="78">
        <f t="shared" si="184"/>
        <v>0</v>
      </c>
      <c r="AJ229" s="79">
        <f t="shared" si="185"/>
        <v>0</v>
      </c>
      <c r="AK229" s="79">
        <f t="shared" si="186"/>
        <v>1</v>
      </c>
      <c r="AL229" s="80">
        <f t="shared" si="187"/>
        <v>1</v>
      </c>
      <c r="AM229" s="81">
        <f t="shared" si="188"/>
        <v>0.19</v>
      </c>
      <c r="AN229" s="82" t="str">
        <f t="shared" si="189"/>
        <v/>
      </c>
      <c r="AO229" s="79" t="str">
        <f t="shared" si="190"/>
        <v/>
      </c>
      <c r="AP229" t="str">
        <f t="shared" si="191"/>
        <v/>
      </c>
      <c r="AQ229" s="82" t="str">
        <f t="shared" si="192"/>
        <v/>
      </c>
      <c r="AR229" t="str">
        <f t="shared" si="193"/>
        <v/>
      </c>
      <c r="AS229" t="str">
        <f t="shared" si="194"/>
        <v/>
      </c>
      <c r="AT229" t="str">
        <f t="shared" si="195"/>
        <v/>
      </c>
      <c r="AU229" t="str">
        <f t="shared" si="196"/>
        <v/>
      </c>
      <c r="AV229" s="82" t="str">
        <f t="shared" si="197"/>
        <v/>
      </c>
      <c r="AW229" t="str">
        <f t="shared" si="198"/>
        <v/>
      </c>
      <c r="AX229" t="str">
        <f t="shared" si="199"/>
        <v/>
      </c>
      <c r="AY229" s="82" t="str">
        <f t="shared" si="200"/>
        <v/>
      </c>
      <c r="AZ229" t="str">
        <f t="shared" si="201"/>
        <v/>
      </c>
      <c r="BA229" t="str">
        <f t="shared" si="202"/>
        <v>Q</v>
      </c>
      <c r="BB229" s="83" t="str">
        <f t="shared" si="203"/>
        <v>Q</v>
      </c>
      <c r="BC229" s="84">
        <f t="shared" si="204"/>
        <v>0</v>
      </c>
      <c r="BD229" s="84">
        <f t="shared" si="205"/>
        <v>0</v>
      </c>
      <c r="BE229" s="84">
        <f t="shared" si="206"/>
        <v>0</v>
      </c>
      <c r="BF229" s="84">
        <f t="shared" si="207"/>
        <v>0.52777777777777768</v>
      </c>
      <c r="BG229" s="78">
        <f>IF(AN229="",0,VLOOKUP(AN229,Tables!$AB$3:$AC$12,2))</f>
        <v>0</v>
      </c>
      <c r="BH229" s="79">
        <f>IF(AO229="",0,VLOOKUP(AO229,Tables!$AB$3:$AC$12,2))</f>
        <v>0</v>
      </c>
      <c r="BI229" s="79">
        <f>IF(AP229="",0,VLOOKUP(AP229,Tables!$AB$3:$AC$12,2))</f>
        <v>0</v>
      </c>
      <c r="BJ229" s="78">
        <f>IF(AQ229="",0,VLOOKUP(AQ229,Tables!$AB$3:$AC$12,2))</f>
        <v>0</v>
      </c>
      <c r="BK229" s="79">
        <f>IF(AR229="",0,VLOOKUP(AR229,Tables!$AB$3:$AC$12,2))</f>
        <v>0</v>
      </c>
      <c r="BL229" s="79">
        <f>IF(AS229="",0,VLOOKUP(AS229,Tables!$AB$3:$AC$12,2))</f>
        <v>0</v>
      </c>
      <c r="BM229" s="79">
        <f>IF(AT229="",0,VLOOKUP(AT229,Tables!$AB$3:$AC$12,2))</f>
        <v>0</v>
      </c>
      <c r="BN229" s="79">
        <f>IF(AU229="",0,VLOOKUP(AU229,Tables!$AB$3:$AC$12,2))</f>
        <v>0</v>
      </c>
      <c r="BO229" s="78">
        <f>IF(AV229="",0,VLOOKUP(AV229,Tables!$AB$3:$AC$12,2))</f>
        <v>0</v>
      </c>
      <c r="BP229" s="79">
        <f>IF(AW229="",0,VLOOKUP(AW229,Tables!$AB$3:$AC$12,2))</f>
        <v>0</v>
      </c>
      <c r="BQ229" s="79">
        <f>IF(AX229="",0,VLOOKUP(AX229,Tables!$AB$3:$AC$12,2))</f>
        <v>0</v>
      </c>
      <c r="BR229" s="78">
        <f>IF(AY229="",0,VLOOKUP(AY229,Tables!$AB$3:$AC$12,2))</f>
        <v>0</v>
      </c>
      <c r="BS229" s="79">
        <f>IF(AZ229="",0,VLOOKUP(AZ229,Tables!$AB$3:$AC$12,2))</f>
        <v>0</v>
      </c>
      <c r="BT229" s="79">
        <f>IF(BA229="",0,VLOOKUP(BA229,Tables!$AB$3:$AC$12,2))</f>
        <v>2</v>
      </c>
      <c r="BU229" s="80">
        <f>IF(BB229="",0,VLOOKUP(BB229,Tables!$AB$3:$AC$12,2))</f>
        <v>2</v>
      </c>
      <c r="BV229" s="85">
        <f>IF(AN229="",0,VLOOKUP(B229,Tables!$B$3:$D$36,2,FALSE())*X$1)</f>
        <v>0</v>
      </c>
      <c r="BW229" s="72">
        <f>IF(AO229="",0,VLOOKUP(C229,Tables!$B$3:$D$36,2,FALSE())*Y$1)</f>
        <v>0</v>
      </c>
      <c r="BX229" s="72">
        <f>IF(AP229="",0,VLOOKUP(D229,Tables!$B$3:$D$36,2,FALSE())*Z$1)</f>
        <v>0</v>
      </c>
      <c r="BY229" s="85">
        <f>IF(AQ229="",0,VLOOKUP(E229,Tables!$B$3:$D$36,2,FALSE())*AA$1)</f>
        <v>0</v>
      </c>
      <c r="BZ229" s="72">
        <f>IF(AR229="",0,VLOOKUP(F229,Tables!$B$3:$D$36,2,FALSE())*AB$1)</f>
        <v>0</v>
      </c>
      <c r="CA229" s="72">
        <f>IF(AS229="",0,VLOOKUP(G229,Tables!$B$3:$D$36,2,FALSE())*AC$1)</f>
        <v>0</v>
      </c>
      <c r="CB229" s="72">
        <f>IF(AT229="",0,VLOOKUP(H229,Tables!$B$3:$D$36,2,FALSE())*AD$1)</f>
        <v>0</v>
      </c>
      <c r="CC229" s="72">
        <f>IF(AU229="",0,VLOOKUP(I229,Tables!$B$3:$D$36,2,FALSE())*AE$1)</f>
        <v>0</v>
      </c>
      <c r="CD229" s="85">
        <f>IF(AV229="",0,VLOOKUP(J229,Tables!$B$3:$D$36,2,FALSE())*AF$1)</f>
        <v>0</v>
      </c>
      <c r="CE229" s="72">
        <f>IF(AW229="",0,VLOOKUP(K229,Tables!$B$3:$D$36,2,FALSE())*AG$1)</f>
        <v>0</v>
      </c>
      <c r="CF229" s="72">
        <f>IF(AX229="",0,VLOOKUP(L229,Tables!$B$3:$D$36,2,FALSE())*AH$1)</f>
        <v>0</v>
      </c>
      <c r="CG229" s="85">
        <f>IF(AY229="",0,VLOOKUP(M229,Tables!$B$3:$D$36,2,FALSE())*AI$1)</f>
        <v>0</v>
      </c>
      <c r="CH229" s="72">
        <f>IF(AZ229="",0,VLOOKUP(N229,Tables!$B$3:$D$36,2,FALSE())*AJ$1)</f>
        <v>0</v>
      </c>
      <c r="CI229" s="72">
        <f>IF(BA229="",0,VLOOKUP(O229,Tables!$B$3:$D$36,2,FALSE())*AK$1)</f>
        <v>72</v>
      </c>
      <c r="CJ229" s="86">
        <f>IF(BB229="",0,VLOOKUP(P229,Tables!$B$3:$D$36,2,FALSE())*AL$1)</f>
        <v>42.000000000000007</v>
      </c>
      <c r="CK229" s="87">
        <f>IF(AN229="",0,VLOOKUP(B229,Tables!$B$3:$D$36,3,FALSE())*X$1)*IF(OR(AN229="K",AN229="P"),2,1)</f>
        <v>0</v>
      </c>
      <c r="CL229" s="73">
        <f>IF(AO229="",0,VLOOKUP(C229,Tables!$B$3:$D$36,3,FALSE())*Y$1)*IF(OR(AO229="K",AO229="P"),2,1)</f>
        <v>0</v>
      </c>
      <c r="CM229" s="73">
        <f>IF(AP229="",0,VLOOKUP(D229,Tables!$B$3:$D$36,3,FALSE())*Z$1)*IF(OR(AP229="K",AP229="P"),2,1)</f>
        <v>0</v>
      </c>
      <c r="CN229" s="87">
        <f>IF(AQ229="",0,VLOOKUP(E229,Tables!$B$3:$D$36,3,FALSE())*AA$1)</f>
        <v>0</v>
      </c>
      <c r="CO229" s="73">
        <f>IF(AR229="",0,VLOOKUP(F229,Tables!$B$3:$D$36,3,FALSE())*AB$1)</f>
        <v>0</v>
      </c>
      <c r="CP229" s="73">
        <f>IF(AS229="",0,VLOOKUP(G229,Tables!$B$3:$D$36,3,FALSE())*AC$1)</f>
        <v>0</v>
      </c>
      <c r="CQ229" s="73">
        <f>IF(AT229="",0,VLOOKUP(H229,Tables!$B$3:$D$36,3,FALSE())*AD$1)</f>
        <v>0</v>
      </c>
      <c r="CR229" s="73">
        <f>IF(AU229="",0,VLOOKUP(I229,Tables!$B$3:$D$36,3,FALSE())*AE$1)</f>
        <v>0</v>
      </c>
      <c r="CS229" s="87">
        <f>IF(AV229="",0,VLOOKUP(J229,Tables!$B$3:$D$36,3,FALSE())*AF$1)</f>
        <v>0</v>
      </c>
      <c r="CT229" s="73">
        <f>IF(AW229="",0,VLOOKUP(K229,Tables!$B$3:$D$36,3,FALSE())*AG$1)</f>
        <v>0</v>
      </c>
      <c r="CU229" s="73">
        <f>IF(AX229="",0,VLOOKUP(L229,Tables!$B$3:$D$36,3,FALSE())*AH$1)</f>
        <v>0</v>
      </c>
      <c r="CV229" s="87">
        <f>IF(AY229="",0,VLOOKUP(M229,Tables!$B$3:$D$36,3,FALSE())*AI$1)</f>
        <v>0</v>
      </c>
      <c r="CW229" s="73">
        <f>IF(AZ229="",0,VLOOKUP(N229,Tables!$B$3:$D$36,3,FALSE())*AJ$1)</f>
        <v>0</v>
      </c>
      <c r="CX229" s="73">
        <f>IF(BA229="",0,VLOOKUP(O229,Tables!$B$3:$D$36,3,FALSE())*AK$1)</f>
        <v>2.4</v>
      </c>
      <c r="CY229" s="88">
        <f>IF(BB229="",0,VLOOKUP(P229,Tables!$B$3:$D$36,3,FALSE())*AL$1)</f>
        <v>1.4000000000000001</v>
      </c>
      <c r="CZ229" s="89">
        <f t="shared" si="208"/>
        <v>0</v>
      </c>
      <c r="DA229" s="75">
        <f t="shared" si="209"/>
        <v>0</v>
      </c>
      <c r="DB229" s="75">
        <f t="shared" si="210"/>
        <v>0</v>
      </c>
      <c r="DC229" s="89">
        <f t="shared" si="211"/>
        <v>0</v>
      </c>
      <c r="DD229" s="75">
        <f t="shared" si="212"/>
        <v>0</v>
      </c>
      <c r="DE229" s="75">
        <f t="shared" si="213"/>
        <v>0</v>
      </c>
      <c r="DF229" s="75">
        <f t="shared" si="214"/>
        <v>0</v>
      </c>
      <c r="DG229" s="75">
        <f t="shared" si="215"/>
        <v>0</v>
      </c>
      <c r="DH229" s="89">
        <f t="shared" si="216"/>
        <v>0</v>
      </c>
      <c r="DI229" s="75">
        <f t="shared" si="217"/>
        <v>0</v>
      </c>
      <c r="DJ229" s="75">
        <f t="shared" si="218"/>
        <v>0</v>
      </c>
      <c r="DK229" s="89">
        <f t="shared" si="219"/>
        <v>0</v>
      </c>
      <c r="DL229" s="75">
        <f t="shared" si="220"/>
        <v>0</v>
      </c>
      <c r="DM229" s="75">
        <f t="shared" si="221"/>
        <v>1</v>
      </c>
      <c r="DN229" s="90">
        <f t="shared" si="222"/>
        <v>1</v>
      </c>
      <c r="DO229" s="91">
        <f>IF(AN229="",0,VLOOKUP(B229,Tables!$B$3:$M$36,11,FALSE())*X$1)</f>
        <v>0</v>
      </c>
      <c r="DP229" s="92">
        <f>IF(AO229="",0,VLOOKUP(C229,Tables!$B$3:$M$36,11,FALSE())*Y$1)</f>
        <v>0</v>
      </c>
      <c r="DQ229" s="92">
        <f>IF(AP229="",0,VLOOKUP(D229,Tables!$B$3:$M$36,11,FALSE())*Z$1)</f>
        <v>0</v>
      </c>
      <c r="DR229" s="91">
        <f>IF(AQ229="",0,VLOOKUP(E229,Tables!$B$3:$M$36,11,FALSE())*AA$1)</f>
        <v>0</v>
      </c>
      <c r="DS229" s="92">
        <f>IF(AR229="",0,VLOOKUP(F229,Tables!$B$3:$M$36,11,FALSE())*AB$1)</f>
        <v>0</v>
      </c>
      <c r="DT229" s="92">
        <f>IF(AS229="",0,VLOOKUP(G229,Tables!$B$3:$M$36,11,FALSE())*AC$1)</f>
        <v>0</v>
      </c>
      <c r="DU229" s="92">
        <f>IF(AT229="",0,VLOOKUP(H229,Tables!$B$3:$M$36,11,FALSE())*AD$1)</f>
        <v>0</v>
      </c>
      <c r="DV229" s="92">
        <f>IF(AU229="",0,VLOOKUP(I229,Tables!$B$3:$M$36,11,FALSE())*AE$1)</f>
        <v>0</v>
      </c>
      <c r="DW229" s="91">
        <f>IF(AV229="",0,VLOOKUP(J229,Tables!$B$3:$M$36,11,FALSE())*AF$1)</f>
        <v>0</v>
      </c>
      <c r="DX229" s="92">
        <f>IF(AW229="",0,VLOOKUP(K229,Tables!$B$3:$M$36,11,FALSE())*AG$1)</f>
        <v>0</v>
      </c>
      <c r="DY229" s="92">
        <f>IF(AX229="",0,VLOOKUP(L229,Tables!$B$3:$M$36,11,FALSE())*AH$1)</f>
        <v>0</v>
      </c>
      <c r="DZ229" s="91">
        <f>IF(AY229="",0,VLOOKUP(M229,Tables!$B$3:$M$36,11,FALSE())*AI$1)</f>
        <v>0</v>
      </c>
      <c r="EA229" s="92">
        <f>IF(AZ229="",0,VLOOKUP(N229,Tables!$B$3:$M$36,11,FALSE())*AJ$1)</f>
        <v>0</v>
      </c>
      <c r="EB229" s="92">
        <f>IF(BA229="",0,VLOOKUP(O229,Tables!$B$3:$M$36,11,FALSE())*AK$1)</f>
        <v>14.399999999999999</v>
      </c>
      <c r="EC229" s="93">
        <f>IF(BB229="",0,VLOOKUP(P229,Tables!$B$3:$M$36,11,FALSE())*AL$1)</f>
        <v>8.4</v>
      </c>
      <c r="ED229" s="91">
        <f>IF(AN229="",0,VLOOKUP(B229,Tables!$B$3:$M$36,12,FALSE())*X$1)</f>
        <v>0</v>
      </c>
      <c r="EE229" s="92">
        <f>IF(AO229="",0,VLOOKUP(C229,Tables!$B$3:$M$36,12,FALSE())*Y$1)</f>
        <v>0</v>
      </c>
      <c r="EF229" s="92">
        <f>IF(AP229="",0,VLOOKUP(D229,Tables!$B$3:$M$36,12,FALSE())*Z$1)</f>
        <v>0</v>
      </c>
      <c r="EG229" s="91">
        <f>IF(AQ229="",0,VLOOKUP(E229,Tables!$B$3:$M$36,12,FALSE())*AA$1)</f>
        <v>0</v>
      </c>
      <c r="EH229" s="92">
        <f>IF(AR229="",0,VLOOKUP(F229,Tables!$B$3:$M$36,12,FALSE())*AB$1)</f>
        <v>0</v>
      </c>
      <c r="EI229" s="92">
        <f>IF(AS229="",0,VLOOKUP(G229,Tables!$B$3:$M$36,12,FALSE())*AC$1)</f>
        <v>0</v>
      </c>
      <c r="EJ229" s="92">
        <f>IF(AT229="",0,VLOOKUP(H229,Tables!$B$3:$M$36,12,FALSE())*AD$1)</f>
        <v>0</v>
      </c>
      <c r="EK229" s="92">
        <f>IF(AU229="",0,VLOOKUP(I229,Tables!$B$3:$M$36,12,FALSE())*AE$1)</f>
        <v>0</v>
      </c>
      <c r="EL229" s="91">
        <f>IF(AV229="",0,VLOOKUP(J229,Tables!$B$3:$M$36,12,FALSE())*AF$1)</f>
        <v>0</v>
      </c>
      <c r="EM229" s="92">
        <f>IF(AW229="",0,VLOOKUP(K229,Tables!$B$3:$M$36,12,FALSE())*AG$1)</f>
        <v>0</v>
      </c>
      <c r="EN229" s="92">
        <f>IF(AX229="",0,VLOOKUP(L229,Tables!$B$3:$M$36,12,FALSE())*AH$1)</f>
        <v>0</v>
      </c>
      <c r="EO229" s="91">
        <f>IF(AY229="",0,VLOOKUP(M229,Tables!$B$3:$M$36,12,FALSE())*AI$1)</f>
        <v>0</v>
      </c>
      <c r="EP229" s="92">
        <f>IF(AZ229="",0,VLOOKUP(N229,Tables!$B$3:$M$36,12,FALSE())*AJ$1)</f>
        <v>0</v>
      </c>
      <c r="EQ229" s="92">
        <f>IF(BA229="",0,VLOOKUP(O229,Tables!$B$3:$M$36,12,FALSE())*AK$1)</f>
        <v>54</v>
      </c>
      <c r="ER229" s="93">
        <f>IF(BB229="",0,VLOOKUP(P229,Tables!$B$3:$M$36,12,FALSE())*AL$1)</f>
        <v>31.500000000000004</v>
      </c>
      <c r="ES229" s="94">
        <f t="shared" si="223"/>
        <v>0</v>
      </c>
      <c r="ET229" s="95">
        <f>IF(AN229="",10,MIN(VLOOKUP(B229,MATERIAL,13,FALSE()),'Item Builder'!$W229))</f>
        <v>10</v>
      </c>
      <c r="EU229" s="95">
        <f>IF(AO229="",10,MIN(VLOOKUP(C229,MATERIAL,13,FALSE()),'Item Builder'!$W229))</f>
        <v>10</v>
      </c>
      <c r="EV229" s="95">
        <f>IF(AP229="",10,MIN(VLOOKUP(D229,MATERIAL,13,FALSE()),'Item Builder'!$W229))</f>
        <v>10</v>
      </c>
      <c r="EW229" s="95">
        <f>IF(AQ229="",10,MIN(VLOOKUP(E229,MATERIAL,13,FALSE()),'Item Builder'!$W229))</f>
        <v>10</v>
      </c>
      <c r="EX229" s="95">
        <f>IF(AR229="",10,MIN(VLOOKUP(F229,MATERIAL,13,FALSE()),'Item Builder'!$W229))</f>
        <v>10</v>
      </c>
      <c r="EY229" s="95">
        <f>IF(AS229="",10,MIN(VLOOKUP(G229,MATERIAL,13,FALSE()),'Item Builder'!$W229))</f>
        <v>10</v>
      </c>
      <c r="EZ229" s="95">
        <f>IF(AT229="",10,MIN(VLOOKUP(H229,MATERIAL,13,FALSE()),'Item Builder'!$W229))</f>
        <v>10</v>
      </c>
      <c r="FA229" s="95">
        <f>IF(AU229="",10,MIN(VLOOKUP(I229,MATERIAL,13,FALSE()),'Item Builder'!$W229))</f>
        <v>10</v>
      </c>
      <c r="FB229" s="95">
        <f>IF(AV229="",10,MIN(VLOOKUP(J229,MATERIAL,13,FALSE()),'Item Builder'!$W229))</f>
        <v>10</v>
      </c>
      <c r="FC229" s="95">
        <f>IF(AW229="",10,MIN(VLOOKUP(K229,MATERIAL,13,FALSE()),'Item Builder'!$W229))</f>
        <v>10</v>
      </c>
      <c r="FD229" s="95">
        <f>IF(AX229="",10,MIN(VLOOKUP(L229,MATERIAL,13,FALSE()),'Item Builder'!$W229))</f>
        <v>10</v>
      </c>
      <c r="FE229" s="95">
        <f>IF(AY229="",10,MIN(VLOOKUP(M229,MATERIAL,13,FALSE()),'Item Builder'!$W229))</f>
        <v>10</v>
      </c>
      <c r="FF229" s="95">
        <f>IF(AZ229="",10,MIN(VLOOKUP(N229,MATERIAL,13,FALSE()),'Item Builder'!$W229))</f>
        <v>10</v>
      </c>
      <c r="FG229" s="95">
        <f>IF(BA229="",10,MIN(VLOOKUP(O229,MATERIAL,13,FALSE()),'Item Builder'!$W229))</f>
        <v>0</v>
      </c>
      <c r="FH229" s="95">
        <f>IF(BB229="",10,MIN(VLOOKUP(P229,MATERIAL,13,FALSE()),'Item Builder'!$W229))</f>
        <v>0</v>
      </c>
    </row>
    <row r="230" spans="1:164" x14ac:dyDescent="0.25">
      <c r="A230" s="67" t="s">
        <v>370</v>
      </c>
      <c r="B230" s="68" t="s">
        <v>188</v>
      </c>
      <c r="C230" s="69"/>
      <c r="D230" s="70" t="s">
        <v>188</v>
      </c>
      <c r="E230" s="68"/>
      <c r="F230" s="69"/>
      <c r="G230" s="69"/>
      <c r="H230" s="69"/>
      <c r="I230" s="70"/>
      <c r="J230" s="68"/>
      <c r="K230" s="69"/>
      <c r="L230" s="70"/>
      <c r="M230" s="68"/>
      <c r="N230" s="69"/>
      <c r="O230" s="69"/>
      <c r="P230" s="71"/>
      <c r="Q230" s="72">
        <f>SUM(BV230:CJ230)*VLOOKUP(W230,Tables!$W$3:$Z$8,4)</f>
        <v>5.4</v>
      </c>
      <c r="R230" s="73">
        <f t="shared" si="168"/>
        <v>0.60000000000000009</v>
      </c>
      <c r="S230" s="74">
        <f t="shared" si="169"/>
        <v>0</v>
      </c>
      <c r="T230" s="74">
        <f t="shared" si="170"/>
        <v>5</v>
      </c>
      <c r="U230" s="75">
        <f t="shared" si="171"/>
        <v>3.5999999999999996</v>
      </c>
      <c r="V230" s="76">
        <f t="shared" si="172"/>
        <v>3.5999999999999996</v>
      </c>
      <c r="W230" s="77">
        <v>0</v>
      </c>
      <c r="X230" s="78">
        <f t="shared" si="173"/>
        <v>1</v>
      </c>
      <c r="Y230" s="79">
        <f t="shared" si="174"/>
        <v>0</v>
      </c>
      <c r="Z230" s="79">
        <f t="shared" si="175"/>
        <v>1</v>
      </c>
      <c r="AA230" s="78">
        <f t="shared" si="176"/>
        <v>0</v>
      </c>
      <c r="AB230" s="79">
        <f t="shared" si="177"/>
        <v>0</v>
      </c>
      <c r="AC230" s="79">
        <f t="shared" si="178"/>
        <v>0</v>
      </c>
      <c r="AD230" s="79">
        <f t="shared" si="179"/>
        <v>0</v>
      </c>
      <c r="AE230" s="79">
        <f t="shared" si="180"/>
        <v>0</v>
      </c>
      <c r="AF230" s="78">
        <f t="shared" si="181"/>
        <v>0</v>
      </c>
      <c r="AG230" s="79">
        <f t="shared" si="182"/>
        <v>0</v>
      </c>
      <c r="AH230" s="79">
        <f t="shared" si="183"/>
        <v>0</v>
      </c>
      <c r="AI230" s="78">
        <f t="shared" si="184"/>
        <v>0</v>
      </c>
      <c r="AJ230" s="79">
        <f t="shared" si="185"/>
        <v>0</v>
      </c>
      <c r="AK230" s="79">
        <f t="shared" si="186"/>
        <v>0</v>
      </c>
      <c r="AL230" s="80">
        <f t="shared" si="187"/>
        <v>0</v>
      </c>
      <c r="AM230" s="81">
        <f t="shared" si="188"/>
        <v>0.06</v>
      </c>
      <c r="AN230" s="82" t="str">
        <f t="shared" si="189"/>
        <v>L</v>
      </c>
      <c r="AO230" s="79" t="str">
        <f t="shared" si="190"/>
        <v/>
      </c>
      <c r="AP230" t="str">
        <f t="shared" si="191"/>
        <v>L</v>
      </c>
      <c r="AQ230" s="82" t="str">
        <f t="shared" si="192"/>
        <v/>
      </c>
      <c r="AR230" t="str">
        <f t="shared" si="193"/>
        <v/>
      </c>
      <c r="AS230" t="str">
        <f t="shared" si="194"/>
        <v/>
      </c>
      <c r="AT230" t="str">
        <f t="shared" si="195"/>
        <v/>
      </c>
      <c r="AU230" t="str">
        <f t="shared" si="196"/>
        <v/>
      </c>
      <c r="AV230" s="82" t="str">
        <f t="shared" si="197"/>
        <v/>
      </c>
      <c r="AW230" t="str">
        <f t="shared" si="198"/>
        <v/>
      </c>
      <c r="AX230" t="str">
        <f t="shared" si="199"/>
        <v/>
      </c>
      <c r="AY230" s="82" t="str">
        <f t="shared" si="200"/>
        <v/>
      </c>
      <c r="AZ230" t="str">
        <f t="shared" si="201"/>
        <v/>
      </c>
      <c r="BA230" t="str">
        <f t="shared" si="202"/>
        <v/>
      </c>
      <c r="BB230" s="83" t="str">
        <f t="shared" si="203"/>
        <v/>
      </c>
      <c r="BC230" s="84">
        <f t="shared" si="204"/>
        <v>0.66666666666666652</v>
      </c>
      <c r="BD230" s="84">
        <f t="shared" si="205"/>
        <v>0</v>
      </c>
      <c r="BE230" s="84">
        <f t="shared" si="206"/>
        <v>0</v>
      </c>
      <c r="BF230" s="84">
        <f t="shared" si="207"/>
        <v>0</v>
      </c>
      <c r="BG230" s="78">
        <f>IF(AN230="",0,VLOOKUP(AN230,Tables!$AB$3:$AC$12,2))</f>
        <v>1</v>
      </c>
      <c r="BH230" s="79">
        <f>IF(AO230="",0,VLOOKUP(AO230,Tables!$AB$3:$AC$12,2))</f>
        <v>0</v>
      </c>
      <c r="BI230" s="79">
        <f>IF(AP230="",0,VLOOKUP(AP230,Tables!$AB$3:$AC$12,2))</f>
        <v>1</v>
      </c>
      <c r="BJ230" s="78">
        <f>IF(AQ230="",0,VLOOKUP(AQ230,Tables!$AB$3:$AC$12,2))</f>
        <v>0</v>
      </c>
      <c r="BK230" s="79">
        <f>IF(AR230="",0,VLOOKUP(AR230,Tables!$AB$3:$AC$12,2))</f>
        <v>0</v>
      </c>
      <c r="BL230" s="79">
        <f>IF(AS230="",0,VLOOKUP(AS230,Tables!$AB$3:$AC$12,2))</f>
        <v>0</v>
      </c>
      <c r="BM230" s="79">
        <f>IF(AT230="",0,VLOOKUP(AT230,Tables!$AB$3:$AC$12,2))</f>
        <v>0</v>
      </c>
      <c r="BN230" s="79">
        <f>IF(AU230="",0,VLOOKUP(AU230,Tables!$AB$3:$AC$12,2))</f>
        <v>0</v>
      </c>
      <c r="BO230" s="78">
        <f>IF(AV230="",0,VLOOKUP(AV230,Tables!$AB$3:$AC$12,2))</f>
        <v>0</v>
      </c>
      <c r="BP230" s="79">
        <f>IF(AW230="",0,VLOOKUP(AW230,Tables!$AB$3:$AC$12,2))</f>
        <v>0</v>
      </c>
      <c r="BQ230" s="79">
        <f>IF(AX230="",0,VLOOKUP(AX230,Tables!$AB$3:$AC$12,2))</f>
        <v>0</v>
      </c>
      <c r="BR230" s="78">
        <f>IF(AY230="",0,VLOOKUP(AY230,Tables!$AB$3:$AC$12,2))</f>
        <v>0</v>
      </c>
      <c r="BS230" s="79">
        <f>IF(AZ230="",0,VLOOKUP(AZ230,Tables!$AB$3:$AC$12,2))</f>
        <v>0</v>
      </c>
      <c r="BT230" s="79">
        <f>IF(BA230="",0,VLOOKUP(BA230,Tables!$AB$3:$AC$12,2))</f>
        <v>0</v>
      </c>
      <c r="BU230" s="80">
        <f>IF(BB230="",0,VLOOKUP(BB230,Tables!$AB$3:$AC$12,2))</f>
        <v>0</v>
      </c>
      <c r="BV230" s="85">
        <f>IF(AN230="",0,VLOOKUP(B230,Tables!$B$3:$D$36,2,FALSE())*X$1)</f>
        <v>3.6</v>
      </c>
      <c r="BW230" s="72">
        <f>IF(AO230="",0,VLOOKUP(C230,Tables!$B$3:$D$36,2,FALSE())*Y$1)</f>
        <v>0</v>
      </c>
      <c r="BX230" s="72">
        <f>IF(AP230="",0,VLOOKUP(D230,Tables!$B$3:$D$36,2,FALSE())*Z$1)</f>
        <v>1.8</v>
      </c>
      <c r="BY230" s="85">
        <f>IF(AQ230="",0,VLOOKUP(E230,Tables!$B$3:$D$36,2,FALSE())*AA$1)</f>
        <v>0</v>
      </c>
      <c r="BZ230" s="72">
        <f>IF(AR230="",0,VLOOKUP(F230,Tables!$B$3:$D$36,2,FALSE())*AB$1)</f>
        <v>0</v>
      </c>
      <c r="CA230" s="72">
        <f>IF(AS230="",0,VLOOKUP(G230,Tables!$B$3:$D$36,2,FALSE())*AC$1)</f>
        <v>0</v>
      </c>
      <c r="CB230" s="72">
        <f>IF(AT230="",0,VLOOKUP(H230,Tables!$B$3:$D$36,2,FALSE())*AD$1)</f>
        <v>0</v>
      </c>
      <c r="CC230" s="72">
        <f>IF(AU230="",0,VLOOKUP(I230,Tables!$B$3:$D$36,2,FALSE())*AE$1)</f>
        <v>0</v>
      </c>
      <c r="CD230" s="85">
        <f>IF(AV230="",0,VLOOKUP(J230,Tables!$B$3:$D$36,2,FALSE())*AF$1)</f>
        <v>0</v>
      </c>
      <c r="CE230" s="72">
        <f>IF(AW230="",0,VLOOKUP(K230,Tables!$B$3:$D$36,2,FALSE())*AG$1)</f>
        <v>0</v>
      </c>
      <c r="CF230" s="72">
        <f>IF(AX230="",0,VLOOKUP(L230,Tables!$B$3:$D$36,2,FALSE())*AH$1)</f>
        <v>0</v>
      </c>
      <c r="CG230" s="85">
        <f>IF(AY230="",0,VLOOKUP(M230,Tables!$B$3:$D$36,2,FALSE())*AI$1)</f>
        <v>0</v>
      </c>
      <c r="CH230" s="72">
        <f>IF(AZ230="",0,VLOOKUP(N230,Tables!$B$3:$D$36,2,FALSE())*AJ$1)</f>
        <v>0</v>
      </c>
      <c r="CI230" s="72">
        <f>IF(BA230="",0,VLOOKUP(O230,Tables!$B$3:$D$36,2,FALSE())*AK$1)</f>
        <v>0</v>
      </c>
      <c r="CJ230" s="86">
        <f>IF(BB230="",0,VLOOKUP(P230,Tables!$B$3:$D$36,2,FALSE())*AL$1)</f>
        <v>0</v>
      </c>
      <c r="CK230" s="87">
        <f>IF(AN230="",0,VLOOKUP(B230,Tables!$B$3:$D$36,3,FALSE())*X$1)*IF(OR(AN230="K",AN230="P"),2,1)</f>
        <v>0.4</v>
      </c>
      <c r="CL230" s="73">
        <f>IF(AO230="",0,VLOOKUP(C230,Tables!$B$3:$D$36,3,FALSE())*Y$1)*IF(OR(AO230="K",AO230="P"),2,1)</f>
        <v>0</v>
      </c>
      <c r="CM230" s="73">
        <f>IF(AP230="",0,VLOOKUP(D230,Tables!$B$3:$D$36,3,FALSE())*Z$1)*IF(OR(AP230="K",AP230="P"),2,1)</f>
        <v>0.2</v>
      </c>
      <c r="CN230" s="87">
        <f>IF(AQ230="",0,VLOOKUP(E230,Tables!$B$3:$D$36,3,FALSE())*AA$1)</f>
        <v>0</v>
      </c>
      <c r="CO230" s="73">
        <f>IF(AR230="",0,VLOOKUP(F230,Tables!$B$3:$D$36,3,FALSE())*AB$1)</f>
        <v>0</v>
      </c>
      <c r="CP230" s="73">
        <f>IF(AS230="",0,VLOOKUP(G230,Tables!$B$3:$D$36,3,FALSE())*AC$1)</f>
        <v>0</v>
      </c>
      <c r="CQ230" s="73">
        <f>IF(AT230="",0,VLOOKUP(H230,Tables!$B$3:$D$36,3,FALSE())*AD$1)</f>
        <v>0</v>
      </c>
      <c r="CR230" s="73">
        <f>IF(AU230="",0,VLOOKUP(I230,Tables!$B$3:$D$36,3,FALSE())*AE$1)</f>
        <v>0</v>
      </c>
      <c r="CS230" s="87">
        <f>IF(AV230="",0,VLOOKUP(J230,Tables!$B$3:$D$36,3,FALSE())*AF$1)</f>
        <v>0</v>
      </c>
      <c r="CT230" s="73">
        <f>IF(AW230="",0,VLOOKUP(K230,Tables!$B$3:$D$36,3,FALSE())*AG$1)</f>
        <v>0</v>
      </c>
      <c r="CU230" s="73">
        <f>IF(AX230="",0,VLOOKUP(L230,Tables!$B$3:$D$36,3,FALSE())*AH$1)</f>
        <v>0</v>
      </c>
      <c r="CV230" s="87">
        <f>IF(AY230="",0,VLOOKUP(M230,Tables!$B$3:$D$36,3,FALSE())*AI$1)</f>
        <v>0</v>
      </c>
      <c r="CW230" s="73">
        <f>IF(AZ230="",0,VLOOKUP(N230,Tables!$B$3:$D$36,3,FALSE())*AJ$1)</f>
        <v>0</v>
      </c>
      <c r="CX230" s="73">
        <f>IF(BA230="",0,VLOOKUP(O230,Tables!$B$3:$D$36,3,FALSE())*AK$1)</f>
        <v>0</v>
      </c>
      <c r="CY230" s="88">
        <f>IF(BB230="",0,VLOOKUP(P230,Tables!$B$3:$D$36,3,FALSE())*AL$1)</f>
        <v>0</v>
      </c>
      <c r="CZ230" s="89">
        <f t="shared" si="208"/>
        <v>1</v>
      </c>
      <c r="DA230" s="75">
        <f t="shared" si="209"/>
        <v>0</v>
      </c>
      <c r="DB230" s="75">
        <f t="shared" si="210"/>
        <v>1</v>
      </c>
      <c r="DC230" s="89">
        <f t="shared" si="211"/>
        <v>0</v>
      </c>
      <c r="DD230" s="75">
        <f t="shared" si="212"/>
        <v>0</v>
      </c>
      <c r="DE230" s="75">
        <f t="shared" si="213"/>
        <v>0</v>
      </c>
      <c r="DF230" s="75">
        <f t="shared" si="214"/>
        <v>0</v>
      </c>
      <c r="DG230" s="75">
        <f t="shared" si="215"/>
        <v>0</v>
      </c>
      <c r="DH230" s="89">
        <f t="shared" si="216"/>
        <v>0</v>
      </c>
      <c r="DI230" s="75">
        <f t="shared" si="217"/>
        <v>0</v>
      </c>
      <c r="DJ230" s="75">
        <f t="shared" si="218"/>
        <v>0</v>
      </c>
      <c r="DK230" s="89">
        <f t="shared" si="219"/>
        <v>0</v>
      </c>
      <c r="DL230" s="75">
        <f t="shared" si="220"/>
        <v>0</v>
      </c>
      <c r="DM230" s="75">
        <f t="shared" si="221"/>
        <v>0</v>
      </c>
      <c r="DN230" s="90">
        <f t="shared" si="222"/>
        <v>0</v>
      </c>
      <c r="DO230" s="91">
        <f>IF(AN230="",0,VLOOKUP(B230,Tables!$B$3:$M$36,11,FALSE())*X$1)</f>
        <v>2.4</v>
      </c>
      <c r="DP230" s="92">
        <f>IF(AO230="",0,VLOOKUP(C230,Tables!$B$3:$M$36,11,FALSE())*Y$1)</f>
        <v>0</v>
      </c>
      <c r="DQ230" s="92">
        <f>IF(AP230="",0,VLOOKUP(D230,Tables!$B$3:$M$36,11,FALSE())*Z$1)</f>
        <v>1.2</v>
      </c>
      <c r="DR230" s="91">
        <f>IF(AQ230="",0,VLOOKUP(E230,Tables!$B$3:$M$36,11,FALSE())*AA$1)</f>
        <v>0</v>
      </c>
      <c r="DS230" s="92">
        <f>IF(AR230="",0,VLOOKUP(F230,Tables!$B$3:$M$36,11,FALSE())*AB$1)</f>
        <v>0</v>
      </c>
      <c r="DT230" s="92">
        <f>IF(AS230="",0,VLOOKUP(G230,Tables!$B$3:$M$36,11,FALSE())*AC$1)</f>
        <v>0</v>
      </c>
      <c r="DU230" s="92">
        <f>IF(AT230="",0,VLOOKUP(H230,Tables!$B$3:$M$36,11,FALSE())*AD$1)</f>
        <v>0</v>
      </c>
      <c r="DV230" s="92">
        <f>IF(AU230="",0,VLOOKUP(I230,Tables!$B$3:$M$36,11,FALSE())*AE$1)</f>
        <v>0</v>
      </c>
      <c r="DW230" s="91">
        <f>IF(AV230="",0,VLOOKUP(J230,Tables!$B$3:$M$36,11,FALSE())*AF$1)</f>
        <v>0</v>
      </c>
      <c r="DX230" s="92">
        <f>IF(AW230="",0,VLOOKUP(K230,Tables!$B$3:$M$36,11,FALSE())*AG$1)</f>
        <v>0</v>
      </c>
      <c r="DY230" s="92">
        <f>IF(AX230="",0,VLOOKUP(L230,Tables!$B$3:$M$36,11,FALSE())*AH$1)</f>
        <v>0</v>
      </c>
      <c r="DZ230" s="91">
        <f>IF(AY230="",0,VLOOKUP(M230,Tables!$B$3:$M$36,11,FALSE())*AI$1)</f>
        <v>0</v>
      </c>
      <c r="EA230" s="92">
        <f>IF(AZ230="",0,VLOOKUP(N230,Tables!$B$3:$M$36,11,FALSE())*AJ$1)</f>
        <v>0</v>
      </c>
      <c r="EB230" s="92">
        <f>IF(BA230="",0,VLOOKUP(O230,Tables!$B$3:$M$36,11,FALSE())*AK$1)</f>
        <v>0</v>
      </c>
      <c r="EC230" s="93">
        <f>IF(BB230="",0,VLOOKUP(P230,Tables!$B$3:$M$36,11,FALSE())*AL$1)</f>
        <v>0</v>
      </c>
      <c r="ED230" s="91">
        <f>IF(AN230="",0,VLOOKUP(B230,Tables!$B$3:$M$36,12,FALSE())*X$1)</f>
        <v>2.4</v>
      </c>
      <c r="EE230" s="92">
        <f>IF(AO230="",0,VLOOKUP(C230,Tables!$B$3:$M$36,12,FALSE())*Y$1)</f>
        <v>0</v>
      </c>
      <c r="EF230" s="92">
        <f>IF(AP230="",0,VLOOKUP(D230,Tables!$B$3:$M$36,12,FALSE())*Z$1)</f>
        <v>1.2</v>
      </c>
      <c r="EG230" s="91">
        <f>IF(AQ230="",0,VLOOKUP(E230,Tables!$B$3:$M$36,12,FALSE())*AA$1)</f>
        <v>0</v>
      </c>
      <c r="EH230" s="92">
        <f>IF(AR230="",0,VLOOKUP(F230,Tables!$B$3:$M$36,12,FALSE())*AB$1)</f>
        <v>0</v>
      </c>
      <c r="EI230" s="92">
        <f>IF(AS230="",0,VLOOKUP(G230,Tables!$B$3:$M$36,12,FALSE())*AC$1)</f>
        <v>0</v>
      </c>
      <c r="EJ230" s="92">
        <f>IF(AT230="",0,VLOOKUP(H230,Tables!$B$3:$M$36,12,FALSE())*AD$1)</f>
        <v>0</v>
      </c>
      <c r="EK230" s="92">
        <f>IF(AU230="",0,VLOOKUP(I230,Tables!$B$3:$M$36,12,FALSE())*AE$1)</f>
        <v>0</v>
      </c>
      <c r="EL230" s="91">
        <f>IF(AV230="",0,VLOOKUP(J230,Tables!$B$3:$M$36,12,FALSE())*AF$1)</f>
        <v>0</v>
      </c>
      <c r="EM230" s="92">
        <f>IF(AW230="",0,VLOOKUP(K230,Tables!$B$3:$M$36,12,FALSE())*AG$1)</f>
        <v>0</v>
      </c>
      <c r="EN230" s="92">
        <f>IF(AX230="",0,VLOOKUP(L230,Tables!$B$3:$M$36,12,FALSE())*AH$1)</f>
        <v>0</v>
      </c>
      <c r="EO230" s="91">
        <f>IF(AY230="",0,VLOOKUP(M230,Tables!$B$3:$M$36,12,FALSE())*AI$1)</f>
        <v>0</v>
      </c>
      <c r="EP230" s="92">
        <f>IF(AZ230="",0,VLOOKUP(N230,Tables!$B$3:$M$36,12,FALSE())*AJ$1)</f>
        <v>0</v>
      </c>
      <c r="EQ230" s="92">
        <f>IF(BA230="",0,VLOOKUP(O230,Tables!$B$3:$M$36,12,FALSE())*AK$1)</f>
        <v>0</v>
      </c>
      <c r="ER230" s="93">
        <f>IF(BB230="",0,VLOOKUP(P230,Tables!$B$3:$M$36,12,FALSE())*AL$1)</f>
        <v>0</v>
      </c>
      <c r="ES230" s="94">
        <f t="shared" si="223"/>
        <v>0</v>
      </c>
      <c r="ET230" s="95">
        <f>IF(AN230="",10,MIN(VLOOKUP(B230,MATERIAL,13,FALSE()),'Item Builder'!$W230))</f>
        <v>0</v>
      </c>
      <c r="EU230" s="95">
        <f>IF(AO230="",10,MIN(VLOOKUP(C230,MATERIAL,13,FALSE()),'Item Builder'!$W230))</f>
        <v>10</v>
      </c>
      <c r="EV230" s="95">
        <f>IF(AP230="",10,MIN(VLOOKUP(D230,MATERIAL,13,FALSE()),'Item Builder'!$W230))</f>
        <v>0</v>
      </c>
      <c r="EW230" s="95">
        <f>IF(AQ230="",10,MIN(VLOOKUP(E230,MATERIAL,13,FALSE()),'Item Builder'!$W230))</f>
        <v>10</v>
      </c>
      <c r="EX230" s="95">
        <f>IF(AR230="",10,MIN(VLOOKUP(F230,MATERIAL,13,FALSE()),'Item Builder'!$W230))</f>
        <v>10</v>
      </c>
      <c r="EY230" s="95">
        <f>IF(AS230="",10,MIN(VLOOKUP(G230,MATERIAL,13,FALSE()),'Item Builder'!$W230))</f>
        <v>10</v>
      </c>
      <c r="EZ230" s="95">
        <f>IF(AT230="",10,MIN(VLOOKUP(H230,MATERIAL,13,FALSE()),'Item Builder'!$W230))</f>
        <v>10</v>
      </c>
      <c r="FA230" s="95">
        <f>IF(AU230="",10,MIN(VLOOKUP(I230,MATERIAL,13,FALSE()),'Item Builder'!$W230))</f>
        <v>10</v>
      </c>
      <c r="FB230" s="95">
        <f>IF(AV230="",10,MIN(VLOOKUP(J230,MATERIAL,13,FALSE()),'Item Builder'!$W230))</f>
        <v>10</v>
      </c>
      <c r="FC230" s="95">
        <f>IF(AW230="",10,MIN(VLOOKUP(K230,MATERIAL,13,FALSE()),'Item Builder'!$W230))</f>
        <v>10</v>
      </c>
      <c r="FD230" s="95">
        <f>IF(AX230="",10,MIN(VLOOKUP(L230,MATERIAL,13,FALSE()),'Item Builder'!$W230))</f>
        <v>10</v>
      </c>
      <c r="FE230" s="95">
        <f>IF(AY230="",10,MIN(VLOOKUP(M230,MATERIAL,13,FALSE()),'Item Builder'!$W230))</f>
        <v>10</v>
      </c>
      <c r="FF230" s="95">
        <f>IF(AZ230="",10,MIN(VLOOKUP(N230,MATERIAL,13,FALSE()),'Item Builder'!$W230))</f>
        <v>10</v>
      </c>
      <c r="FG230" s="95">
        <f>IF(BA230="",10,MIN(VLOOKUP(O230,MATERIAL,13,FALSE()),'Item Builder'!$W230))</f>
        <v>10</v>
      </c>
      <c r="FH230" s="95">
        <f>IF(BB230="",10,MIN(VLOOKUP(P230,MATERIAL,13,FALSE()),'Item Builder'!$W230))</f>
        <v>10</v>
      </c>
    </row>
    <row r="231" spans="1:164" x14ac:dyDescent="0.25">
      <c r="A231" s="67" t="s">
        <v>371</v>
      </c>
      <c r="B231" s="68"/>
      <c r="C231" s="69"/>
      <c r="D231" s="70"/>
      <c r="E231" s="68"/>
      <c r="F231" s="69"/>
      <c r="G231" s="69"/>
      <c r="H231" s="69"/>
      <c r="I231" s="70" t="s">
        <v>188</v>
      </c>
      <c r="J231" s="68"/>
      <c r="K231" s="69"/>
      <c r="L231" s="70"/>
      <c r="M231" s="68"/>
      <c r="N231" s="69"/>
      <c r="O231" s="69"/>
      <c r="P231" s="71"/>
      <c r="Q231" s="72">
        <f>SUM(BV231:CJ231)*VLOOKUP(W231,Tables!$W$3:$Z$8,4)</f>
        <v>4.5</v>
      </c>
      <c r="R231" s="73">
        <f t="shared" si="168"/>
        <v>0.5</v>
      </c>
      <c r="S231" s="74">
        <f t="shared" si="169"/>
        <v>0</v>
      </c>
      <c r="T231" s="74">
        <f t="shared" si="170"/>
        <v>0</v>
      </c>
      <c r="U231" s="75">
        <f t="shared" si="171"/>
        <v>3</v>
      </c>
      <c r="V231" s="76">
        <f t="shared" si="172"/>
        <v>3</v>
      </c>
      <c r="W231" s="77">
        <v>0</v>
      </c>
      <c r="X231" s="78">
        <f t="shared" si="173"/>
        <v>0</v>
      </c>
      <c r="Y231" s="79">
        <f t="shared" si="174"/>
        <v>0</v>
      </c>
      <c r="Z231" s="79">
        <f t="shared" si="175"/>
        <v>0</v>
      </c>
      <c r="AA231" s="78">
        <f t="shared" si="176"/>
        <v>0</v>
      </c>
      <c r="AB231" s="79">
        <f t="shared" si="177"/>
        <v>0</v>
      </c>
      <c r="AC231" s="79">
        <f t="shared" si="178"/>
        <v>0</v>
      </c>
      <c r="AD231" s="79">
        <f t="shared" si="179"/>
        <v>0</v>
      </c>
      <c r="AE231" s="79">
        <f t="shared" si="180"/>
        <v>1</v>
      </c>
      <c r="AF231" s="78">
        <f t="shared" si="181"/>
        <v>0</v>
      </c>
      <c r="AG231" s="79">
        <f t="shared" si="182"/>
        <v>0</v>
      </c>
      <c r="AH231" s="79">
        <f t="shared" si="183"/>
        <v>0</v>
      </c>
      <c r="AI231" s="78">
        <f t="shared" si="184"/>
        <v>0</v>
      </c>
      <c r="AJ231" s="79">
        <f t="shared" si="185"/>
        <v>0</v>
      </c>
      <c r="AK231" s="79">
        <f t="shared" si="186"/>
        <v>0</v>
      </c>
      <c r="AL231" s="80">
        <f t="shared" si="187"/>
        <v>0</v>
      </c>
      <c r="AM231" s="81">
        <f t="shared" si="188"/>
        <v>0.05</v>
      </c>
      <c r="AN231" s="82" t="str">
        <f t="shared" si="189"/>
        <v/>
      </c>
      <c r="AO231" s="79" t="str">
        <f t="shared" si="190"/>
        <v/>
      </c>
      <c r="AP231" t="str">
        <f t="shared" si="191"/>
        <v/>
      </c>
      <c r="AQ231" s="82" t="str">
        <f t="shared" si="192"/>
        <v/>
      </c>
      <c r="AR231" t="str">
        <f t="shared" si="193"/>
        <v/>
      </c>
      <c r="AS231" t="str">
        <f t="shared" si="194"/>
        <v/>
      </c>
      <c r="AT231" t="str">
        <f t="shared" si="195"/>
        <v/>
      </c>
      <c r="AU231" t="str">
        <f t="shared" si="196"/>
        <v>L</v>
      </c>
      <c r="AV231" s="82" t="str">
        <f t="shared" si="197"/>
        <v/>
      </c>
      <c r="AW231" t="str">
        <f t="shared" si="198"/>
        <v/>
      </c>
      <c r="AX231" t="str">
        <f t="shared" si="199"/>
        <v/>
      </c>
      <c r="AY231" s="82" t="str">
        <f t="shared" si="200"/>
        <v/>
      </c>
      <c r="AZ231" t="str">
        <f t="shared" si="201"/>
        <v/>
      </c>
      <c r="BA231" t="str">
        <f t="shared" si="202"/>
        <v/>
      </c>
      <c r="BB231" s="83" t="str">
        <f t="shared" si="203"/>
        <v/>
      </c>
      <c r="BC231" s="84">
        <f t="shared" si="204"/>
        <v>0</v>
      </c>
      <c r="BD231" s="84">
        <f t="shared" si="205"/>
        <v>0.23809523809523808</v>
      </c>
      <c r="BE231" s="84">
        <f t="shared" si="206"/>
        <v>0</v>
      </c>
      <c r="BF231" s="84">
        <f t="shared" si="207"/>
        <v>0</v>
      </c>
      <c r="BG231" s="78">
        <f>IF(AN231="",0,VLOOKUP(AN231,Tables!$AB$3:$AC$12,2))</f>
        <v>0</v>
      </c>
      <c r="BH231" s="79">
        <f>IF(AO231="",0,VLOOKUP(AO231,Tables!$AB$3:$AC$12,2))</f>
        <v>0</v>
      </c>
      <c r="BI231" s="79">
        <f>IF(AP231="",0,VLOOKUP(AP231,Tables!$AB$3:$AC$12,2))</f>
        <v>0</v>
      </c>
      <c r="BJ231" s="78">
        <f>IF(AQ231="",0,VLOOKUP(AQ231,Tables!$AB$3:$AC$12,2))</f>
        <v>0</v>
      </c>
      <c r="BK231" s="79">
        <f>IF(AR231="",0,VLOOKUP(AR231,Tables!$AB$3:$AC$12,2))</f>
        <v>0</v>
      </c>
      <c r="BL231" s="79">
        <f>IF(AS231="",0,VLOOKUP(AS231,Tables!$AB$3:$AC$12,2))</f>
        <v>0</v>
      </c>
      <c r="BM231" s="79">
        <f>IF(AT231="",0,VLOOKUP(AT231,Tables!$AB$3:$AC$12,2))</f>
        <v>0</v>
      </c>
      <c r="BN231" s="79">
        <f>IF(AU231="",0,VLOOKUP(AU231,Tables!$AB$3:$AC$12,2))</f>
        <v>1</v>
      </c>
      <c r="BO231" s="78">
        <f>IF(AV231="",0,VLOOKUP(AV231,Tables!$AB$3:$AC$12,2))</f>
        <v>0</v>
      </c>
      <c r="BP231" s="79">
        <f>IF(AW231="",0,VLOOKUP(AW231,Tables!$AB$3:$AC$12,2))</f>
        <v>0</v>
      </c>
      <c r="BQ231" s="79">
        <f>IF(AX231="",0,VLOOKUP(AX231,Tables!$AB$3:$AC$12,2))</f>
        <v>0</v>
      </c>
      <c r="BR231" s="78">
        <f>IF(AY231="",0,VLOOKUP(AY231,Tables!$AB$3:$AC$12,2))</f>
        <v>0</v>
      </c>
      <c r="BS231" s="79">
        <f>IF(AZ231="",0,VLOOKUP(AZ231,Tables!$AB$3:$AC$12,2))</f>
        <v>0</v>
      </c>
      <c r="BT231" s="79">
        <f>IF(BA231="",0,VLOOKUP(BA231,Tables!$AB$3:$AC$12,2))</f>
        <v>0</v>
      </c>
      <c r="BU231" s="80">
        <f>IF(BB231="",0,VLOOKUP(BB231,Tables!$AB$3:$AC$12,2))</f>
        <v>0</v>
      </c>
      <c r="BV231" s="85">
        <f>IF(AN231="",0,VLOOKUP(B231,Tables!$B$3:$D$36,2,FALSE())*X$1)</f>
        <v>0</v>
      </c>
      <c r="BW231" s="72">
        <f>IF(AO231="",0,VLOOKUP(C231,Tables!$B$3:$D$36,2,FALSE())*Y$1)</f>
        <v>0</v>
      </c>
      <c r="BX231" s="72">
        <f>IF(AP231="",0,VLOOKUP(D231,Tables!$B$3:$D$36,2,FALSE())*Z$1)</f>
        <v>0</v>
      </c>
      <c r="BY231" s="85">
        <f>IF(AQ231="",0,VLOOKUP(E231,Tables!$B$3:$D$36,2,FALSE())*AA$1)</f>
        <v>0</v>
      </c>
      <c r="BZ231" s="72">
        <f>IF(AR231="",0,VLOOKUP(F231,Tables!$B$3:$D$36,2,FALSE())*AB$1)</f>
        <v>0</v>
      </c>
      <c r="CA231" s="72">
        <f>IF(AS231="",0,VLOOKUP(G231,Tables!$B$3:$D$36,2,FALSE())*AC$1)</f>
        <v>0</v>
      </c>
      <c r="CB231" s="72">
        <f>IF(AT231="",0,VLOOKUP(H231,Tables!$B$3:$D$36,2,FALSE())*AD$1)</f>
        <v>0</v>
      </c>
      <c r="CC231" s="72">
        <f>IF(AU231="",0,VLOOKUP(I231,Tables!$B$3:$D$36,2,FALSE())*AE$1)</f>
        <v>4.5</v>
      </c>
      <c r="CD231" s="85">
        <f>IF(AV231="",0,VLOOKUP(J231,Tables!$B$3:$D$36,2,FALSE())*AF$1)</f>
        <v>0</v>
      </c>
      <c r="CE231" s="72">
        <f>IF(AW231="",0,VLOOKUP(K231,Tables!$B$3:$D$36,2,FALSE())*AG$1)</f>
        <v>0</v>
      </c>
      <c r="CF231" s="72">
        <f>IF(AX231="",0,VLOOKUP(L231,Tables!$B$3:$D$36,2,FALSE())*AH$1)</f>
        <v>0</v>
      </c>
      <c r="CG231" s="85">
        <f>IF(AY231="",0,VLOOKUP(M231,Tables!$B$3:$D$36,2,FALSE())*AI$1)</f>
        <v>0</v>
      </c>
      <c r="CH231" s="72">
        <f>IF(AZ231="",0,VLOOKUP(N231,Tables!$B$3:$D$36,2,FALSE())*AJ$1)</f>
        <v>0</v>
      </c>
      <c r="CI231" s="72">
        <f>IF(BA231="",0,VLOOKUP(O231,Tables!$B$3:$D$36,2,FALSE())*AK$1)</f>
        <v>0</v>
      </c>
      <c r="CJ231" s="86">
        <f>IF(BB231="",0,VLOOKUP(P231,Tables!$B$3:$D$36,2,FALSE())*AL$1)</f>
        <v>0</v>
      </c>
      <c r="CK231" s="87">
        <f>IF(AN231="",0,VLOOKUP(B231,Tables!$B$3:$D$36,3,FALSE())*X$1)*IF(OR(AN231="K",AN231="P"),2,1)</f>
        <v>0</v>
      </c>
      <c r="CL231" s="73">
        <f>IF(AO231="",0,VLOOKUP(C231,Tables!$B$3:$D$36,3,FALSE())*Y$1)*IF(OR(AO231="K",AO231="P"),2,1)</f>
        <v>0</v>
      </c>
      <c r="CM231" s="73">
        <f>IF(AP231="",0,VLOOKUP(D231,Tables!$B$3:$D$36,3,FALSE())*Z$1)*IF(OR(AP231="K",AP231="P"),2,1)</f>
        <v>0</v>
      </c>
      <c r="CN231" s="87">
        <f>IF(AQ231="",0,VLOOKUP(E231,Tables!$B$3:$D$36,3,FALSE())*AA$1)</f>
        <v>0</v>
      </c>
      <c r="CO231" s="73">
        <f>IF(AR231="",0,VLOOKUP(F231,Tables!$B$3:$D$36,3,FALSE())*AB$1)</f>
        <v>0</v>
      </c>
      <c r="CP231" s="73">
        <f>IF(AS231="",0,VLOOKUP(G231,Tables!$B$3:$D$36,3,FALSE())*AC$1)</f>
        <v>0</v>
      </c>
      <c r="CQ231" s="73">
        <f>IF(AT231="",0,VLOOKUP(H231,Tables!$B$3:$D$36,3,FALSE())*AD$1)</f>
        <v>0</v>
      </c>
      <c r="CR231" s="73">
        <f>IF(AU231="",0,VLOOKUP(I231,Tables!$B$3:$D$36,3,FALSE())*AE$1)</f>
        <v>0.5</v>
      </c>
      <c r="CS231" s="87">
        <f>IF(AV231="",0,VLOOKUP(J231,Tables!$B$3:$D$36,3,FALSE())*AF$1)</f>
        <v>0</v>
      </c>
      <c r="CT231" s="73">
        <f>IF(AW231="",0,VLOOKUP(K231,Tables!$B$3:$D$36,3,FALSE())*AG$1)</f>
        <v>0</v>
      </c>
      <c r="CU231" s="73">
        <f>IF(AX231="",0,VLOOKUP(L231,Tables!$B$3:$D$36,3,FALSE())*AH$1)</f>
        <v>0</v>
      </c>
      <c r="CV231" s="87">
        <f>IF(AY231="",0,VLOOKUP(M231,Tables!$B$3:$D$36,3,FALSE())*AI$1)</f>
        <v>0</v>
      </c>
      <c r="CW231" s="73">
        <f>IF(AZ231="",0,VLOOKUP(N231,Tables!$B$3:$D$36,3,FALSE())*AJ$1)</f>
        <v>0</v>
      </c>
      <c r="CX231" s="73">
        <f>IF(BA231="",0,VLOOKUP(O231,Tables!$B$3:$D$36,3,FALSE())*AK$1)</f>
        <v>0</v>
      </c>
      <c r="CY231" s="88">
        <f>IF(BB231="",0,VLOOKUP(P231,Tables!$B$3:$D$36,3,FALSE())*AL$1)</f>
        <v>0</v>
      </c>
      <c r="CZ231" s="89">
        <f t="shared" si="208"/>
        <v>0</v>
      </c>
      <c r="DA231" s="75">
        <f t="shared" si="209"/>
        <v>0</v>
      </c>
      <c r="DB231" s="75">
        <f t="shared" si="210"/>
        <v>0</v>
      </c>
      <c r="DC231" s="89">
        <f t="shared" si="211"/>
        <v>0</v>
      </c>
      <c r="DD231" s="75">
        <f t="shared" si="212"/>
        <v>0</v>
      </c>
      <c r="DE231" s="75">
        <f t="shared" si="213"/>
        <v>0</v>
      </c>
      <c r="DF231" s="75">
        <f t="shared" si="214"/>
        <v>0</v>
      </c>
      <c r="DG231" s="75">
        <f t="shared" si="215"/>
        <v>1</v>
      </c>
      <c r="DH231" s="89">
        <f t="shared" si="216"/>
        <v>0</v>
      </c>
      <c r="DI231" s="75">
        <f t="shared" si="217"/>
        <v>0</v>
      </c>
      <c r="DJ231" s="75">
        <f t="shared" si="218"/>
        <v>0</v>
      </c>
      <c r="DK231" s="89">
        <f t="shared" si="219"/>
        <v>0</v>
      </c>
      <c r="DL231" s="75">
        <f t="shared" si="220"/>
        <v>0</v>
      </c>
      <c r="DM231" s="75">
        <f t="shared" si="221"/>
        <v>0</v>
      </c>
      <c r="DN231" s="90">
        <f t="shared" si="222"/>
        <v>0</v>
      </c>
      <c r="DO231" s="91">
        <f>IF(AN231="",0,VLOOKUP(B231,Tables!$B$3:$M$36,11,FALSE())*X$1)</f>
        <v>0</v>
      </c>
      <c r="DP231" s="92">
        <f>IF(AO231="",0,VLOOKUP(C231,Tables!$B$3:$M$36,11,FALSE())*Y$1)</f>
        <v>0</v>
      </c>
      <c r="DQ231" s="92">
        <f>IF(AP231="",0,VLOOKUP(D231,Tables!$B$3:$M$36,11,FALSE())*Z$1)</f>
        <v>0</v>
      </c>
      <c r="DR231" s="91">
        <f>IF(AQ231="",0,VLOOKUP(E231,Tables!$B$3:$M$36,11,FALSE())*AA$1)</f>
        <v>0</v>
      </c>
      <c r="DS231" s="92">
        <f>IF(AR231="",0,VLOOKUP(F231,Tables!$B$3:$M$36,11,FALSE())*AB$1)</f>
        <v>0</v>
      </c>
      <c r="DT231" s="92">
        <f>IF(AS231="",0,VLOOKUP(G231,Tables!$B$3:$M$36,11,FALSE())*AC$1)</f>
        <v>0</v>
      </c>
      <c r="DU231" s="92">
        <f>IF(AT231="",0,VLOOKUP(H231,Tables!$B$3:$M$36,11,FALSE())*AD$1)</f>
        <v>0</v>
      </c>
      <c r="DV231" s="92">
        <f>IF(AU231="",0,VLOOKUP(I231,Tables!$B$3:$M$36,11,FALSE())*AE$1)</f>
        <v>3</v>
      </c>
      <c r="DW231" s="91">
        <f>IF(AV231="",0,VLOOKUP(J231,Tables!$B$3:$M$36,11,FALSE())*AF$1)</f>
        <v>0</v>
      </c>
      <c r="DX231" s="92">
        <f>IF(AW231="",0,VLOOKUP(K231,Tables!$B$3:$M$36,11,FALSE())*AG$1)</f>
        <v>0</v>
      </c>
      <c r="DY231" s="92">
        <f>IF(AX231="",0,VLOOKUP(L231,Tables!$B$3:$M$36,11,FALSE())*AH$1)</f>
        <v>0</v>
      </c>
      <c r="DZ231" s="91">
        <f>IF(AY231="",0,VLOOKUP(M231,Tables!$B$3:$M$36,11,FALSE())*AI$1)</f>
        <v>0</v>
      </c>
      <c r="EA231" s="92">
        <f>IF(AZ231="",0,VLOOKUP(N231,Tables!$B$3:$M$36,11,FALSE())*AJ$1)</f>
        <v>0</v>
      </c>
      <c r="EB231" s="92">
        <f>IF(BA231="",0,VLOOKUP(O231,Tables!$B$3:$M$36,11,FALSE())*AK$1)</f>
        <v>0</v>
      </c>
      <c r="EC231" s="93">
        <f>IF(BB231="",0,VLOOKUP(P231,Tables!$B$3:$M$36,11,FALSE())*AL$1)</f>
        <v>0</v>
      </c>
      <c r="ED231" s="91">
        <f>IF(AN231="",0,VLOOKUP(B231,Tables!$B$3:$M$36,12,FALSE())*X$1)</f>
        <v>0</v>
      </c>
      <c r="EE231" s="92">
        <f>IF(AO231="",0,VLOOKUP(C231,Tables!$B$3:$M$36,12,FALSE())*Y$1)</f>
        <v>0</v>
      </c>
      <c r="EF231" s="92">
        <f>IF(AP231="",0,VLOOKUP(D231,Tables!$B$3:$M$36,12,FALSE())*Z$1)</f>
        <v>0</v>
      </c>
      <c r="EG231" s="91">
        <f>IF(AQ231="",0,VLOOKUP(E231,Tables!$B$3:$M$36,12,FALSE())*AA$1)</f>
        <v>0</v>
      </c>
      <c r="EH231" s="92">
        <f>IF(AR231="",0,VLOOKUP(F231,Tables!$B$3:$M$36,12,FALSE())*AB$1)</f>
        <v>0</v>
      </c>
      <c r="EI231" s="92">
        <f>IF(AS231="",0,VLOOKUP(G231,Tables!$B$3:$M$36,12,FALSE())*AC$1)</f>
        <v>0</v>
      </c>
      <c r="EJ231" s="92">
        <f>IF(AT231="",0,VLOOKUP(H231,Tables!$B$3:$M$36,12,FALSE())*AD$1)</f>
        <v>0</v>
      </c>
      <c r="EK231" s="92">
        <f>IF(AU231="",0,VLOOKUP(I231,Tables!$B$3:$M$36,12,FALSE())*AE$1)</f>
        <v>3</v>
      </c>
      <c r="EL231" s="91">
        <f>IF(AV231="",0,VLOOKUP(J231,Tables!$B$3:$M$36,12,FALSE())*AF$1)</f>
        <v>0</v>
      </c>
      <c r="EM231" s="92">
        <f>IF(AW231="",0,VLOOKUP(K231,Tables!$B$3:$M$36,12,FALSE())*AG$1)</f>
        <v>0</v>
      </c>
      <c r="EN231" s="92">
        <f>IF(AX231="",0,VLOOKUP(L231,Tables!$B$3:$M$36,12,FALSE())*AH$1)</f>
        <v>0</v>
      </c>
      <c r="EO231" s="91">
        <f>IF(AY231="",0,VLOOKUP(M231,Tables!$B$3:$M$36,12,FALSE())*AI$1)</f>
        <v>0</v>
      </c>
      <c r="EP231" s="92">
        <f>IF(AZ231="",0,VLOOKUP(N231,Tables!$B$3:$M$36,12,FALSE())*AJ$1)</f>
        <v>0</v>
      </c>
      <c r="EQ231" s="92">
        <f>IF(BA231="",0,VLOOKUP(O231,Tables!$B$3:$M$36,12,FALSE())*AK$1)</f>
        <v>0</v>
      </c>
      <c r="ER231" s="93">
        <f>IF(BB231="",0,VLOOKUP(P231,Tables!$B$3:$M$36,12,FALSE())*AL$1)</f>
        <v>0</v>
      </c>
      <c r="ES231" s="94">
        <f t="shared" si="223"/>
        <v>0</v>
      </c>
      <c r="ET231" s="95">
        <f>IF(AN231="",10,MIN(VLOOKUP(B231,MATERIAL,13,FALSE()),'Item Builder'!$W231))</f>
        <v>10</v>
      </c>
      <c r="EU231" s="95">
        <f>IF(AO231="",10,MIN(VLOOKUP(C231,MATERIAL,13,FALSE()),'Item Builder'!$W231))</f>
        <v>10</v>
      </c>
      <c r="EV231" s="95">
        <f>IF(AP231="",10,MIN(VLOOKUP(D231,MATERIAL,13,FALSE()),'Item Builder'!$W231))</f>
        <v>10</v>
      </c>
      <c r="EW231" s="95">
        <f>IF(AQ231="",10,MIN(VLOOKUP(E231,MATERIAL,13,FALSE()),'Item Builder'!$W231))</f>
        <v>10</v>
      </c>
      <c r="EX231" s="95">
        <f>IF(AR231="",10,MIN(VLOOKUP(F231,MATERIAL,13,FALSE()),'Item Builder'!$W231))</f>
        <v>10</v>
      </c>
      <c r="EY231" s="95">
        <f>IF(AS231="",10,MIN(VLOOKUP(G231,MATERIAL,13,FALSE()),'Item Builder'!$W231))</f>
        <v>10</v>
      </c>
      <c r="EZ231" s="95">
        <f>IF(AT231="",10,MIN(VLOOKUP(H231,MATERIAL,13,FALSE()),'Item Builder'!$W231))</f>
        <v>10</v>
      </c>
      <c r="FA231" s="95">
        <f>IF(AU231="",10,MIN(VLOOKUP(I231,MATERIAL,13,FALSE()),'Item Builder'!$W231))</f>
        <v>0</v>
      </c>
      <c r="FB231" s="95">
        <f>IF(AV231="",10,MIN(VLOOKUP(J231,MATERIAL,13,FALSE()),'Item Builder'!$W231))</f>
        <v>10</v>
      </c>
      <c r="FC231" s="95">
        <f>IF(AW231="",10,MIN(VLOOKUP(K231,MATERIAL,13,FALSE()),'Item Builder'!$W231))</f>
        <v>10</v>
      </c>
      <c r="FD231" s="95">
        <f>IF(AX231="",10,MIN(VLOOKUP(L231,MATERIAL,13,FALSE()),'Item Builder'!$W231))</f>
        <v>10</v>
      </c>
      <c r="FE231" s="95">
        <f>IF(AY231="",10,MIN(VLOOKUP(M231,MATERIAL,13,FALSE()),'Item Builder'!$W231))</f>
        <v>10</v>
      </c>
      <c r="FF231" s="95">
        <f>IF(AZ231="",10,MIN(VLOOKUP(N231,MATERIAL,13,FALSE()),'Item Builder'!$W231))</f>
        <v>10</v>
      </c>
      <c r="FG231" s="95">
        <f>IF(BA231="",10,MIN(VLOOKUP(O231,MATERIAL,13,FALSE()),'Item Builder'!$W231))</f>
        <v>10</v>
      </c>
      <c r="FH231" s="95">
        <f>IF(BB231="",10,MIN(VLOOKUP(P231,MATERIAL,13,FALSE()),'Item Builder'!$W231))</f>
        <v>10</v>
      </c>
    </row>
    <row r="232" spans="1:164" x14ac:dyDescent="0.25">
      <c r="A232" s="67" t="s">
        <v>372</v>
      </c>
      <c r="B232" s="68"/>
      <c r="C232" s="69"/>
      <c r="D232" s="70"/>
      <c r="E232" s="68" t="s">
        <v>188</v>
      </c>
      <c r="F232" s="69" t="s">
        <v>188</v>
      </c>
      <c r="G232" s="69"/>
      <c r="H232" s="69"/>
      <c r="I232" s="70"/>
      <c r="J232" s="68" t="s">
        <v>188</v>
      </c>
      <c r="K232" s="69" t="s">
        <v>188</v>
      </c>
      <c r="L232" s="70"/>
      <c r="M232" s="68"/>
      <c r="N232" s="69"/>
      <c r="O232" s="69"/>
      <c r="P232" s="71"/>
      <c r="Q232" s="72">
        <f>SUM(BV232:CJ232)*VLOOKUP(W232,Tables!$W$3:$Z$8,4)</f>
        <v>29.699999999999996</v>
      </c>
      <c r="R232" s="73">
        <f t="shared" si="168"/>
        <v>3.3</v>
      </c>
      <c r="S232" s="74">
        <f t="shared" si="169"/>
        <v>0</v>
      </c>
      <c r="T232" s="74">
        <f t="shared" si="170"/>
        <v>0</v>
      </c>
      <c r="U232" s="75">
        <f t="shared" si="171"/>
        <v>19.799999999999997</v>
      </c>
      <c r="V232" s="76">
        <f t="shared" si="172"/>
        <v>19.799999999999997</v>
      </c>
      <c r="W232" s="77">
        <v>0</v>
      </c>
      <c r="X232" s="78">
        <f t="shared" si="173"/>
        <v>0</v>
      </c>
      <c r="Y232" s="79">
        <f t="shared" si="174"/>
        <v>0</v>
      </c>
      <c r="Z232" s="79">
        <f t="shared" si="175"/>
        <v>0</v>
      </c>
      <c r="AA232" s="78">
        <f t="shared" si="176"/>
        <v>1</v>
      </c>
      <c r="AB232" s="79">
        <f t="shared" si="177"/>
        <v>1</v>
      </c>
      <c r="AC232" s="79">
        <f t="shared" si="178"/>
        <v>0</v>
      </c>
      <c r="AD232" s="79">
        <f t="shared" si="179"/>
        <v>0</v>
      </c>
      <c r="AE232" s="79">
        <f t="shared" si="180"/>
        <v>0</v>
      </c>
      <c r="AF232" s="78">
        <f t="shared" si="181"/>
        <v>1</v>
      </c>
      <c r="AG232" s="79">
        <f t="shared" si="182"/>
        <v>1</v>
      </c>
      <c r="AH232" s="79">
        <f t="shared" si="183"/>
        <v>0</v>
      </c>
      <c r="AI232" s="78">
        <f t="shared" si="184"/>
        <v>0</v>
      </c>
      <c r="AJ232" s="79">
        <f t="shared" si="185"/>
        <v>0</v>
      </c>
      <c r="AK232" s="79">
        <f t="shared" si="186"/>
        <v>0</v>
      </c>
      <c r="AL232" s="80">
        <f t="shared" si="187"/>
        <v>0</v>
      </c>
      <c r="AM232" s="81">
        <f t="shared" si="188"/>
        <v>0.32999999999999996</v>
      </c>
      <c r="AN232" s="82" t="str">
        <f t="shared" si="189"/>
        <v/>
      </c>
      <c r="AO232" s="79" t="str">
        <f t="shared" si="190"/>
        <v/>
      </c>
      <c r="AP232" t="str">
        <f t="shared" si="191"/>
        <v/>
      </c>
      <c r="AQ232" s="82" t="str">
        <f t="shared" si="192"/>
        <v>L</v>
      </c>
      <c r="AR232" t="str">
        <f t="shared" si="193"/>
        <v>L</v>
      </c>
      <c r="AS232" t="str">
        <f t="shared" si="194"/>
        <v/>
      </c>
      <c r="AT232" t="str">
        <f t="shared" si="195"/>
        <v/>
      </c>
      <c r="AU232" t="str">
        <f t="shared" si="196"/>
        <v/>
      </c>
      <c r="AV232" s="82" t="str">
        <f t="shared" si="197"/>
        <v>L</v>
      </c>
      <c r="AW232" t="str">
        <f t="shared" si="198"/>
        <v>L</v>
      </c>
      <c r="AX232" t="str">
        <f t="shared" si="199"/>
        <v/>
      </c>
      <c r="AY232" s="82" t="str">
        <f t="shared" si="200"/>
        <v/>
      </c>
      <c r="AZ232" t="str">
        <f t="shared" si="201"/>
        <v/>
      </c>
      <c r="BA232" t="str">
        <f t="shared" si="202"/>
        <v/>
      </c>
      <c r="BB232" s="83" t="str">
        <f t="shared" si="203"/>
        <v/>
      </c>
      <c r="BC232" s="84">
        <f t="shared" si="204"/>
        <v>0</v>
      </c>
      <c r="BD232" s="84">
        <f t="shared" si="205"/>
        <v>0.42857142857142849</v>
      </c>
      <c r="BE232" s="84">
        <f t="shared" si="206"/>
        <v>0.70588235294117652</v>
      </c>
      <c r="BF232" s="84">
        <f t="shared" si="207"/>
        <v>0</v>
      </c>
      <c r="BG232" s="78">
        <f>IF(AN232="",0,VLOOKUP(AN232,Tables!$AB$3:$AC$12,2))</f>
        <v>0</v>
      </c>
      <c r="BH232" s="79">
        <f>IF(AO232="",0,VLOOKUP(AO232,Tables!$AB$3:$AC$12,2))</f>
        <v>0</v>
      </c>
      <c r="BI232" s="79">
        <f>IF(AP232="",0,VLOOKUP(AP232,Tables!$AB$3:$AC$12,2))</f>
        <v>0</v>
      </c>
      <c r="BJ232" s="78">
        <f>IF(AQ232="",0,VLOOKUP(AQ232,Tables!$AB$3:$AC$12,2))</f>
        <v>1</v>
      </c>
      <c r="BK232" s="79">
        <f>IF(AR232="",0,VLOOKUP(AR232,Tables!$AB$3:$AC$12,2))</f>
        <v>1</v>
      </c>
      <c r="BL232" s="79">
        <f>IF(AS232="",0,VLOOKUP(AS232,Tables!$AB$3:$AC$12,2))</f>
        <v>0</v>
      </c>
      <c r="BM232" s="79">
        <f>IF(AT232="",0,VLOOKUP(AT232,Tables!$AB$3:$AC$12,2))</f>
        <v>0</v>
      </c>
      <c r="BN232" s="79">
        <f>IF(AU232="",0,VLOOKUP(AU232,Tables!$AB$3:$AC$12,2))</f>
        <v>0</v>
      </c>
      <c r="BO232" s="78">
        <f>IF(AV232="",0,VLOOKUP(AV232,Tables!$AB$3:$AC$12,2))</f>
        <v>1</v>
      </c>
      <c r="BP232" s="79">
        <f>IF(AW232="",0,VLOOKUP(AW232,Tables!$AB$3:$AC$12,2))</f>
        <v>1</v>
      </c>
      <c r="BQ232" s="79">
        <f>IF(AX232="",0,VLOOKUP(AX232,Tables!$AB$3:$AC$12,2))</f>
        <v>0</v>
      </c>
      <c r="BR232" s="78">
        <f>IF(AY232="",0,VLOOKUP(AY232,Tables!$AB$3:$AC$12,2))</f>
        <v>0</v>
      </c>
      <c r="BS232" s="79">
        <f>IF(AZ232="",0,VLOOKUP(AZ232,Tables!$AB$3:$AC$12,2))</f>
        <v>0</v>
      </c>
      <c r="BT232" s="79">
        <f>IF(BA232="",0,VLOOKUP(BA232,Tables!$AB$3:$AC$12,2))</f>
        <v>0</v>
      </c>
      <c r="BU232" s="80">
        <f>IF(BB232="",0,VLOOKUP(BB232,Tables!$AB$3:$AC$12,2))</f>
        <v>0</v>
      </c>
      <c r="BV232" s="85">
        <f>IF(AN232="",0,VLOOKUP(B232,Tables!$B$3:$D$36,2,FALSE())*X$1)</f>
        <v>0</v>
      </c>
      <c r="BW232" s="72">
        <f>IF(AO232="",0,VLOOKUP(C232,Tables!$B$3:$D$36,2,FALSE())*Y$1)</f>
        <v>0</v>
      </c>
      <c r="BX232" s="72">
        <f>IF(AP232="",0,VLOOKUP(D232,Tables!$B$3:$D$36,2,FALSE())*Z$1)</f>
        <v>0</v>
      </c>
      <c r="BY232" s="85">
        <f>IF(AQ232="",0,VLOOKUP(E232,Tables!$B$3:$D$36,2,FALSE())*AA$1)</f>
        <v>2.6999999999999997</v>
      </c>
      <c r="BZ232" s="72">
        <f>IF(AR232="",0,VLOOKUP(F232,Tables!$B$3:$D$36,2,FALSE())*AB$1)</f>
        <v>5.3999999999999995</v>
      </c>
      <c r="CA232" s="72">
        <f>IF(AS232="",0,VLOOKUP(G232,Tables!$B$3:$D$36,2,FALSE())*AC$1)</f>
        <v>0</v>
      </c>
      <c r="CB232" s="72">
        <f>IF(AT232="",0,VLOOKUP(H232,Tables!$B$3:$D$36,2,FALSE())*AD$1)</f>
        <v>0</v>
      </c>
      <c r="CC232" s="72">
        <f>IF(AU232="",0,VLOOKUP(I232,Tables!$B$3:$D$36,2,FALSE())*AE$1)</f>
        <v>0</v>
      </c>
      <c r="CD232" s="85">
        <f>IF(AV232="",0,VLOOKUP(J232,Tables!$B$3:$D$36,2,FALSE())*AF$1)</f>
        <v>10.799999999999999</v>
      </c>
      <c r="CE232" s="72">
        <f>IF(AW232="",0,VLOOKUP(K232,Tables!$B$3:$D$36,2,FALSE())*AG$1)</f>
        <v>10.799999999999999</v>
      </c>
      <c r="CF232" s="72">
        <f>IF(AX232="",0,VLOOKUP(L232,Tables!$B$3:$D$36,2,FALSE())*AH$1)</f>
        <v>0</v>
      </c>
      <c r="CG232" s="85">
        <f>IF(AY232="",0,VLOOKUP(M232,Tables!$B$3:$D$36,2,FALSE())*AI$1)</f>
        <v>0</v>
      </c>
      <c r="CH232" s="72">
        <f>IF(AZ232="",0,VLOOKUP(N232,Tables!$B$3:$D$36,2,FALSE())*AJ$1)</f>
        <v>0</v>
      </c>
      <c r="CI232" s="72">
        <f>IF(BA232="",0,VLOOKUP(O232,Tables!$B$3:$D$36,2,FALSE())*AK$1)</f>
        <v>0</v>
      </c>
      <c r="CJ232" s="86">
        <f>IF(BB232="",0,VLOOKUP(P232,Tables!$B$3:$D$36,2,FALSE())*AL$1)</f>
        <v>0</v>
      </c>
      <c r="CK232" s="87">
        <f>IF(AN232="",0,VLOOKUP(B232,Tables!$B$3:$D$36,3,FALSE())*X$1)*IF(OR(AN232="K",AN232="P"),2,1)</f>
        <v>0</v>
      </c>
      <c r="CL232" s="73">
        <f>IF(AO232="",0,VLOOKUP(C232,Tables!$B$3:$D$36,3,FALSE())*Y$1)*IF(OR(AO232="K",AO232="P"),2,1)</f>
        <v>0</v>
      </c>
      <c r="CM232" s="73">
        <f>IF(AP232="",0,VLOOKUP(D232,Tables!$B$3:$D$36,3,FALSE())*Z$1)*IF(OR(AP232="K",AP232="P"),2,1)</f>
        <v>0</v>
      </c>
      <c r="CN232" s="87">
        <f>IF(AQ232="",0,VLOOKUP(E232,Tables!$B$3:$D$36,3,FALSE())*AA$1)</f>
        <v>0.3</v>
      </c>
      <c r="CO232" s="73">
        <f>IF(AR232="",0,VLOOKUP(F232,Tables!$B$3:$D$36,3,FALSE())*AB$1)</f>
        <v>0.6</v>
      </c>
      <c r="CP232" s="73">
        <f>IF(AS232="",0,VLOOKUP(G232,Tables!$B$3:$D$36,3,FALSE())*AC$1)</f>
        <v>0</v>
      </c>
      <c r="CQ232" s="73">
        <f>IF(AT232="",0,VLOOKUP(H232,Tables!$B$3:$D$36,3,FALSE())*AD$1)</f>
        <v>0</v>
      </c>
      <c r="CR232" s="73">
        <f>IF(AU232="",0,VLOOKUP(I232,Tables!$B$3:$D$36,3,FALSE())*AE$1)</f>
        <v>0</v>
      </c>
      <c r="CS232" s="87">
        <f>IF(AV232="",0,VLOOKUP(J232,Tables!$B$3:$D$36,3,FALSE())*AF$1)</f>
        <v>1.2</v>
      </c>
      <c r="CT232" s="73">
        <f>IF(AW232="",0,VLOOKUP(K232,Tables!$B$3:$D$36,3,FALSE())*AG$1)</f>
        <v>1.2</v>
      </c>
      <c r="CU232" s="73">
        <f>IF(AX232="",0,VLOOKUP(L232,Tables!$B$3:$D$36,3,FALSE())*AH$1)</f>
        <v>0</v>
      </c>
      <c r="CV232" s="87">
        <f>IF(AY232="",0,VLOOKUP(M232,Tables!$B$3:$D$36,3,FALSE())*AI$1)</f>
        <v>0</v>
      </c>
      <c r="CW232" s="73">
        <f>IF(AZ232="",0,VLOOKUP(N232,Tables!$B$3:$D$36,3,FALSE())*AJ$1)</f>
        <v>0</v>
      </c>
      <c r="CX232" s="73">
        <f>IF(BA232="",0,VLOOKUP(O232,Tables!$B$3:$D$36,3,FALSE())*AK$1)</f>
        <v>0</v>
      </c>
      <c r="CY232" s="88">
        <f>IF(BB232="",0,VLOOKUP(P232,Tables!$B$3:$D$36,3,FALSE())*AL$1)</f>
        <v>0</v>
      </c>
      <c r="CZ232" s="89">
        <f t="shared" si="208"/>
        <v>0</v>
      </c>
      <c r="DA232" s="75">
        <f t="shared" si="209"/>
        <v>0</v>
      </c>
      <c r="DB232" s="75">
        <f t="shared" si="210"/>
        <v>0</v>
      </c>
      <c r="DC232" s="89">
        <f t="shared" si="211"/>
        <v>1</v>
      </c>
      <c r="DD232" s="75">
        <f t="shared" si="212"/>
        <v>1</v>
      </c>
      <c r="DE232" s="75">
        <f t="shared" si="213"/>
        <v>0</v>
      </c>
      <c r="DF232" s="75">
        <f t="shared" si="214"/>
        <v>0</v>
      </c>
      <c r="DG232" s="75">
        <f t="shared" si="215"/>
        <v>0</v>
      </c>
      <c r="DH232" s="89">
        <f t="shared" si="216"/>
        <v>1</v>
      </c>
      <c r="DI232" s="75">
        <f t="shared" si="217"/>
        <v>1</v>
      </c>
      <c r="DJ232" s="75">
        <f t="shared" si="218"/>
        <v>0</v>
      </c>
      <c r="DK232" s="89">
        <f t="shared" si="219"/>
        <v>0</v>
      </c>
      <c r="DL232" s="75">
        <f t="shared" si="220"/>
        <v>0</v>
      </c>
      <c r="DM232" s="75">
        <f t="shared" si="221"/>
        <v>0</v>
      </c>
      <c r="DN232" s="90">
        <f t="shared" si="222"/>
        <v>0</v>
      </c>
      <c r="DO232" s="91">
        <f>IF(AN232="",0,VLOOKUP(B232,Tables!$B$3:$M$36,11,FALSE())*X$1)</f>
        <v>0</v>
      </c>
      <c r="DP232" s="92">
        <f>IF(AO232="",0,VLOOKUP(C232,Tables!$B$3:$M$36,11,FALSE())*Y$1)</f>
        <v>0</v>
      </c>
      <c r="DQ232" s="92">
        <f>IF(AP232="",0,VLOOKUP(D232,Tables!$B$3:$M$36,11,FALSE())*Z$1)</f>
        <v>0</v>
      </c>
      <c r="DR232" s="91">
        <f>IF(AQ232="",0,VLOOKUP(E232,Tables!$B$3:$M$36,11,FALSE())*AA$1)</f>
        <v>1.7999999999999998</v>
      </c>
      <c r="DS232" s="92">
        <f>IF(AR232="",0,VLOOKUP(F232,Tables!$B$3:$M$36,11,FALSE())*AB$1)</f>
        <v>3.5999999999999996</v>
      </c>
      <c r="DT232" s="92">
        <f>IF(AS232="",0,VLOOKUP(G232,Tables!$B$3:$M$36,11,FALSE())*AC$1)</f>
        <v>0</v>
      </c>
      <c r="DU232" s="92">
        <f>IF(AT232="",0,VLOOKUP(H232,Tables!$B$3:$M$36,11,FALSE())*AD$1)</f>
        <v>0</v>
      </c>
      <c r="DV232" s="92">
        <f>IF(AU232="",0,VLOOKUP(I232,Tables!$B$3:$M$36,11,FALSE())*AE$1)</f>
        <v>0</v>
      </c>
      <c r="DW232" s="91">
        <f>IF(AV232="",0,VLOOKUP(J232,Tables!$B$3:$M$36,11,FALSE())*AF$1)</f>
        <v>7.1999999999999993</v>
      </c>
      <c r="DX232" s="92">
        <f>IF(AW232="",0,VLOOKUP(K232,Tables!$B$3:$M$36,11,FALSE())*AG$1)</f>
        <v>7.1999999999999993</v>
      </c>
      <c r="DY232" s="92">
        <f>IF(AX232="",0,VLOOKUP(L232,Tables!$B$3:$M$36,11,FALSE())*AH$1)</f>
        <v>0</v>
      </c>
      <c r="DZ232" s="91">
        <f>IF(AY232="",0,VLOOKUP(M232,Tables!$B$3:$M$36,11,FALSE())*AI$1)</f>
        <v>0</v>
      </c>
      <c r="EA232" s="92">
        <f>IF(AZ232="",0,VLOOKUP(N232,Tables!$B$3:$M$36,11,FALSE())*AJ$1)</f>
        <v>0</v>
      </c>
      <c r="EB232" s="92">
        <f>IF(BA232="",0,VLOOKUP(O232,Tables!$B$3:$M$36,11,FALSE())*AK$1)</f>
        <v>0</v>
      </c>
      <c r="EC232" s="93">
        <f>IF(BB232="",0,VLOOKUP(P232,Tables!$B$3:$M$36,11,FALSE())*AL$1)</f>
        <v>0</v>
      </c>
      <c r="ED232" s="91">
        <f>IF(AN232="",0,VLOOKUP(B232,Tables!$B$3:$M$36,12,FALSE())*X$1)</f>
        <v>0</v>
      </c>
      <c r="EE232" s="92">
        <f>IF(AO232="",0,VLOOKUP(C232,Tables!$B$3:$M$36,12,FALSE())*Y$1)</f>
        <v>0</v>
      </c>
      <c r="EF232" s="92">
        <f>IF(AP232="",0,VLOOKUP(D232,Tables!$B$3:$M$36,12,FALSE())*Z$1)</f>
        <v>0</v>
      </c>
      <c r="EG232" s="91">
        <f>IF(AQ232="",0,VLOOKUP(E232,Tables!$B$3:$M$36,12,FALSE())*AA$1)</f>
        <v>1.7999999999999998</v>
      </c>
      <c r="EH232" s="92">
        <f>IF(AR232="",0,VLOOKUP(F232,Tables!$B$3:$M$36,12,FALSE())*AB$1)</f>
        <v>3.5999999999999996</v>
      </c>
      <c r="EI232" s="92">
        <f>IF(AS232="",0,VLOOKUP(G232,Tables!$B$3:$M$36,12,FALSE())*AC$1)</f>
        <v>0</v>
      </c>
      <c r="EJ232" s="92">
        <f>IF(AT232="",0,VLOOKUP(H232,Tables!$B$3:$M$36,12,FALSE())*AD$1)</f>
        <v>0</v>
      </c>
      <c r="EK232" s="92">
        <f>IF(AU232="",0,VLOOKUP(I232,Tables!$B$3:$M$36,12,FALSE())*AE$1)</f>
        <v>0</v>
      </c>
      <c r="EL232" s="91">
        <f>IF(AV232="",0,VLOOKUP(J232,Tables!$B$3:$M$36,12,FALSE())*AF$1)</f>
        <v>7.1999999999999993</v>
      </c>
      <c r="EM232" s="92">
        <f>IF(AW232="",0,VLOOKUP(K232,Tables!$B$3:$M$36,12,FALSE())*AG$1)</f>
        <v>7.1999999999999993</v>
      </c>
      <c r="EN232" s="92">
        <f>IF(AX232="",0,VLOOKUP(L232,Tables!$B$3:$M$36,12,FALSE())*AH$1)</f>
        <v>0</v>
      </c>
      <c r="EO232" s="91">
        <f>IF(AY232="",0,VLOOKUP(M232,Tables!$B$3:$M$36,12,FALSE())*AI$1)</f>
        <v>0</v>
      </c>
      <c r="EP232" s="92">
        <f>IF(AZ232="",0,VLOOKUP(N232,Tables!$B$3:$M$36,12,FALSE())*AJ$1)</f>
        <v>0</v>
      </c>
      <c r="EQ232" s="92">
        <f>IF(BA232="",0,VLOOKUP(O232,Tables!$B$3:$M$36,12,FALSE())*AK$1)</f>
        <v>0</v>
      </c>
      <c r="ER232" s="93">
        <f>IF(BB232="",0,VLOOKUP(P232,Tables!$B$3:$M$36,12,FALSE())*AL$1)</f>
        <v>0</v>
      </c>
      <c r="ES232" s="94">
        <f t="shared" si="223"/>
        <v>0</v>
      </c>
      <c r="ET232" s="95">
        <f>IF(AN232="",10,MIN(VLOOKUP(B232,MATERIAL,13,FALSE()),'Item Builder'!$W232))</f>
        <v>10</v>
      </c>
      <c r="EU232" s="95">
        <f>IF(AO232="",10,MIN(VLOOKUP(C232,MATERIAL,13,FALSE()),'Item Builder'!$W232))</f>
        <v>10</v>
      </c>
      <c r="EV232" s="95">
        <f>IF(AP232="",10,MIN(VLOOKUP(D232,MATERIAL,13,FALSE()),'Item Builder'!$W232))</f>
        <v>10</v>
      </c>
      <c r="EW232" s="95">
        <f>IF(AQ232="",10,MIN(VLOOKUP(E232,MATERIAL,13,FALSE()),'Item Builder'!$W232))</f>
        <v>0</v>
      </c>
      <c r="EX232" s="95">
        <f>IF(AR232="",10,MIN(VLOOKUP(F232,MATERIAL,13,FALSE()),'Item Builder'!$W232))</f>
        <v>0</v>
      </c>
      <c r="EY232" s="95">
        <f>IF(AS232="",10,MIN(VLOOKUP(G232,MATERIAL,13,FALSE()),'Item Builder'!$W232))</f>
        <v>10</v>
      </c>
      <c r="EZ232" s="95">
        <f>IF(AT232="",10,MIN(VLOOKUP(H232,MATERIAL,13,FALSE()),'Item Builder'!$W232))</f>
        <v>10</v>
      </c>
      <c r="FA232" s="95">
        <f>IF(AU232="",10,MIN(VLOOKUP(I232,MATERIAL,13,FALSE()),'Item Builder'!$W232))</f>
        <v>10</v>
      </c>
      <c r="FB232" s="95">
        <f>IF(AV232="",10,MIN(VLOOKUP(J232,MATERIAL,13,FALSE()),'Item Builder'!$W232))</f>
        <v>0</v>
      </c>
      <c r="FC232" s="95">
        <f>IF(AW232="",10,MIN(VLOOKUP(K232,MATERIAL,13,FALSE()),'Item Builder'!$W232))</f>
        <v>0</v>
      </c>
      <c r="FD232" s="95">
        <f>IF(AX232="",10,MIN(VLOOKUP(L232,MATERIAL,13,FALSE()),'Item Builder'!$W232))</f>
        <v>10</v>
      </c>
      <c r="FE232" s="95">
        <f>IF(AY232="",10,MIN(VLOOKUP(M232,MATERIAL,13,FALSE()),'Item Builder'!$W232))</f>
        <v>10</v>
      </c>
      <c r="FF232" s="95">
        <f>IF(AZ232="",10,MIN(VLOOKUP(N232,MATERIAL,13,FALSE()),'Item Builder'!$W232))</f>
        <v>10</v>
      </c>
      <c r="FG232" s="95">
        <f>IF(BA232="",10,MIN(VLOOKUP(O232,MATERIAL,13,FALSE()),'Item Builder'!$W232))</f>
        <v>10</v>
      </c>
      <c r="FH232" s="95">
        <f>IF(BB232="",10,MIN(VLOOKUP(P232,MATERIAL,13,FALSE()),'Item Builder'!$W232))</f>
        <v>10</v>
      </c>
    </row>
    <row r="233" spans="1:164" x14ac:dyDescent="0.25">
      <c r="A233" s="67" t="s">
        <v>373</v>
      </c>
      <c r="B233" s="68"/>
      <c r="C233" s="69"/>
      <c r="D233" s="70"/>
      <c r="E233" s="68" t="s">
        <v>188</v>
      </c>
      <c r="F233" s="69" t="s">
        <v>188</v>
      </c>
      <c r="G233" s="69" t="s">
        <v>188</v>
      </c>
      <c r="H233" s="69"/>
      <c r="I233" s="70"/>
      <c r="J233" s="68" t="s">
        <v>188</v>
      </c>
      <c r="K233" s="69" t="s">
        <v>188</v>
      </c>
      <c r="L233" s="70" t="s">
        <v>188</v>
      </c>
      <c r="M233" s="68"/>
      <c r="N233" s="69"/>
      <c r="O233" s="69"/>
      <c r="P233" s="71"/>
      <c r="Q233" s="72">
        <f>SUM(BV233:CJ233)*VLOOKUP(W233,Tables!$W$3:$Z$8,4)</f>
        <v>40.5</v>
      </c>
      <c r="R233" s="73">
        <f t="shared" si="168"/>
        <v>4.5</v>
      </c>
      <c r="S233" s="74">
        <f t="shared" si="169"/>
        <v>0</v>
      </c>
      <c r="T233" s="74">
        <f t="shared" si="170"/>
        <v>0</v>
      </c>
      <c r="U233" s="75">
        <f t="shared" si="171"/>
        <v>27</v>
      </c>
      <c r="V233" s="76">
        <f t="shared" si="172"/>
        <v>27</v>
      </c>
      <c r="W233" s="77">
        <v>0</v>
      </c>
      <c r="X233" s="78">
        <f t="shared" si="173"/>
        <v>0</v>
      </c>
      <c r="Y233" s="79">
        <f t="shared" si="174"/>
        <v>0</v>
      </c>
      <c r="Z233" s="79">
        <f t="shared" si="175"/>
        <v>0</v>
      </c>
      <c r="AA233" s="78">
        <f t="shared" si="176"/>
        <v>1</v>
      </c>
      <c r="AB233" s="79">
        <f t="shared" si="177"/>
        <v>1</v>
      </c>
      <c r="AC233" s="79">
        <f t="shared" si="178"/>
        <v>1</v>
      </c>
      <c r="AD233" s="79">
        <f t="shared" si="179"/>
        <v>0</v>
      </c>
      <c r="AE233" s="79">
        <f t="shared" si="180"/>
        <v>0</v>
      </c>
      <c r="AF233" s="78">
        <f t="shared" si="181"/>
        <v>1</v>
      </c>
      <c r="AG233" s="79">
        <f t="shared" si="182"/>
        <v>1</v>
      </c>
      <c r="AH233" s="79">
        <f t="shared" si="183"/>
        <v>1</v>
      </c>
      <c r="AI233" s="78">
        <f t="shared" si="184"/>
        <v>0</v>
      </c>
      <c r="AJ233" s="79">
        <f t="shared" si="185"/>
        <v>0</v>
      </c>
      <c r="AK233" s="79">
        <f t="shared" si="186"/>
        <v>0</v>
      </c>
      <c r="AL233" s="80">
        <f t="shared" si="187"/>
        <v>0</v>
      </c>
      <c r="AM233" s="81">
        <f t="shared" si="188"/>
        <v>0.44999999999999996</v>
      </c>
      <c r="AN233" s="82" t="str">
        <f t="shared" si="189"/>
        <v/>
      </c>
      <c r="AO233" s="79" t="str">
        <f t="shared" si="190"/>
        <v/>
      </c>
      <c r="AP233" t="str">
        <f t="shared" si="191"/>
        <v/>
      </c>
      <c r="AQ233" s="82" t="str">
        <f t="shared" si="192"/>
        <v>L</v>
      </c>
      <c r="AR233" t="str">
        <f t="shared" si="193"/>
        <v>L</v>
      </c>
      <c r="AS233" t="str">
        <f t="shared" si="194"/>
        <v>L</v>
      </c>
      <c r="AT233" t="str">
        <f t="shared" si="195"/>
        <v/>
      </c>
      <c r="AU233" t="str">
        <f t="shared" si="196"/>
        <v/>
      </c>
      <c r="AV233" s="82" t="str">
        <f t="shared" si="197"/>
        <v>L</v>
      </c>
      <c r="AW233" t="str">
        <f t="shared" si="198"/>
        <v>L</v>
      </c>
      <c r="AX233" t="str">
        <f t="shared" si="199"/>
        <v>L</v>
      </c>
      <c r="AY233" s="82" t="str">
        <f t="shared" si="200"/>
        <v/>
      </c>
      <c r="AZ233" t="str">
        <f t="shared" si="201"/>
        <v/>
      </c>
      <c r="BA233" t="str">
        <f t="shared" si="202"/>
        <v/>
      </c>
      <c r="BB233" s="83" t="str">
        <f t="shared" si="203"/>
        <v/>
      </c>
      <c r="BC233" s="84">
        <f t="shared" si="204"/>
        <v>0</v>
      </c>
      <c r="BD233" s="84">
        <f t="shared" si="205"/>
        <v>0.52380952380952372</v>
      </c>
      <c r="BE233" s="84">
        <f t="shared" si="206"/>
        <v>1</v>
      </c>
      <c r="BF233" s="84">
        <f t="shared" si="207"/>
        <v>0</v>
      </c>
      <c r="BG233" s="78">
        <f>IF(AN233="",0,VLOOKUP(AN233,Tables!$AB$3:$AC$12,2))</f>
        <v>0</v>
      </c>
      <c r="BH233" s="79">
        <f>IF(AO233="",0,VLOOKUP(AO233,Tables!$AB$3:$AC$12,2))</f>
        <v>0</v>
      </c>
      <c r="BI233" s="79">
        <f>IF(AP233="",0,VLOOKUP(AP233,Tables!$AB$3:$AC$12,2))</f>
        <v>0</v>
      </c>
      <c r="BJ233" s="78">
        <f>IF(AQ233="",0,VLOOKUP(AQ233,Tables!$AB$3:$AC$12,2))</f>
        <v>1</v>
      </c>
      <c r="BK233" s="79">
        <f>IF(AR233="",0,VLOOKUP(AR233,Tables!$AB$3:$AC$12,2))</f>
        <v>1</v>
      </c>
      <c r="BL233" s="79">
        <f>IF(AS233="",0,VLOOKUP(AS233,Tables!$AB$3:$AC$12,2))</f>
        <v>1</v>
      </c>
      <c r="BM233" s="79">
        <f>IF(AT233="",0,VLOOKUP(AT233,Tables!$AB$3:$AC$12,2))</f>
        <v>0</v>
      </c>
      <c r="BN233" s="79">
        <f>IF(AU233="",0,VLOOKUP(AU233,Tables!$AB$3:$AC$12,2))</f>
        <v>0</v>
      </c>
      <c r="BO233" s="78">
        <f>IF(AV233="",0,VLOOKUP(AV233,Tables!$AB$3:$AC$12,2))</f>
        <v>1</v>
      </c>
      <c r="BP233" s="79">
        <f>IF(AW233="",0,VLOOKUP(AW233,Tables!$AB$3:$AC$12,2))</f>
        <v>1</v>
      </c>
      <c r="BQ233" s="79">
        <f>IF(AX233="",0,VLOOKUP(AX233,Tables!$AB$3:$AC$12,2))</f>
        <v>1</v>
      </c>
      <c r="BR233" s="78">
        <f>IF(AY233="",0,VLOOKUP(AY233,Tables!$AB$3:$AC$12,2))</f>
        <v>0</v>
      </c>
      <c r="BS233" s="79">
        <f>IF(AZ233="",0,VLOOKUP(AZ233,Tables!$AB$3:$AC$12,2))</f>
        <v>0</v>
      </c>
      <c r="BT233" s="79">
        <f>IF(BA233="",0,VLOOKUP(BA233,Tables!$AB$3:$AC$12,2))</f>
        <v>0</v>
      </c>
      <c r="BU233" s="80">
        <f>IF(BB233="",0,VLOOKUP(BB233,Tables!$AB$3:$AC$12,2))</f>
        <v>0</v>
      </c>
      <c r="BV233" s="85">
        <f>IF(AN233="",0,VLOOKUP(B233,Tables!$B$3:$D$36,2,FALSE())*X$1)</f>
        <v>0</v>
      </c>
      <c r="BW233" s="72">
        <f>IF(AO233="",0,VLOOKUP(C233,Tables!$B$3:$D$36,2,FALSE())*Y$1)</f>
        <v>0</v>
      </c>
      <c r="BX233" s="72">
        <f>IF(AP233="",0,VLOOKUP(D233,Tables!$B$3:$D$36,2,FALSE())*Z$1)</f>
        <v>0</v>
      </c>
      <c r="BY233" s="85">
        <f>IF(AQ233="",0,VLOOKUP(E233,Tables!$B$3:$D$36,2,FALSE())*AA$1)</f>
        <v>2.6999999999999997</v>
      </c>
      <c r="BZ233" s="72">
        <f>IF(AR233="",0,VLOOKUP(F233,Tables!$B$3:$D$36,2,FALSE())*AB$1)</f>
        <v>5.3999999999999995</v>
      </c>
      <c r="CA233" s="72">
        <f>IF(AS233="",0,VLOOKUP(G233,Tables!$B$3:$D$36,2,FALSE())*AC$1)</f>
        <v>1.8</v>
      </c>
      <c r="CB233" s="72">
        <f>IF(AT233="",0,VLOOKUP(H233,Tables!$B$3:$D$36,2,FALSE())*AD$1)</f>
        <v>0</v>
      </c>
      <c r="CC233" s="72">
        <f>IF(AU233="",0,VLOOKUP(I233,Tables!$B$3:$D$36,2,FALSE())*AE$1)</f>
        <v>0</v>
      </c>
      <c r="CD233" s="85">
        <f>IF(AV233="",0,VLOOKUP(J233,Tables!$B$3:$D$36,2,FALSE())*AF$1)</f>
        <v>10.799999999999999</v>
      </c>
      <c r="CE233" s="72">
        <f>IF(AW233="",0,VLOOKUP(K233,Tables!$B$3:$D$36,2,FALSE())*AG$1)</f>
        <v>10.799999999999999</v>
      </c>
      <c r="CF233" s="72">
        <f>IF(AX233="",0,VLOOKUP(L233,Tables!$B$3:$D$36,2,FALSE())*AH$1)</f>
        <v>9</v>
      </c>
      <c r="CG233" s="85">
        <f>IF(AY233="",0,VLOOKUP(M233,Tables!$B$3:$D$36,2,FALSE())*AI$1)</f>
        <v>0</v>
      </c>
      <c r="CH233" s="72">
        <f>IF(AZ233="",0,VLOOKUP(N233,Tables!$B$3:$D$36,2,FALSE())*AJ$1)</f>
        <v>0</v>
      </c>
      <c r="CI233" s="72">
        <f>IF(BA233="",0,VLOOKUP(O233,Tables!$B$3:$D$36,2,FALSE())*AK$1)</f>
        <v>0</v>
      </c>
      <c r="CJ233" s="86">
        <f>IF(BB233="",0,VLOOKUP(P233,Tables!$B$3:$D$36,2,FALSE())*AL$1)</f>
        <v>0</v>
      </c>
      <c r="CK233" s="87">
        <f>IF(AN233="",0,VLOOKUP(B233,Tables!$B$3:$D$36,3,FALSE())*X$1)*IF(OR(AN233="K",AN233="P"),2,1)</f>
        <v>0</v>
      </c>
      <c r="CL233" s="73">
        <f>IF(AO233="",0,VLOOKUP(C233,Tables!$B$3:$D$36,3,FALSE())*Y$1)*IF(OR(AO233="K",AO233="P"),2,1)</f>
        <v>0</v>
      </c>
      <c r="CM233" s="73">
        <f>IF(AP233="",0,VLOOKUP(D233,Tables!$B$3:$D$36,3,FALSE())*Z$1)*IF(OR(AP233="K",AP233="P"),2,1)</f>
        <v>0</v>
      </c>
      <c r="CN233" s="87">
        <f>IF(AQ233="",0,VLOOKUP(E233,Tables!$B$3:$D$36,3,FALSE())*AA$1)</f>
        <v>0.3</v>
      </c>
      <c r="CO233" s="73">
        <f>IF(AR233="",0,VLOOKUP(F233,Tables!$B$3:$D$36,3,FALSE())*AB$1)</f>
        <v>0.6</v>
      </c>
      <c r="CP233" s="73">
        <f>IF(AS233="",0,VLOOKUP(G233,Tables!$B$3:$D$36,3,FALSE())*AC$1)</f>
        <v>0.2</v>
      </c>
      <c r="CQ233" s="73">
        <f>IF(AT233="",0,VLOOKUP(H233,Tables!$B$3:$D$36,3,FALSE())*AD$1)</f>
        <v>0</v>
      </c>
      <c r="CR233" s="73">
        <f>IF(AU233="",0,VLOOKUP(I233,Tables!$B$3:$D$36,3,FALSE())*AE$1)</f>
        <v>0</v>
      </c>
      <c r="CS233" s="87">
        <f>IF(AV233="",0,VLOOKUP(J233,Tables!$B$3:$D$36,3,FALSE())*AF$1)</f>
        <v>1.2</v>
      </c>
      <c r="CT233" s="73">
        <f>IF(AW233="",0,VLOOKUP(K233,Tables!$B$3:$D$36,3,FALSE())*AG$1)</f>
        <v>1.2</v>
      </c>
      <c r="CU233" s="73">
        <f>IF(AX233="",0,VLOOKUP(L233,Tables!$B$3:$D$36,3,FALSE())*AH$1)</f>
        <v>1</v>
      </c>
      <c r="CV233" s="87">
        <f>IF(AY233="",0,VLOOKUP(M233,Tables!$B$3:$D$36,3,FALSE())*AI$1)</f>
        <v>0</v>
      </c>
      <c r="CW233" s="73">
        <f>IF(AZ233="",0,VLOOKUP(N233,Tables!$B$3:$D$36,3,FALSE())*AJ$1)</f>
        <v>0</v>
      </c>
      <c r="CX233" s="73">
        <f>IF(BA233="",0,VLOOKUP(O233,Tables!$B$3:$D$36,3,FALSE())*AK$1)</f>
        <v>0</v>
      </c>
      <c r="CY233" s="88">
        <f>IF(BB233="",0,VLOOKUP(P233,Tables!$B$3:$D$36,3,FALSE())*AL$1)</f>
        <v>0</v>
      </c>
      <c r="CZ233" s="89">
        <f t="shared" si="208"/>
        <v>0</v>
      </c>
      <c r="DA233" s="75">
        <f t="shared" si="209"/>
        <v>0</v>
      </c>
      <c r="DB233" s="75">
        <f t="shared" si="210"/>
        <v>0</v>
      </c>
      <c r="DC233" s="89">
        <f t="shared" si="211"/>
        <v>1</v>
      </c>
      <c r="DD233" s="75">
        <f t="shared" si="212"/>
        <v>1</v>
      </c>
      <c r="DE233" s="75">
        <f t="shared" si="213"/>
        <v>1</v>
      </c>
      <c r="DF233" s="75">
        <f t="shared" si="214"/>
        <v>0</v>
      </c>
      <c r="DG233" s="75">
        <f t="shared" si="215"/>
        <v>0</v>
      </c>
      <c r="DH233" s="89">
        <f t="shared" si="216"/>
        <v>1</v>
      </c>
      <c r="DI233" s="75">
        <f t="shared" si="217"/>
        <v>1</v>
      </c>
      <c r="DJ233" s="75">
        <f t="shared" si="218"/>
        <v>1</v>
      </c>
      <c r="DK233" s="89">
        <f t="shared" si="219"/>
        <v>0</v>
      </c>
      <c r="DL233" s="75">
        <f t="shared" si="220"/>
        <v>0</v>
      </c>
      <c r="DM233" s="75">
        <f t="shared" si="221"/>
        <v>0</v>
      </c>
      <c r="DN233" s="90">
        <f t="shared" si="222"/>
        <v>0</v>
      </c>
      <c r="DO233" s="91">
        <f>IF(AN233="",0,VLOOKUP(B233,Tables!$B$3:$M$36,11,FALSE())*X$1)</f>
        <v>0</v>
      </c>
      <c r="DP233" s="92">
        <f>IF(AO233="",0,VLOOKUP(C233,Tables!$B$3:$M$36,11,FALSE())*Y$1)</f>
        <v>0</v>
      </c>
      <c r="DQ233" s="92">
        <f>IF(AP233="",0,VLOOKUP(D233,Tables!$B$3:$M$36,11,FALSE())*Z$1)</f>
        <v>0</v>
      </c>
      <c r="DR233" s="91">
        <f>IF(AQ233="",0,VLOOKUP(E233,Tables!$B$3:$M$36,11,FALSE())*AA$1)</f>
        <v>1.7999999999999998</v>
      </c>
      <c r="DS233" s="92">
        <f>IF(AR233="",0,VLOOKUP(F233,Tables!$B$3:$M$36,11,FALSE())*AB$1)</f>
        <v>3.5999999999999996</v>
      </c>
      <c r="DT233" s="92">
        <f>IF(AS233="",0,VLOOKUP(G233,Tables!$B$3:$M$36,11,FALSE())*AC$1)</f>
        <v>1.2</v>
      </c>
      <c r="DU233" s="92">
        <f>IF(AT233="",0,VLOOKUP(H233,Tables!$B$3:$M$36,11,FALSE())*AD$1)</f>
        <v>0</v>
      </c>
      <c r="DV233" s="92">
        <f>IF(AU233="",0,VLOOKUP(I233,Tables!$B$3:$M$36,11,FALSE())*AE$1)</f>
        <v>0</v>
      </c>
      <c r="DW233" s="91">
        <f>IF(AV233="",0,VLOOKUP(J233,Tables!$B$3:$M$36,11,FALSE())*AF$1)</f>
        <v>7.1999999999999993</v>
      </c>
      <c r="DX233" s="92">
        <f>IF(AW233="",0,VLOOKUP(K233,Tables!$B$3:$M$36,11,FALSE())*AG$1)</f>
        <v>7.1999999999999993</v>
      </c>
      <c r="DY233" s="92">
        <f>IF(AX233="",0,VLOOKUP(L233,Tables!$B$3:$M$36,11,FALSE())*AH$1)</f>
        <v>6</v>
      </c>
      <c r="DZ233" s="91">
        <f>IF(AY233="",0,VLOOKUP(M233,Tables!$B$3:$M$36,11,FALSE())*AI$1)</f>
        <v>0</v>
      </c>
      <c r="EA233" s="92">
        <f>IF(AZ233="",0,VLOOKUP(N233,Tables!$B$3:$M$36,11,FALSE())*AJ$1)</f>
        <v>0</v>
      </c>
      <c r="EB233" s="92">
        <f>IF(BA233="",0,VLOOKUP(O233,Tables!$B$3:$M$36,11,FALSE())*AK$1)</f>
        <v>0</v>
      </c>
      <c r="EC233" s="93">
        <f>IF(BB233="",0,VLOOKUP(P233,Tables!$B$3:$M$36,11,FALSE())*AL$1)</f>
        <v>0</v>
      </c>
      <c r="ED233" s="91">
        <f>IF(AN233="",0,VLOOKUP(B233,Tables!$B$3:$M$36,12,FALSE())*X$1)</f>
        <v>0</v>
      </c>
      <c r="EE233" s="92">
        <f>IF(AO233="",0,VLOOKUP(C233,Tables!$B$3:$M$36,12,FALSE())*Y$1)</f>
        <v>0</v>
      </c>
      <c r="EF233" s="92">
        <f>IF(AP233="",0,VLOOKUP(D233,Tables!$B$3:$M$36,12,FALSE())*Z$1)</f>
        <v>0</v>
      </c>
      <c r="EG233" s="91">
        <f>IF(AQ233="",0,VLOOKUP(E233,Tables!$B$3:$M$36,12,FALSE())*AA$1)</f>
        <v>1.7999999999999998</v>
      </c>
      <c r="EH233" s="92">
        <f>IF(AR233="",0,VLOOKUP(F233,Tables!$B$3:$M$36,12,FALSE())*AB$1)</f>
        <v>3.5999999999999996</v>
      </c>
      <c r="EI233" s="92">
        <f>IF(AS233="",0,VLOOKUP(G233,Tables!$B$3:$M$36,12,FALSE())*AC$1)</f>
        <v>1.2</v>
      </c>
      <c r="EJ233" s="92">
        <f>IF(AT233="",0,VLOOKUP(H233,Tables!$B$3:$M$36,12,FALSE())*AD$1)</f>
        <v>0</v>
      </c>
      <c r="EK233" s="92">
        <f>IF(AU233="",0,VLOOKUP(I233,Tables!$B$3:$M$36,12,FALSE())*AE$1)</f>
        <v>0</v>
      </c>
      <c r="EL233" s="91">
        <f>IF(AV233="",0,VLOOKUP(J233,Tables!$B$3:$M$36,12,FALSE())*AF$1)</f>
        <v>7.1999999999999993</v>
      </c>
      <c r="EM233" s="92">
        <f>IF(AW233="",0,VLOOKUP(K233,Tables!$B$3:$M$36,12,FALSE())*AG$1)</f>
        <v>7.1999999999999993</v>
      </c>
      <c r="EN233" s="92">
        <f>IF(AX233="",0,VLOOKUP(L233,Tables!$B$3:$M$36,12,FALSE())*AH$1)</f>
        <v>6</v>
      </c>
      <c r="EO233" s="91">
        <f>IF(AY233="",0,VLOOKUP(M233,Tables!$B$3:$M$36,12,FALSE())*AI$1)</f>
        <v>0</v>
      </c>
      <c r="EP233" s="92">
        <f>IF(AZ233="",0,VLOOKUP(N233,Tables!$B$3:$M$36,12,FALSE())*AJ$1)</f>
        <v>0</v>
      </c>
      <c r="EQ233" s="92">
        <f>IF(BA233="",0,VLOOKUP(O233,Tables!$B$3:$M$36,12,FALSE())*AK$1)</f>
        <v>0</v>
      </c>
      <c r="ER233" s="93">
        <f>IF(BB233="",0,VLOOKUP(P233,Tables!$B$3:$M$36,12,FALSE())*AL$1)</f>
        <v>0</v>
      </c>
      <c r="ES233" s="94">
        <f t="shared" si="223"/>
        <v>0</v>
      </c>
      <c r="ET233" s="95">
        <f>IF(AN233="",10,MIN(VLOOKUP(B233,MATERIAL,13,FALSE()),'Item Builder'!$W233))</f>
        <v>10</v>
      </c>
      <c r="EU233" s="95">
        <f>IF(AO233="",10,MIN(VLOOKUP(C233,MATERIAL,13,FALSE()),'Item Builder'!$W233))</f>
        <v>10</v>
      </c>
      <c r="EV233" s="95">
        <f>IF(AP233="",10,MIN(VLOOKUP(D233,MATERIAL,13,FALSE()),'Item Builder'!$W233))</f>
        <v>10</v>
      </c>
      <c r="EW233" s="95">
        <f>IF(AQ233="",10,MIN(VLOOKUP(E233,MATERIAL,13,FALSE()),'Item Builder'!$W233))</f>
        <v>0</v>
      </c>
      <c r="EX233" s="95">
        <f>IF(AR233="",10,MIN(VLOOKUP(F233,MATERIAL,13,FALSE()),'Item Builder'!$W233))</f>
        <v>0</v>
      </c>
      <c r="EY233" s="95">
        <f>IF(AS233="",10,MIN(VLOOKUP(G233,MATERIAL,13,FALSE()),'Item Builder'!$W233))</f>
        <v>0</v>
      </c>
      <c r="EZ233" s="95">
        <f>IF(AT233="",10,MIN(VLOOKUP(H233,MATERIAL,13,FALSE()),'Item Builder'!$W233))</f>
        <v>10</v>
      </c>
      <c r="FA233" s="95">
        <f>IF(AU233="",10,MIN(VLOOKUP(I233,MATERIAL,13,FALSE()),'Item Builder'!$W233))</f>
        <v>10</v>
      </c>
      <c r="FB233" s="95">
        <f>IF(AV233="",10,MIN(VLOOKUP(J233,MATERIAL,13,FALSE()),'Item Builder'!$W233))</f>
        <v>0</v>
      </c>
      <c r="FC233" s="95">
        <f>IF(AW233="",10,MIN(VLOOKUP(K233,MATERIAL,13,FALSE()),'Item Builder'!$W233))</f>
        <v>0</v>
      </c>
      <c r="FD233" s="95">
        <f>IF(AX233="",10,MIN(VLOOKUP(L233,MATERIAL,13,FALSE()),'Item Builder'!$W233))</f>
        <v>0</v>
      </c>
      <c r="FE233" s="95">
        <f>IF(AY233="",10,MIN(VLOOKUP(M233,MATERIAL,13,FALSE()),'Item Builder'!$W233))</f>
        <v>10</v>
      </c>
      <c r="FF233" s="95">
        <f>IF(AZ233="",10,MIN(VLOOKUP(N233,MATERIAL,13,FALSE()),'Item Builder'!$W233))</f>
        <v>10</v>
      </c>
      <c r="FG233" s="95">
        <f>IF(BA233="",10,MIN(VLOOKUP(O233,MATERIAL,13,FALSE()),'Item Builder'!$W233))</f>
        <v>10</v>
      </c>
      <c r="FH233" s="95">
        <f>IF(BB233="",10,MIN(VLOOKUP(P233,MATERIAL,13,FALSE()),'Item Builder'!$W233))</f>
        <v>10</v>
      </c>
    </row>
    <row r="234" spans="1:164" x14ac:dyDescent="0.25">
      <c r="A234" s="67" t="s">
        <v>374</v>
      </c>
      <c r="B234" s="68" t="s">
        <v>30</v>
      </c>
      <c r="C234" s="69" t="s">
        <v>30</v>
      </c>
      <c r="D234" s="70" t="s">
        <v>30</v>
      </c>
      <c r="E234" s="68"/>
      <c r="F234" s="69"/>
      <c r="G234" s="69"/>
      <c r="H234" s="69"/>
      <c r="I234" s="70"/>
      <c r="J234" s="68"/>
      <c r="K234" s="69"/>
      <c r="L234" s="70"/>
      <c r="M234" s="68"/>
      <c r="N234" s="69"/>
      <c r="O234" s="69"/>
      <c r="P234" s="71"/>
      <c r="Q234" s="72">
        <f>SUM(BV234:CJ234)*VLOOKUP(W234,Tables!$W$3:$Z$8,4)</f>
        <v>900</v>
      </c>
      <c r="R234" s="73">
        <f t="shared" si="168"/>
        <v>6.84</v>
      </c>
      <c r="S234" s="74">
        <f t="shared" si="169"/>
        <v>0</v>
      </c>
      <c r="T234" s="74">
        <f t="shared" si="170"/>
        <v>10</v>
      </c>
      <c r="U234" s="75">
        <f t="shared" si="171"/>
        <v>216</v>
      </c>
      <c r="V234" s="76">
        <f t="shared" si="172"/>
        <v>21.599999999999998</v>
      </c>
      <c r="W234" s="77">
        <v>4</v>
      </c>
      <c r="X234" s="78">
        <f t="shared" si="173"/>
        <v>1</v>
      </c>
      <c r="Y234" s="79">
        <f t="shared" si="174"/>
        <v>1</v>
      </c>
      <c r="Z234" s="79">
        <f t="shared" si="175"/>
        <v>1</v>
      </c>
      <c r="AA234" s="78">
        <f t="shared" si="176"/>
        <v>0</v>
      </c>
      <c r="AB234" s="79">
        <f t="shared" si="177"/>
        <v>0</v>
      </c>
      <c r="AC234" s="79">
        <f t="shared" si="178"/>
        <v>0</v>
      </c>
      <c r="AD234" s="79">
        <f t="shared" si="179"/>
        <v>0</v>
      </c>
      <c r="AE234" s="79">
        <f t="shared" si="180"/>
        <v>0</v>
      </c>
      <c r="AF234" s="78">
        <f t="shared" si="181"/>
        <v>0</v>
      </c>
      <c r="AG234" s="79">
        <f t="shared" si="182"/>
        <v>0</v>
      </c>
      <c r="AH234" s="79">
        <f t="shared" si="183"/>
        <v>0</v>
      </c>
      <c r="AI234" s="78">
        <f t="shared" si="184"/>
        <v>0</v>
      </c>
      <c r="AJ234" s="79">
        <f t="shared" si="185"/>
        <v>0</v>
      </c>
      <c r="AK234" s="79">
        <f t="shared" si="186"/>
        <v>0</v>
      </c>
      <c r="AL234" s="80">
        <f t="shared" si="187"/>
        <v>0</v>
      </c>
      <c r="AM234" s="81">
        <f t="shared" si="188"/>
        <v>9.0000000000000011E-2</v>
      </c>
      <c r="AN234" s="82" t="str">
        <f t="shared" si="189"/>
        <v>P</v>
      </c>
      <c r="AO234" s="79" t="str">
        <f t="shared" si="190"/>
        <v>P</v>
      </c>
      <c r="AP234" t="str">
        <f t="shared" si="191"/>
        <v>P</v>
      </c>
      <c r="AQ234" s="82" t="str">
        <f t="shared" si="192"/>
        <v/>
      </c>
      <c r="AR234" t="str">
        <f t="shared" si="193"/>
        <v/>
      </c>
      <c r="AS234" t="str">
        <f t="shared" si="194"/>
        <v/>
      </c>
      <c r="AT234" t="str">
        <f t="shared" si="195"/>
        <v/>
      </c>
      <c r="AU234" t="str">
        <f t="shared" si="196"/>
        <v/>
      </c>
      <c r="AV234" s="82" t="str">
        <f t="shared" si="197"/>
        <v/>
      </c>
      <c r="AW234" t="str">
        <f t="shared" si="198"/>
        <v/>
      </c>
      <c r="AX234" t="str">
        <f t="shared" si="199"/>
        <v/>
      </c>
      <c r="AY234" s="82" t="str">
        <f t="shared" si="200"/>
        <v/>
      </c>
      <c r="AZ234" t="str">
        <f t="shared" si="201"/>
        <v/>
      </c>
      <c r="BA234" t="str">
        <f t="shared" si="202"/>
        <v/>
      </c>
      <c r="BB234" s="83" t="str">
        <f t="shared" si="203"/>
        <v/>
      </c>
      <c r="BC234" s="84">
        <f t="shared" si="204"/>
        <v>1</v>
      </c>
      <c r="BD234" s="84">
        <f t="shared" si="205"/>
        <v>0</v>
      </c>
      <c r="BE234" s="84">
        <f t="shared" si="206"/>
        <v>0</v>
      </c>
      <c r="BF234" s="84">
        <f t="shared" si="207"/>
        <v>0</v>
      </c>
      <c r="BG234" s="78">
        <f>IF(AN234="",0,VLOOKUP(AN234,Tables!$AB$3:$AC$12,2))</f>
        <v>1</v>
      </c>
      <c r="BH234" s="79">
        <f>IF(AO234="",0,VLOOKUP(AO234,Tables!$AB$3:$AC$12,2))</f>
        <v>1</v>
      </c>
      <c r="BI234" s="79">
        <f>IF(AP234="",0,VLOOKUP(AP234,Tables!$AB$3:$AC$12,2))</f>
        <v>1</v>
      </c>
      <c r="BJ234" s="78">
        <f>IF(AQ234="",0,VLOOKUP(AQ234,Tables!$AB$3:$AC$12,2))</f>
        <v>0</v>
      </c>
      <c r="BK234" s="79">
        <f>IF(AR234="",0,VLOOKUP(AR234,Tables!$AB$3:$AC$12,2))</f>
        <v>0</v>
      </c>
      <c r="BL234" s="79">
        <f>IF(AS234="",0,VLOOKUP(AS234,Tables!$AB$3:$AC$12,2))</f>
        <v>0</v>
      </c>
      <c r="BM234" s="79">
        <f>IF(AT234="",0,VLOOKUP(AT234,Tables!$AB$3:$AC$12,2))</f>
        <v>0</v>
      </c>
      <c r="BN234" s="79">
        <f>IF(AU234="",0,VLOOKUP(AU234,Tables!$AB$3:$AC$12,2))</f>
        <v>0</v>
      </c>
      <c r="BO234" s="78">
        <f>IF(AV234="",0,VLOOKUP(AV234,Tables!$AB$3:$AC$12,2))</f>
        <v>0</v>
      </c>
      <c r="BP234" s="79">
        <f>IF(AW234="",0,VLOOKUP(AW234,Tables!$AB$3:$AC$12,2))</f>
        <v>0</v>
      </c>
      <c r="BQ234" s="79">
        <f>IF(AX234="",0,VLOOKUP(AX234,Tables!$AB$3:$AC$12,2))</f>
        <v>0</v>
      </c>
      <c r="BR234" s="78">
        <f>IF(AY234="",0,VLOOKUP(AY234,Tables!$AB$3:$AC$12,2))</f>
        <v>0</v>
      </c>
      <c r="BS234" s="79">
        <f>IF(AZ234="",0,VLOOKUP(AZ234,Tables!$AB$3:$AC$12,2))</f>
        <v>0</v>
      </c>
      <c r="BT234" s="79">
        <f>IF(BA234="",0,VLOOKUP(BA234,Tables!$AB$3:$AC$12,2))</f>
        <v>0</v>
      </c>
      <c r="BU234" s="80">
        <f>IF(BB234="",0,VLOOKUP(BB234,Tables!$AB$3:$AC$12,2))</f>
        <v>0</v>
      </c>
      <c r="BV234" s="85">
        <f>IF(AN234="",0,VLOOKUP(B234,Tables!$B$3:$D$36,2,FALSE())*X$1)</f>
        <v>80</v>
      </c>
      <c r="BW234" s="72">
        <f>IF(AO234="",0,VLOOKUP(C234,Tables!$B$3:$D$36,2,FALSE())*Y$1)</f>
        <v>60</v>
      </c>
      <c r="BX234" s="72">
        <f>IF(AP234="",0,VLOOKUP(D234,Tables!$B$3:$D$36,2,FALSE())*Z$1)</f>
        <v>40</v>
      </c>
      <c r="BY234" s="85">
        <f>IF(AQ234="",0,VLOOKUP(E234,Tables!$B$3:$D$36,2,FALSE())*AA$1)</f>
        <v>0</v>
      </c>
      <c r="BZ234" s="72">
        <f>IF(AR234="",0,VLOOKUP(F234,Tables!$B$3:$D$36,2,FALSE())*AB$1)</f>
        <v>0</v>
      </c>
      <c r="CA234" s="72">
        <f>IF(AS234="",0,VLOOKUP(G234,Tables!$B$3:$D$36,2,FALSE())*AC$1)</f>
        <v>0</v>
      </c>
      <c r="CB234" s="72">
        <f>IF(AT234="",0,VLOOKUP(H234,Tables!$B$3:$D$36,2,FALSE())*AD$1)</f>
        <v>0</v>
      </c>
      <c r="CC234" s="72">
        <f>IF(AU234="",0,VLOOKUP(I234,Tables!$B$3:$D$36,2,FALSE())*AE$1)</f>
        <v>0</v>
      </c>
      <c r="CD234" s="85">
        <f>IF(AV234="",0,VLOOKUP(J234,Tables!$B$3:$D$36,2,FALSE())*AF$1)</f>
        <v>0</v>
      </c>
      <c r="CE234" s="72">
        <f>IF(AW234="",0,VLOOKUP(K234,Tables!$B$3:$D$36,2,FALSE())*AG$1)</f>
        <v>0</v>
      </c>
      <c r="CF234" s="72">
        <f>IF(AX234="",0,VLOOKUP(L234,Tables!$B$3:$D$36,2,FALSE())*AH$1)</f>
        <v>0</v>
      </c>
      <c r="CG234" s="85">
        <f>IF(AY234="",0,VLOOKUP(M234,Tables!$B$3:$D$36,2,FALSE())*AI$1)</f>
        <v>0</v>
      </c>
      <c r="CH234" s="72">
        <f>IF(AZ234="",0,VLOOKUP(N234,Tables!$B$3:$D$36,2,FALSE())*AJ$1)</f>
        <v>0</v>
      </c>
      <c r="CI234" s="72">
        <f>IF(BA234="",0,VLOOKUP(O234,Tables!$B$3:$D$36,2,FALSE())*AK$1)</f>
        <v>0</v>
      </c>
      <c r="CJ234" s="86">
        <f>IF(BB234="",0,VLOOKUP(P234,Tables!$B$3:$D$36,2,FALSE())*AL$1)</f>
        <v>0</v>
      </c>
      <c r="CK234" s="87">
        <f>IF(AN234="",0,VLOOKUP(B234,Tables!$B$3:$D$36,3,FALSE())*X$1)*IF(OR(AN234="K",AN234="P"),2,1)</f>
        <v>3.04</v>
      </c>
      <c r="CL234" s="73">
        <f>IF(AO234="",0,VLOOKUP(C234,Tables!$B$3:$D$36,3,FALSE())*Y$1)*IF(OR(AO234="K",AO234="P"),2,1)</f>
        <v>2.2799999999999998</v>
      </c>
      <c r="CM234" s="73">
        <f>IF(AP234="",0,VLOOKUP(D234,Tables!$B$3:$D$36,3,FALSE())*Z$1)*IF(OR(AP234="K",AP234="P"),2,1)</f>
        <v>1.52</v>
      </c>
      <c r="CN234" s="87">
        <f>IF(AQ234="",0,VLOOKUP(E234,Tables!$B$3:$D$36,3,FALSE())*AA$1)</f>
        <v>0</v>
      </c>
      <c r="CO234" s="73">
        <f>IF(AR234="",0,VLOOKUP(F234,Tables!$B$3:$D$36,3,FALSE())*AB$1)</f>
        <v>0</v>
      </c>
      <c r="CP234" s="73">
        <f>IF(AS234="",0,VLOOKUP(G234,Tables!$B$3:$D$36,3,FALSE())*AC$1)</f>
        <v>0</v>
      </c>
      <c r="CQ234" s="73">
        <f>IF(AT234="",0,VLOOKUP(H234,Tables!$B$3:$D$36,3,FALSE())*AD$1)</f>
        <v>0</v>
      </c>
      <c r="CR234" s="73">
        <f>IF(AU234="",0,VLOOKUP(I234,Tables!$B$3:$D$36,3,FALSE())*AE$1)</f>
        <v>0</v>
      </c>
      <c r="CS234" s="87">
        <f>IF(AV234="",0,VLOOKUP(J234,Tables!$B$3:$D$36,3,FALSE())*AF$1)</f>
        <v>0</v>
      </c>
      <c r="CT234" s="73">
        <f>IF(AW234="",0,VLOOKUP(K234,Tables!$B$3:$D$36,3,FALSE())*AG$1)</f>
        <v>0</v>
      </c>
      <c r="CU234" s="73">
        <f>IF(AX234="",0,VLOOKUP(L234,Tables!$B$3:$D$36,3,FALSE())*AH$1)</f>
        <v>0</v>
      </c>
      <c r="CV234" s="87">
        <f>IF(AY234="",0,VLOOKUP(M234,Tables!$B$3:$D$36,3,FALSE())*AI$1)</f>
        <v>0</v>
      </c>
      <c r="CW234" s="73">
        <f>IF(AZ234="",0,VLOOKUP(N234,Tables!$B$3:$D$36,3,FALSE())*AJ$1)</f>
        <v>0</v>
      </c>
      <c r="CX234" s="73">
        <f>IF(BA234="",0,VLOOKUP(O234,Tables!$B$3:$D$36,3,FALSE())*AK$1)</f>
        <v>0</v>
      </c>
      <c r="CY234" s="88">
        <f>IF(BB234="",0,VLOOKUP(P234,Tables!$B$3:$D$36,3,FALSE())*AL$1)</f>
        <v>0</v>
      </c>
      <c r="CZ234" s="89">
        <f t="shared" si="208"/>
        <v>1.5</v>
      </c>
      <c r="DA234" s="75">
        <f t="shared" si="209"/>
        <v>1.5</v>
      </c>
      <c r="DB234" s="75">
        <f t="shared" si="210"/>
        <v>1.5</v>
      </c>
      <c r="DC234" s="89">
        <f t="shared" si="211"/>
        <v>0</v>
      </c>
      <c r="DD234" s="75">
        <f t="shared" si="212"/>
        <v>0</v>
      </c>
      <c r="DE234" s="75">
        <f t="shared" si="213"/>
        <v>0</v>
      </c>
      <c r="DF234" s="75">
        <f t="shared" si="214"/>
        <v>0</v>
      </c>
      <c r="DG234" s="75">
        <f t="shared" si="215"/>
        <v>0</v>
      </c>
      <c r="DH234" s="89">
        <f t="shared" si="216"/>
        <v>0</v>
      </c>
      <c r="DI234" s="75">
        <f t="shared" si="217"/>
        <v>0</v>
      </c>
      <c r="DJ234" s="75">
        <f t="shared" si="218"/>
        <v>0</v>
      </c>
      <c r="DK234" s="89">
        <f t="shared" si="219"/>
        <v>0</v>
      </c>
      <c r="DL234" s="75">
        <f t="shared" si="220"/>
        <v>0</v>
      </c>
      <c r="DM234" s="75">
        <f t="shared" si="221"/>
        <v>0</v>
      </c>
      <c r="DN234" s="90">
        <f t="shared" si="222"/>
        <v>0</v>
      </c>
      <c r="DO234" s="91">
        <f>IF(AN234="",0,VLOOKUP(B234,Tables!$B$3:$M$36,11,FALSE())*X$1)</f>
        <v>96</v>
      </c>
      <c r="DP234" s="92">
        <f>IF(AO234="",0,VLOOKUP(C234,Tables!$B$3:$M$36,11,FALSE())*Y$1)</f>
        <v>72</v>
      </c>
      <c r="DQ234" s="92">
        <f>IF(AP234="",0,VLOOKUP(D234,Tables!$B$3:$M$36,11,FALSE())*Z$1)</f>
        <v>48</v>
      </c>
      <c r="DR234" s="91">
        <f>IF(AQ234="",0,VLOOKUP(E234,Tables!$B$3:$M$36,11,FALSE())*AA$1)</f>
        <v>0</v>
      </c>
      <c r="DS234" s="92">
        <f>IF(AR234="",0,VLOOKUP(F234,Tables!$B$3:$M$36,11,FALSE())*AB$1)</f>
        <v>0</v>
      </c>
      <c r="DT234" s="92">
        <f>IF(AS234="",0,VLOOKUP(G234,Tables!$B$3:$M$36,11,FALSE())*AC$1)</f>
        <v>0</v>
      </c>
      <c r="DU234" s="92">
        <f>IF(AT234="",0,VLOOKUP(H234,Tables!$B$3:$M$36,11,FALSE())*AD$1)</f>
        <v>0</v>
      </c>
      <c r="DV234" s="92">
        <f>IF(AU234="",0,VLOOKUP(I234,Tables!$B$3:$M$36,11,FALSE())*AE$1)</f>
        <v>0</v>
      </c>
      <c r="DW234" s="91">
        <f>IF(AV234="",0,VLOOKUP(J234,Tables!$B$3:$M$36,11,FALSE())*AF$1)</f>
        <v>0</v>
      </c>
      <c r="DX234" s="92">
        <f>IF(AW234="",0,VLOOKUP(K234,Tables!$B$3:$M$36,11,FALSE())*AG$1)</f>
        <v>0</v>
      </c>
      <c r="DY234" s="92">
        <f>IF(AX234="",0,VLOOKUP(L234,Tables!$B$3:$M$36,11,FALSE())*AH$1)</f>
        <v>0</v>
      </c>
      <c r="DZ234" s="91">
        <f>IF(AY234="",0,VLOOKUP(M234,Tables!$B$3:$M$36,11,FALSE())*AI$1)</f>
        <v>0</v>
      </c>
      <c r="EA234" s="92">
        <f>IF(AZ234="",0,VLOOKUP(N234,Tables!$B$3:$M$36,11,FALSE())*AJ$1)</f>
        <v>0</v>
      </c>
      <c r="EB234" s="92">
        <f>IF(BA234="",0,VLOOKUP(O234,Tables!$B$3:$M$36,11,FALSE())*AK$1)</f>
        <v>0</v>
      </c>
      <c r="EC234" s="93">
        <f>IF(BB234="",0,VLOOKUP(P234,Tables!$B$3:$M$36,11,FALSE())*AL$1)</f>
        <v>0</v>
      </c>
      <c r="ED234" s="91">
        <f>IF(AN234="",0,VLOOKUP(B234,Tables!$B$3:$M$36,12,FALSE())*X$1)</f>
        <v>9.6</v>
      </c>
      <c r="EE234" s="92">
        <f>IF(AO234="",0,VLOOKUP(C234,Tables!$B$3:$M$36,12,FALSE())*Y$1)</f>
        <v>7.1999999999999993</v>
      </c>
      <c r="EF234" s="92">
        <f>IF(AP234="",0,VLOOKUP(D234,Tables!$B$3:$M$36,12,FALSE())*Z$1)</f>
        <v>4.8</v>
      </c>
      <c r="EG234" s="91">
        <f>IF(AQ234="",0,VLOOKUP(E234,Tables!$B$3:$M$36,12,FALSE())*AA$1)</f>
        <v>0</v>
      </c>
      <c r="EH234" s="92">
        <f>IF(AR234="",0,VLOOKUP(F234,Tables!$B$3:$M$36,12,FALSE())*AB$1)</f>
        <v>0</v>
      </c>
      <c r="EI234" s="92">
        <f>IF(AS234="",0,VLOOKUP(G234,Tables!$B$3:$M$36,12,FALSE())*AC$1)</f>
        <v>0</v>
      </c>
      <c r="EJ234" s="92">
        <f>IF(AT234="",0,VLOOKUP(H234,Tables!$B$3:$M$36,12,FALSE())*AD$1)</f>
        <v>0</v>
      </c>
      <c r="EK234" s="92">
        <f>IF(AU234="",0,VLOOKUP(I234,Tables!$B$3:$M$36,12,FALSE())*AE$1)</f>
        <v>0</v>
      </c>
      <c r="EL234" s="91">
        <f>IF(AV234="",0,VLOOKUP(J234,Tables!$B$3:$M$36,12,FALSE())*AF$1)</f>
        <v>0</v>
      </c>
      <c r="EM234" s="92">
        <f>IF(AW234="",0,VLOOKUP(K234,Tables!$B$3:$M$36,12,FALSE())*AG$1)</f>
        <v>0</v>
      </c>
      <c r="EN234" s="92">
        <f>IF(AX234="",0,VLOOKUP(L234,Tables!$B$3:$M$36,12,FALSE())*AH$1)</f>
        <v>0</v>
      </c>
      <c r="EO234" s="91">
        <f>IF(AY234="",0,VLOOKUP(M234,Tables!$B$3:$M$36,12,FALSE())*AI$1)</f>
        <v>0</v>
      </c>
      <c r="EP234" s="92">
        <f>IF(AZ234="",0,VLOOKUP(N234,Tables!$B$3:$M$36,12,FALSE())*AJ$1)</f>
        <v>0</v>
      </c>
      <c r="EQ234" s="92">
        <f>IF(BA234="",0,VLOOKUP(O234,Tables!$B$3:$M$36,12,FALSE())*AK$1)</f>
        <v>0</v>
      </c>
      <c r="ER234" s="93">
        <f>IF(BB234="",0,VLOOKUP(P234,Tables!$B$3:$M$36,12,FALSE())*AL$1)</f>
        <v>0</v>
      </c>
      <c r="ES234" s="94">
        <f t="shared" si="223"/>
        <v>4</v>
      </c>
      <c r="ET234" s="95">
        <f>IF(AN234="",10,MIN(VLOOKUP(B234,MATERIAL,13,FALSE()),'Item Builder'!$W234))</f>
        <v>4</v>
      </c>
      <c r="EU234" s="95">
        <f>IF(AO234="",10,MIN(VLOOKUP(C234,MATERIAL,13,FALSE()),'Item Builder'!$W234))</f>
        <v>4</v>
      </c>
      <c r="EV234" s="95">
        <f>IF(AP234="",10,MIN(VLOOKUP(D234,MATERIAL,13,FALSE()),'Item Builder'!$W234))</f>
        <v>4</v>
      </c>
      <c r="EW234" s="95">
        <f>IF(AQ234="",10,MIN(VLOOKUP(E234,MATERIAL,13,FALSE()),'Item Builder'!$W234))</f>
        <v>10</v>
      </c>
      <c r="EX234" s="95">
        <f>IF(AR234="",10,MIN(VLOOKUP(F234,MATERIAL,13,FALSE()),'Item Builder'!$W234))</f>
        <v>10</v>
      </c>
      <c r="EY234" s="95">
        <f>IF(AS234="",10,MIN(VLOOKUP(G234,MATERIAL,13,FALSE()),'Item Builder'!$W234))</f>
        <v>10</v>
      </c>
      <c r="EZ234" s="95">
        <f>IF(AT234="",10,MIN(VLOOKUP(H234,MATERIAL,13,FALSE()),'Item Builder'!$W234))</f>
        <v>10</v>
      </c>
      <c r="FA234" s="95">
        <f>IF(AU234="",10,MIN(VLOOKUP(I234,MATERIAL,13,FALSE()),'Item Builder'!$W234))</f>
        <v>10</v>
      </c>
      <c r="FB234" s="95">
        <f>IF(AV234="",10,MIN(VLOOKUP(J234,MATERIAL,13,FALSE()),'Item Builder'!$W234))</f>
        <v>10</v>
      </c>
      <c r="FC234" s="95">
        <f>IF(AW234="",10,MIN(VLOOKUP(K234,MATERIAL,13,FALSE()),'Item Builder'!$W234))</f>
        <v>10</v>
      </c>
      <c r="FD234" s="95">
        <f>IF(AX234="",10,MIN(VLOOKUP(L234,MATERIAL,13,FALSE()),'Item Builder'!$W234))</f>
        <v>10</v>
      </c>
      <c r="FE234" s="95">
        <f>IF(AY234="",10,MIN(VLOOKUP(M234,MATERIAL,13,FALSE()),'Item Builder'!$W234))</f>
        <v>10</v>
      </c>
      <c r="FF234" s="95">
        <f>IF(AZ234="",10,MIN(VLOOKUP(N234,MATERIAL,13,FALSE()),'Item Builder'!$W234))</f>
        <v>10</v>
      </c>
      <c r="FG234" s="95">
        <f>IF(BA234="",10,MIN(VLOOKUP(O234,MATERIAL,13,FALSE()),'Item Builder'!$W234))</f>
        <v>10</v>
      </c>
      <c r="FH234" s="95">
        <f>IF(BB234="",10,MIN(VLOOKUP(P234,MATERIAL,13,FALSE()),'Item Builder'!$W234))</f>
        <v>10</v>
      </c>
    </row>
    <row r="235" spans="1:164" x14ac:dyDescent="0.25">
      <c r="A235" s="67" t="s">
        <v>375</v>
      </c>
      <c r="B235" s="68"/>
      <c r="C235" s="69"/>
      <c r="D235" s="70"/>
      <c r="E235" s="68" t="s">
        <v>108</v>
      </c>
      <c r="F235" s="69" t="s">
        <v>108</v>
      </c>
      <c r="G235" s="69" t="s">
        <v>108</v>
      </c>
      <c r="H235" s="69" t="s">
        <v>108</v>
      </c>
      <c r="I235" s="70"/>
      <c r="J235" s="68" t="s">
        <v>108</v>
      </c>
      <c r="K235" s="69" t="s">
        <v>108</v>
      </c>
      <c r="L235" s="70" t="s">
        <v>108</v>
      </c>
      <c r="M235" s="68" t="s">
        <v>108</v>
      </c>
      <c r="N235" s="69"/>
      <c r="O235" s="69"/>
      <c r="P235" s="71"/>
      <c r="Q235" s="72">
        <f>SUM(BV235:CJ235)*VLOOKUP(W235,Tables!$W$3:$Z$8,4)</f>
        <v>3840</v>
      </c>
      <c r="R235" s="73">
        <f t="shared" si="168"/>
        <v>28.8</v>
      </c>
      <c r="S235" s="74">
        <f t="shared" si="169"/>
        <v>15</v>
      </c>
      <c r="T235" s="74">
        <f t="shared" si="170"/>
        <v>0</v>
      </c>
      <c r="U235" s="75">
        <f t="shared" si="171"/>
        <v>576</v>
      </c>
      <c r="V235" s="76">
        <f t="shared" si="172"/>
        <v>480</v>
      </c>
      <c r="W235" s="77">
        <v>3</v>
      </c>
      <c r="X235" s="78">
        <f t="shared" si="173"/>
        <v>0</v>
      </c>
      <c r="Y235" s="79">
        <f t="shared" si="174"/>
        <v>0</v>
      </c>
      <c r="Z235" s="79">
        <f t="shared" si="175"/>
        <v>0</v>
      </c>
      <c r="AA235" s="78">
        <f t="shared" si="176"/>
        <v>1</v>
      </c>
      <c r="AB235" s="79">
        <f t="shared" si="177"/>
        <v>1</v>
      </c>
      <c r="AC235" s="79">
        <f t="shared" si="178"/>
        <v>1</v>
      </c>
      <c r="AD235" s="79">
        <f t="shared" si="179"/>
        <v>1</v>
      </c>
      <c r="AE235" s="79">
        <f t="shared" si="180"/>
        <v>0</v>
      </c>
      <c r="AF235" s="78">
        <f t="shared" si="181"/>
        <v>1</v>
      </c>
      <c r="AG235" s="79">
        <f t="shared" si="182"/>
        <v>1</v>
      </c>
      <c r="AH235" s="79">
        <f t="shared" si="183"/>
        <v>1</v>
      </c>
      <c r="AI235" s="78">
        <f t="shared" si="184"/>
        <v>1</v>
      </c>
      <c r="AJ235" s="79">
        <f t="shared" si="185"/>
        <v>0</v>
      </c>
      <c r="AK235" s="79">
        <f t="shared" si="186"/>
        <v>0</v>
      </c>
      <c r="AL235" s="80">
        <f t="shared" si="187"/>
        <v>0</v>
      </c>
      <c r="AM235" s="81">
        <f t="shared" si="188"/>
        <v>0.64</v>
      </c>
      <c r="AN235" s="82" t="str">
        <f t="shared" si="189"/>
        <v/>
      </c>
      <c r="AO235" s="79" t="str">
        <f t="shared" si="190"/>
        <v/>
      </c>
      <c r="AP235" t="str">
        <f t="shared" si="191"/>
        <v/>
      </c>
      <c r="AQ235" s="82" t="str">
        <f t="shared" si="192"/>
        <v>M</v>
      </c>
      <c r="AR235" t="str">
        <f t="shared" si="193"/>
        <v>M</v>
      </c>
      <c r="AS235" t="str">
        <f t="shared" si="194"/>
        <v>M</v>
      </c>
      <c r="AT235" t="str">
        <f t="shared" si="195"/>
        <v>M</v>
      </c>
      <c r="AU235" t="str">
        <f t="shared" si="196"/>
        <v/>
      </c>
      <c r="AV235" s="82" t="str">
        <f t="shared" si="197"/>
        <v>M</v>
      </c>
      <c r="AW235" t="str">
        <f t="shared" si="198"/>
        <v>M</v>
      </c>
      <c r="AX235" t="str">
        <f t="shared" si="199"/>
        <v>M</v>
      </c>
      <c r="AY235" s="82" t="str">
        <f t="shared" si="200"/>
        <v>M</v>
      </c>
      <c r="AZ235" t="str">
        <f t="shared" si="201"/>
        <v/>
      </c>
      <c r="BA235" t="str">
        <f t="shared" si="202"/>
        <v/>
      </c>
      <c r="BB235" s="83" t="str">
        <f t="shared" si="203"/>
        <v/>
      </c>
      <c r="BC235" s="84">
        <f t="shared" si="204"/>
        <v>0</v>
      </c>
      <c r="BD235" s="84">
        <f t="shared" si="205"/>
        <v>0.76190476190476186</v>
      </c>
      <c r="BE235" s="84">
        <f t="shared" si="206"/>
        <v>1</v>
      </c>
      <c r="BF235" s="84">
        <f t="shared" si="207"/>
        <v>0.3888888888888889</v>
      </c>
      <c r="BG235" s="78">
        <f>IF(AN235="",0,VLOOKUP(AN235,Tables!$AB$3:$AC$12,2))</f>
        <v>0</v>
      </c>
      <c r="BH235" s="79">
        <f>IF(AO235="",0,VLOOKUP(AO235,Tables!$AB$3:$AC$12,2))</f>
        <v>0</v>
      </c>
      <c r="BI235" s="79">
        <f>IF(AP235="",0,VLOOKUP(AP235,Tables!$AB$3:$AC$12,2))</f>
        <v>0</v>
      </c>
      <c r="BJ235" s="78">
        <f>IF(AQ235="",0,VLOOKUP(AQ235,Tables!$AB$3:$AC$12,2))</f>
        <v>1</v>
      </c>
      <c r="BK235" s="79">
        <f>IF(AR235="",0,VLOOKUP(AR235,Tables!$AB$3:$AC$12,2))</f>
        <v>1</v>
      </c>
      <c r="BL235" s="79">
        <f>IF(AS235="",0,VLOOKUP(AS235,Tables!$AB$3:$AC$12,2))</f>
        <v>1</v>
      </c>
      <c r="BM235" s="79">
        <f>IF(AT235="",0,VLOOKUP(AT235,Tables!$AB$3:$AC$12,2))</f>
        <v>1</v>
      </c>
      <c r="BN235" s="79">
        <f>IF(AU235="",0,VLOOKUP(AU235,Tables!$AB$3:$AC$12,2))</f>
        <v>0</v>
      </c>
      <c r="BO235" s="78">
        <f>IF(AV235="",0,VLOOKUP(AV235,Tables!$AB$3:$AC$12,2))</f>
        <v>1</v>
      </c>
      <c r="BP235" s="79">
        <f>IF(AW235="",0,VLOOKUP(AW235,Tables!$AB$3:$AC$12,2))</f>
        <v>1</v>
      </c>
      <c r="BQ235" s="79">
        <f>IF(AX235="",0,VLOOKUP(AX235,Tables!$AB$3:$AC$12,2))</f>
        <v>1</v>
      </c>
      <c r="BR235" s="78">
        <f>IF(AY235="",0,VLOOKUP(AY235,Tables!$AB$3:$AC$12,2))</f>
        <v>1</v>
      </c>
      <c r="BS235" s="79">
        <f>IF(AZ235="",0,VLOOKUP(AZ235,Tables!$AB$3:$AC$12,2))</f>
        <v>0</v>
      </c>
      <c r="BT235" s="79">
        <f>IF(BA235="",0,VLOOKUP(BA235,Tables!$AB$3:$AC$12,2))</f>
        <v>0</v>
      </c>
      <c r="BU235" s="80">
        <f>IF(BB235="",0,VLOOKUP(BB235,Tables!$AB$3:$AC$12,2))</f>
        <v>0</v>
      </c>
      <c r="BV235" s="85">
        <f>IF(AN235="",0,VLOOKUP(B235,Tables!$B$3:$D$36,2,FALSE())*X$1)</f>
        <v>0</v>
      </c>
      <c r="BW235" s="72">
        <f>IF(AO235="",0,VLOOKUP(C235,Tables!$B$3:$D$36,2,FALSE())*Y$1)</f>
        <v>0</v>
      </c>
      <c r="BX235" s="72">
        <f>IF(AP235="",0,VLOOKUP(D235,Tables!$B$3:$D$36,2,FALSE())*Z$1)</f>
        <v>0</v>
      </c>
      <c r="BY235" s="85">
        <f>IF(AQ235="",0,VLOOKUP(E235,Tables!$B$3:$D$36,2,FALSE())*AA$1)</f>
        <v>45</v>
      </c>
      <c r="BZ235" s="72">
        <f>IF(AR235="",0,VLOOKUP(F235,Tables!$B$3:$D$36,2,FALSE())*AB$1)</f>
        <v>90</v>
      </c>
      <c r="CA235" s="72">
        <f>IF(AS235="",0,VLOOKUP(G235,Tables!$B$3:$D$36,2,FALSE())*AC$1)</f>
        <v>30</v>
      </c>
      <c r="CB235" s="72">
        <f>IF(AT235="",0,VLOOKUP(H235,Tables!$B$3:$D$36,2,FALSE())*AD$1)</f>
        <v>75</v>
      </c>
      <c r="CC235" s="72">
        <f>IF(AU235="",0,VLOOKUP(I235,Tables!$B$3:$D$36,2,FALSE())*AE$1)</f>
        <v>0</v>
      </c>
      <c r="CD235" s="85">
        <f>IF(AV235="",0,VLOOKUP(J235,Tables!$B$3:$D$36,2,FALSE())*AF$1)</f>
        <v>180</v>
      </c>
      <c r="CE235" s="72">
        <f>IF(AW235="",0,VLOOKUP(K235,Tables!$B$3:$D$36,2,FALSE())*AG$1)</f>
        <v>180</v>
      </c>
      <c r="CF235" s="72">
        <f>IF(AX235="",0,VLOOKUP(L235,Tables!$B$3:$D$36,2,FALSE())*AH$1)</f>
        <v>150</v>
      </c>
      <c r="CG235" s="85">
        <f>IF(AY235="",0,VLOOKUP(M235,Tables!$B$3:$D$36,2,FALSE())*AI$1)</f>
        <v>210.00000000000003</v>
      </c>
      <c r="CH235" s="72">
        <f>IF(AZ235="",0,VLOOKUP(N235,Tables!$B$3:$D$36,2,FALSE())*AJ$1)</f>
        <v>0</v>
      </c>
      <c r="CI235" s="72">
        <f>IF(BA235="",0,VLOOKUP(O235,Tables!$B$3:$D$36,2,FALSE())*AK$1)</f>
        <v>0</v>
      </c>
      <c r="CJ235" s="86">
        <f>IF(BB235="",0,VLOOKUP(P235,Tables!$B$3:$D$36,2,FALSE())*AL$1)</f>
        <v>0</v>
      </c>
      <c r="CK235" s="87">
        <f>IF(AN235="",0,VLOOKUP(B235,Tables!$B$3:$D$36,3,FALSE())*X$1)*IF(OR(AN235="K",AN235="P"),2,1)</f>
        <v>0</v>
      </c>
      <c r="CL235" s="73">
        <f>IF(AO235="",0,VLOOKUP(C235,Tables!$B$3:$D$36,3,FALSE())*Y$1)*IF(OR(AO235="K",AO235="P"),2,1)</f>
        <v>0</v>
      </c>
      <c r="CM235" s="73">
        <f>IF(AP235="",0,VLOOKUP(D235,Tables!$B$3:$D$36,3,FALSE())*Z$1)*IF(OR(AP235="K",AP235="P"),2,1)</f>
        <v>0</v>
      </c>
      <c r="CN235" s="87">
        <f>IF(AQ235="",0,VLOOKUP(E235,Tables!$B$3:$D$36,3,FALSE())*AA$1)</f>
        <v>1.3499999999999999</v>
      </c>
      <c r="CO235" s="73">
        <f>IF(AR235="",0,VLOOKUP(F235,Tables!$B$3:$D$36,3,FALSE())*AB$1)</f>
        <v>2.6999999999999997</v>
      </c>
      <c r="CP235" s="73">
        <f>IF(AS235="",0,VLOOKUP(G235,Tables!$B$3:$D$36,3,FALSE())*AC$1)</f>
        <v>0.9</v>
      </c>
      <c r="CQ235" s="73">
        <f>IF(AT235="",0,VLOOKUP(H235,Tables!$B$3:$D$36,3,FALSE())*AD$1)</f>
        <v>2.25</v>
      </c>
      <c r="CR235" s="73">
        <f>IF(AU235="",0,VLOOKUP(I235,Tables!$B$3:$D$36,3,FALSE())*AE$1)</f>
        <v>0</v>
      </c>
      <c r="CS235" s="87">
        <f>IF(AV235="",0,VLOOKUP(J235,Tables!$B$3:$D$36,3,FALSE())*AF$1)</f>
        <v>5.3999999999999995</v>
      </c>
      <c r="CT235" s="73">
        <f>IF(AW235="",0,VLOOKUP(K235,Tables!$B$3:$D$36,3,FALSE())*AG$1)</f>
        <v>5.3999999999999995</v>
      </c>
      <c r="CU235" s="73">
        <f>IF(AX235="",0,VLOOKUP(L235,Tables!$B$3:$D$36,3,FALSE())*AH$1)</f>
        <v>4.5</v>
      </c>
      <c r="CV235" s="87">
        <f>IF(AY235="",0,VLOOKUP(M235,Tables!$B$3:$D$36,3,FALSE())*AI$1)</f>
        <v>6.3000000000000007</v>
      </c>
      <c r="CW235" s="73">
        <f>IF(AZ235="",0,VLOOKUP(N235,Tables!$B$3:$D$36,3,FALSE())*AJ$1)</f>
        <v>0</v>
      </c>
      <c r="CX235" s="73">
        <f>IF(BA235="",0,VLOOKUP(O235,Tables!$B$3:$D$36,3,FALSE())*AK$1)</f>
        <v>0</v>
      </c>
      <c r="CY235" s="88">
        <f>IF(BB235="",0,VLOOKUP(P235,Tables!$B$3:$D$36,3,FALSE())*AL$1)</f>
        <v>0</v>
      </c>
      <c r="CZ235" s="89">
        <f t="shared" si="208"/>
        <v>0</v>
      </c>
      <c r="DA235" s="75">
        <f t="shared" si="209"/>
        <v>0</v>
      </c>
      <c r="DB235" s="75">
        <f t="shared" si="210"/>
        <v>0</v>
      </c>
      <c r="DC235" s="89">
        <f t="shared" si="211"/>
        <v>1</v>
      </c>
      <c r="DD235" s="75">
        <f t="shared" si="212"/>
        <v>1</v>
      </c>
      <c r="DE235" s="75">
        <f t="shared" si="213"/>
        <v>1</v>
      </c>
      <c r="DF235" s="75">
        <f t="shared" si="214"/>
        <v>1</v>
      </c>
      <c r="DG235" s="75">
        <f t="shared" si="215"/>
        <v>0</v>
      </c>
      <c r="DH235" s="89">
        <f t="shared" si="216"/>
        <v>1</v>
      </c>
      <c r="DI235" s="75">
        <f t="shared" si="217"/>
        <v>1</v>
      </c>
      <c r="DJ235" s="75">
        <f t="shared" si="218"/>
        <v>1</v>
      </c>
      <c r="DK235" s="89">
        <f t="shared" si="219"/>
        <v>1</v>
      </c>
      <c r="DL235" s="75">
        <f t="shared" si="220"/>
        <v>0</v>
      </c>
      <c r="DM235" s="75">
        <f t="shared" si="221"/>
        <v>0</v>
      </c>
      <c r="DN235" s="90">
        <f t="shared" si="222"/>
        <v>0</v>
      </c>
      <c r="DO235" s="91">
        <f>IF(AN235="",0,VLOOKUP(B235,Tables!$B$3:$M$36,11,FALSE())*X$1)</f>
        <v>0</v>
      </c>
      <c r="DP235" s="92">
        <f>IF(AO235="",0,VLOOKUP(C235,Tables!$B$3:$M$36,11,FALSE())*Y$1)</f>
        <v>0</v>
      </c>
      <c r="DQ235" s="92">
        <f>IF(AP235="",0,VLOOKUP(D235,Tables!$B$3:$M$36,11,FALSE())*Z$1)</f>
        <v>0</v>
      </c>
      <c r="DR235" s="91">
        <f>IF(AQ235="",0,VLOOKUP(E235,Tables!$B$3:$M$36,11,FALSE())*AA$1)</f>
        <v>27</v>
      </c>
      <c r="DS235" s="92">
        <f>IF(AR235="",0,VLOOKUP(F235,Tables!$B$3:$M$36,11,FALSE())*AB$1)</f>
        <v>54</v>
      </c>
      <c r="DT235" s="92">
        <f>IF(AS235="",0,VLOOKUP(G235,Tables!$B$3:$M$36,11,FALSE())*AC$1)</f>
        <v>18</v>
      </c>
      <c r="DU235" s="92">
        <f>IF(AT235="",0,VLOOKUP(H235,Tables!$B$3:$M$36,11,FALSE())*AD$1)</f>
        <v>45</v>
      </c>
      <c r="DV235" s="92">
        <f>IF(AU235="",0,VLOOKUP(I235,Tables!$B$3:$M$36,11,FALSE())*AE$1)</f>
        <v>0</v>
      </c>
      <c r="DW235" s="91">
        <f>IF(AV235="",0,VLOOKUP(J235,Tables!$B$3:$M$36,11,FALSE())*AF$1)</f>
        <v>108</v>
      </c>
      <c r="DX235" s="92">
        <f>IF(AW235="",0,VLOOKUP(K235,Tables!$B$3:$M$36,11,FALSE())*AG$1)</f>
        <v>108</v>
      </c>
      <c r="DY235" s="92">
        <f>IF(AX235="",0,VLOOKUP(L235,Tables!$B$3:$M$36,11,FALSE())*AH$1)</f>
        <v>90</v>
      </c>
      <c r="DZ235" s="91">
        <f>IF(AY235="",0,VLOOKUP(M235,Tables!$B$3:$M$36,11,FALSE())*AI$1)</f>
        <v>126.00000000000001</v>
      </c>
      <c r="EA235" s="92">
        <f>IF(AZ235="",0,VLOOKUP(N235,Tables!$B$3:$M$36,11,FALSE())*AJ$1)</f>
        <v>0</v>
      </c>
      <c r="EB235" s="92">
        <f>IF(BA235="",0,VLOOKUP(O235,Tables!$B$3:$M$36,11,FALSE())*AK$1)</f>
        <v>0</v>
      </c>
      <c r="EC235" s="93">
        <f>IF(BB235="",0,VLOOKUP(P235,Tables!$B$3:$M$36,11,FALSE())*AL$1)</f>
        <v>0</v>
      </c>
      <c r="ED235" s="91">
        <f>IF(AN235="",0,VLOOKUP(B235,Tables!$B$3:$M$36,12,FALSE())*X$1)</f>
        <v>0</v>
      </c>
      <c r="EE235" s="92">
        <f>IF(AO235="",0,VLOOKUP(C235,Tables!$B$3:$M$36,12,FALSE())*Y$1)</f>
        <v>0</v>
      </c>
      <c r="EF235" s="92">
        <f>IF(AP235="",0,VLOOKUP(D235,Tables!$B$3:$M$36,12,FALSE())*Z$1)</f>
        <v>0</v>
      </c>
      <c r="EG235" s="91">
        <f>IF(AQ235="",0,VLOOKUP(E235,Tables!$B$3:$M$36,12,FALSE())*AA$1)</f>
        <v>22.5</v>
      </c>
      <c r="EH235" s="92">
        <f>IF(AR235="",0,VLOOKUP(F235,Tables!$B$3:$M$36,12,FALSE())*AB$1)</f>
        <v>45</v>
      </c>
      <c r="EI235" s="92">
        <f>IF(AS235="",0,VLOOKUP(G235,Tables!$B$3:$M$36,12,FALSE())*AC$1)</f>
        <v>15</v>
      </c>
      <c r="EJ235" s="92">
        <f>IF(AT235="",0,VLOOKUP(H235,Tables!$B$3:$M$36,12,FALSE())*AD$1)</f>
        <v>37.5</v>
      </c>
      <c r="EK235" s="92">
        <f>IF(AU235="",0,VLOOKUP(I235,Tables!$B$3:$M$36,12,FALSE())*AE$1)</f>
        <v>0</v>
      </c>
      <c r="EL235" s="91">
        <f>IF(AV235="",0,VLOOKUP(J235,Tables!$B$3:$M$36,12,FALSE())*AF$1)</f>
        <v>90</v>
      </c>
      <c r="EM235" s="92">
        <f>IF(AW235="",0,VLOOKUP(K235,Tables!$B$3:$M$36,12,FALSE())*AG$1)</f>
        <v>90</v>
      </c>
      <c r="EN235" s="92">
        <f>IF(AX235="",0,VLOOKUP(L235,Tables!$B$3:$M$36,12,FALSE())*AH$1)</f>
        <v>75</v>
      </c>
      <c r="EO235" s="91">
        <f>IF(AY235="",0,VLOOKUP(M235,Tables!$B$3:$M$36,12,FALSE())*AI$1)</f>
        <v>105.00000000000001</v>
      </c>
      <c r="EP235" s="92">
        <f>IF(AZ235="",0,VLOOKUP(N235,Tables!$B$3:$M$36,12,FALSE())*AJ$1)</f>
        <v>0</v>
      </c>
      <c r="EQ235" s="92">
        <f>IF(BA235="",0,VLOOKUP(O235,Tables!$B$3:$M$36,12,FALSE())*AK$1)</f>
        <v>0</v>
      </c>
      <c r="ER235" s="93">
        <f>IF(BB235="",0,VLOOKUP(P235,Tables!$B$3:$M$36,12,FALSE())*AL$1)</f>
        <v>0</v>
      </c>
      <c r="ES235" s="94">
        <f t="shared" si="223"/>
        <v>3</v>
      </c>
      <c r="ET235" s="95">
        <f>IF(AN235="",10,MIN(VLOOKUP(B235,MATERIAL,13,FALSE()),'Item Builder'!$W235))</f>
        <v>10</v>
      </c>
      <c r="EU235" s="95">
        <f>IF(AO235="",10,MIN(VLOOKUP(C235,MATERIAL,13,FALSE()),'Item Builder'!$W235))</f>
        <v>10</v>
      </c>
      <c r="EV235" s="95">
        <f>IF(AP235="",10,MIN(VLOOKUP(D235,MATERIAL,13,FALSE()),'Item Builder'!$W235))</f>
        <v>10</v>
      </c>
      <c r="EW235" s="95">
        <f>IF(AQ235="",10,MIN(VLOOKUP(E235,MATERIAL,13,FALSE()),'Item Builder'!$W235))</f>
        <v>3</v>
      </c>
      <c r="EX235" s="95">
        <f>IF(AR235="",10,MIN(VLOOKUP(F235,MATERIAL,13,FALSE()),'Item Builder'!$W235))</f>
        <v>3</v>
      </c>
      <c r="EY235" s="95">
        <f>IF(AS235="",10,MIN(VLOOKUP(G235,MATERIAL,13,FALSE()),'Item Builder'!$W235))</f>
        <v>3</v>
      </c>
      <c r="EZ235" s="95">
        <f>IF(AT235="",10,MIN(VLOOKUP(H235,MATERIAL,13,FALSE()),'Item Builder'!$W235))</f>
        <v>3</v>
      </c>
      <c r="FA235" s="95">
        <f>IF(AU235="",10,MIN(VLOOKUP(I235,MATERIAL,13,FALSE()),'Item Builder'!$W235))</f>
        <v>10</v>
      </c>
      <c r="FB235" s="95">
        <f>IF(AV235="",10,MIN(VLOOKUP(J235,MATERIAL,13,FALSE()),'Item Builder'!$W235))</f>
        <v>3</v>
      </c>
      <c r="FC235" s="95">
        <f>IF(AW235="",10,MIN(VLOOKUP(K235,MATERIAL,13,FALSE()),'Item Builder'!$W235))</f>
        <v>3</v>
      </c>
      <c r="FD235" s="95">
        <f>IF(AX235="",10,MIN(VLOOKUP(L235,MATERIAL,13,FALSE()),'Item Builder'!$W235))</f>
        <v>3</v>
      </c>
      <c r="FE235" s="95">
        <f>IF(AY235="",10,MIN(VLOOKUP(M235,MATERIAL,13,FALSE()),'Item Builder'!$W235))</f>
        <v>3</v>
      </c>
      <c r="FF235" s="95">
        <f>IF(AZ235="",10,MIN(VLOOKUP(N235,MATERIAL,13,FALSE()),'Item Builder'!$W235))</f>
        <v>10</v>
      </c>
      <c r="FG235" s="95">
        <f>IF(BA235="",10,MIN(VLOOKUP(O235,MATERIAL,13,FALSE()),'Item Builder'!$W235))</f>
        <v>10</v>
      </c>
      <c r="FH235" s="95">
        <f>IF(BB235="",10,MIN(VLOOKUP(P235,MATERIAL,13,FALSE()),'Item Builder'!$W235))</f>
        <v>10</v>
      </c>
    </row>
    <row r="236" spans="1:164" x14ac:dyDescent="0.25">
      <c r="A236" s="67" t="s">
        <v>376</v>
      </c>
      <c r="B236" s="68" t="s">
        <v>30</v>
      </c>
      <c r="C236" s="69" t="s">
        <v>30</v>
      </c>
      <c r="D236" s="70" t="s">
        <v>108</v>
      </c>
      <c r="E236" s="68"/>
      <c r="F236" s="69"/>
      <c r="G236" s="69"/>
      <c r="H236" s="69"/>
      <c r="I236" s="70"/>
      <c r="J236" s="68"/>
      <c r="K236" s="69"/>
      <c r="L236" s="70"/>
      <c r="M236" s="68"/>
      <c r="N236" s="69"/>
      <c r="O236" s="69"/>
      <c r="P236" s="71"/>
      <c r="Q236" s="72">
        <f>SUM(BV236:CJ236)*VLOOKUP(W236,Tables!$W$3:$Z$8,4)</f>
        <v>170</v>
      </c>
      <c r="R236" s="73">
        <f t="shared" si="168"/>
        <v>6.2200000000000006</v>
      </c>
      <c r="S236" s="74">
        <f t="shared" si="169"/>
        <v>0</v>
      </c>
      <c r="T236" s="74">
        <f t="shared" si="170"/>
        <v>10</v>
      </c>
      <c r="U236" s="75">
        <f t="shared" si="171"/>
        <v>186</v>
      </c>
      <c r="V236" s="76">
        <f t="shared" si="172"/>
        <v>31.799999999999997</v>
      </c>
      <c r="W236" s="77">
        <v>0</v>
      </c>
      <c r="X236" s="78">
        <f t="shared" si="173"/>
        <v>1</v>
      </c>
      <c r="Y236" s="79">
        <f t="shared" si="174"/>
        <v>1</v>
      </c>
      <c r="Z236" s="79">
        <f t="shared" si="175"/>
        <v>1</v>
      </c>
      <c r="AA236" s="78">
        <f t="shared" si="176"/>
        <v>0</v>
      </c>
      <c r="AB236" s="79">
        <f t="shared" si="177"/>
        <v>0</v>
      </c>
      <c r="AC236" s="79">
        <f t="shared" si="178"/>
        <v>0</v>
      </c>
      <c r="AD236" s="79">
        <f t="shared" si="179"/>
        <v>0</v>
      </c>
      <c r="AE236" s="79">
        <f t="shared" si="180"/>
        <v>0</v>
      </c>
      <c r="AF236" s="78">
        <f t="shared" si="181"/>
        <v>0</v>
      </c>
      <c r="AG236" s="79">
        <f t="shared" si="182"/>
        <v>0</v>
      </c>
      <c r="AH236" s="79">
        <f t="shared" si="183"/>
        <v>0</v>
      </c>
      <c r="AI236" s="78">
        <f t="shared" si="184"/>
        <v>0</v>
      </c>
      <c r="AJ236" s="79">
        <f t="shared" si="185"/>
        <v>0</v>
      </c>
      <c r="AK236" s="79">
        <f t="shared" si="186"/>
        <v>0</v>
      </c>
      <c r="AL236" s="80">
        <f t="shared" si="187"/>
        <v>0</v>
      </c>
      <c r="AM236" s="81">
        <f t="shared" si="188"/>
        <v>9.0000000000000011E-2</v>
      </c>
      <c r="AN236" s="82" t="str">
        <f t="shared" si="189"/>
        <v>P</v>
      </c>
      <c r="AO236" s="79" t="str">
        <f t="shared" si="190"/>
        <v>P</v>
      </c>
      <c r="AP236" t="str">
        <f t="shared" si="191"/>
        <v>M</v>
      </c>
      <c r="AQ236" s="82" t="str">
        <f t="shared" si="192"/>
        <v/>
      </c>
      <c r="AR236" t="str">
        <f t="shared" si="193"/>
        <v/>
      </c>
      <c r="AS236" t="str">
        <f t="shared" si="194"/>
        <v/>
      </c>
      <c r="AT236" t="str">
        <f t="shared" si="195"/>
        <v/>
      </c>
      <c r="AU236" t="str">
        <f t="shared" si="196"/>
        <v/>
      </c>
      <c r="AV236" s="82" t="str">
        <f t="shared" si="197"/>
        <v/>
      </c>
      <c r="AW236" t="str">
        <f t="shared" si="198"/>
        <v/>
      </c>
      <c r="AX236" t="str">
        <f t="shared" si="199"/>
        <v/>
      </c>
      <c r="AY236" s="82" t="str">
        <f t="shared" si="200"/>
        <v/>
      </c>
      <c r="AZ236" t="str">
        <f t="shared" si="201"/>
        <v/>
      </c>
      <c r="BA236" t="str">
        <f t="shared" si="202"/>
        <v/>
      </c>
      <c r="BB236" s="83" t="str">
        <f t="shared" si="203"/>
        <v/>
      </c>
      <c r="BC236" s="84">
        <f t="shared" si="204"/>
        <v>1</v>
      </c>
      <c r="BD236" s="84">
        <f t="shared" si="205"/>
        <v>0</v>
      </c>
      <c r="BE236" s="84">
        <f t="shared" si="206"/>
        <v>0</v>
      </c>
      <c r="BF236" s="84">
        <f t="shared" si="207"/>
        <v>0</v>
      </c>
      <c r="BG236" s="78">
        <f>IF(AN236="",0,VLOOKUP(AN236,Tables!$AB$3:$AC$12,2))</f>
        <v>1</v>
      </c>
      <c r="BH236" s="79">
        <f>IF(AO236="",0,VLOOKUP(AO236,Tables!$AB$3:$AC$12,2))</f>
        <v>1</v>
      </c>
      <c r="BI236" s="79">
        <f>IF(AP236="",0,VLOOKUP(AP236,Tables!$AB$3:$AC$12,2))</f>
        <v>1</v>
      </c>
      <c r="BJ236" s="78">
        <f>IF(AQ236="",0,VLOOKUP(AQ236,Tables!$AB$3:$AC$12,2))</f>
        <v>0</v>
      </c>
      <c r="BK236" s="79">
        <f>IF(AR236="",0,VLOOKUP(AR236,Tables!$AB$3:$AC$12,2))</f>
        <v>0</v>
      </c>
      <c r="BL236" s="79">
        <f>IF(AS236="",0,VLOOKUP(AS236,Tables!$AB$3:$AC$12,2))</f>
        <v>0</v>
      </c>
      <c r="BM236" s="79">
        <f>IF(AT236="",0,VLOOKUP(AT236,Tables!$AB$3:$AC$12,2))</f>
        <v>0</v>
      </c>
      <c r="BN236" s="79">
        <f>IF(AU236="",0,VLOOKUP(AU236,Tables!$AB$3:$AC$12,2))</f>
        <v>0</v>
      </c>
      <c r="BO236" s="78">
        <f>IF(AV236="",0,VLOOKUP(AV236,Tables!$AB$3:$AC$12,2))</f>
        <v>0</v>
      </c>
      <c r="BP236" s="79">
        <f>IF(AW236="",0,VLOOKUP(AW236,Tables!$AB$3:$AC$12,2))</f>
        <v>0</v>
      </c>
      <c r="BQ236" s="79">
        <f>IF(AX236="",0,VLOOKUP(AX236,Tables!$AB$3:$AC$12,2))</f>
        <v>0</v>
      </c>
      <c r="BR236" s="78">
        <f>IF(AY236="",0,VLOOKUP(AY236,Tables!$AB$3:$AC$12,2))</f>
        <v>0</v>
      </c>
      <c r="BS236" s="79">
        <f>IF(AZ236="",0,VLOOKUP(AZ236,Tables!$AB$3:$AC$12,2))</f>
        <v>0</v>
      </c>
      <c r="BT236" s="79">
        <f>IF(BA236="",0,VLOOKUP(BA236,Tables!$AB$3:$AC$12,2))</f>
        <v>0</v>
      </c>
      <c r="BU236" s="80">
        <f>IF(BB236="",0,VLOOKUP(BB236,Tables!$AB$3:$AC$12,2))</f>
        <v>0</v>
      </c>
      <c r="BV236" s="85">
        <f>IF(AN236="",0,VLOOKUP(B236,Tables!$B$3:$D$36,2,FALSE())*X$1)</f>
        <v>80</v>
      </c>
      <c r="BW236" s="72">
        <f>IF(AO236="",0,VLOOKUP(C236,Tables!$B$3:$D$36,2,FALSE())*Y$1)</f>
        <v>60</v>
      </c>
      <c r="BX236" s="72">
        <f>IF(AP236="",0,VLOOKUP(D236,Tables!$B$3:$D$36,2,FALSE())*Z$1)</f>
        <v>30</v>
      </c>
      <c r="BY236" s="85">
        <f>IF(AQ236="",0,VLOOKUP(E236,Tables!$B$3:$D$36,2,FALSE())*AA$1)</f>
        <v>0</v>
      </c>
      <c r="BZ236" s="72">
        <f>IF(AR236="",0,VLOOKUP(F236,Tables!$B$3:$D$36,2,FALSE())*AB$1)</f>
        <v>0</v>
      </c>
      <c r="CA236" s="72">
        <f>IF(AS236="",0,VLOOKUP(G236,Tables!$B$3:$D$36,2,FALSE())*AC$1)</f>
        <v>0</v>
      </c>
      <c r="CB236" s="72">
        <f>IF(AT236="",0,VLOOKUP(H236,Tables!$B$3:$D$36,2,FALSE())*AD$1)</f>
        <v>0</v>
      </c>
      <c r="CC236" s="72">
        <f>IF(AU236="",0,VLOOKUP(I236,Tables!$B$3:$D$36,2,FALSE())*AE$1)</f>
        <v>0</v>
      </c>
      <c r="CD236" s="85">
        <f>IF(AV236="",0,VLOOKUP(J236,Tables!$B$3:$D$36,2,FALSE())*AF$1)</f>
        <v>0</v>
      </c>
      <c r="CE236" s="72">
        <f>IF(AW236="",0,VLOOKUP(K236,Tables!$B$3:$D$36,2,FALSE())*AG$1)</f>
        <v>0</v>
      </c>
      <c r="CF236" s="72">
        <f>IF(AX236="",0,VLOOKUP(L236,Tables!$B$3:$D$36,2,FALSE())*AH$1)</f>
        <v>0</v>
      </c>
      <c r="CG236" s="85">
        <f>IF(AY236="",0,VLOOKUP(M236,Tables!$B$3:$D$36,2,FALSE())*AI$1)</f>
        <v>0</v>
      </c>
      <c r="CH236" s="72">
        <f>IF(AZ236="",0,VLOOKUP(N236,Tables!$B$3:$D$36,2,FALSE())*AJ$1)</f>
        <v>0</v>
      </c>
      <c r="CI236" s="72">
        <f>IF(BA236="",0,VLOOKUP(O236,Tables!$B$3:$D$36,2,FALSE())*AK$1)</f>
        <v>0</v>
      </c>
      <c r="CJ236" s="86">
        <f>IF(BB236="",0,VLOOKUP(P236,Tables!$B$3:$D$36,2,FALSE())*AL$1)</f>
        <v>0</v>
      </c>
      <c r="CK236" s="87">
        <f>IF(AN236="",0,VLOOKUP(B236,Tables!$B$3:$D$36,3,FALSE())*X$1)*IF(OR(AN236="K",AN236="P"),2,1)</f>
        <v>3.04</v>
      </c>
      <c r="CL236" s="73">
        <f>IF(AO236="",0,VLOOKUP(C236,Tables!$B$3:$D$36,3,FALSE())*Y$1)*IF(OR(AO236="K",AO236="P"),2,1)</f>
        <v>2.2799999999999998</v>
      </c>
      <c r="CM236" s="73">
        <f>IF(AP236="",0,VLOOKUP(D236,Tables!$B$3:$D$36,3,FALSE())*Z$1)*IF(OR(AP236="K",AP236="P"),2,1)</f>
        <v>0.9</v>
      </c>
      <c r="CN236" s="87">
        <f>IF(AQ236="",0,VLOOKUP(E236,Tables!$B$3:$D$36,3,FALSE())*AA$1)</f>
        <v>0</v>
      </c>
      <c r="CO236" s="73">
        <f>IF(AR236="",0,VLOOKUP(F236,Tables!$B$3:$D$36,3,FALSE())*AB$1)</f>
        <v>0</v>
      </c>
      <c r="CP236" s="73">
        <f>IF(AS236="",0,VLOOKUP(G236,Tables!$B$3:$D$36,3,FALSE())*AC$1)</f>
        <v>0</v>
      </c>
      <c r="CQ236" s="73">
        <f>IF(AT236="",0,VLOOKUP(H236,Tables!$B$3:$D$36,3,FALSE())*AD$1)</f>
        <v>0</v>
      </c>
      <c r="CR236" s="73">
        <f>IF(AU236="",0,VLOOKUP(I236,Tables!$B$3:$D$36,3,FALSE())*AE$1)</f>
        <v>0</v>
      </c>
      <c r="CS236" s="87">
        <f>IF(AV236="",0,VLOOKUP(J236,Tables!$B$3:$D$36,3,FALSE())*AF$1)</f>
        <v>0</v>
      </c>
      <c r="CT236" s="73">
        <f>IF(AW236="",0,VLOOKUP(K236,Tables!$B$3:$D$36,3,FALSE())*AG$1)</f>
        <v>0</v>
      </c>
      <c r="CU236" s="73">
        <f>IF(AX236="",0,VLOOKUP(L236,Tables!$B$3:$D$36,3,FALSE())*AH$1)</f>
        <v>0</v>
      </c>
      <c r="CV236" s="87">
        <f>IF(AY236="",0,VLOOKUP(M236,Tables!$B$3:$D$36,3,FALSE())*AI$1)</f>
        <v>0</v>
      </c>
      <c r="CW236" s="73">
        <f>IF(AZ236="",0,VLOOKUP(N236,Tables!$B$3:$D$36,3,FALSE())*AJ$1)</f>
        <v>0</v>
      </c>
      <c r="CX236" s="73">
        <f>IF(BA236="",0,VLOOKUP(O236,Tables!$B$3:$D$36,3,FALSE())*AK$1)</f>
        <v>0</v>
      </c>
      <c r="CY236" s="88">
        <f>IF(BB236="",0,VLOOKUP(P236,Tables!$B$3:$D$36,3,FALSE())*AL$1)</f>
        <v>0</v>
      </c>
      <c r="CZ236" s="89">
        <f t="shared" si="208"/>
        <v>1.5</v>
      </c>
      <c r="DA236" s="75">
        <f t="shared" si="209"/>
        <v>1.5</v>
      </c>
      <c r="DB236" s="75">
        <f t="shared" si="210"/>
        <v>1</v>
      </c>
      <c r="DC236" s="89">
        <f t="shared" si="211"/>
        <v>0</v>
      </c>
      <c r="DD236" s="75">
        <f t="shared" si="212"/>
        <v>0</v>
      </c>
      <c r="DE236" s="75">
        <f t="shared" si="213"/>
        <v>0</v>
      </c>
      <c r="DF236" s="75">
        <f t="shared" si="214"/>
        <v>0</v>
      </c>
      <c r="DG236" s="75">
        <f t="shared" si="215"/>
        <v>0</v>
      </c>
      <c r="DH236" s="89">
        <f t="shared" si="216"/>
        <v>0</v>
      </c>
      <c r="DI236" s="75">
        <f t="shared" si="217"/>
        <v>0</v>
      </c>
      <c r="DJ236" s="75">
        <f t="shared" si="218"/>
        <v>0</v>
      </c>
      <c r="DK236" s="89">
        <f t="shared" si="219"/>
        <v>0</v>
      </c>
      <c r="DL236" s="75">
        <f t="shared" si="220"/>
        <v>0</v>
      </c>
      <c r="DM236" s="75">
        <f t="shared" si="221"/>
        <v>0</v>
      </c>
      <c r="DN236" s="90">
        <f t="shared" si="222"/>
        <v>0</v>
      </c>
      <c r="DO236" s="91">
        <f>IF(AN236="",0,VLOOKUP(B236,Tables!$B$3:$M$36,11,FALSE())*X$1)</f>
        <v>96</v>
      </c>
      <c r="DP236" s="92">
        <f>IF(AO236="",0,VLOOKUP(C236,Tables!$B$3:$M$36,11,FALSE())*Y$1)</f>
        <v>72</v>
      </c>
      <c r="DQ236" s="92">
        <f>IF(AP236="",0,VLOOKUP(D236,Tables!$B$3:$M$36,11,FALSE())*Z$1)</f>
        <v>18</v>
      </c>
      <c r="DR236" s="91">
        <f>IF(AQ236="",0,VLOOKUP(E236,Tables!$B$3:$M$36,11,FALSE())*AA$1)</f>
        <v>0</v>
      </c>
      <c r="DS236" s="92">
        <f>IF(AR236="",0,VLOOKUP(F236,Tables!$B$3:$M$36,11,FALSE())*AB$1)</f>
        <v>0</v>
      </c>
      <c r="DT236" s="92">
        <f>IF(AS236="",0,VLOOKUP(G236,Tables!$B$3:$M$36,11,FALSE())*AC$1)</f>
        <v>0</v>
      </c>
      <c r="DU236" s="92">
        <f>IF(AT236="",0,VLOOKUP(H236,Tables!$B$3:$M$36,11,FALSE())*AD$1)</f>
        <v>0</v>
      </c>
      <c r="DV236" s="92">
        <f>IF(AU236="",0,VLOOKUP(I236,Tables!$B$3:$M$36,11,FALSE())*AE$1)</f>
        <v>0</v>
      </c>
      <c r="DW236" s="91">
        <f>IF(AV236="",0,VLOOKUP(J236,Tables!$B$3:$M$36,11,FALSE())*AF$1)</f>
        <v>0</v>
      </c>
      <c r="DX236" s="92">
        <f>IF(AW236="",0,VLOOKUP(K236,Tables!$B$3:$M$36,11,FALSE())*AG$1)</f>
        <v>0</v>
      </c>
      <c r="DY236" s="92">
        <f>IF(AX236="",0,VLOOKUP(L236,Tables!$B$3:$M$36,11,FALSE())*AH$1)</f>
        <v>0</v>
      </c>
      <c r="DZ236" s="91">
        <f>IF(AY236="",0,VLOOKUP(M236,Tables!$B$3:$M$36,11,FALSE())*AI$1)</f>
        <v>0</v>
      </c>
      <c r="EA236" s="92">
        <f>IF(AZ236="",0,VLOOKUP(N236,Tables!$B$3:$M$36,11,FALSE())*AJ$1)</f>
        <v>0</v>
      </c>
      <c r="EB236" s="92">
        <f>IF(BA236="",0,VLOOKUP(O236,Tables!$B$3:$M$36,11,FALSE())*AK$1)</f>
        <v>0</v>
      </c>
      <c r="EC236" s="93">
        <f>IF(BB236="",0,VLOOKUP(P236,Tables!$B$3:$M$36,11,FALSE())*AL$1)</f>
        <v>0</v>
      </c>
      <c r="ED236" s="91">
        <f>IF(AN236="",0,VLOOKUP(B236,Tables!$B$3:$M$36,12,FALSE())*X$1)</f>
        <v>9.6</v>
      </c>
      <c r="EE236" s="92">
        <f>IF(AO236="",0,VLOOKUP(C236,Tables!$B$3:$M$36,12,FALSE())*Y$1)</f>
        <v>7.1999999999999993</v>
      </c>
      <c r="EF236" s="92">
        <f>IF(AP236="",0,VLOOKUP(D236,Tables!$B$3:$M$36,12,FALSE())*Z$1)</f>
        <v>15</v>
      </c>
      <c r="EG236" s="91">
        <f>IF(AQ236="",0,VLOOKUP(E236,Tables!$B$3:$M$36,12,FALSE())*AA$1)</f>
        <v>0</v>
      </c>
      <c r="EH236" s="92">
        <f>IF(AR236="",0,VLOOKUP(F236,Tables!$B$3:$M$36,12,FALSE())*AB$1)</f>
        <v>0</v>
      </c>
      <c r="EI236" s="92">
        <f>IF(AS236="",0,VLOOKUP(G236,Tables!$B$3:$M$36,12,FALSE())*AC$1)</f>
        <v>0</v>
      </c>
      <c r="EJ236" s="92">
        <f>IF(AT236="",0,VLOOKUP(H236,Tables!$B$3:$M$36,12,FALSE())*AD$1)</f>
        <v>0</v>
      </c>
      <c r="EK236" s="92">
        <f>IF(AU236="",0,VLOOKUP(I236,Tables!$B$3:$M$36,12,FALSE())*AE$1)</f>
        <v>0</v>
      </c>
      <c r="EL236" s="91">
        <f>IF(AV236="",0,VLOOKUP(J236,Tables!$B$3:$M$36,12,FALSE())*AF$1)</f>
        <v>0</v>
      </c>
      <c r="EM236" s="92">
        <f>IF(AW236="",0,VLOOKUP(K236,Tables!$B$3:$M$36,12,FALSE())*AG$1)</f>
        <v>0</v>
      </c>
      <c r="EN236" s="92">
        <f>IF(AX236="",0,VLOOKUP(L236,Tables!$B$3:$M$36,12,FALSE())*AH$1)</f>
        <v>0</v>
      </c>
      <c r="EO236" s="91">
        <f>IF(AY236="",0,VLOOKUP(M236,Tables!$B$3:$M$36,12,FALSE())*AI$1)</f>
        <v>0</v>
      </c>
      <c r="EP236" s="92">
        <f>IF(AZ236="",0,VLOOKUP(N236,Tables!$B$3:$M$36,12,FALSE())*AJ$1)</f>
        <v>0</v>
      </c>
      <c r="EQ236" s="92">
        <f>IF(BA236="",0,VLOOKUP(O236,Tables!$B$3:$M$36,12,FALSE())*AK$1)</f>
        <v>0</v>
      </c>
      <c r="ER236" s="93">
        <f>IF(BB236="",0,VLOOKUP(P236,Tables!$B$3:$M$36,12,FALSE())*AL$1)</f>
        <v>0</v>
      </c>
      <c r="ES236" s="94">
        <f t="shared" si="223"/>
        <v>0</v>
      </c>
      <c r="ET236" s="95">
        <f>IF(AN236="",10,MIN(VLOOKUP(B236,MATERIAL,13,FALSE()),'Item Builder'!$W236))</f>
        <v>0</v>
      </c>
      <c r="EU236" s="95">
        <f>IF(AO236="",10,MIN(VLOOKUP(C236,MATERIAL,13,FALSE()),'Item Builder'!$W236))</f>
        <v>0</v>
      </c>
      <c r="EV236" s="95">
        <f>IF(AP236="",10,MIN(VLOOKUP(D236,MATERIAL,13,FALSE()),'Item Builder'!$W236))</f>
        <v>0</v>
      </c>
      <c r="EW236" s="95">
        <f>IF(AQ236="",10,MIN(VLOOKUP(E236,MATERIAL,13,FALSE()),'Item Builder'!$W236))</f>
        <v>10</v>
      </c>
      <c r="EX236" s="95">
        <f>IF(AR236="",10,MIN(VLOOKUP(F236,MATERIAL,13,FALSE()),'Item Builder'!$W236))</f>
        <v>10</v>
      </c>
      <c r="EY236" s="95">
        <f>IF(AS236="",10,MIN(VLOOKUP(G236,MATERIAL,13,FALSE()),'Item Builder'!$W236))</f>
        <v>10</v>
      </c>
      <c r="EZ236" s="95">
        <f>IF(AT236="",10,MIN(VLOOKUP(H236,MATERIAL,13,FALSE()),'Item Builder'!$W236))</f>
        <v>10</v>
      </c>
      <c r="FA236" s="95">
        <f>IF(AU236="",10,MIN(VLOOKUP(I236,MATERIAL,13,FALSE()),'Item Builder'!$W236))</f>
        <v>10</v>
      </c>
      <c r="FB236" s="95">
        <f>IF(AV236="",10,MIN(VLOOKUP(J236,MATERIAL,13,FALSE()),'Item Builder'!$W236))</f>
        <v>10</v>
      </c>
      <c r="FC236" s="95">
        <f>IF(AW236="",10,MIN(VLOOKUP(K236,MATERIAL,13,FALSE()),'Item Builder'!$W236))</f>
        <v>10</v>
      </c>
      <c r="FD236" s="95">
        <f>IF(AX236="",10,MIN(VLOOKUP(L236,MATERIAL,13,FALSE()),'Item Builder'!$W236))</f>
        <v>10</v>
      </c>
      <c r="FE236" s="95">
        <f>IF(AY236="",10,MIN(VLOOKUP(M236,MATERIAL,13,FALSE()),'Item Builder'!$W236))</f>
        <v>10</v>
      </c>
      <c r="FF236" s="95">
        <f>IF(AZ236="",10,MIN(VLOOKUP(N236,MATERIAL,13,FALSE()),'Item Builder'!$W236))</f>
        <v>10</v>
      </c>
      <c r="FG236" s="95">
        <f>IF(BA236="",10,MIN(VLOOKUP(O236,MATERIAL,13,FALSE()),'Item Builder'!$W236))</f>
        <v>10</v>
      </c>
      <c r="FH236" s="95">
        <f>IF(BB236="",10,MIN(VLOOKUP(P236,MATERIAL,13,FALSE()),'Item Builder'!$W236))</f>
        <v>10</v>
      </c>
    </row>
    <row r="237" spans="1:164" x14ac:dyDescent="0.25">
      <c r="A237" s="67" t="s">
        <v>377</v>
      </c>
      <c r="B237" s="68" t="s">
        <v>101</v>
      </c>
      <c r="C237" s="69"/>
      <c r="D237" s="70" t="s">
        <v>101</v>
      </c>
      <c r="E237" s="68"/>
      <c r="F237" s="69"/>
      <c r="G237" s="69"/>
      <c r="H237" s="69"/>
      <c r="I237" s="70"/>
      <c r="J237" s="68"/>
      <c r="K237" s="69"/>
      <c r="L237" s="70"/>
      <c r="M237" s="68"/>
      <c r="N237" s="69"/>
      <c r="O237" s="69"/>
      <c r="P237" s="71"/>
      <c r="Q237" s="72">
        <f>SUM(BV237:CJ237)*VLOOKUP(W237,Tables!$W$3:$Z$8,4)</f>
        <v>12</v>
      </c>
      <c r="R237" s="73">
        <f t="shared" si="168"/>
        <v>0.48</v>
      </c>
      <c r="S237" s="74">
        <f t="shared" si="169"/>
        <v>0</v>
      </c>
      <c r="T237" s="74">
        <f t="shared" si="170"/>
        <v>5</v>
      </c>
      <c r="U237" s="75">
        <f t="shared" si="171"/>
        <v>1.7999999999999998</v>
      </c>
      <c r="V237" s="76">
        <f t="shared" si="172"/>
        <v>9</v>
      </c>
      <c r="W237" s="77">
        <v>0</v>
      </c>
      <c r="X237" s="78">
        <f t="shared" si="173"/>
        <v>1</v>
      </c>
      <c r="Y237" s="79">
        <f t="shared" si="174"/>
        <v>0</v>
      </c>
      <c r="Z237" s="79">
        <f t="shared" si="175"/>
        <v>1</v>
      </c>
      <c r="AA237" s="78">
        <f t="shared" si="176"/>
        <v>0</v>
      </c>
      <c r="AB237" s="79">
        <f t="shared" si="177"/>
        <v>0</v>
      </c>
      <c r="AC237" s="79">
        <f t="shared" si="178"/>
        <v>0</v>
      </c>
      <c r="AD237" s="79">
        <f t="shared" si="179"/>
        <v>0</v>
      </c>
      <c r="AE237" s="79">
        <f t="shared" si="180"/>
        <v>0</v>
      </c>
      <c r="AF237" s="78">
        <f t="shared" si="181"/>
        <v>0</v>
      </c>
      <c r="AG237" s="79">
        <f t="shared" si="182"/>
        <v>0</v>
      </c>
      <c r="AH237" s="79">
        <f t="shared" si="183"/>
        <v>0</v>
      </c>
      <c r="AI237" s="78">
        <f t="shared" si="184"/>
        <v>0</v>
      </c>
      <c r="AJ237" s="79">
        <f t="shared" si="185"/>
        <v>0</v>
      </c>
      <c r="AK237" s="79">
        <f t="shared" si="186"/>
        <v>0</v>
      </c>
      <c r="AL237" s="80">
        <f t="shared" si="187"/>
        <v>0</v>
      </c>
      <c r="AM237" s="81">
        <f t="shared" si="188"/>
        <v>0.06</v>
      </c>
      <c r="AN237" s="82" t="str">
        <f t="shared" si="189"/>
        <v>D</v>
      </c>
      <c r="AO237" s="79" t="str">
        <f t="shared" si="190"/>
        <v/>
      </c>
      <c r="AP237" t="str">
        <f t="shared" si="191"/>
        <v>D</v>
      </c>
      <c r="AQ237" s="82" t="str">
        <f t="shared" si="192"/>
        <v/>
      </c>
      <c r="AR237" t="str">
        <f t="shared" si="193"/>
        <v/>
      </c>
      <c r="AS237" t="str">
        <f t="shared" si="194"/>
        <v/>
      </c>
      <c r="AT237" t="str">
        <f t="shared" si="195"/>
        <v/>
      </c>
      <c r="AU237" t="str">
        <f t="shared" si="196"/>
        <v/>
      </c>
      <c r="AV237" s="82" t="str">
        <f t="shared" si="197"/>
        <v/>
      </c>
      <c r="AW237" t="str">
        <f t="shared" si="198"/>
        <v/>
      </c>
      <c r="AX237" t="str">
        <f t="shared" si="199"/>
        <v/>
      </c>
      <c r="AY237" s="82" t="str">
        <f t="shared" si="200"/>
        <v/>
      </c>
      <c r="AZ237" t="str">
        <f t="shared" si="201"/>
        <v/>
      </c>
      <c r="BA237" t="str">
        <f t="shared" si="202"/>
        <v/>
      </c>
      <c r="BB237" s="83" t="str">
        <f t="shared" si="203"/>
        <v/>
      </c>
      <c r="BC237" s="84">
        <f t="shared" si="204"/>
        <v>0.66666666666666652</v>
      </c>
      <c r="BD237" s="84">
        <f t="shared" si="205"/>
        <v>0</v>
      </c>
      <c r="BE237" s="84">
        <f t="shared" si="206"/>
        <v>0</v>
      </c>
      <c r="BF237" s="84">
        <f t="shared" si="207"/>
        <v>0</v>
      </c>
      <c r="BG237" s="78">
        <f>IF(AN237="",0,VLOOKUP(AN237,Tables!$AB$3:$AC$12,2))</f>
        <v>1.5</v>
      </c>
      <c r="BH237" s="79">
        <f>IF(AO237="",0,VLOOKUP(AO237,Tables!$AB$3:$AC$12,2))</f>
        <v>0</v>
      </c>
      <c r="BI237" s="79">
        <f>IF(AP237="",0,VLOOKUP(AP237,Tables!$AB$3:$AC$12,2))</f>
        <v>1.5</v>
      </c>
      <c r="BJ237" s="78">
        <f>IF(AQ237="",0,VLOOKUP(AQ237,Tables!$AB$3:$AC$12,2))</f>
        <v>0</v>
      </c>
      <c r="BK237" s="79">
        <f>IF(AR237="",0,VLOOKUP(AR237,Tables!$AB$3:$AC$12,2))</f>
        <v>0</v>
      </c>
      <c r="BL237" s="79">
        <f>IF(AS237="",0,VLOOKUP(AS237,Tables!$AB$3:$AC$12,2))</f>
        <v>0</v>
      </c>
      <c r="BM237" s="79">
        <f>IF(AT237="",0,VLOOKUP(AT237,Tables!$AB$3:$AC$12,2))</f>
        <v>0</v>
      </c>
      <c r="BN237" s="79">
        <f>IF(AU237="",0,VLOOKUP(AU237,Tables!$AB$3:$AC$12,2))</f>
        <v>0</v>
      </c>
      <c r="BO237" s="78">
        <f>IF(AV237="",0,VLOOKUP(AV237,Tables!$AB$3:$AC$12,2))</f>
        <v>0</v>
      </c>
      <c r="BP237" s="79">
        <f>IF(AW237="",0,VLOOKUP(AW237,Tables!$AB$3:$AC$12,2))</f>
        <v>0</v>
      </c>
      <c r="BQ237" s="79">
        <f>IF(AX237="",0,VLOOKUP(AX237,Tables!$AB$3:$AC$12,2))</f>
        <v>0</v>
      </c>
      <c r="BR237" s="78">
        <f>IF(AY237="",0,VLOOKUP(AY237,Tables!$AB$3:$AC$12,2))</f>
        <v>0</v>
      </c>
      <c r="BS237" s="79">
        <f>IF(AZ237="",0,VLOOKUP(AZ237,Tables!$AB$3:$AC$12,2))</f>
        <v>0</v>
      </c>
      <c r="BT237" s="79">
        <f>IF(BA237="",0,VLOOKUP(BA237,Tables!$AB$3:$AC$12,2))</f>
        <v>0</v>
      </c>
      <c r="BU237" s="80">
        <f>IF(BB237="",0,VLOOKUP(BB237,Tables!$AB$3:$AC$12,2))</f>
        <v>0</v>
      </c>
      <c r="BV237" s="85">
        <f>IF(AN237="",0,VLOOKUP(B237,Tables!$B$3:$D$36,2,FALSE())*X$1)</f>
        <v>8</v>
      </c>
      <c r="BW237" s="72">
        <f>IF(AO237="",0,VLOOKUP(C237,Tables!$B$3:$D$36,2,FALSE())*Y$1)</f>
        <v>0</v>
      </c>
      <c r="BX237" s="72">
        <f>IF(AP237="",0,VLOOKUP(D237,Tables!$B$3:$D$36,2,FALSE())*Z$1)</f>
        <v>4</v>
      </c>
      <c r="BY237" s="85">
        <f>IF(AQ237="",0,VLOOKUP(E237,Tables!$B$3:$D$36,2,FALSE())*AA$1)</f>
        <v>0</v>
      </c>
      <c r="BZ237" s="72">
        <f>IF(AR237="",0,VLOOKUP(F237,Tables!$B$3:$D$36,2,FALSE())*AB$1)</f>
        <v>0</v>
      </c>
      <c r="CA237" s="72">
        <f>IF(AS237="",0,VLOOKUP(G237,Tables!$B$3:$D$36,2,FALSE())*AC$1)</f>
        <v>0</v>
      </c>
      <c r="CB237" s="72">
        <f>IF(AT237="",0,VLOOKUP(H237,Tables!$B$3:$D$36,2,FALSE())*AD$1)</f>
        <v>0</v>
      </c>
      <c r="CC237" s="72">
        <f>IF(AU237="",0,VLOOKUP(I237,Tables!$B$3:$D$36,2,FALSE())*AE$1)</f>
        <v>0</v>
      </c>
      <c r="CD237" s="85">
        <f>IF(AV237="",0,VLOOKUP(J237,Tables!$B$3:$D$36,2,FALSE())*AF$1)</f>
        <v>0</v>
      </c>
      <c r="CE237" s="72">
        <f>IF(AW237="",0,VLOOKUP(K237,Tables!$B$3:$D$36,2,FALSE())*AG$1)</f>
        <v>0</v>
      </c>
      <c r="CF237" s="72">
        <f>IF(AX237="",0,VLOOKUP(L237,Tables!$B$3:$D$36,2,FALSE())*AH$1)</f>
        <v>0</v>
      </c>
      <c r="CG237" s="85">
        <f>IF(AY237="",0,VLOOKUP(M237,Tables!$B$3:$D$36,2,FALSE())*AI$1)</f>
        <v>0</v>
      </c>
      <c r="CH237" s="72">
        <f>IF(AZ237="",0,VLOOKUP(N237,Tables!$B$3:$D$36,2,FALSE())*AJ$1)</f>
        <v>0</v>
      </c>
      <c r="CI237" s="72">
        <f>IF(BA237="",0,VLOOKUP(O237,Tables!$B$3:$D$36,2,FALSE())*AK$1)</f>
        <v>0</v>
      </c>
      <c r="CJ237" s="86">
        <f>IF(BB237="",0,VLOOKUP(P237,Tables!$B$3:$D$36,2,FALSE())*AL$1)</f>
        <v>0</v>
      </c>
      <c r="CK237" s="87">
        <f>IF(AN237="",0,VLOOKUP(B237,Tables!$B$3:$D$36,3,FALSE())*X$1)*IF(OR(AN237="K",AN237="P"),2,1)</f>
        <v>0.32</v>
      </c>
      <c r="CL237" s="73">
        <f>IF(AO237="",0,VLOOKUP(C237,Tables!$B$3:$D$36,3,FALSE())*Y$1)*IF(OR(AO237="K",AO237="P"),2,1)</f>
        <v>0</v>
      </c>
      <c r="CM237" s="73">
        <f>IF(AP237="",0,VLOOKUP(D237,Tables!$B$3:$D$36,3,FALSE())*Z$1)*IF(OR(AP237="K",AP237="P"),2,1)</f>
        <v>0.16</v>
      </c>
      <c r="CN237" s="87">
        <f>IF(AQ237="",0,VLOOKUP(E237,Tables!$B$3:$D$36,3,FALSE())*AA$1)</f>
        <v>0</v>
      </c>
      <c r="CO237" s="73">
        <f>IF(AR237="",0,VLOOKUP(F237,Tables!$B$3:$D$36,3,FALSE())*AB$1)</f>
        <v>0</v>
      </c>
      <c r="CP237" s="73">
        <f>IF(AS237="",0,VLOOKUP(G237,Tables!$B$3:$D$36,3,FALSE())*AC$1)</f>
        <v>0</v>
      </c>
      <c r="CQ237" s="73">
        <f>IF(AT237="",0,VLOOKUP(H237,Tables!$B$3:$D$36,3,FALSE())*AD$1)</f>
        <v>0</v>
      </c>
      <c r="CR237" s="73">
        <f>IF(AU237="",0,VLOOKUP(I237,Tables!$B$3:$D$36,3,FALSE())*AE$1)</f>
        <v>0</v>
      </c>
      <c r="CS237" s="87">
        <f>IF(AV237="",0,VLOOKUP(J237,Tables!$B$3:$D$36,3,FALSE())*AF$1)</f>
        <v>0</v>
      </c>
      <c r="CT237" s="73">
        <f>IF(AW237="",0,VLOOKUP(K237,Tables!$B$3:$D$36,3,FALSE())*AG$1)</f>
        <v>0</v>
      </c>
      <c r="CU237" s="73">
        <f>IF(AX237="",0,VLOOKUP(L237,Tables!$B$3:$D$36,3,FALSE())*AH$1)</f>
        <v>0</v>
      </c>
      <c r="CV237" s="87">
        <f>IF(AY237="",0,VLOOKUP(M237,Tables!$B$3:$D$36,3,FALSE())*AI$1)</f>
        <v>0</v>
      </c>
      <c r="CW237" s="73">
        <f>IF(AZ237="",0,VLOOKUP(N237,Tables!$B$3:$D$36,3,FALSE())*AJ$1)</f>
        <v>0</v>
      </c>
      <c r="CX237" s="73">
        <f>IF(BA237="",0,VLOOKUP(O237,Tables!$B$3:$D$36,3,FALSE())*AK$1)</f>
        <v>0</v>
      </c>
      <c r="CY237" s="88">
        <f>IF(BB237="",0,VLOOKUP(P237,Tables!$B$3:$D$36,3,FALSE())*AL$1)</f>
        <v>0</v>
      </c>
      <c r="CZ237" s="89">
        <f t="shared" si="208"/>
        <v>0.8</v>
      </c>
      <c r="DA237" s="75">
        <f t="shared" si="209"/>
        <v>0</v>
      </c>
      <c r="DB237" s="75">
        <f t="shared" si="210"/>
        <v>0.8</v>
      </c>
      <c r="DC237" s="89">
        <f t="shared" si="211"/>
        <v>0</v>
      </c>
      <c r="DD237" s="75">
        <f t="shared" si="212"/>
        <v>0</v>
      </c>
      <c r="DE237" s="75">
        <f t="shared" si="213"/>
        <v>0</v>
      </c>
      <c r="DF237" s="75">
        <f t="shared" si="214"/>
        <v>0</v>
      </c>
      <c r="DG237" s="75">
        <f t="shared" si="215"/>
        <v>0</v>
      </c>
      <c r="DH237" s="89">
        <f t="shared" si="216"/>
        <v>0</v>
      </c>
      <c r="DI237" s="75">
        <f t="shared" si="217"/>
        <v>0</v>
      </c>
      <c r="DJ237" s="75">
        <f t="shared" si="218"/>
        <v>0</v>
      </c>
      <c r="DK237" s="89">
        <f t="shared" si="219"/>
        <v>0</v>
      </c>
      <c r="DL237" s="75">
        <f t="shared" si="220"/>
        <v>0</v>
      </c>
      <c r="DM237" s="75">
        <f t="shared" si="221"/>
        <v>0</v>
      </c>
      <c r="DN237" s="90">
        <f t="shared" si="222"/>
        <v>0</v>
      </c>
      <c r="DO237" s="91">
        <f>IF(AN237="",0,VLOOKUP(B237,Tables!$B$3:$M$36,11,FALSE())*X$1)</f>
        <v>1.2</v>
      </c>
      <c r="DP237" s="92">
        <f>IF(AO237="",0,VLOOKUP(C237,Tables!$B$3:$M$36,11,FALSE())*Y$1)</f>
        <v>0</v>
      </c>
      <c r="DQ237" s="92">
        <f>IF(AP237="",0,VLOOKUP(D237,Tables!$B$3:$M$36,11,FALSE())*Z$1)</f>
        <v>0.6</v>
      </c>
      <c r="DR237" s="91">
        <f>IF(AQ237="",0,VLOOKUP(E237,Tables!$B$3:$M$36,11,FALSE())*AA$1)</f>
        <v>0</v>
      </c>
      <c r="DS237" s="92">
        <f>IF(AR237="",0,VLOOKUP(F237,Tables!$B$3:$M$36,11,FALSE())*AB$1)</f>
        <v>0</v>
      </c>
      <c r="DT237" s="92">
        <f>IF(AS237="",0,VLOOKUP(G237,Tables!$B$3:$M$36,11,FALSE())*AC$1)</f>
        <v>0</v>
      </c>
      <c r="DU237" s="92">
        <f>IF(AT237="",0,VLOOKUP(H237,Tables!$B$3:$M$36,11,FALSE())*AD$1)</f>
        <v>0</v>
      </c>
      <c r="DV237" s="92">
        <f>IF(AU237="",0,VLOOKUP(I237,Tables!$B$3:$M$36,11,FALSE())*AE$1)</f>
        <v>0</v>
      </c>
      <c r="DW237" s="91">
        <f>IF(AV237="",0,VLOOKUP(J237,Tables!$B$3:$M$36,11,FALSE())*AF$1)</f>
        <v>0</v>
      </c>
      <c r="DX237" s="92">
        <f>IF(AW237="",0,VLOOKUP(K237,Tables!$B$3:$M$36,11,FALSE())*AG$1)</f>
        <v>0</v>
      </c>
      <c r="DY237" s="92">
        <f>IF(AX237="",0,VLOOKUP(L237,Tables!$B$3:$M$36,11,FALSE())*AH$1)</f>
        <v>0</v>
      </c>
      <c r="DZ237" s="91">
        <f>IF(AY237="",0,VLOOKUP(M237,Tables!$B$3:$M$36,11,FALSE())*AI$1)</f>
        <v>0</v>
      </c>
      <c r="EA237" s="92">
        <f>IF(AZ237="",0,VLOOKUP(N237,Tables!$B$3:$M$36,11,FALSE())*AJ$1)</f>
        <v>0</v>
      </c>
      <c r="EB237" s="92">
        <f>IF(BA237="",0,VLOOKUP(O237,Tables!$B$3:$M$36,11,FALSE())*AK$1)</f>
        <v>0</v>
      </c>
      <c r="EC237" s="93">
        <f>IF(BB237="",0,VLOOKUP(P237,Tables!$B$3:$M$36,11,FALSE())*AL$1)</f>
        <v>0</v>
      </c>
      <c r="ED237" s="91">
        <f>IF(AN237="",0,VLOOKUP(B237,Tables!$B$3:$M$36,12,FALSE())*X$1)</f>
        <v>6</v>
      </c>
      <c r="EE237" s="92">
        <f>IF(AO237="",0,VLOOKUP(C237,Tables!$B$3:$M$36,12,FALSE())*Y$1)</f>
        <v>0</v>
      </c>
      <c r="EF237" s="92">
        <f>IF(AP237="",0,VLOOKUP(D237,Tables!$B$3:$M$36,12,FALSE())*Z$1)</f>
        <v>3</v>
      </c>
      <c r="EG237" s="91">
        <f>IF(AQ237="",0,VLOOKUP(E237,Tables!$B$3:$M$36,12,FALSE())*AA$1)</f>
        <v>0</v>
      </c>
      <c r="EH237" s="92">
        <f>IF(AR237="",0,VLOOKUP(F237,Tables!$B$3:$M$36,12,FALSE())*AB$1)</f>
        <v>0</v>
      </c>
      <c r="EI237" s="92">
        <f>IF(AS237="",0,VLOOKUP(G237,Tables!$B$3:$M$36,12,FALSE())*AC$1)</f>
        <v>0</v>
      </c>
      <c r="EJ237" s="92">
        <f>IF(AT237="",0,VLOOKUP(H237,Tables!$B$3:$M$36,12,FALSE())*AD$1)</f>
        <v>0</v>
      </c>
      <c r="EK237" s="92">
        <f>IF(AU237="",0,VLOOKUP(I237,Tables!$B$3:$M$36,12,FALSE())*AE$1)</f>
        <v>0</v>
      </c>
      <c r="EL237" s="91">
        <f>IF(AV237="",0,VLOOKUP(J237,Tables!$B$3:$M$36,12,FALSE())*AF$1)</f>
        <v>0</v>
      </c>
      <c r="EM237" s="92">
        <f>IF(AW237="",0,VLOOKUP(K237,Tables!$B$3:$M$36,12,FALSE())*AG$1)</f>
        <v>0</v>
      </c>
      <c r="EN237" s="92">
        <f>IF(AX237="",0,VLOOKUP(L237,Tables!$B$3:$M$36,12,FALSE())*AH$1)</f>
        <v>0</v>
      </c>
      <c r="EO237" s="91">
        <f>IF(AY237="",0,VLOOKUP(M237,Tables!$B$3:$M$36,12,FALSE())*AI$1)</f>
        <v>0</v>
      </c>
      <c r="EP237" s="92">
        <f>IF(AZ237="",0,VLOOKUP(N237,Tables!$B$3:$M$36,12,FALSE())*AJ$1)</f>
        <v>0</v>
      </c>
      <c r="EQ237" s="92">
        <f>IF(BA237="",0,VLOOKUP(O237,Tables!$B$3:$M$36,12,FALSE())*AK$1)</f>
        <v>0</v>
      </c>
      <c r="ER237" s="93">
        <f>IF(BB237="",0,VLOOKUP(P237,Tables!$B$3:$M$36,12,FALSE())*AL$1)</f>
        <v>0</v>
      </c>
      <c r="ES237" s="94">
        <f t="shared" si="223"/>
        <v>0</v>
      </c>
      <c r="ET237" s="95">
        <f>IF(AN237="",10,MIN(VLOOKUP(B237,MATERIAL,13,FALSE()),'Item Builder'!$W237))</f>
        <v>0</v>
      </c>
      <c r="EU237" s="95">
        <f>IF(AO237="",10,MIN(VLOOKUP(C237,MATERIAL,13,FALSE()),'Item Builder'!$W237))</f>
        <v>10</v>
      </c>
      <c r="EV237" s="95">
        <f>IF(AP237="",10,MIN(VLOOKUP(D237,MATERIAL,13,FALSE()),'Item Builder'!$W237))</f>
        <v>0</v>
      </c>
      <c r="EW237" s="95">
        <f>IF(AQ237="",10,MIN(VLOOKUP(E237,MATERIAL,13,FALSE()),'Item Builder'!$W237))</f>
        <v>10</v>
      </c>
      <c r="EX237" s="95">
        <f>IF(AR237="",10,MIN(VLOOKUP(F237,MATERIAL,13,FALSE()),'Item Builder'!$W237))</f>
        <v>10</v>
      </c>
      <c r="EY237" s="95">
        <f>IF(AS237="",10,MIN(VLOOKUP(G237,MATERIAL,13,FALSE()),'Item Builder'!$W237))</f>
        <v>10</v>
      </c>
      <c r="EZ237" s="95">
        <f>IF(AT237="",10,MIN(VLOOKUP(H237,MATERIAL,13,FALSE()),'Item Builder'!$W237))</f>
        <v>10</v>
      </c>
      <c r="FA237" s="95">
        <f>IF(AU237="",10,MIN(VLOOKUP(I237,MATERIAL,13,FALSE()),'Item Builder'!$W237))</f>
        <v>10</v>
      </c>
      <c r="FB237" s="95">
        <f>IF(AV237="",10,MIN(VLOOKUP(J237,MATERIAL,13,FALSE()),'Item Builder'!$W237))</f>
        <v>10</v>
      </c>
      <c r="FC237" s="95">
        <f>IF(AW237="",10,MIN(VLOOKUP(K237,MATERIAL,13,FALSE()),'Item Builder'!$W237))</f>
        <v>10</v>
      </c>
      <c r="FD237" s="95">
        <f>IF(AX237="",10,MIN(VLOOKUP(L237,MATERIAL,13,FALSE()),'Item Builder'!$W237))</f>
        <v>10</v>
      </c>
      <c r="FE237" s="95">
        <f>IF(AY237="",10,MIN(VLOOKUP(M237,MATERIAL,13,FALSE()),'Item Builder'!$W237))</f>
        <v>10</v>
      </c>
      <c r="FF237" s="95">
        <f>IF(AZ237="",10,MIN(VLOOKUP(N237,MATERIAL,13,FALSE()),'Item Builder'!$W237))</f>
        <v>10</v>
      </c>
      <c r="FG237" s="95">
        <f>IF(BA237="",10,MIN(VLOOKUP(O237,MATERIAL,13,FALSE()),'Item Builder'!$W237))</f>
        <v>10</v>
      </c>
      <c r="FH237" s="95">
        <f>IF(BB237="",10,MIN(VLOOKUP(P237,MATERIAL,13,FALSE()),'Item Builder'!$W237))</f>
        <v>10</v>
      </c>
    </row>
    <row r="238" spans="1:164" x14ac:dyDescent="0.25">
      <c r="A238" s="67" t="s">
        <v>378</v>
      </c>
      <c r="B238" s="68"/>
      <c r="C238" s="69"/>
      <c r="D238" s="70" t="s">
        <v>108</v>
      </c>
      <c r="E238" s="68"/>
      <c r="F238" s="69"/>
      <c r="G238" s="69"/>
      <c r="H238" s="69"/>
      <c r="I238" s="70"/>
      <c r="J238" s="68"/>
      <c r="K238" s="69"/>
      <c r="L238" s="70"/>
      <c r="M238" s="68"/>
      <c r="N238" s="69"/>
      <c r="O238" s="69"/>
      <c r="P238" s="71"/>
      <c r="Q238" s="72">
        <f>SUM(BV238:CJ238)*VLOOKUP(W238,Tables!$W$3:$Z$8,4)</f>
        <v>30</v>
      </c>
      <c r="R238" s="73">
        <f t="shared" si="168"/>
        <v>0.9</v>
      </c>
      <c r="S238" s="74">
        <f t="shared" si="169"/>
        <v>0</v>
      </c>
      <c r="T238" s="74">
        <f t="shared" si="170"/>
        <v>0</v>
      </c>
      <c r="U238" s="75">
        <f t="shared" si="171"/>
        <v>18</v>
      </c>
      <c r="V238" s="76">
        <f t="shared" si="172"/>
        <v>15</v>
      </c>
      <c r="W238" s="77">
        <v>0</v>
      </c>
      <c r="X238" s="78">
        <f t="shared" si="173"/>
        <v>0</v>
      </c>
      <c r="Y238" s="79">
        <f t="shared" si="174"/>
        <v>0</v>
      </c>
      <c r="Z238" s="79">
        <f t="shared" si="175"/>
        <v>1</v>
      </c>
      <c r="AA238" s="78">
        <f t="shared" si="176"/>
        <v>0</v>
      </c>
      <c r="AB238" s="79">
        <f t="shared" si="177"/>
        <v>0</v>
      </c>
      <c r="AC238" s="79">
        <f t="shared" si="178"/>
        <v>0</v>
      </c>
      <c r="AD238" s="79">
        <f t="shared" si="179"/>
        <v>0</v>
      </c>
      <c r="AE238" s="79">
        <f t="shared" si="180"/>
        <v>0</v>
      </c>
      <c r="AF238" s="78">
        <f t="shared" si="181"/>
        <v>0</v>
      </c>
      <c r="AG238" s="79">
        <f t="shared" si="182"/>
        <v>0</v>
      </c>
      <c r="AH238" s="79">
        <f t="shared" si="183"/>
        <v>0</v>
      </c>
      <c r="AI238" s="78">
        <f t="shared" si="184"/>
        <v>0</v>
      </c>
      <c r="AJ238" s="79">
        <f t="shared" si="185"/>
        <v>0</v>
      </c>
      <c r="AK238" s="79">
        <f t="shared" si="186"/>
        <v>0</v>
      </c>
      <c r="AL238" s="80">
        <f t="shared" si="187"/>
        <v>0</v>
      </c>
      <c r="AM238" s="81">
        <f t="shared" si="188"/>
        <v>0.02</v>
      </c>
      <c r="AN238" s="82" t="str">
        <f t="shared" si="189"/>
        <v/>
      </c>
      <c r="AO238" s="79" t="str">
        <f t="shared" si="190"/>
        <v/>
      </c>
      <c r="AP238" t="str">
        <f t="shared" si="191"/>
        <v>M</v>
      </c>
      <c r="AQ238" s="82" t="str">
        <f t="shared" si="192"/>
        <v/>
      </c>
      <c r="AR238" t="str">
        <f t="shared" si="193"/>
        <v/>
      </c>
      <c r="AS238" t="str">
        <f t="shared" si="194"/>
        <v/>
      </c>
      <c r="AT238" t="str">
        <f t="shared" si="195"/>
        <v/>
      </c>
      <c r="AU238" t="str">
        <f t="shared" si="196"/>
        <v/>
      </c>
      <c r="AV238" s="82" t="str">
        <f t="shared" si="197"/>
        <v/>
      </c>
      <c r="AW238" t="str">
        <f t="shared" si="198"/>
        <v/>
      </c>
      <c r="AX238" t="str">
        <f t="shared" si="199"/>
        <v/>
      </c>
      <c r="AY238" s="82" t="str">
        <f t="shared" si="200"/>
        <v/>
      </c>
      <c r="AZ238" t="str">
        <f t="shared" si="201"/>
        <v/>
      </c>
      <c r="BA238" t="str">
        <f t="shared" si="202"/>
        <v/>
      </c>
      <c r="BB238" s="83" t="str">
        <f t="shared" si="203"/>
        <v/>
      </c>
      <c r="BC238" s="84">
        <f t="shared" si="204"/>
        <v>0.22222222222222221</v>
      </c>
      <c r="BD238" s="84">
        <f t="shared" si="205"/>
        <v>0</v>
      </c>
      <c r="BE238" s="84">
        <f t="shared" si="206"/>
        <v>0</v>
      </c>
      <c r="BF238" s="84">
        <f t="shared" si="207"/>
        <v>0</v>
      </c>
      <c r="BG238" s="78">
        <f>IF(AN238="",0,VLOOKUP(AN238,Tables!$AB$3:$AC$12,2))</f>
        <v>0</v>
      </c>
      <c r="BH238" s="79">
        <f>IF(AO238="",0,VLOOKUP(AO238,Tables!$AB$3:$AC$12,2))</f>
        <v>0</v>
      </c>
      <c r="BI238" s="79">
        <f>IF(AP238="",0,VLOOKUP(AP238,Tables!$AB$3:$AC$12,2))</f>
        <v>1</v>
      </c>
      <c r="BJ238" s="78">
        <f>IF(AQ238="",0,VLOOKUP(AQ238,Tables!$AB$3:$AC$12,2))</f>
        <v>0</v>
      </c>
      <c r="BK238" s="79">
        <f>IF(AR238="",0,VLOOKUP(AR238,Tables!$AB$3:$AC$12,2))</f>
        <v>0</v>
      </c>
      <c r="BL238" s="79">
        <f>IF(AS238="",0,VLOOKUP(AS238,Tables!$AB$3:$AC$12,2))</f>
        <v>0</v>
      </c>
      <c r="BM238" s="79">
        <f>IF(AT238="",0,VLOOKUP(AT238,Tables!$AB$3:$AC$12,2))</f>
        <v>0</v>
      </c>
      <c r="BN238" s="79">
        <f>IF(AU238="",0,VLOOKUP(AU238,Tables!$AB$3:$AC$12,2))</f>
        <v>0</v>
      </c>
      <c r="BO238" s="78">
        <f>IF(AV238="",0,VLOOKUP(AV238,Tables!$AB$3:$AC$12,2))</f>
        <v>0</v>
      </c>
      <c r="BP238" s="79">
        <f>IF(AW238="",0,VLOOKUP(AW238,Tables!$AB$3:$AC$12,2))</f>
        <v>0</v>
      </c>
      <c r="BQ238" s="79">
        <f>IF(AX238="",0,VLOOKUP(AX238,Tables!$AB$3:$AC$12,2))</f>
        <v>0</v>
      </c>
      <c r="BR238" s="78">
        <f>IF(AY238="",0,VLOOKUP(AY238,Tables!$AB$3:$AC$12,2))</f>
        <v>0</v>
      </c>
      <c r="BS238" s="79">
        <f>IF(AZ238="",0,VLOOKUP(AZ238,Tables!$AB$3:$AC$12,2))</f>
        <v>0</v>
      </c>
      <c r="BT238" s="79">
        <f>IF(BA238="",0,VLOOKUP(BA238,Tables!$AB$3:$AC$12,2))</f>
        <v>0</v>
      </c>
      <c r="BU238" s="80">
        <f>IF(BB238="",0,VLOOKUP(BB238,Tables!$AB$3:$AC$12,2))</f>
        <v>0</v>
      </c>
      <c r="BV238" s="85">
        <f>IF(AN238="",0,VLOOKUP(B238,Tables!$B$3:$D$36,2,FALSE())*X$1)</f>
        <v>0</v>
      </c>
      <c r="BW238" s="72">
        <f>IF(AO238="",0,VLOOKUP(C238,Tables!$B$3:$D$36,2,FALSE())*Y$1)</f>
        <v>0</v>
      </c>
      <c r="BX238" s="72">
        <f>IF(AP238="",0,VLOOKUP(D238,Tables!$B$3:$D$36,2,FALSE())*Z$1)</f>
        <v>30</v>
      </c>
      <c r="BY238" s="85">
        <f>IF(AQ238="",0,VLOOKUP(E238,Tables!$B$3:$D$36,2,FALSE())*AA$1)</f>
        <v>0</v>
      </c>
      <c r="BZ238" s="72">
        <f>IF(AR238="",0,VLOOKUP(F238,Tables!$B$3:$D$36,2,FALSE())*AB$1)</f>
        <v>0</v>
      </c>
      <c r="CA238" s="72">
        <f>IF(AS238="",0,VLOOKUP(G238,Tables!$B$3:$D$36,2,FALSE())*AC$1)</f>
        <v>0</v>
      </c>
      <c r="CB238" s="72">
        <f>IF(AT238="",0,VLOOKUP(H238,Tables!$B$3:$D$36,2,FALSE())*AD$1)</f>
        <v>0</v>
      </c>
      <c r="CC238" s="72">
        <f>IF(AU238="",0,VLOOKUP(I238,Tables!$B$3:$D$36,2,FALSE())*AE$1)</f>
        <v>0</v>
      </c>
      <c r="CD238" s="85">
        <f>IF(AV238="",0,VLOOKUP(J238,Tables!$B$3:$D$36,2,FALSE())*AF$1)</f>
        <v>0</v>
      </c>
      <c r="CE238" s="72">
        <f>IF(AW238="",0,VLOOKUP(K238,Tables!$B$3:$D$36,2,FALSE())*AG$1)</f>
        <v>0</v>
      </c>
      <c r="CF238" s="72">
        <f>IF(AX238="",0,VLOOKUP(L238,Tables!$B$3:$D$36,2,FALSE())*AH$1)</f>
        <v>0</v>
      </c>
      <c r="CG238" s="85">
        <f>IF(AY238="",0,VLOOKUP(M238,Tables!$B$3:$D$36,2,FALSE())*AI$1)</f>
        <v>0</v>
      </c>
      <c r="CH238" s="72">
        <f>IF(AZ238="",0,VLOOKUP(N238,Tables!$B$3:$D$36,2,FALSE())*AJ$1)</f>
        <v>0</v>
      </c>
      <c r="CI238" s="72">
        <f>IF(BA238="",0,VLOOKUP(O238,Tables!$B$3:$D$36,2,FALSE())*AK$1)</f>
        <v>0</v>
      </c>
      <c r="CJ238" s="86">
        <f>IF(BB238="",0,VLOOKUP(P238,Tables!$B$3:$D$36,2,FALSE())*AL$1)</f>
        <v>0</v>
      </c>
      <c r="CK238" s="87">
        <f>IF(AN238="",0,VLOOKUP(B238,Tables!$B$3:$D$36,3,FALSE())*X$1)*IF(OR(AN238="K",AN238="P"),2,1)</f>
        <v>0</v>
      </c>
      <c r="CL238" s="73">
        <f>IF(AO238="",0,VLOOKUP(C238,Tables!$B$3:$D$36,3,FALSE())*Y$1)*IF(OR(AO238="K",AO238="P"),2,1)</f>
        <v>0</v>
      </c>
      <c r="CM238" s="73">
        <f>IF(AP238="",0,VLOOKUP(D238,Tables!$B$3:$D$36,3,FALSE())*Z$1)*IF(OR(AP238="K",AP238="P"),2,1)</f>
        <v>0.9</v>
      </c>
      <c r="CN238" s="87">
        <f>IF(AQ238="",0,VLOOKUP(E238,Tables!$B$3:$D$36,3,FALSE())*AA$1)</f>
        <v>0</v>
      </c>
      <c r="CO238" s="73">
        <f>IF(AR238="",0,VLOOKUP(F238,Tables!$B$3:$D$36,3,FALSE())*AB$1)</f>
        <v>0</v>
      </c>
      <c r="CP238" s="73">
        <f>IF(AS238="",0,VLOOKUP(G238,Tables!$B$3:$D$36,3,FALSE())*AC$1)</f>
        <v>0</v>
      </c>
      <c r="CQ238" s="73">
        <f>IF(AT238="",0,VLOOKUP(H238,Tables!$B$3:$D$36,3,FALSE())*AD$1)</f>
        <v>0</v>
      </c>
      <c r="CR238" s="73">
        <f>IF(AU238="",0,VLOOKUP(I238,Tables!$B$3:$D$36,3,FALSE())*AE$1)</f>
        <v>0</v>
      </c>
      <c r="CS238" s="87">
        <f>IF(AV238="",0,VLOOKUP(J238,Tables!$B$3:$D$36,3,FALSE())*AF$1)</f>
        <v>0</v>
      </c>
      <c r="CT238" s="73">
        <f>IF(AW238="",0,VLOOKUP(K238,Tables!$B$3:$D$36,3,FALSE())*AG$1)</f>
        <v>0</v>
      </c>
      <c r="CU238" s="73">
        <f>IF(AX238="",0,VLOOKUP(L238,Tables!$B$3:$D$36,3,FALSE())*AH$1)</f>
        <v>0</v>
      </c>
      <c r="CV238" s="87">
        <f>IF(AY238="",0,VLOOKUP(M238,Tables!$B$3:$D$36,3,FALSE())*AI$1)</f>
        <v>0</v>
      </c>
      <c r="CW238" s="73">
        <f>IF(AZ238="",0,VLOOKUP(N238,Tables!$B$3:$D$36,3,FALSE())*AJ$1)</f>
        <v>0</v>
      </c>
      <c r="CX238" s="73">
        <f>IF(BA238="",0,VLOOKUP(O238,Tables!$B$3:$D$36,3,FALSE())*AK$1)</f>
        <v>0</v>
      </c>
      <c r="CY238" s="88">
        <f>IF(BB238="",0,VLOOKUP(P238,Tables!$B$3:$D$36,3,FALSE())*AL$1)</f>
        <v>0</v>
      </c>
      <c r="CZ238" s="89">
        <f t="shared" si="208"/>
        <v>0</v>
      </c>
      <c r="DA238" s="75">
        <f t="shared" si="209"/>
        <v>0</v>
      </c>
      <c r="DB238" s="75">
        <f t="shared" si="210"/>
        <v>1</v>
      </c>
      <c r="DC238" s="89">
        <f t="shared" si="211"/>
        <v>0</v>
      </c>
      <c r="DD238" s="75">
        <f t="shared" si="212"/>
        <v>0</v>
      </c>
      <c r="DE238" s="75">
        <f t="shared" si="213"/>
        <v>0</v>
      </c>
      <c r="DF238" s="75">
        <f t="shared" si="214"/>
        <v>0</v>
      </c>
      <c r="DG238" s="75">
        <f t="shared" si="215"/>
        <v>0</v>
      </c>
      <c r="DH238" s="89">
        <f t="shared" si="216"/>
        <v>0</v>
      </c>
      <c r="DI238" s="75">
        <f t="shared" si="217"/>
        <v>0</v>
      </c>
      <c r="DJ238" s="75">
        <f t="shared" si="218"/>
        <v>0</v>
      </c>
      <c r="DK238" s="89">
        <f t="shared" si="219"/>
        <v>0</v>
      </c>
      <c r="DL238" s="75">
        <f t="shared" si="220"/>
        <v>0</v>
      </c>
      <c r="DM238" s="75">
        <f t="shared" si="221"/>
        <v>0</v>
      </c>
      <c r="DN238" s="90">
        <f t="shared" si="222"/>
        <v>0</v>
      </c>
      <c r="DO238" s="91">
        <f>IF(AN238="",0,VLOOKUP(B238,Tables!$B$3:$M$36,11,FALSE())*X$1)</f>
        <v>0</v>
      </c>
      <c r="DP238" s="92">
        <f>IF(AO238="",0,VLOOKUP(C238,Tables!$B$3:$M$36,11,FALSE())*Y$1)</f>
        <v>0</v>
      </c>
      <c r="DQ238" s="92">
        <f>IF(AP238="",0,VLOOKUP(D238,Tables!$B$3:$M$36,11,FALSE())*Z$1)</f>
        <v>18</v>
      </c>
      <c r="DR238" s="91">
        <f>IF(AQ238="",0,VLOOKUP(E238,Tables!$B$3:$M$36,11,FALSE())*AA$1)</f>
        <v>0</v>
      </c>
      <c r="DS238" s="92">
        <f>IF(AR238="",0,VLOOKUP(F238,Tables!$B$3:$M$36,11,FALSE())*AB$1)</f>
        <v>0</v>
      </c>
      <c r="DT238" s="92">
        <f>IF(AS238="",0,VLOOKUP(G238,Tables!$B$3:$M$36,11,FALSE())*AC$1)</f>
        <v>0</v>
      </c>
      <c r="DU238" s="92">
        <f>IF(AT238="",0,VLOOKUP(H238,Tables!$B$3:$M$36,11,FALSE())*AD$1)</f>
        <v>0</v>
      </c>
      <c r="DV238" s="92">
        <f>IF(AU238="",0,VLOOKUP(I238,Tables!$B$3:$M$36,11,FALSE())*AE$1)</f>
        <v>0</v>
      </c>
      <c r="DW238" s="91">
        <f>IF(AV238="",0,VLOOKUP(J238,Tables!$B$3:$M$36,11,FALSE())*AF$1)</f>
        <v>0</v>
      </c>
      <c r="DX238" s="92">
        <f>IF(AW238="",0,VLOOKUP(K238,Tables!$B$3:$M$36,11,FALSE())*AG$1)</f>
        <v>0</v>
      </c>
      <c r="DY238" s="92">
        <f>IF(AX238="",0,VLOOKUP(L238,Tables!$B$3:$M$36,11,FALSE())*AH$1)</f>
        <v>0</v>
      </c>
      <c r="DZ238" s="91">
        <f>IF(AY238="",0,VLOOKUP(M238,Tables!$B$3:$M$36,11,FALSE())*AI$1)</f>
        <v>0</v>
      </c>
      <c r="EA238" s="92">
        <f>IF(AZ238="",0,VLOOKUP(N238,Tables!$B$3:$M$36,11,FALSE())*AJ$1)</f>
        <v>0</v>
      </c>
      <c r="EB238" s="92">
        <f>IF(BA238="",0,VLOOKUP(O238,Tables!$B$3:$M$36,11,FALSE())*AK$1)</f>
        <v>0</v>
      </c>
      <c r="EC238" s="93">
        <f>IF(BB238="",0,VLOOKUP(P238,Tables!$B$3:$M$36,11,FALSE())*AL$1)</f>
        <v>0</v>
      </c>
      <c r="ED238" s="91">
        <f>IF(AN238="",0,VLOOKUP(B238,Tables!$B$3:$M$36,12,FALSE())*X$1)</f>
        <v>0</v>
      </c>
      <c r="EE238" s="92">
        <f>IF(AO238="",0,VLOOKUP(C238,Tables!$B$3:$M$36,12,FALSE())*Y$1)</f>
        <v>0</v>
      </c>
      <c r="EF238" s="92">
        <f>IF(AP238="",0,VLOOKUP(D238,Tables!$B$3:$M$36,12,FALSE())*Z$1)</f>
        <v>15</v>
      </c>
      <c r="EG238" s="91">
        <f>IF(AQ238="",0,VLOOKUP(E238,Tables!$B$3:$M$36,12,FALSE())*AA$1)</f>
        <v>0</v>
      </c>
      <c r="EH238" s="92">
        <f>IF(AR238="",0,VLOOKUP(F238,Tables!$B$3:$M$36,12,FALSE())*AB$1)</f>
        <v>0</v>
      </c>
      <c r="EI238" s="92">
        <f>IF(AS238="",0,VLOOKUP(G238,Tables!$B$3:$M$36,12,FALSE())*AC$1)</f>
        <v>0</v>
      </c>
      <c r="EJ238" s="92">
        <f>IF(AT238="",0,VLOOKUP(H238,Tables!$B$3:$M$36,12,FALSE())*AD$1)</f>
        <v>0</v>
      </c>
      <c r="EK238" s="92">
        <f>IF(AU238="",0,VLOOKUP(I238,Tables!$B$3:$M$36,12,FALSE())*AE$1)</f>
        <v>0</v>
      </c>
      <c r="EL238" s="91">
        <f>IF(AV238="",0,VLOOKUP(J238,Tables!$B$3:$M$36,12,FALSE())*AF$1)</f>
        <v>0</v>
      </c>
      <c r="EM238" s="92">
        <f>IF(AW238="",0,VLOOKUP(K238,Tables!$B$3:$M$36,12,FALSE())*AG$1)</f>
        <v>0</v>
      </c>
      <c r="EN238" s="92">
        <f>IF(AX238="",0,VLOOKUP(L238,Tables!$B$3:$M$36,12,FALSE())*AH$1)</f>
        <v>0</v>
      </c>
      <c r="EO238" s="91">
        <f>IF(AY238="",0,VLOOKUP(M238,Tables!$B$3:$M$36,12,FALSE())*AI$1)</f>
        <v>0</v>
      </c>
      <c r="EP238" s="92">
        <f>IF(AZ238="",0,VLOOKUP(N238,Tables!$B$3:$M$36,12,FALSE())*AJ$1)</f>
        <v>0</v>
      </c>
      <c r="EQ238" s="92">
        <f>IF(BA238="",0,VLOOKUP(O238,Tables!$B$3:$M$36,12,FALSE())*AK$1)</f>
        <v>0</v>
      </c>
      <c r="ER238" s="93">
        <f>IF(BB238="",0,VLOOKUP(P238,Tables!$B$3:$M$36,12,FALSE())*AL$1)</f>
        <v>0</v>
      </c>
      <c r="ES238" s="94">
        <f t="shared" si="223"/>
        <v>0</v>
      </c>
      <c r="ET238" s="95">
        <f>IF(AN238="",10,MIN(VLOOKUP(B238,MATERIAL,13,FALSE()),'Item Builder'!$W238))</f>
        <v>10</v>
      </c>
      <c r="EU238" s="95">
        <f>IF(AO238="",10,MIN(VLOOKUP(C238,MATERIAL,13,FALSE()),'Item Builder'!$W238))</f>
        <v>10</v>
      </c>
      <c r="EV238" s="95">
        <f>IF(AP238="",10,MIN(VLOOKUP(D238,MATERIAL,13,FALSE()),'Item Builder'!$W238))</f>
        <v>0</v>
      </c>
      <c r="EW238" s="95">
        <f>IF(AQ238="",10,MIN(VLOOKUP(E238,MATERIAL,13,FALSE()),'Item Builder'!$W238))</f>
        <v>10</v>
      </c>
      <c r="EX238" s="95">
        <f>IF(AR238="",10,MIN(VLOOKUP(F238,MATERIAL,13,FALSE()),'Item Builder'!$W238))</f>
        <v>10</v>
      </c>
      <c r="EY238" s="95">
        <f>IF(AS238="",10,MIN(VLOOKUP(G238,MATERIAL,13,FALSE()),'Item Builder'!$W238))</f>
        <v>10</v>
      </c>
      <c r="EZ238" s="95">
        <f>IF(AT238="",10,MIN(VLOOKUP(H238,MATERIAL,13,FALSE()),'Item Builder'!$W238))</f>
        <v>10</v>
      </c>
      <c r="FA238" s="95">
        <f>IF(AU238="",10,MIN(VLOOKUP(I238,MATERIAL,13,FALSE()),'Item Builder'!$W238))</f>
        <v>10</v>
      </c>
      <c r="FB238" s="95">
        <f>IF(AV238="",10,MIN(VLOOKUP(J238,MATERIAL,13,FALSE()),'Item Builder'!$W238))</f>
        <v>10</v>
      </c>
      <c r="FC238" s="95">
        <f>IF(AW238="",10,MIN(VLOOKUP(K238,MATERIAL,13,FALSE()),'Item Builder'!$W238))</f>
        <v>10</v>
      </c>
      <c r="FD238" s="95">
        <f>IF(AX238="",10,MIN(VLOOKUP(L238,MATERIAL,13,FALSE()),'Item Builder'!$W238))</f>
        <v>10</v>
      </c>
      <c r="FE238" s="95">
        <f>IF(AY238="",10,MIN(VLOOKUP(M238,MATERIAL,13,FALSE()),'Item Builder'!$W238))</f>
        <v>10</v>
      </c>
      <c r="FF238" s="95">
        <f>IF(AZ238="",10,MIN(VLOOKUP(N238,MATERIAL,13,FALSE()),'Item Builder'!$W238))</f>
        <v>10</v>
      </c>
      <c r="FG238" s="95">
        <f>IF(BA238="",10,MIN(VLOOKUP(O238,MATERIAL,13,FALSE()),'Item Builder'!$W238))</f>
        <v>10</v>
      </c>
      <c r="FH238" s="95">
        <f>IF(BB238="",10,MIN(VLOOKUP(P238,MATERIAL,13,FALSE()),'Item Builder'!$W238))</f>
        <v>10</v>
      </c>
    </row>
    <row r="239" spans="1:164" x14ac:dyDescent="0.25">
      <c r="A239" s="67"/>
      <c r="B239" s="68"/>
      <c r="C239" s="69"/>
      <c r="D239" s="70"/>
      <c r="E239" s="68"/>
      <c r="F239" s="69"/>
      <c r="G239" s="69"/>
      <c r="H239" s="69"/>
      <c r="I239" s="70"/>
      <c r="J239" s="68"/>
      <c r="K239" s="69"/>
      <c r="L239" s="70"/>
      <c r="M239" s="68"/>
      <c r="N239" s="69"/>
      <c r="O239" s="69"/>
      <c r="P239" s="71"/>
      <c r="Q239" s="72">
        <f>SUM(BV239:CJ239)*VLOOKUP(W239,Tables!$W$3:$Z$8,4)</f>
        <v>0</v>
      </c>
      <c r="R239" s="73">
        <f t="shared" si="168"/>
        <v>0</v>
      </c>
      <c r="S239" s="74">
        <f t="shared" si="169"/>
        <v>0</v>
      </c>
      <c r="T239" s="74">
        <f t="shared" si="170"/>
        <v>0</v>
      </c>
      <c r="U239" s="75">
        <f t="shared" si="171"/>
        <v>0</v>
      </c>
      <c r="V239" s="76">
        <f t="shared" si="172"/>
        <v>0</v>
      </c>
      <c r="W239" s="77">
        <v>0</v>
      </c>
      <c r="X239" s="78">
        <f t="shared" si="173"/>
        <v>0</v>
      </c>
      <c r="Y239" s="79">
        <f t="shared" si="174"/>
        <v>0</v>
      </c>
      <c r="Z239" s="79">
        <f t="shared" si="175"/>
        <v>0</v>
      </c>
      <c r="AA239" s="78">
        <f t="shared" si="176"/>
        <v>0</v>
      </c>
      <c r="AB239" s="79">
        <f t="shared" si="177"/>
        <v>0</v>
      </c>
      <c r="AC239" s="79">
        <f t="shared" si="178"/>
        <v>0</v>
      </c>
      <c r="AD239" s="79">
        <f t="shared" si="179"/>
        <v>0</v>
      </c>
      <c r="AE239" s="79">
        <f t="shared" si="180"/>
        <v>0</v>
      </c>
      <c r="AF239" s="78">
        <f t="shared" si="181"/>
        <v>0</v>
      </c>
      <c r="AG239" s="79">
        <f t="shared" si="182"/>
        <v>0</v>
      </c>
      <c r="AH239" s="79">
        <f t="shared" si="183"/>
        <v>0</v>
      </c>
      <c r="AI239" s="78">
        <f t="shared" si="184"/>
        <v>0</v>
      </c>
      <c r="AJ239" s="79">
        <f t="shared" si="185"/>
        <v>0</v>
      </c>
      <c r="AK239" s="79">
        <f t="shared" si="186"/>
        <v>0</v>
      </c>
      <c r="AL239" s="80">
        <f t="shared" si="187"/>
        <v>0</v>
      </c>
      <c r="AM239" s="81">
        <f t="shared" si="188"/>
        <v>0</v>
      </c>
      <c r="AN239" s="82" t="str">
        <f t="shared" si="189"/>
        <v/>
      </c>
      <c r="AO239" s="79" t="str">
        <f t="shared" si="190"/>
        <v/>
      </c>
      <c r="AP239" t="str">
        <f t="shared" si="191"/>
        <v/>
      </c>
      <c r="AQ239" s="82" t="str">
        <f t="shared" si="192"/>
        <v/>
      </c>
      <c r="AR239" t="str">
        <f t="shared" si="193"/>
        <v/>
      </c>
      <c r="AS239" t="str">
        <f t="shared" si="194"/>
        <v/>
      </c>
      <c r="AT239" t="str">
        <f t="shared" si="195"/>
        <v/>
      </c>
      <c r="AU239" t="str">
        <f t="shared" si="196"/>
        <v/>
      </c>
      <c r="AV239" s="82" t="str">
        <f t="shared" si="197"/>
        <v/>
      </c>
      <c r="AW239" t="str">
        <f t="shared" si="198"/>
        <v/>
      </c>
      <c r="AX239" t="str">
        <f t="shared" si="199"/>
        <v/>
      </c>
      <c r="AY239" s="82" t="str">
        <f t="shared" si="200"/>
        <v/>
      </c>
      <c r="AZ239" t="str">
        <f t="shared" si="201"/>
        <v/>
      </c>
      <c r="BA239" t="str">
        <f t="shared" si="202"/>
        <v/>
      </c>
      <c r="BB239" s="83" t="str">
        <f t="shared" si="203"/>
        <v/>
      </c>
      <c r="BC239" s="84">
        <f t="shared" si="204"/>
        <v>0</v>
      </c>
      <c r="BD239" s="84">
        <f t="shared" si="205"/>
        <v>0</v>
      </c>
      <c r="BE239" s="84">
        <f t="shared" si="206"/>
        <v>0</v>
      </c>
      <c r="BF239" s="84">
        <f t="shared" si="207"/>
        <v>0</v>
      </c>
      <c r="BG239" s="78">
        <f>IF(AN239="",0,VLOOKUP(AN239,Tables!$AB$3:$AC$12,2))</f>
        <v>0</v>
      </c>
      <c r="BH239" s="79">
        <f>IF(AO239="",0,VLOOKUP(AO239,Tables!$AB$3:$AC$12,2))</f>
        <v>0</v>
      </c>
      <c r="BI239" s="79">
        <f>IF(AP239="",0,VLOOKUP(AP239,Tables!$AB$3:$AC$12,2))</f>
        <v>0</v>
      </c>
      <c r="BJ239" s="78">
        <f>IF(AQ239="",0,VLOOKUP(AQ239,Tables!$AB$3:$AC$12,2))</f>
        <v>0</v>
      </c>
      <c r="BK239" s="79">
        <f>IF(AR239="",0,VLOOKUP(AR239,Tables!$AB$3:$AC$12,2))</f>
        <v>0</v>
      </c>
      <c r="BL239" s="79">
        <f>IF(AS239="",0,VLOOKUP(AS239,Tables!$AB$3:$AC$12,2))</f>
        <v>0</v>
      </c>
      <c r="BM239" s="79">
        <f>IF(AT239="",0,VLOOKUP(AT239,Tables!$AB$3:$AC$12,2))</f>
        <v>0</v>
      </c>
      <c r="BN239" s="79">
        <f>IF(AU239="",0,VLOOKUP(AU239,Tables!$AB$3:$AC$12,2))</f>
        <v>0</v>
      </c>
      <c r="BO239" s="78">
        <f>IF(AV239="",0,VLOOKUP(AV239,Tables!$AB$3:$AC$12,2))</f>
        <v>0</v>
      </c>
      <c r="BP239" s="79">
        <f>IF(AW239="",0,VLOOKUP(AW239,Tables!$AB$3:$AC$12,2))</f>
        <v>0</v>
      </c>
      <c r="BQ239" s="79">
        <f>IF(AX239="",0,VLOOKUP(AX239,Tables!$AB$3:$AC$12,2))</f>
        <v>0</v>
      </c>
      <c r="BR239" s="78">
        <f>IF(AY239="",0,VLOOKUP(AY239,Tables!$AB$3:$AC$12,2))</f>
        <v>0</v>
      </c>
      <c r="BS239" s="79">
        <f>IF(AZ239="",0,VLOOKUP(AZ239,Tables!$AB$3:$AC$12,2))</f>
        <v>0</v>
      </c>
      <c r="BT239" s="79">
        <f>IF(BA239="",0,VLOOKUP(BA239,Tables!$AB$3:$AC$12,2))</f>
        <v>0</v>
      </c>
      <c r="BU239" s="80">
        <f>IF(BB239="",0,VLOOKUP(BB239,Tables!$AB$3:$AC$12,2))</f>
        <v>0</v>
      </c>
      <c r="BV239" s="85">
        <f>IF(AN239="",0,VLOOKUP(B239,Tables!$B$3:$D$36,2,FALSE())*X$1)</f>
        <v>0</v>
      </c>
      <c r="BW239" s="72">
        <f>IF(AO239="",0,VLOOKUP(C239,Tables!$B$3:$D$36,2,FALSE())*Y$1)</f>
        <v>0</v>
      </c>
      <c r="BX239" s="72">
        <f>IF(AP239="",0,VLOOKUP(D239,Tables!$B$3:$D$36,2,FALSE())*Z$1)</f>
        <v>0</v>
      </c>
      <c r="BY239" s="85">
        <f>IF(AQ239="",0,VLOOKUP(E239,Tables!$B$3:$D$36,2,FALSE())*AA$1)</f>
        <v>0</v>
      </c>
      <c r="BZ239" s="72">
        <f>IF(AR239="",0,VLOOKUP(F239,Tables!$B$3:$D$36,2,FALSE())*AB$1)</f>
        <v>0</v>
      </c>
      <c r="CA239" s="72">
        <f>IF(AS239="",0,VLOOKUP(G239,Tables!$B$3:$D$36,2,FALSE())*AC$1)</f>
        <v>0</v>
      </c>
      <c r="CB239" s="72">
        <f>IF(AT239="",0,VLOOKUP(H239,Tables!$B$3:$D$36,2,FALSE())*AD$1)</f>
        <v>0</v>
      </c>
      <c r="CC239" s="72">
        <f>IF(AU239="",0,VLOOKUP(I239,Tables!$B$3:$D$36,2,FALSE())*AE$1)</f>
        <v>0</v>
      </c>
      <c r="CD239" s="85">
        <f>IF(AV239="",0,VLOOKUP(J239,Tables!$B$3:$D$36,2,FALSE())*AF$1)</f>
        <v>0</v>
      </c>
      <c r="CE239" s="72">
        <f>IF(AW239="",0,VLOOKUP(K239,Tables!$B$3:$D$36,2,FALSE())*AG$1)</f>
        <v>0</v>
      </c>
      <c r="CF239" s="72">
        <f>IF(AX239="",0,VLOOKUP(L239,Tables!$B$3:$D$36,2,FALSE())*AH$1)</f>
        <v>0</v>
      </c>
      <c r="CG239" s="85">
        <f>IF(AY239="",0,VLOOKUP(M239,Tables!$B$3:$D$36,2,FALSE())*AI$1)</f>
        <v>0</v>
      </c>
      <c r="CH239" s="72">
        <f>IF(AZ239="",0,VLOOKUP(N239,Tables!$B$3:$D$36,2,FALSE())*AJ$1)</f>
        <v>0</v>
      </c>
      <c r="CI239" s="72">
        <f>IF(BA239="",0,VLOOKUP(O239,Tables!$B$3:$D$36,2,FALSE())*AK$1)</f>
        <v>0</v>
      </c>
      <c r="CJ239" s="86">
        <f>IF(BB239="",0,VLOOKUP(P239,Tables!$B$3:$D$36,2,FALSE())*AL$1)</f>
        <v>0</v>
      </c>
      <c r="CK239" s="87">
        <f>IF(AN239="",0,VLOOKUP(B239,Tables!$B$3:$D$36,3,FALSE())*X$1)*IF(OR(AN239="K",AN239="P"),2,1)</f>
        <v>0</v>
      </c>
      <c r="CL239" s="73">
        <f>IF(AO239="",0,VLOOKUP(C239,Tables!$B$3:$D$36,3,FALSE())*Y$1)*IF(OR(AO239="K",AO239="P"),2,1)</f>
        <v>0</v>
      </c>
      <c r="CM239" s="73">
        <f>IF(AP239="",0,VLOOKUP(D239,Tables!$B$3:$D$36,3,FALSE())*Z$1)*IF(OR(AP239="K",AP239="P"),2,1)</f>
        <v>0</v>
      </c>
      <c r="CN239" s="87">
        <f>IF(AQ239="",0,VLOOKUP(E239,Tables!$B$3:$D$36,3,FALSE())*AA$1)</f>
        <v>0</v>
      </c>
      <c r="CO239" s="73">
        <f>IF(AR239="",0,VLOOKUP(F239,Tables!$B$3:$D$36,3,FALSE())*AB$1)</f>
        <v>0</v>
      </c>
      <c r="CP239" s="73">
        <f>IF(AS239="",0,VLOOKUP(G239,Tables!$B$3:$D$36,3,FALSE())*AC$1)</f>
        <v>0</v>
      </c>
      <c r="CQ239" s="73">
        <f>IF(AT239="",0,VLOOKUP(H239,Tables!$B$3:$D$36,3,FALSE())*AD$1)</f>
        <v>0</v>
      </c>
      <c r="CR239" s="73">
        <f>IF(AU239="",0,VLOOKUP(I239,Tables!$B$3:$D$36,3,FALSE())*AE$1)</f>
        <v>0</v>
      </c>
      <c r="CS239" s="87">
        <f>IF(AV239="",0,VLOOKUP(J239,Tables!$B$3:$D$36,3,FALSE())*AF$1)</f>
        <v>0</v>
      </c>
      <c r="CT239" s="73">
        <f>IF(AW239="",0,VLOOKUP(K239,Tables!$B$3:$D$36,3,FALSE())*AG$1)</f>
        <v>0</v>
      </c>
      <c r="CU239" s="73">
        <f>IF(AX239="",0,VLOOKUP(L239,Tables!$B$3:$D$36,3,FALSE())*AH$1)</f>
        <v>0</v>
      </c>
      <c r="CV239" s="87">
        <f>IF(AY239="",0,VLOOKUP(M239,Tables!$B$3:$D$36,3,FALSE())*AI$1)</f>
        <v>0</v>
      </c>
      <c r="CW239" s="73">
        <f>IF(AZ239="",0,VLOOKUP(N239,Tables!$B$3:$D$36,3,FALSE())*AJ$1)</f>
        <v>0</v>
      </c>
      <c r="CX239" s="73">
        <f>IF(BA239="",0,VLOOKUP(O239,Tables!$B$3:$D$36,3,FALSE())*AK$1)</f>
        <v>0</v>
      </c>
      <c r="CY239" s="88">
        <f>IF(BB239="",0,VLOOKUP(P239,Tables!$B$3:$D$36,3,FALSE())*AL$1)</f>
        <v>0</v>
      </c>
      <c r="CZ239" s="89">
        <f t="shared" si="208"/>
        <v>0</v>
      </c>
      <c r="DA239" s="75">
        <f t="shared" si="209"/>
        <v>0</v>
      </c>
      <c r="DB239" s="75">
        <f t="shared" si="210"/>
        <v>0</v>
      </c>
      <c r="DC239" s="89">
        <f t="shared" si="211"/>
        <v>0</v>
      </c>
      <c r="DD239" s="75">
        <f t="shared" si="212"/>
        <v>0</v>
      </c>
      <c r="DE239" s="75">
        <f t="shared" si="213"/>
        <v>0</v>
      </c>
      <c r="DF239" s="75">
        <f t="shared" si="214"/>
        <v>0</v>
      </c>
      <c r="DG239" s="75">
        <f t="shared" si="215"/>
        <v>0</v>
      </c>
      <c r="DH239" s="89">
        <f t="shared" si="216"/>
        <v>0</v>
      </c>
      <c r="DI239" s="75">
        <f t="shared" si="217"/>
        <v>0</v>
      </c>
      <c r="DJ239" s="75">
        <f t="shared" si="218"/>
        <v>0</v>
      </c>
      <c r="DK239" s="89">
        <f t="shared" si="219"/>
        <v>0</v>
      </c>
      <c r="DL239" s="75">
        <f t="shared" si="220"/>
        <v>0</v>
      </c>
      <c r="DM239" s="75">
        <f t="shared" si="221"/>
        <v>0</v>
      </c>
      <c r="DN239" s="90">
        <f t="shared" si="222"/>
        <v>0</v>
      </c>
      <c r="DO239" s="91">
        <f>IF(AN239="",0,VLOOKUP(B239,Tables!$B$3:$M$36,11,FALSE())*X$1)</f>
        <v>0</v>
      </c>
      <c r="DP239" s="92">
        <f>IF(AO239="",0,VLOOKUP(C239,Tables!$B$3:$M$36,11,FALSE())*Y$1)</f>
        <v>0</v>
      </c>
      <c r="DQ239" s="92">
        <f>IF(AP239="",0,VLOOKUP(D239,Tables!$B$3:$M$36,11,FALSE())*Z$1)</f>
        <v>0</v>
      </c>
      <c r="DR239" s="91">
        <f>IF(AQ239="",0,VLOOKUP(E239,Tables!$B$3:$M$36,11,FALSE())*AA$1)</f>
        <v>0</v>
      </c>
      <c r="DS239" s="92">
        <f>IF(AR239="",0,VLOOKUP(F239,Tables!$B$3:$M$36,11,FALSE())*AB$1)</f>
        <v>0</v>
      </c>
      <c r="DT239" s="92">
        <f>IF(AS239="",0,VLOOKUP(G239,Tables!$B$3:$M$36,11,FALSE())*AC$1)</f>
        <v>0</v>
      </c>
      <c r="DU239" s="92">
        <f>IF(AT239="",0,VLOOKUP(H239,Tables!$B$3:$M$36,11,FALSE())*AD$1)</f>
        <v>0</v>
      </c>
      <c r="DV239" s="92">
        <f>IF(AU239="",0,VLOOKUP(I239,Tables!$B$3:$M$36,11,FALSE())*AE$1)</f>
        <v>0</v>
      </c>
      <c r="DW239" s="91">
        <f>IF(AV239="",0,VLOOKUP(J239,Tables!$B$3:$M$36,11,FALSE())*AF$1)</f>
        <v>0</v>
      </c>
      <c r="DX239" s="92">
        <f>IF(AW239="",0,VLOOKUP(K239,Tables!$B$3:$M$36,11,FALSE())*AG$1)</f>
        <v>0</v>
      </c>
      <c r="DY239" s="92">
        <f>IF(AX239="",0,VLOOKUP(L239,Tables!$B$3:$M$36,11,FALSE())*AH$1)</f>
        <v>0</v>
      </c>
      <c r="DZ239" s="91">
        <f>IF(AY239="",0,VLOOKUP(M239,Tables!$B$3:$M$36,11,FALSE())*AI$1)</f>
        <v>0</v>
      </c>
      <c r="EA239" s="92">
        <f>IF(AZ239="",0,VLOOKUP(N239,Tables!$B$3:$M$36,11,FALSE())*AJ$1)</f>
        <v>0</v>
      </c>
      <c r="EB239" s="92">
        <f>IF(BA239="",0,VLOOKUP(O239,Tables!$B$3:$M$36,11,FALSE())*AK$1)</f>
        <v>0</v>
      </c>
      <c r="EC239" s="93">
        <f>IF(BB239="",0,VLOOKUP(P239,Tables!$B$3:$M$36,11,FALSE())*AL$1)</f>
        <v>0</v>
      </c>
      <c r="ED239" s="91">
        <f>IF(AN239="",0,VLOOKUP(B239,Tables!$B$3:$M$36,12,FALSE())*X$1)</f>
        <v>0</v>
      </c>
      <c r="EE239" s="92">
        <f>IF(AO239="",0,VLOOKUP(C239,Tables!$B$3:$M$36,12,FALSE())*Y$1)</f>
        <v>0</v>
      </c>
      <c r="EF239" s="92">
        <f>IF(AP239="",0,VLOOKUP(D239,Tables!$B$3:$M$36,12,FALSE())*Z$1)</f>
        <v>0</v>
      </c>
      <c r="EG239" s="91">
        <f>IF(AQ239="",0,VLOOKUP(E239,Tables!$B$3:$M$36,12,FALSE())*AA$1)</f>
        <v>0</v>
      </c>
      <c r="EH239" s="92">
        <f>IF(AR239="",0,VLOOKUP(F239,Tables!$B$3:$M$36,12,FALSE())*AB$1)</f>
        <v>0</v>
      </c>
      <c r="EI239" s="92">
        <f>IF(AS239="",0,VLOOKUP(G239,Tables!$B$3:$M$36,12,FALSE())*AC$1)</f>
        <v>0</v>
      </c>
      <c r="EJ239" s="92">
        <f>IF(AT239="",0,VLOOKUP(H239,Tables!$B$3:$M$36,12,FALSE())*AD$1)</f>
        <v>0</v>
      </c>
      <c r="EK239" s="92">
        <f>IF(AU239="",0,VLOOKUP(I239,Tables!$B$3:$M$36,12,FALSE())*AE$1)</f>
        <v>0</v>
      </c>
      <c r="EL239" s="91">
        <f>IF(AV239="",0,VLOOKUP(J239,Tables!$B$3:$M$36,12,FALSE())*AF$1)</f>
        <v>0</v>
      </c>
      <c r="EM239" s="92">
        <f>IF(AW239="",0,VLOOKUP(K239,Tables!$B$3:$M$36,12,FALSE())*AG$1)</f>
        <v>0</v>
      </c>
      <c r="EN239" s="92">
        <f>IF(AX239="",0,VLOOKUP(L239,Tables!$B$3:$M$36,12,FALSE())*AH$1)</f>
        <v>0</v>
      </c>
      <c r="EO239" s="91">
        <f>IF(AY239="",0,VLOOKUP(M239,Tables!$B$3:$M$36,12,FALSE())*AI$1)</f>
        <v>0</v>
      </c>
      <c r="EP239" s="92">
        <f>IF(AZ239="",0,VLOOKUP(N239,Tables!$B$3:$M$36,12,FALSE())*AJ$1)</f>
        <v>0</v>
      </c>
      <c r="EQ239" s="92">
        <f>IF(BA239="",0,VLOOKUP(O239,Tables!$B$3:$M$36,12,FALSE())*AK$1)</f>
        <v>0</v>
      </c>
      <c r="ER239" s="93">
        <f>IF(BB239="",0,VLOOKUP(P239,Tables!$B$3:$M$36,12,FALSE())*AL$1)</f>
        <v>0</v>
      </c>
      <c r="ES239" s="94">
        <f t="shared" si="223"/>
        <v>0</v>
      </c>
      <c r="ET239" s="95">
        <f>IF(AN239="",10,MIN(VLOOKUP(B239,MATERIAL,13,FALSE()),'Item Builder'!$W239))</f>
        <v>10</v>
      </c>
      <c r="EU239" s="95">
        <f>IF(AO239="",10,MIN(VLOOKUP(C239,MATERIAL,13,FALSE()),'Item Builder'!$W239))</f>
        <v>10</v>
      </c>
      <c r="EV239" s="95">
        <f>IF(AP239="",10,MIN(VLOOKUP(D239,MATERIAL,13,FALSE()),'Item Builder'!$W239))</f>
        <v>10</v>
      </c>
      <c r="EW239" s="95">
        <f>IF(AQ239="",10,MIN(VLOOKUP(E239,MATERIAL,13,FALSE()),'Item Builder'!$W239))</f>
        <v>10</v>
      </c>
      <c r="EX239" s="95">
        <f>IF(AR239="",10,MIN(VLOOKUP(F239,MATERIAL,13,FALSE()),'Item Builder'!$W239))</f>
        <v>10</v>
      </c>
      <c r="EY239" s="95">
        <f>IF(AS239="",10,MIN(VLOOKUP(G239,MATERIAL,13,FALSE()),'Item Builder'!$W239))</f>
        <v>10</v>
      </c>
      <c r="EZ239" s="95">
        <f>IF(AT239="",10,MIN(VLOOKUP(H239,MATERIAL,13,FALSE()),'Item Builder'!$W239))</f>
        <v>10</v>
      </c>
      <c r="FA239" s="95">
        <f>IF(AU239="",10,MIN(VLOOKUP(I239,MATERIAL,13,FALSE()),'Item Builder'!$W239))</f>
        <v>10</v>
      </c>
      <c r="FB239" s="95">
        <f>IF(AV239="",10,MIN(VLOOKUP(J239,MATERIAL,13,FALSE()),'Item Builder'!$W239))</f>
        <v>10</v>
      </c>
      <c r="FC239" s="95">
        <f>IF(AW239="",10,MIN(VLOOKUP(K239,MATERIAL,13,FALSE()),'Item Builder'!$W239))</f>
        <v>10</v>
      </c>
      <c r="FD239" s="95">
        <f>IF(AX239="",10,MIN(VLOOKUP(L239,MATERIAL,13,FALSE()),'Item Builder'!$W239))</f>
        <v>10</v>
      </c>
      <c r="FE239" s="95">
        <f>IF(AY239="",10,MIN(VLOOKUP(M239,MATERIAL,13,FALSE()),'Item Builder'!$W239))</f>
        <v>10</v>
      </c>
      <c r="FF239" s="95">
        <f>IF(AZ239="",10,MIN(VLOOKUP(N239,MATERIAL,13,FALSE()),'Item Builder'!$W239))</f>
        <v>10</v>
      </c>
      <c r="FG239" s="95">
        <f>IF(BA239="",10,MIN(VLOOKUP(O239,MATERIAL,13,FALSE()),'Item Builder'!$W239))</f>
        <v>10</v>
      </c>
      <c r="FH239" s="95">
        <f>IF(BB239="",10,MIN(VLOOKUP(P239,MATERIAL,13,FALSE()),'Item Builder'!$W239))</f>
        <v>10</v>
      </c>
    </row>
    <row r="240" spans="1:164" x14ac:dyDescent="0.25">
      <c r="A240" s="67"/>
      <c r="B240" s="68"/>
      <c r="C240" s="69"/>
      <c r="D240" s="70"/>
      <c r="E240" s="68"/>
      <c r="F240" s="69"/>
      <c r="G240" s="69"/>
      <c r="H240" s="69"/>
      <c r="I240" s="70"/>
      <c r="J240" s="68"/>
      <c r="K240" s="69"/>
      <c r="L240" s="70"/>
      <c r="M240" s="68"/>
      <c r="N240" s="69"/>
      <c r="O240" s="69"/>
      <c r="P240" s="71"/>
      <c r="Q240" s="72">
        <f>SUM(BV240:CJ240)*VLOOKUP(W240,Tables!$W$3:$Z$8,4)</f>
        <v>0</v>
      </c>
      <c r="R240" s="73">
        <f t="shared" si="168"/>
        <v>0</v>
      </c>
      <c r="S240" s="74">
        <f t="shared" si="169"/>
        <v>0</v>
      </c>
      <c r="T240" s="74">
        <f t="shared" si="170"/>
        <v>0</v>
      </c>
      <c r="U240" s="75">
        <f t="shared" si="171"/>
        <v>0</v>
      </c>
      <c r="V240" s="76">
        <f t="shared" si="172"/>
        <v>0</v>
      </c>
      <c r="W240" s="77">
        <v>0</v>
      </c>
      <c r="X240" s="78">
        <f t="shared" si="173"/>
        <v>0</v>
      </c>
      <c r="Y240" s="79">
        <f t="shared" si="174"/>
        <v>0</v>
      </c>
      <c r="Z240" s="79">
        <f t="shared" si="175"/>
        <v>0</v>
      </c>
      <c r="AA240" s="78">
        <f t="shared" si="176"/>
        <v>0</v>
      </c>
      <c r="AB240" s="79">
        <f t="shared" si="177"/>
        <v>0</v>
      </c>
      <c r="AC240" s="79">
        <f t="shared" si="178"/>
        <v>0</v>
      </c>
      <c r="AD240" s="79">
        <f t="shared" si="179"/>
        <v>0</v>
      </c>
      <c r="AE240" s="79">
        <f t="shared" si="180"/>
        <v>0</v>
      </c>
      <c r="AF240" s="78">
        <f t="shared" si="181"/>
        <v>0</v>
      </c>
      <c r="AG240" s="79">
        <f t="shared" si="182"/>
        <v>0</v>
      </c>
      <c r="AH240" s="79">
        <f t="shared" si="183"/>
        <v>0</v>
      </c>
      <c r="AI240" s="78">
        <f t="shared" si="184"/>
        <v>0</v>
      </c>
      <c r="AJ240" s="79">
        <f t="shared" si="185"/>
        <v>0</v>
      </c>
      <c r="AK240" s="79">
        <f t="shared" si="186"/>
        <v>0</v>
      </c>
      <c r="AL240" s="80">
        <f t="shared" si="187"/>
        <v>0</v>
      </c>
      <c r="AM240" s="81">
        <f t="shared" si="188"/>
        <v>0</v>
      </c>
      <c r="AN240" s="82" t="str">
        <f t="shared" si="189"/>
        <v/>
      </c>
      <c r="AO240" s="79" t="str">
        <f t="shared" si="190"/>
        <v/>
      </c>
      <c r="AP240" t="str">
        <f t="shared" si="191"/>
        <v/>
      </c>
      <c r="AQ240" s="82" t="str">
        <f t="shared" si="192"/>
        <v/>
      </c>
      <c r="AR240" t="str">
        <f t="shared" si="193"/>
        <v/>
      </c>
      <c r="AS240" t="str">
        <f t="shared" si="194"/>
        <v/>
      </c>
      <c r="AT240" t="str">
        <f t="shared" si="195"/>
        <v/>
      </c>
      <c r="AU240" t="str">
        <f t="shared" si="196"/>
        <v/>
      </c>
      <c r="AV240" s="82" t="str">
        <f t="shared" si="197"/>
        <v/>
      </c>
      <c r="AW240" t="str">
        <f t="shared" si="198"/>
        <v/>
      </c>
      <c r="AX240" t="str">
        <f t="shared" si="199"/>
        <v/>
      </c>
      <c r="AY240" s="82" t="str">
        <f t="shared" si="200"/>
        <v/>
      </c>
      <c r="AZ240" t="str">
        <f t="shared" si="201"/>
        <v/>
      </c>
      <c r="BA240" t="str">
        <f t="shared" si="202"/>
        <v/>
      </c>
      <c r="BB240" s="83" t="str">
        <f t="shared" si="203"/>
        <v/>
      </c>
      <c r="BC240" s="84">
        <f t="shared" si="204"/>
        <v>0</v>
      </c>
      <c r="BD240" s="84">
        <f t="shared" si="205"/>
        <v>0</v>
      </c>
      <c r="BE240" s="84">
        <f t="shared" si="206"/>
        <v>0</v>
      </c>
      <c r="BF240" s="84">
        <f t="shared" si="207"/>
        <v>0</v>
      </c>
      <c r="BG240" s="78">
        <f>IF(AN240="",0,VLOOKUP(AN240,Tables!$AB$3:$AC$12,2))</f>
        <v>0</v>
      </c>
      <c r="BH240" s="79">
        <f>IF(AO240="",0,VLOOKUP(AO240,Tables!$AB$3:$AC$12,2))</f>
        <v>0</v>
      </c>
      <c r="BI240" s="79">
        <f>IF(AP240="",0,VLOOKUP(AP240,Tables!$AB$3:$AC$12,2))</f>
        <v>0</v>
      </c>
      <c r="BJ240" s="78">
        <f>IF(AQ240="",0,VLOOKUP(AQ240,Tables!$AB$3:$AC$12,2))</f>
        <v>0</v>
      </c>
      <c r="BK240" s="79">
        <f>IF(AR240="",0,VLOOKUP(AR240,Tables!$AB$3:$AC$12,2))</f>
        <v>0</v>
      </c>
      <c r="BL240" s="79">
        <f>IF(AS240="",0,VLOOKUP(AS240,Tables!$AB$3:$AC$12,2))</f>
        <v>0</v>
      </c>
      <c r="BM240" s="79">
        <f>IF(AT240="",0,VLOOKUP(AT240,Tables!$AB$3:$AC$12,2))</f>
        <v>0</v>
      </c>
      <c r="BN240" s="79">
        <f>IF(AU240="",0,VLOOKUP(AU240,Tables!$AB$3:$AC$12,2))</f>
        <v>0</v>
      </c>
      <c r="BO240" s="78">
        <f>IF(AV240="",0,VLOOKUP(AV240,Tables!$AB$3:$AC$12,2))</f>
        <v>0</v>
      </c>
      <c r="BP240" s="79">
        <f>IF(AW240="",0,VLOOKUP(AW240,Tables!$AB$3:$AC$12,2))</f>
        <v>0</v>
      </c>
      <c r="BQ240" s="79">
        <f>IF(AX240="",0,VLOOKUP(AX240,Tables!$AB$3:$AC$12,2))</f>
        <v>0</v>
      </c>
      <c r="BR240" s="78">
        <f>IF(AY240="",0,VLOOKUP(AY240,Tables!$AB$3:$AC$12,2))</f>
        <v>0</v>
      </c>
      <c r="BS240" s="79">
        <f>IF(AZ240="",0,VLOOKUP(AZ240,Tables!$AB$3:$AC$12,2))</f>
        <v>0</v>
      </c>
      <c r="BT240" s="79">
        <f>IF(BA240="",0,VLOOKUP(BA240,Tables!$AB$3:$AC$12,2))</f>
        <v>0</v>
      </c>
      <c r="BU240" s="80">
        <f>IF(BB240="",0,VLOOKUP(BB240,Tables!$AB$3:$AC$12,2))</f>
        <v>0</v>
      </c>
      <c r="BV240" s="85">
        <f>IF(AN240="",0,VLOOKUP(B240,Tables!$B$3:$D$36,2,FALSE())*X$1)</f>
        <v>0</v>
      </c>
      <c r="BW240" s="72">
        <f>IF(AO240="",0,VLOOKUP(C240,Tables!$B$3:$D$36,2,FALSE())*Y$1)</f>
        <v>0</v>
      </c>
      <c r="BX240" s="72">
        <f>IF(AP240="",0,VLOOKUP(D240,Tables!$B$3:$D$36,2,FALSE())*Z$1)</f>
        <v>0</v>
      </c>
      <c r="BY240" s="85">
        <f>IF(AQ240="",0,VLOOKUP(E240,Tables!$B$3:$D$36,2,FALSE())*AA$1)</f>
        <v>0</v>
      </c>
      <c r="BZ240" s="72">
        <f>IF(AR240="",0,VLOOKUP(F240,Tables!$B$3:$D$36,2,FALSE())*AB$1)</f>
        <v>0</v>
      </c>
      <c r="CA240" s="72">
        <f>IF(AS240="",0,VLOOKUP(G240,Tables!$B$3:$D$36,2,FALSE())*AC$1)</f>
        <v>0</v>
      </c>
      <c r="CB240" s="72">
        <f>IF(AT240="",0,VLOOKUP(H240,Tables!$B$3:$D$36,2,FALSE())*AD$1)</f>
        <v>0</v>
      </c>
      <c r="CC240" s="72">
        <f>IF(AU240="",0,VLOOKUP(I240,Tables!$B$3:$D$36,2,FALSE())*AE$1)</f>
        <v>0</v>
      </c>
      <c r="CD240" s="85">
        <f>IF(AV240="",0,VLOOKUP(J240,Tables!$B$3:$D$36,2,FALSE())*AF$1)</f>
        <v>0</v>
      </c>
      <c r="CE240" s="72">
        <f>IF(AW240="",0,VLOOKUP(K240,Tables!$B$3:$D$36,2,FALSE())*AG$1)</f>
        <v>0</v>
      </c>
      <c r="CF240" s="72">
        <f>IF(AX240="",0,VLOOKUP(L240,Tables!$B$3:$D$36,2,FALSE())*AH$1)</f>
        <v>0</v>
      </c>
      <c r="CG240" s="85">
        <f>IF(AY240="",0,VLOOKUP(M240,Tables!$B$3:$D$36,2,FALSE())*AI$1)</f>
        <v>0</v>
      </c>
      <c r="CH240" s="72">
        <f>IF(AZ240="",0,VLOOKUP(N240,Tables!$B$3:$D$36,2,FALSE())*AJ$1)</f>
        <v>0</v>
      </c>
      <c r="CI240" s="72">
        <f>IF(BA240="",0,VLOOKUP(O240,Tables!$B$3:$D$36,2,FALSE())*AK$1)</f>
        <v>0</v>
      </c>
      <c r="CJ240" s="86">
        <f>IF(BB240="",0,VLOOKUP(P240,Tables!$B$3:$D$36,2,FALSE())*AL$1)</f>
        <v>0</v>
      </c>
      <c r="CK240" s="87">
        <f>IF(AN240="",0,VLOOKUP(B240,Tables!$B$3:$D$36,3,FALSE())*X$1)*IF(OR(AN240="K",AN240="P"),2,1)</f>
        <v>0</v>
      </c>
      <c r="CL240" s="73">
        <f>IF(AO240="",0,VLOOKUP(C240,Tables!$B$3:$D$36,3,FALSE())*Y$1)*IF(OR(AO240="K",AO240="P"),2,1)</f>
        <v>0</v>
      </c>
      <c r="CM240" s="73">
        <f>IF(AP240="",0,VLOOKUP(D240,Tables!$B$3:$D$36,3,FALSE())*Z$1)*IF(OR(AP240="K",AP240="P"),2,1)</f>
        <v>0</v>
      </c>
      <c r="CN240" s="87">
        <f>IF(AQ240="",0,VLOOKUP(E240,Tables!$B$3:$D$36,3,FALSE())*AA$1)</f>
        <v>0</v>
      </c>
      <c r="CO240" s="73">
        <f>IF(AR240="",0,VLOOKUP(F240,Tables!$B$3:$D$36,3,FALSE())*AB$1)</f>
        <v>0</v>
      </c>
      <c r="CP240" s="73">
        <f>IF(AS240="",0,VLOOKUP(G240,Tables!$B$3:$D$36,3,FALSE())*AC$1)</f>
        <v>0</v>
      </c>
      <c r="CQ240" s="73">
        <f>IF(AT240="",0,VLOOKUP(H240,Tables!$B$3:$D$36,3,FALSE())*AD$1)</f>
        <v>0</v>
      </c>
      <c r="CR240" s="73">
        <f>IF(AU240="",0,VLOOKUP(I240,Tables!$B$3:$D$36,3,FALSE())*AE$1)</f>
        <v>0</v>
      </c>
      <c r="CS240" s="87">
        <f>IF(AV240="",0,VLOOKUP(J240,Tables!$B$3:$D$36,3,FALSE())*AF$1)</f>
        <v>0</v>
      </c>
      <c r="CT240" s="73">
        <f>IF(AW240="",0,VLOOKUP(K240,Tables!$B$3:$D$36,3,FALSE())*AG$1)</f>
        <v>0</v>
      </c>
      <c r="CU240" s="73">
        <f>IF(AX240="",0,VLOOKUP(L240,Tables!$B$3:$D$36,3,FALSE())*AH$1)</f>
        <v>0</v>
      </c>
      <c r="CV240" s="87">
        <f>IF(AY240="",0,VLOOKUP(M240,Tables!$B$3:$D$36,3,FALSE())*AI$1)</f>
        <v>0</v>
      </c>
      <c r="CW240" s="73">
        <f>IF(AZ240="",0,VLOOKUP(N240,Tables!$B$3:$D$36,3,FALSE())*AJ$1)</f>
        <v>0</v>
      </c>
      <c r="CX240" s="73">
        <f>IF(BA240="",0,VLOOKUP(O240,Tables!$B$3:$D$36,3,FALSE())*AK$1)</f>
        <v>0</v>
      </c>
      <c r="CY240" s="88">
        <f>IF(BB240="",0,VLOOKUP(P240,Tables!$B$3:$D$36,3,FALSE())*AL$1)</f>
        <v>0</v>
      </c>
      <c r="CZ240" s="89">
        <f t="shared" si="208"/>
        <v>0</v>
      </c>
      <c r="DA240" s="75">
        <f t="shared" si="209"/>
        <v>0</v>
      </c>
      <c r="DB240" s="75">
        <f t="shared" si="210"/>
        <v>0</v>
      </c>
      <c r="DC240" s="89">
        <f t="shared" si="211"/>
        <v>0</v>
      </c>
      <c r="DD240" s="75">
        <f t="shared" si="212"/>
        <v>0</v>
      </c>
      <c r="DE240" s="75">
        <f t="shared" si="213"/>
        <v>0</v>
      </c>
      <c r="DF240" s="75">
        <f t="shared" si="214"/>
        <v>0</v>
      </c>
      <c r="DG240" s="75">
        <f t="shared" si="215"/>
        <v>0</v>
      </c>
      <c r="DH240" s="89">
        <f t="shared" si="216"/>
        <v>0</v>
      </c>
      <c r="DI240" s="75">
        <f t="shared" si="217"/>
        <v>0</v>
      </c>
      <c r="DJ240" s="75">
        <f t="shared" si="218"/>
        <v>0</v>
      </c>
      <c r="DK240" s="89">
        <f t="shared" si="219"/>
        <v>0</v>
      </c>
      <c r="DL240" s="75">
        <f t="shared" si="220"/>
        <v>0</v>
      </c>
      <c r="DM240" s="75">
        <f t="shared" si="221"/>
        <v>0</v>
      </c>
      <c r="DN240" s="90">
        <f t="shared" si="222"/>
        <v>0</v>
      </c>
      <c r="DO240" s="91">
        <f>IF(AN240="",0,VLOOKUP(B240,Tables!$B$3:$M$36,11,FALSE())*X$1)</f>
        <v>0</v>
      </c>
      <c r="DP240" s="92">
        <f>IF(AO240="",0,VLOOKUP(C240,Tables!$B$3:$M$36,11,FALSE())*Y$1)</f>
        <v>0</v>
      </c>
      <c r="DQ240" s="92">
        <f>IF(AP240="",0,VLOOKUP(D240,Tables!$B$3:$M$36,11,FALSE())*Z$1)</f>
        <v>0</v>
      </c>
      <c r="DR240" s="91">
        <f>IF(AQ240="",0,VLOOKUP(E240,Tables!$B$3:$M$36,11,FALSE())*AA$1)</f>
        <v>0</v>
      </c>
      <c r="DS240" s="92">
        <f>IF(AR240="",0,VLOOKUP(F240,Tables!$B$3:$M$36,11,FALSE())*AB$1)</f>
        <v>0</v>
      </c>
      <c r="DT240" s="92">
        <f>IF(AS240="",0,VLOOKUP(G240,Tables!$B$3:$M$36,11,FALSE())*AC$1)</f>
        <v>0</v>
      </c>
      <c r="DU240" s="92">
        <f>IF(AT240="",0,VLOOKUP(H240,Tables!$B$3:$M$36,11,FALSE())*AD$1)</f>
        <v>0</v>
      </c>
      <c r="DV240" s="92">
        <f>IF(AU240="",0,VLOOKUP(I240,Tables!$B$3:$M$36,11,FALSE())*AE$1)</f>
        <v>0</v>
      </c>
      <c r="DW240" s="91">
        <f>IF(AV240="",0,VLOOKUP(J240,Tables!$B$3:$M$36,11,FALSE())*AF$1)</f>
        <v>0</v>
      </c>
      <c r="DX240" s="92">
        <f>IF(AW240="",0,VLOOKUP(K240,Tables!$B$3:$M$36,11,FALSE())*AG$1)</f>
        <v>0</v>
      </c>
      <c r="DY240" s="92">
        <f>IF(AX240="",0,VLOOKUP(L240,Tables!$B$3:$M$36,11,FALSE())*AH$1)</f>
        <v>0</v>
      </c>
      <c r="DZ240" s="91">
        <f>IF(AY240="",0,VLOOKUP(M240,Tables!$B$3:$M$36,11,FALSE())*AI$1)</f>
        <v>0</v>
      </c>
      <c r="EA240" s="92">
        <f>IF(AZ240="",0,VLOOKUP(N240,Tables!$B$3:$M$36,11,FALSE())*AJ$1)</f>
        <v>0</v>
      </c>
      <c r="EB240" s="92">
        <f>IF(BA240="",0,VLOOKUP(O240,Tables!$B$3:$M$36,11,FALSE())*AK$1)</f>
        <v>0</v>
      </c>
      <c r="EC240" s="93">
        <f>IF(BB240="",0,VLOOKUP(P240,Tables!$B$3:$M$36,11,FALSE())*AL$1)</f>
        <v>0</v>
      </c>
      <c r="ED240" s="91">
        <f>IF(AN240="",0,VLOOKUP(B240,Tables!$B$3:$M$36,12,FALSE())*X$1)</f>
        <v>0</v>
      </c>
      <c r="EE240" s="92">
        <f>IF(AO240="",0,VLOOKUP(C240,Tables!$B$3:$M$36,12,FALSE())*Y$1)</f>
        <v>0</v>
      </c>
      <c r="EF240" s="92">
        <f>IF(AP240="",0,VLOOKUP(D240,Tables!$B$3:$M$36,12,FALSE())*Z$1)</f>
        <v>0</v>
      </c>
      <c r="EG240" s="91">
        <f>IF(AQ240="",0,VLOOKUP(E240,Tables!$B$3:$M$36,12,FALSE())*AA$1)</f>
        <v>0</v>
      </c>
      <c r="EH240" s="92">
        <f>IF(AR240="",0,VLOOKUP(F240,Tables!$B$3:$M$36,12,FALSE())*AB$1)</f>
        <v>0</v>
      </c>
      <c r="EI240" s="92">
        <f>IF(AS240="",0,VLOOKUP(G240,Tables!$B$3:$M$36,12,FALSE())*AC$1)</f>
        <v>0</v>
      </c>
      <c r="EJ240" s="92">
        <f>IF(AT240="",0,VLOOKUP(H240,Tables!$B$3:$M$36,12,FALSE())*AD$1)</f>
        <v>0</v>
      </c>
      <c r="EK240" s="92">
        <f>IF(AU240="",0,VLOOKUP(I240,Tables!$B$3:$M$36,12,FALSE())*AE$1)</f>
        <v>0</v>
      </c>
      <c r="EL240" s="91">
        <f>IF(AV240="",0,VLOOKUP(J240,Tables!$B$3:$M$36,12,FALSE())*AF$1)</f>
        <v>0</v>
      </c>
      <c r="EM240" s="92">
        <f>IF(AW240="",0,VLOOKUP(K240,Tables!$B$3:$M$36,12,FALSE())*AG$1)</f>
        <v>0</v>
      </c>
      <c r="EN240" s="92">
        <f>IF(AX240="",0,VLOOKUP(L240,Tables!$B$3:$M$36,12,FALSE())*AH$1)</f>
        <v>0</v>
      </c>
      <c r="EO240" s="91">
        <f>IF(AY240="",0,VLOOKUP(M240,Tables!$B$3:$M$36,12,FALSE())*AI$1)</f>
        <v>0</v>
      </c>
      <c r="EP240" s="92">
        <f>IF(AZ240="",0,VLOOKUP(N240,Tables!$B$3:$M$36,12,FALSE())*AJ$1)</f>
        <v>0</v>
      </c>
      <c r="EQ240" s="92">
        <f>IF(BA240="",0,VLOOKUP(O240,Tables!$B$3:$M$36,12,FALSE())*AK$1)</f>
        <v>0</v>
      </c>
      <c r="ER240" s="93">
        <f>IF(BB240="",0,VLOOKUP(P240,Tables!$B$3:$M$36,12,FALSE())*AL$1)</f>
        <v>0</v>
      </c>
      <c r="ES240" s="94">
        <f t="shared" si="223"/>
        <v>0</v>
      </c>
      <c r="ET240" s="95">
        <f>IF(AN240="",10,MIN(VLOOKUP(B240,MATERIAL,13,FALSE()),'Item Builder'!$W240))</f>
        <v>10</v>
      </c>
      <c r="EU240" s="95">
        <f>IF(AO240="",10,MIN(VLOOKUP(C240,MATERIAL,13,FALSE()),'Item Builder'!$W240))</f>
        <v>10</v>
      </c>
      <c r="EV240" s="95">
        <f>IF(AP240="",10,MIN(VLOOKUP(D240,MATERIAL,13,FALSE()),'Item Builder'!$W240))</f>
        <v>10</v>
      </c>
      <c r="EW240" s="95">
        <f>IF(AQ240="",10,MIN(VLOOKUP(E240,MATERIAL,13,FALSE()),'Item Builder'!$W240))</f>
        <v>10</v>
      </c>
      <c r="EX240" s="95">
        <f>IF(AR240="",10,MIN(VLOOKUP(F240,MATERIAL,13,FALSE()),'Item Builder'!$W240))</f>
        <v>10</v>
      </c>
      <c r="EY240" s="95">
        <f>IF(AS240="",10,MIN(VLOOKUP(G240,MATERIAL,13,FALSE()),'Item Builder'!$W240))</f>
        <v>10</v>
      </c>
      <c r="EZ240" s="95">
        <f>IF(AT240="",10,MIN(VLOOKUP(H240,MATERIAL,13,FALSE()),'Item Builder'!$W240))</f>
        <v>10</v>
      </c>
      <c r="FA240" s="95">
        <f>IF(AU240="",10,MIN(VLOOKUP(I240,MATERIAL,13,FALSE()),'Item Builder'!$W240))</f>
        <v>10</v>
      </c>
      <c r="FB240" s="95">
        <f>IF(AV240="",10,MIN(VLOOKUP(J240,MATERIAL,13,FALSE()),'Item Builder'!$W240))</f>
        <v>10</v>
      </c>
      <c r="FC240" s="95">
        <f>IF(AW240="",10,MIN(VLOOKUP(K240,MATERIAL,13,FALSE()),'Item Builder'!$W240))</f>
        <v>10</v>
      </c>
      <c r="FD240" s="95">
        <f>IF(AX240="",10,MIN(VLOOKUP(L240,MATERIAL,13,FALSE()),'Item Builder'!$W240))</f>
        <v>10</v>
      </c>
      <c r="FE240" s="95">
        <f>IF(AY240="",10,MIN(VLOOKUP(M240,MATERIAL,13,FALSE()),'Item Builder'!$W240))</f>
        <v>10</v>
      </c>
      <c r="FF240" s="95">
        <f>IF(AZ240="",10,MIN(VLOOKUP(N240,MATERIAL,13,FALSE()),'Item Builder'!$W240))</f>
        <v>10</v>
      </c>
      <c r="FG240" s="95">
        <f>IF(BA240="",10,MIN(VLOOKUP(O240,MATERIAL,13,FALSE()),'Item Builder'!$W240))</f>
        <v>10</v>
      </c>
      <c r="FH240" s="95">
        <f>IF(BB240="",10,MIN(VLOOKUP(P240,MATERIAL,13,FALSE()),'Item Builder'!$W240))</f>
        <v>10</v>
      </c>
    </row>
    <row r="241" spans="1:164" x14ac:dyDescent="0.25">
      <c r="A241" s="67"/>
      <c r="B241" s="68"/>
      <c r="C241" s="69"/>
      <c r="D241" s="70"/>
      <c r="E241" s="68"/>
      <c r="F241" s="69"/>
      <c r="G241" s="69"/>
      <c r="H241" s="69"/>
      <c r="I241" s="70"/>
      <c r="J241" s="68"/>
      <c r="K241" s="69"/>
      <c r="L241" s="70"/>
      <c r="M241" s="68"/>
      <c r="N241" s="69"/>
      <c r="O241" s="69"/>
      <c r="P241" s="71"/>
      <c r="Q241" s="72">
        <f>SUM(BV241:CJ241)*VLOOKUP(W241,Tables!$W$3:$Z$8,4)</f>
        <v>0</v>
      </c>
      <c r="R241" s="73">
        <f t="shared" si="168"/>
        <v>0</v>
      </c>
      <c r="S241" s="74">
        <f t="shared" si="169"/>
        <v>0</v>
      </c>
      <c r="T241" s="74">
        <f t="shared" si="170"/>
        <v>0</v>
      </c>
      <c r="U241" s="75">
        <f t="shared" si="171"/>
        <v>0</v>
      </c>
      <c r="V241" s="76">
        <f t="shared" si="172"/>
        <v>0</v>
      </c>
      <c r="W241" s="77">
        <v>0</v>
      </c>
      <c r="X241" s="78">
        <f t="shared" si="173"/>
        <v>0</v>
      </c>
      <c r="Y241" s="79">
        <f t="shared" si="174"/>
        <v>0</v>
      </c>
      <c r="Z241" s="79">
        <f t="shared" si="175"/>
        <v>0</v>
      </c>
      <c r="AA241" s="78">
        <f t="shared" si="176"/>
        <v>0</v>
      </c>
      <c r="AB241" s="79">
        <f t="shared" si="177"/>
        <v>0</v>
      </c>
      <c r="AC241" s="79">
        <f t="shared" si="178"/>
        <v>0</v>
      </c>
      <c r="AD241" s="79">
        <f t="shared" si="179"/>
        <v>0</v>
      </c>
      <c r="AE241" s="79">
        <f t="shared" si="180"/>
        <v>0</v>
      </c>
      <c r="AF241" s="78">
        <f t="shared" si="181"/>
        <v>0</v>
      </c>
      <c r="AG241" s="79">
        <f t="shared" si="182"/>
        <v>0</v>
      </c>
      <c r="AH241" s="79">
        <f t="shared" si="183"/>
        <v>0</v>
      </c>
      <c r="AI241" s="78">
        <f t="shared" si="184"/>
        <v>0</v>
      </c>
      <c r="AJ241" s="79">
        <f t="shared" si="185"/>
        <v>0</v>
      </c>
      <c r="AK241" s="79">
        <f t="shared" si="186"/>
        <v>0</v>
      </c>
      <c r="AL241" s="80">
        <f t="shared" si="187"/>
        <v>0</v>
      </c>
      <c r="AM241" s="81">
        <f t="shared" si="188"/>
        <v>0</v>
      </c>
      <c r="AN241" s="82" t="str">
        <f t="shared" si="189"/>
        <v/>
      </c>
      <c r="AO241" s="79" t="str">
        <f t="shared" si="190"/>
        <v/>
      </c>
      <c r="AP241" t="str">
        <f t="shared" si="191"/>
        <v/>
      </c>
      <c r="AQ241" s="82" t="str">
        <f t="shared" si="192"/>
        <v/>
      </c>
      <c r="AR241" t="str">
        <f t="shared" si="193"/>
        <v/>
      </c>
      <c r="AS241" t="str">
        <f t="shared" si="194"/>
        <v/>
      </c>
      <c r="AT241" t="str">
        <f t="shared" si="195"/>
        <v/>
      </c>
      <c r="AU241" t="str">
        <f t="shared" si="196"/>
        <v/>
      </c>
      <c r="AV241" s="82" t="str">
        <f t="shared" si="197"/>
        <v/>
      </c>
      <c r="AW241" t="str">
        <f t="shared" si="198"/>
        <v/>
      </c>
      <c r="AX241" t="str">
        <f t="shared" si="199"/>
        <v/>
      </c>
      <c r="AY241" s="82" t="str">
        <f t="shared" si="200"/>
        <v/>
      </c>
      <c r="AZ241" t="str">
        <f t="shared" si="201"/>
        <v/>
      </c>
      <c r="BA241" t="str">
        <f t="shared" si="202"/>
        <v/>
      </c>
      <c r="BB241" s="83" t="str">
        <f t="shared" si="203"/>
        <v/>
      </c>
      <c r="BC241" s="84">
        <f t="shared" si="204"/>
        <v>0</v>
      </c>
      <c r="BD241" s="84">
        <f t="shared" si="205"/>
        <v>0</v>
      </c>
      <c r="BE241" s="84">
        <f t="shared" si="206"/>
        <v>0</v>
      </c>
      <c r="BF241" s="84">
        <f t="shared" si="207"/>
        <v>0</v>
      </c>
      <c r="BG241" s="78">
        <f>IF(AN241="",0,VLOOKUP(AN241,Tables!$AB$3:$AC$12,2))</f>
        <v>0</v>
      </c>
      <c r="BH241" s="79">
        <f>IF(AO241="",0,VLOOKUP(AO241,Tables!$AB$3:$AC$12,2))</f>
        <v>0</v>
      </c>
      <c r="BI241" s="79">
        <f>IF(AP241="",0,VLOOKUP(AP241,Tables!$AB$3:$AC$12,2))</f>
        <v>0</v>
      </c>
      <c r="BJ241" s="78">
        <f>IF(AQ241="",0,VLOOKUP(AQ241,Tables!$AB$3:$AC$12,2))</f>
        <v>0</v>
      </c>
      <c r="BK241" s="79">
        <f>IF(AR241="",0,VLOOKUP(AR241,Tables!$AB$3:$AC$12,2))</f>
        <v>0</v>
      </c>
      <c r="BL241" s="79">
        <f>IF(AS241="",0,VLOOKUP(AS241,Tables!$AB$3:$AC$12,2))</f>
        <v>0</v>
      </c>
      <c r="BM241" s="79">
        <f>IF(AT241="",0,VLOOKUP(AT241,Tables!$AB$3:$AC$12,2))</f>
        <v>0</v>
      </c>
      <c r="BN241" s="79">
        <f>IF(AU241="",0,VLOOKUP(AU241,Tables!$AB$3:$AC$12,2))</f>
        <v>0</v>
      </c>
      <c r="BO241" s="78">
        <f>IF(AV241="",0,VLOOKUP(AV241,Tables!$AB$3:$AC$12,2))</f>
        <v>0</v>
      </c>
      <c r="BP241" s="79">
        <f>IF(AW241="",0,VLOOKUP(AW241,Tables!$AB$3:$AC$12,2))</f>
        <v>0</v>
      </c>
      <c r="BQ241" s="79">
        <f>IF(AX241="",0,VLOOKUP(AX241,Tables!$AB$3:$AC$12,2))</f>
        <v>0</v>
      </c>
      <c r="BR241" s="78">
        <f>IF(AY241="",0,VLOOKUP(AY241,Tables!$AB$3:$AC$12,2))</f>
        <v>0</v>
      </c>
      <c r="BS241" s="79">
        <f>IF(AZ241="",0,VLOOKUP(AZ241,Tables!$AB$3:$AC$12,2))</f>
        <v>0</v>
      </c>
      <c r="BT241" s="79">
        <f>IF(BA241="",0,VLOOKUP(BA241,Tables!$AB$3:$AC$12,2))</f>
        <v>0</v>
      </c>
      <c r="BU241" s="80">
        <f>IF(BB241="",0,VLOOKUP(BB241,Tables!$AB$3:$AC$12,2))</f>
        <v>0</v>
      </c>
      <c r="BV241" s="85">
        <f>IF(AN241="",0,VLOOKUP(B241,Tables!$B$3:$D$36,2,FALSE())*X$1)</f>
        <v>0</v>
      </c>
      <c r="BW241" s="72">
        <f>IF(AO241="",0,VLOOKUP(C241,Tables!$B$3:$D$36,2,FALSE())*Y$1)</f>
        <v>0</v>
      </c>
      <c r="BX241" s="72">
        <f>IF(AP241="",0,VLOOKUP(D241,Tables!$B$3:$D$36,2,FALSE())*Z$1)</f>
        <v>0</v>
      </c>
      <c r="BY241" s="85">
        <f>IF(AQ241="",0,VLOOKUP(E241,Tables!$B$3:$D$36,2,FALSE())*AA$1)</f>
        <v>0</v>
      </c>
      <c r="BZ241" s="72">
        <f>IF(AR241="",0,VLOOKUP(F241,Tables!$B$3:$D$36,2,FALSE())*AB$1)</f>
        <v>0</v>
      </c>
      <c r="CA241" s="72">
        <f>IF(AS241="",0,VLOOKUP(G241,Tables!$B$3:$D$36,2,FALSE())*AC$1)</f>
        <v>0</v>
      </c>
      <c r="CB241" s="72">
        <f>IF(AT241="",0,VLOOKUP(H241,Tables!$B$3:$D$36,2,FALSE())*AD$1)</f>
        <v>0</v>
      </c>
      <c r="CC241" s="72">
        <f>IF(AU241="",0,VLOOKUP(I241,Tables!$B$3:$D$36,2,FALSE())*AE$1)</f>
        <v>0</v>
      </c>
      <c r="CD241" s="85">
        <f>IF(AV241="",0,VLOOKUP(J241,Tables!$B$3:$D$36,2,FALSE())*AF$1)</f>
        <v>0</v>
      </c>
      <c r="CE241" s="72">
        <f>IF(AW241="",0,VLOOKUP(K241,Tables!$B$3:$D$36,2,FALSE())*AG$1)</f>
        <v>0</v>
      </c>
      <c r="CF241" s="72">
        <f>IF(AX241="",0,VLOOKUP(L241,Tables!$B$3:$D$36,2,FALSE())*AH$1)</f>
        <v>0</v>
      </c>
      <c r="CG241" s="85">
        <f>IF(AY241="",0,VLOOKUP(M241,Tables!$B$3:$D$36,2,FALSE())*AI$1)</f>
        <v>0</v>
      </c>
      <c r="CH241" s="72">
        <f>IF(AZ241="",0,VLOOKUP(N241,Tables!$B$3:$D$36,2,FALSE())*AJ$1)</f>
        <v>0</v>
      </c>
      <c r="CI241" s="72">
        <f>IF(BA241="",0,VLOOKUP(O241,Tables!$B$3:$D$36,2,FALSE())*AK$1)</f>
        <v>0</v>
      </c>
      <c r="CJ241" s="86">
        <f>IF(BB241="",0,VLOOKUP(P241,Tables!$B$3:$D$36,2,FALSE())*AL$1)</f>
        <v>0</v>
      </c>
      <c r="CK241" s="87">
        <f>IF(AN241="",0,VLOOKUP(B241,Tables!$B$3:$D$36,3,FALSE())*X$1)*IF(OR(AN241="K",AN241="P"),2,1)</f>
        <v>0</v>
      </c>
      <c r="CL241" s="73">
        <f>IF(AO241="",0,VLOOKUP(C241,Tables!$B$3:$D$36,3,FALSE())*Y$1)*IF(OR(AO241="K",AO241="P"),2,1)</f>
        <v>0</v>
      </c>
      <c r="CM241" s="73">
        <f>IF(AP241="",0,VLOOKUP(D241,Tables!$B$3:$D$36,3,FALSE())*Z$1)*IF(OR(AP241="K",AP241="P"),2,1)</f>
        <v>0</v>
      </c>
      <c r="CN241" s="87">
        <f>IF(AQ241="",0,VLOOKUP(E241,Tables!$B$3:$D$36,3,FALSE())*AA$1)</f>
        <v>0</v>
      </c>
      <c r="CO241" s="73">
        <f>IF(AR241="",0,VLOOKUP(F241,Tables!$B$3:$D$36,3,FALSE())*AB$1)</f>
        <v>0</v>
      </c>
      <c r="CP241" s="73">
        <f>IF(AS241="",0,VLOOKUP(G241,Tables!$B$3:$D$36,3,FALSE())*AC$1)</f>
        <v>0</v>
      </c>
      <c r="CQ241" s="73">
        <f>IF(AT241="",0,VLOOKUP(H241,Tables!$B$3:$D$36,3,FALSE())*AD$1)</f>
        <v>0</v>
      </c>
      <c r="CR241" s="73">
        <f>IF(AU241="",0,VLOOKUP(I241,Tables!$B$3:$D$36,3,FALSE())*AE$1)</f>
        <v>0</v>
      </c>
      <c r="CS241" s="87">
        <f>IF(AV241="",0,VLOOKUP(J241,Tables!$B$3:$D$36,3,FALSE())*AF$1)</f>
        <v>0</v>
      </c>
      <c r="CT241" s="73">
        <f>IF(AW241="",0,VLOOKUP(K241,Tables!$B$3:$D$36,3,FALSE())*AG$1)</f>
        <v>0</v>
      </c>
      <c r="CU241" s="73">
        <f>IF(AX241="",0,VLOOKUP(L241,Tables!$B$3:$D$36,3,FALSE())*AH$1)</f>
        <v>0</v>
      </c>
      <c r="CV241" s="87">
        <f>IF(AY241="",0,VLOOKUP(M241,Tables!$B$3:$D$36,3,FALSE())*AI$1)</f>
        <v>0</v>
      </c>
      <c r="CW241" s="73">
        <f>IF(AZ241="",0,VLOOKUP(N241,Tables!$B$3:$D$36,3,FALSE())*AJ$1)</f>
        <v>0</v>
      </c>
      <c r="CX241" s="73">
        <f>IF(BA241="",0,VLOOKUP(O241,Tables!$B$3:$D$36,3,FALSE())*AK$1)</f>
        <v>0</v>
      </c>
      <c r="CY241" s="88">
        <f>IF(BB241="",0,VLOOKUP(P241,Tables!$B$3:$D$36,3,FALSE())*AL$1)</f>
        <v>0</v>
      </c>
      <c r="CZ241" s="89">
        <f t="shared" si="208"/>
        <v>0</v>
      </c>
      <c r="DA241" s="75">
        <f t="shared" si="209"/>
        <v>0</v>
      </c>
      <c r="DB241" s="75">
        <f t="shared" si="210"/>
        <v>0</v>
      </c>
      <c r="DC241" s="89">
        <f t="shared" si="211"/>
        <v>0</v>
      </c>
      <c r="DD241" s="75">
        <f t="shared" si="212"/>
        <v>0</v>
      </c>
      <c r="DE241" s="75">
        <f t="shared" si="213"/>
        <v>0</v>
      </c>
      <c r="DF241" s="75">
        <f t="shared" si="214"/>
        <v>0</v>
      </c>
      <c r="DG241" s="75">
        <f t="shared" si="215"/>
        <v>0</v>
      </c>
      <c r="DH241" s="89">
        <f t="shared" si="216"/>
        <v>0</v>
      </c>
      <c r="DI241" s="75">
        <f t="shared" si="217"/>
        <v>0</v>
      </c>
      <c r="DJ241" s="75">
        <f t="shared" si="218"/>
        <v>0</v>
      </c>
      <c r="DK241" s="89">
        <f t="shared" si="219"/>
        <v>0</v>
      </c>
      <c r="DL241" s="75">
        <f t="shared" si="220"/>
        <v>0</v>
      </c>
      <c r="DM241" s="75">
        <f t="shared" si="221"/>
        <v>0</v>
      </c>
      <c r="DN241" s="90">
        <f t="shared" si="222"/>
        <v>0</v>
      </c>
      <c r="DO241" s="91">
        <f>IF(AN241="",0,VLOOKUP(B241,Tables!$B$3:$M$36,11,FALSE())*X$1)</f>
        <v>0</v>
      </c>
      <c r="DP241" s="92">
        <f>IF(AO241="",0,VLOOKUP(C241,Tables!$B$3:$M$36,11,FALSE())*Y$1)</f>
        <v>0</v>
      </c>
      <c r="DQ241" s="92">
        <f>IF(AP241="",0,VLOOKUP(D241,Tables!$B$3:$M$36,11,FALSE())*Z$1)</f>
        <v>0</v>
      </c>
      <c r="DR241" s="91">
        <f>IF(AQ241="",0,VLOOKUP(E241,Tables!$B$3:$M$36,11,FALSE())*AA$1)</f>
        <v>0</v>
      </c>
      <c r="DS241" s="92">
        <f>IF(AR241="",0,VLOOKUP(F241,Tables!$B$3:$M$36,11,FALSE())*AB$1)</f>
        <v>0</v>
      </c>
      <c r="DT241" s="92">
        <f>IF(AS241="",0,VLOOKUP(G241,Tables!$B$3:$M$36,11,FALSE())*AC$1)</f>
        <v>0</v>
      </c>
      <c r="DU241" s="92">
        <f>IF(AT241="",0,VLOOKUP(H241,Tables!$B$3:$M$36,11,FALSE())*AD$1)</f>
        <v>0</v>
      </c>
      <c r="DV241" s="92">
        <f>IF(AU241="",0,VLOOKUP(I241,Tables!$B$3:$M$36,11,FALSE())*AE$1)</f>
        <v>0</v>
      </c>
      <c r="DW241" s="91">
        <f>IF(AV241="",0,VLOOKUP(J241,Tables!$B$3:$M$36,11,FALSE())*AF$1)</f>
        <v>0</v>
      </c>
      <c r="DX241" s="92">
        <f>IF(AW241="",0,VLOOKUP(K241,Tables!$B$3:$M$36,11,FALSE())*AG$1)</f>
        <v>0</v>
      </c>
      <c r="DY241" s="92">
        <f>IF(AX241="",0,VLOOKUP(L241,Tables!$B$3:$M$36,11,FALSE())*AH$1)</f>
        <v>0</v>
      </c>
      <c r="DZ241" s="91">
        <f>IF(AY241="",0,VLOOKUP(M241,Tables!$B$3:$M$36,11,FALSE())*AI$1)</f>
        <v>0</v>
      </c>
      <c r="EA241" s="92">
        <f>IF(AZ241="",0,VLOOKUP(N241,Tables!$B$3:$M$36,11,FALSE())*AJ$1)</f>
        <v>0</v>
      </c>
      <c r="EB241" s="92">
        <f>IF(BA241="",0,VLOOKUP(O241,Tables!$B$3:$M$36,11,FALSE())*AK$1)</f>
        <v>0</v>
      </c>
      <c r="EC241" s="93">
        <f>IF(BB241="",0,VLOOKUP(P241,Tables!$B$3:$M$36,11,FALSE())*AL$1)</f>
        <v>0</v>
      </c>
      <c r="ED241" s="91">
        <f>IF(AN241="",0,VLOOKUP(B241,Tables!$B$3:$M$36,12,FALSE())*X$1)</f>
        <v>0</v>
      </c>
      <c r="EE241" s="92">
        <f>IF(AO241="",0,VLOOKUP(C241,Tables!$B$3:$M$36,12,FALSE())*Y$1)</f>
        <v>0</v>
      </c>
      <c r="EF241" s="92">
        <f>IF(AP241="",0,VLOOKUP(D241,Tables!$B$3:$M$36,12,FALSE())*Z$1)</f>
        <v>0</v>
      </c>
      <c r="EG241" s="91">
        <f>IF(AQ241="",0,VLOOKUP(E241,Tables!$B$3:$M$36,12,FALSE())*AA$1)</f>
        <v>0</v>
      </c>
      <c r="EH241" s="92">
        <f>IF(AR241="",0,VLOOKUP(F241,Tables!$B$3:$M$36,12,FALSE())*AB$1)</f>
        <v>0</v>
      </c>
      <c r="EI241" s="92">
        <f>IF(AS241="",0,VLOOKUP(G241,Tables!$B$3:$M$36,12,FALSE())*AC$1)</f>
        <v>0</v>
      </c>
      <c r="EJ241" s="92">
        <f>IF(AT241="",0,VLOOKUP(H241,Tables!$B$3:$M$36,12,FALSE())*AD$1)</f>
        <v>0</v>
      </c>
      <c r="EK241" s="92">
        <f>IF(AU241="",0,VLOOKUP(I241,Tables!$B$3:$M$36,12,FALSE())*AE$1)</f>
        <v>0</v>
      </c>
      <c r="EL241" s="91">
        <f>IF(AV241="",0,VLOOKUP(J241,Tables!$B$3:$M$36,12,FALSE())*AF$1)</f>
        <v>0</v>
      </c>
      <c r="EM241" s="92">
        <f>IF(AW241="",0,VLOOKUP(K241,Tables!$B$3:$M$36,12,FALSE())*AG$1)</f>
        <v>0</v>
      </c>
      <c r="EN241" s="92">
        <f>IF(AX241="",0,VLOOKUP(L241,Tables!$B$3:$M$36,12,FALSE())*AH$1)</f>
        <v>0</v>
      </c>
      <c r="EO241" s="91">
        <f>IF(AY241="",0,VLOOKUP(M241,Tables!$B$3:$M$36,12,FALSE())*AI$1)</f>
        <v>0</v>
      </c>
      <c r="EP241" s="92">
        <f>IF(AZ241="",0,VLOOKUP(N241,Tables!$B$3:$M$36,12,FALSE())*AJ$1)</f>
        <v>0</v>
      </c>
      <c r="EQ241" s="92">
        <f>IF(BA241="",0,VLOOKUP(O241,Tables!$B$3:$M$36,12,FALSE())*AK$1)</f>
        <v>0</v>
      </c>
      <c r="ER241" s="93">
        <f>IF(BB241="",0,VLOOKUP(P241,Tables!$B$3:$M$36,12,FALSE())*AL$1)</f>
        <v>0</v>
      </c>
      <c r="ES241" s="94">
        <f t="shared" si="223"/>
        <v>0</v>
      </c>
      <c r="ET241" s="95">
        <f>IF(AN241="",10,MIN(VLOOKUP(B241,MATERIAL,13,FALSE()),'Item Builder'!$W241))</f>
        <v>10</v>
      </c>
      <c r="EU241" s="95">
        <f>IF(AO241="",10,MIN(VLOOKUP(C241,MATERIAL,13,FALSE()),'Item Builder'!$W241))</f>
        <v>10</v>
      </c>
      <c r="EV241" s="95">
        <f>IF(AP241="",10,MIN(VLOOKUP(D241,MATERIAL,13,FALSE()),'Item Builder'!$W241))</f>
        <v>10</v>
      </c>
      <c r="EW241" s="95">
        <f>IF(AQ241="",10,MIN(VLOOKUP(E241,MATERIAL,13,FALSE()),'Item Builder'!$W241))</f>
        <v>10</v>
      </c>
      <c r="EX241" s="95">
        <f>IF(AR241="",10,MIN(VLOOKUP(F241,MATERIAL,13,FALSE()),'Item Builder'!$W241))</f>
        <v>10</v>
      </c>
      <c r="EY241" s="95">
        <f>IF(AS241="",10,MIN(VLOOKUP(G241,MATERIAL,13,FALSE()),'Item Builder'!$W241))</f>
        <v>10</v>
      </c>
      <c r="EZ241" s="95">
        <f>IF(AT241="",10,MIN(VLOOKUP(H241,MATERIAL,13,FALSE()),'Item Builder'!$W241))</f>
        <v>10</v>
      </c>
      <c r="FA241" s="95">
        <f>IF(AU241="",10,MIN(VLOOKUP(I241,MATERIAL,13,FALSE()),'Item Builder'!$W241))</f>
        <v>10</v>
      </c>
      <c r="FB241" s="95">
        <f>IF(AV241="",10,MIN(VLOOKUP(J241,MATERIAL,13,FALSE()),'Item Builder'!$W241))</f>
        <v>10</v>
      </c>
      <c r="FC241" s="95">
        <f>IF(AW241="",10,MIN(VLOOKUP(K241,MATERIAL,13,FALSE()),'Item Builder'!$W241))</f>
        <v>10</v>
      </c>
      <c r="FD241" s="95">
        <f>IF(AX241="",10,MIN(VLOOKUP(L241,MATERIAL,13,FALSE()),'Item Builder'!$W241))</f>
        <v>10</v>
      </c>
      <c r="FE241" s="95">
        <f>IF(AY241="",10,MIN(VLOOKUP(M241,MATERIAL,13,FALSE()),'Item Builder'!$W241))</f>
        <v>10</v>
      </c>
      <c r="FF241" s="95">
        <f>IF(AZ241="",10,MIN(VLOOKUP(N241,MATERIAL,13,FALSE()),'Item Builder'!$W241))</f>
        <v>10</v>
      </c>
      <c r="FG241" s="95">
        <f>IF(BA241="",10,MIN(VLOOKUP(O241,MATERIAL,13,FALSE()),'Item Builder'!$W241))</f>
        <v>10</v>
      </c>
      <c r="FH241" s="95">
        <f>IF(BB241="",10,MIN(VLOOKUP(P241,MATERIAL,13,FALSE()),'Item Builder'!$W241))</f>
        <v>10</v>
      </c>
    </row>
    <row r="242" spans="1:164" x14ac:dyDescent="0.25">
      <c r="A242" s="67"/>
      <c r="B242" s="68"/>
      <c r="C242" s="69"/>
      <c r="D242" s="70"/>
      <c r="E242" s="68"/>
      <c r="F242" s="69"/>
      <c r="G242" s="69"/>
      <c r="H242" s="69"/>
      <c r="I242" s="70"/>
      <c r="J242" s="68"/>
      <c r="K242" s="69"/>
      <c r="L242" s="70"/>
      <c r="M242" s="68"/>
      <c r="N242" s="69"/>
      <c r="O242" s="69"/>
      <c r="P242" s="71"/>
      <c r="Q242" s="72">
        <f>SUM(BV242:CJ242)*VLOOKUP(W242,Tables!$W$3:$Z$8,4)</f>
        <v>0</v>
      </c>
      <c r="R242" s="73">
        <f t="shared" si="168"/>
        <v>0</v>
      </c>
      <c r="S242" s="74">
        <f t="shared" si="169"/>
        <v>0</v>
      </c>
      <c r="T242" s="74">
        <f t="shared" si="170"/>
        <v>0</v>
      </c>
      <c r="U242" s="75">
        <f t="shared" si="171"/>
        <v>0</v>
      </c>
      <c r="V242" s="76">
        <f t="shared" si="172"/>
        <v>0</v>
      </c>
      <c r="W242" s="77">
        <v>0</v>
      </c>
      <c r="X242" s="78">
        <f t="shared" si="173"/>
        <v>0</v>
      </c>
      <c r="Y242" s="79">
        <f t="shared" si="174"/>
        <v>0</v>
      </c>
      <c r="Z242" s="79">
        <f t="shared" si="175"/>
        <v>0</v>
      </c>
      <c r="AA242" s="78">
        <f t="shared" si="176"/>
        <v>0</v>
      </c>
      <c r="AB242" s="79">
        <f t="shared" si="177"/>
        <v>0</v>
      </c>
      <c r="AC242" s="79">
        <f t="shared" si="178"/>
        <v>0</v>
      </c>
      <c r="AD242" s="79">
        <f t="shared" si="179"/>
        <v>0</v>
      </c>
      <c r="AE242" s="79">
        <f t="shared" si="180"/>
        <v>0</v>
      </c>
      <c r="AF242" s="78">
        <f t="shared" si="181"/>
        <v>0</v>
      </c>
      <c r="AG242" s="79">
        <f t="shared" si="182"/>
        <v>0</v>
      </c>
      <c r="AH242" s="79">
        <f t="shared" si="183"/>
        <v>0</v>
      </c>
      <c r="AI242" s="78">
        <f t="shared" si="184"/>
        <v>0</v>
      </c>
      <c r="AJ242" s="79">
        <f t="shared" si="185"/>
        <v>0</v>
      </c>
      <c r="AK242" s="79">
        <f t="shared" si="186"/>
        <v>0</v>
      </c>
      <c r="AL242" s="80">
        <f t="shared" si="187"/>
        <v>0</v>
      </c>
      <c r="AM242" s="81">
        <f t="shared" si="188"/>
        <v>0</v>
      </c>
      <c r="AN242" s="82" t="str">
        <f t="shared" si="189"/>
        <v/>
      </c>
      <c r="AO242" s="79" t="str">
        <f t="shared" si="190"/>
        <v/>
      </c>
      <c r="AP242" t="str">
        <f t="shared" si="191"/>
        <v/>
      </c>
      <c r="AQ242" s="82" t="str">
        <f t="shared" si="192"/>
        <v/>
      </c>
      <c r="AR242" t="str">
        <f t="shared" si="193"/>
        <v/>
      </c>
      <c r="AS242" t="str">
        <f t="shared" si="194"/>
        <v/>
      </c>
      <c r="AT242" t="str">
        <f t="shared" si="195"/>
        <v/>
      </c>
      <c r="AU242" t="str">
        <f t="shared" si="196"/>
        <v/>
      </c>
      <c r="AV242" s="82" t="str">
        <f t="shared" si="197"/>
        <v/>
      </c>
      <c r="AW242" t="str">
        <f t="shared" si="198"/>
        <v/>
      </c>
      <c r="AX242" t="str">
        <f t="shared" si="199"/>
        <v/>
      </c>
      <c r="AY242" s="82" t="str">
        <f t="shared" si="200"/>
        <v/>
      </c>
      <c r="AZ242" t="str">
        <f t="shared" si="201"/>
        <v/>
      </c>
      <c r="BA242" t="str">
        <f t="shared" si="202"/>
        <v/>
      </c>
      <c r="BB242" s="83" t="str">
        <f t="shared" si="203"/>
        <v/>
      </c>
      <c r="BC242" s="84">
        <f t="shared" si="204"/>
        <v>0</v>
      </c>
      <c r="BD242" s="84">
        <f t="shared" si="205"/>
        <v>0</v>
      </c>
      <c r="BE242" s="84">
        <f t="shared" si="206"/>
        <v>0</v>
      </c>
      <c r="BF242" s="84">
        <f t="shared" si="207"/>
        <v>0</v>
      </c>
      <c r="BG242" s="78">
        <f>IF(AN242="",0,VLOOKUP(AN242,Tables!$AB$3:$AC$12,2))</f>
        <v>0</v>
      </c>
      <c r="BH242" s="79">
        <f>IF(AO242="",0,VLOOKUP(AO242,Tables!$AB$3:$AC$12,2))</f>
        <v>0</v>
      </c>
      <c r="BI242" s="79">
        <f>IF(AP242="",0,VLOOKUP(AP242,Tables!$AB$3:$AC$12,2))</f>
        <v>0</v>
      </c>
      <c r="BJ242" s="78">
        <f>IF(AQ242="",0,VLOOKUP(AQ242,Tables!$AB$3:$AC$12,2))</f>
        <v>0</v>
      </c>
      <c r="BK242" s="79">
        <f>IF(AR242="",0,VLOOKUP(AR242,Tables!$AB$3:$AC$12,2))</f>
        <v>0</v>
      </c>
      <c r="BL242" s="79">
        <f>IF(AS242="",0,VLOOKUP(AS242,Tables!$AB$3:$AC$12,2))</f>
        <v>0</v>
      </c>
      <c r="BM242" s="79">
        <f>IF(AT242="",0,VLOOKUP(AT242,Tables!$AB$3:$AC$12,2))</f>
        <v>0</v>
      </c>
      <c r="BN242" s="79">
        <f>IF(AU242="",0,VLOOKUP(AU242,Tables!$AB$3:$AC$12,2))</f>
        <v>0</v>
      </c>
      <c r="BO242" s="78">
        <f>IF(AV242="",0,VLOOKUP(AV242,Tables!$AB$3:$AC$12,2))</f>
        <v>0</v>
      </c>
      <c r="BP242" s="79">
        <f>IF(AW242="",0,VLOOKUP(AW242,Tables!$AB$3:$AC$12,2))</f>
        <v>0</v>
      </c>
      <c r="BQ242" s="79">
        <f>IF(AX242="",0,VLOOKUP(AX242,Tables!$AB$3:$AC$12,2))</f>
        <v>0</v>
      </c>
      <c r="BR242" s="78">
        <f>IF(AY242="",0,VLOOKUP(AY242,Tables!$AB$3:$AC$12,2))</f>
        <v>0</v>
      </c>
      <c r="BS242" s="79">
        <f>IF(AZ242="",0,VLOOKUP(AZ242,Tables!$AB$3:$AC$12,2))</f>
        <v>0</v>
      </c>
      <c r="BT242" s="79">
        <f>IF(BA242="",0,VLOOKUP(BA242,Tables!$AB$3:$AC$12,2))</f>
        <v>0</v>
      </c>
      <c r="BU242" s="80">
        <f>IF(BB242="",0,VLOOKUP(BB242,Tables!$AB$3:$AC$12,2))</f>
        <v>0</v>
      </c>
      <c r="BV242" s="85">
        <f>IF(AN242="",0,VLOOKUP(B242,Tables!$B$3:$D$36,2,FALSE())*X$1)</f>
        <v>0</v>
      </c>
      <c r="BW242" s="72">
        <f>IF(AO242="",0,VLOOKUP(C242,Tables!$B$3:$D$36,2,FALSE())*Y$1)</f>
        <v>0</v>
      </c>
      <c r="BX242" s="72">
        <f>IF(AP242="",0,VLOOKUP(D242,Tables!$B$3:$D$36,2,FALSE())*Z$1)</f>
        <v>0</v>
      </c>
      <c r="BY242" s="85">
        <f>IF(AQ242="",0,VLOOKUP(E242,Tables!$B$3:$D$36,2,FALSE())*AA$1)</f>
        <v>0</v>
      </c>
      <c r="BZ242" s="72">
        <f>IF(AR242="",0,VLOOKUP(F242,Tables!$B$3:$D$36,2,FALSE())*AB$1)</f>
        <v>0</v>
      </c>
      <c r="CA242" s="72">
        <f>IF(AS242="",0,VLOOKUP(G242,Tables!$B$3:$D$36,2,FALSE())*AC$1)</f>
        <v>0</v>
      </c>
      <c r="CB242" s="72">
        <f>IF(AT242="",0,VLOOKUP(H242,Tables!$B$3:$D$36,2,FALSE())*AD$1)</f>
        <v>0</v>
      </c>
      <c r="CC242" s="72">
        <f>IF(AU242="",0,VLOOKUP(I242,Tables!$B$3:$D$36,2,FALSE())*AE$1)</f>
        <v>0</v>
      </c>
      <c r="CD242" s="85">
        <f>IF(AV242="",0,VLOOKUP(J242,Tables!$B$3:$D$36,2,FALSE())*AF$1)</f>
        <v>0</v>
      </c>
      <c r="CE242" s="72">
        <f>IF(AW242="",0,VLOOKUP(K242,Tables!$B$3:$D$36,2,FALSE())*AG$1)</f>
        <v>0</v>
      </c>
      <c r="CF242" s="72">
        <f>IF(AX242="",0,VLOOKUP(L242,Tables!$B$3:$D$36,2,FALSE())*AH$1)</f>
        <v>0</v>
      </c>
      <c r="CG242" s="85">
        <f>IF(AY242="",0,VLOOKUP(M242,Tables!$B$3:$D$36,2,FALSE())*AI$1)</f>
        <v>0</v>
      </c>
      <c r="CH242" s="72">
        <f>IF(AZ242="",0,VLOOKUP(N242,Tables!$B$3:$D$36,2,FALSE())*AJ$1)</f>
        <v>0</v>
      </c>
      <c r="CI242" s="72">
        <f>IF(BA242="",0,VLOOKUP(O242,Tables!$B$3:$D$36,2,FALSE())*AK$1)</f>
        <v>0</v>
      </c>
      <c r="CJ242" s="86">
        <f>IF(BB242="",0,VLOOKUP(P242,Tables!$B$3:$D$36,2,FALSE())*AL$1)</f>
        <v>0</v>
      </c>
      <c r="CK242" s="87">
        <f>IF(AN242="",0,VLOOKUP(B242,Tables!$B$3:$D$36,3,FALSE())*X$1)*IF(OR(AN242="K",AN242="P"),2,1)</f>
        <v>0</v>
      </c>
      <c r="CL242" s="73">
        <f>IF(AO242="",0,VLOOKUP(C242,Tables!$B$3:$D$36,3,FALSE())*Y$1)*IF(OR(AO242="K",AO242="P"),2,1)</f>
        <v>0</v>
      </c>
      <c r="CM242" s="73">
        <f>IF(AP242="",0,VLOOKUP(D242,Tables!$B$3:$D$36,3,FALSE())*Z$1)*IF(OR(AP242="K",AP242="P"),2,1)</f>
        <v>0</v>
      </c>
      <c r="CN242" s="87">
        <f>IF(AQ242="",0,VLOOKUP(E242,Tables!$B$3:$D$36,3,FALSE())*AA$1)</f>
        <v>0</v>
      </c>
      <c r="CO242" s="73">
        <f>IF(AR242="",0,VLOOKUP(F242,Tables!$B$3:$D$36,3,FALSE())*AB$1)</f>
        <v>0</v>
      </c>
      <c r="CP242" s="73">
        <f>IF(AS242="",0,VLOOKUP(G242,Tables!$B$3:$D$36,3,FALSE())*AC$1)</f>
        <v>0</v>
      </c>
      <c r="CQ242" s="73">
        <f>IF(AT242="",0,VLOOKUP(H242,Tables!$B$3:$D$36,3,FALSE())*AD$1)</f>
        <v>0</v>
      </c>
      <c r="CR242" s="73">
        <f>IF(AU242="",0,VLOOKUP(I242,Tables!$B$3:$D$36,3,FALSE())*AE$1)</f>
        <v>0</v>
      </c>
      <c r="CS242" s="87">
        <f>IF(AV242="",0,VLOOKUP(J242,Tables!$B$3:$D$36,3,FALSE())*AF$1)</f>
        <v>0</v>
      </c>
      <c r="CT242" s="73">
        <f>IF(AW242="",0,VLOOKUP(K242,Tables!$B$3:$D$36,3,FALSE())*AG$1)</f>
        <v>0</v>
      </c>
      <c r="CU242" s="73">
        <f>IF(AX242="",0,VLOOKUP(L242,Tables!$B$3:$D$36,3,FALSE())*AH$1)</f>
        <v>0</v>
      </c>
      <c r="CV242" s="87">
        <f>IF(AY242="",0,VLOOKUP(M242,Tables!$B$3:$D$36,3,FALSE())*AI$1)</f>
        <v>0</v>
      </c>
      <c r="CW242" s="73">
        <f>IF(AZ242="",0,VLOOKUP(N242,Tables!$B$3:$D$36,3,FALSE())*AJ$1)</f>
        <v>0</v>
      </c>
      <c r="CX242" s="73">
        <f>IF(BA242="",0,VLOOKUP(O242,Tables!$B$3:$D$36,3,FALSE())*AK$1)</f>
        <v>0</v>
      </c>
      <c r="CY242" s="88">
        <f>IF(BB242="",0,VLOOKUP(P242,Tables!$B$3:$D$36,3,FALSE())*AL$1)</f>
        <v>0</v>
      </c>
      <c r="CZ242" s="89">
        <f t="shared" si="208"/>
        <v>0</v>
      </c>
      <c r="DA242" s="75">
        <f t="shared" si="209"/>
        <v>0</v>
      </c>
      <c r="DB242" s="75">
        <f t="shared" si="210"/>
        <v>0</v>
      </c>
      <c r="DC242" s="89">
        <f t="shared" si="211"/>
        <v>0</v>
      </c>
      <c r="DD242" s="75">
        <f t="shared" si="212"/>
        <v>0</v>
      </c>
      <c r="DE242" s="75">
        <f t="shared" si="213"/>
        <v>0</v>
      </c>
      <c r="DF242" s="75">
        <f t="shared" si="214"/>
        <v>0</v>
      </c>
      <c r="DG242" s="75">
        <f t="shared" si="215"/>
        <v>0</v>
      </c>
      <c r="DH242" s="89">
        <f t="shared" si="216"/>
        <v>0</v>
      </c>
      <c r="DI242" s="75">
        <f t="shared" si="217"/>
        <v>0</v>
      </c>
      <c r="DJ242" s="75">
        <f t="shared" si="218"/>
        <v>0</v>
      </c>
      <c r="DK242" s="89">
        <f t="shared" si="219"/>
        <v>0</v>
      </c>
      <c r="DL242" s="75">
        <f t="shared" si="220"/>
        <v>0</v>
      </c>
      <c r="DM242" s="75">
        <f t="shared" si="221"/>
        <v>0</v>
      </c>
      <c r="DN242" s="90">
        <f t="shared" si="222"/>
        <v>0</v>
      </c>
      <c r="DO242" s="91">
        <f>IF(AN242="",0,VLOOKUP(B242,Tables!$B$3:$M$36,11,FALSE())*X$1)</f>
        <v>0</v>
      </c>
      <c r="DP242" s="92">
        <f>IF(AO242="",0,VLOOKUP(C242,Tables!$B$3:$M$36,11,FALSE())*Y$1)</f>
        <v>0</v>
      </c>
      <c r="DQ242" s="92">
        <f>IF(AP242="",0,VLOOKUP(D242,Tables!$B$3:$M$36,11,FALSE())*Z$1)</f>
        <v>0</v>
      </c>
      <c r="DR242" s="91">
        <f>IF(AQ242="",0,VLOOKUP(E242,Tables!$B$3:$M$36,11,FALSE())*AA$1)</f>
        <v>0</v>
      </c>
      <c r="DS242" s="92">
        <f>IF(AR242="",0,VLOOKUP(F242,Tables!$B$3:$M$36,11,FALSE())*AB$1)</f>
        <v>0</v>
      </c>
      <c r="DT242" s="92">
        <f>IF(AS242="",0,VLOOKUP(G242,Tables!$B$3:$M$36,11,FALSE())*AC$1)</f>
        <v>0</v>
      </c>
      <c r="DU242" s="92">
        <f>IF(AT242="",0,VLOOKUP(H242,Tables!$B$3:$M$36,11,FALSE())*AD$1)</f>
        <v>0</v>
      </c>
      <c r="DV242" s="92">
        <f>IF(AU242="",0,VLOOKUP(I242,Tables!$B$3:$M$36,11,FALSE())*AE$1)</f>
        <v>0</v>
      </c>
      <c r="DW242" s="91">
        <f>IF(AV242="",0,VLOOKUP(J242,Tables!$B$3:$M$36,11,FALSE())*AF$1)</f>
        <v>0</v>
      </c>
      <c r="DX242" s="92">
        <f>IF(AW242="",0,VLOOKUP(K242,Tables!$B$3:$M$36,11,FALSE())*AG$1)</f>
        <v>0</v>
      </c>
      <c r="DY242" s="92">
        <f>IF(AX242="",0,VLOOKUP(L242,Tables!$B$3:$M$36,11,FALSE())*AH$1)</f>
        <v>0</v>
      </c>
      <c r="DZ242" s="91">
        <f>IF(AY242="",0,VLOOKUP(M242,Tables!$B$3:$M$36,11,FALSE())*AI$1)</f>
        <v>0</v>
      </c>
      <c r="EA242" s="92">
        <f>IF(AZ242="",0,VLOOKUP(N242,Tables!$B$3:$M$36,11,FALSE())*AJ$1)</f>
        <v>0</v>
      </c>
      <c r="EB242" s="92">
        <f>IF(BA242="",0,VLOOKUP(O242,Tables!$B$3:$M$36,11,FALSE())*AK$1)</f>
        <v>0</v>
      </c>
      <c r="EC242" s="93">
        <f>IF(BB242="",0,VLOOKUP(P242,Tables!$B$3:$M$36,11,FALSE())*AL$1)</f>
        <v>0</v>
      </c>
      <c r="ED242" s="91">
        <f>IF(AN242="",0,VLOOKUP(B242,Tables!$B$3:$M$36,12,FALSE())*X$1)</f>
        <v>0</v>
      </c>
      <c r="EE242" s="92">
        <f>IF(AO242="",0,VLOOKUP(C242,Tables!$B$3:$M$36,12,FALSE())*Y$1)</f>
        <v>0</v>
      </c>
      <c r="EF242" s="92">
        <f>IF(AP242="",0,VLOOKUP(D242,Tables!$B$3:$M$36,12,FALSE())*Z$1)</f>
        <v>0</v>
      </c>
      <c r="EG242" s="91">
        <f>IF(AQ242="",0,VLOOKUP(E242,Tables!$B$3:$M$36,12,FALSE())*AA$1)</f>
        <v>0</v>
      </c>
      <c r="EH242" s="92">
        <f>IF(AR242="",0,VLOOKUP(F242,Tables!$B$3:$M$36,12,FALSE())*AB$1)</f>
        <v>0</v>
      </c>
      <c r="EI242" s="92">
        <f>IF(AS242="",0,VLOOKUP(G242,Tables!$B$3:$M$36,12,FALSE())*AC$1)</f>
        <v>0</v>
      </c>
      <c r="EJ242" s="92">
        <f>IF(AT242="",0,VLOOKUP(H242,Tables!$B$3:$M$36,12,FALSE())*AD$1)</f>
        <v>0</v>
      </c>
      <c r="EK242" s="92">
        <f>IF(AU242="",0,VLOOKUP(I242,Tables!$B$3:$M$36,12,FALSE())*AE$1)</f>
        <v>0</v>
      </c>
      <c r="EL242" s="91">
        <f>IF(AV242="",0,VLOOKUP(J242,Tables!$B$3:$M$36,12,FALSE())*AF$1)</f>
        <v>0</v>
      </c>
      <c r="EM242" s="92">
        <f>IF(AW242="",0,VLOOKUP(K242,Tables!$B$3:$M$36,12,FALSE())*AG$1)</f>
        <v>0</v>
      </c>
      <c r="EN242" s="92">
        <f>IF(AX242="",0,VLOOKUP(L242,Tables!$B$3:$M$36,12,FALSE())*AH$1)</f>
        <v>0</v>
      </c>
      <c r="EO242" s="91">
        <f>IF(AY242="",0,VLOOKUP(M242,Tables!$B$3:$M$36,12,FALSE())*AI$1)</f>
        <v>0</v>
      </c>
      <c r="EP242" s="92">
        <f>IF(AZ242="",0,VLOOKUP(N242,Tables!$B$3:$M$36,12,FALSE())*AJ$1)</f>
        <v>0</v>
      </c>
      <c r="EQ242" s="92">
        <f>IF(BA242="",0,VLOOKUP(O242,Tables!$B$3:$M$36,12,FALSE())*AK$1)</f>
        <v>0</v>
      </c>
      <c r="ER242" s="93">
        <f>IF(BB242="",0,VLOOKUP(P242,Tables!$B$3:$M$36,12,FALSE())*AL$1)</f>
        <v>0</v>
      </c>
      <c r="ES242" s="94">
        <f t="shared" si="223"/>
        <v>0</v>
      </c>
      <c r="ET242" s="95">
        <f>IF(AN242="",10,MIN(VLOOKUP(B242,MATERIAL,13,FALSE()),'Item Builder'!$W242))</f>
        <v>10</v>
      </c>
      <c r="EU242" s="95">
        <f>IF(AO242="",10,MIN(VLOOKUP(C242,MATERIAL,13,FALSE()),'Item Builder'!$W242))</f>
        <v>10</v>
      </c>
      <c r="EV242" s="95">
        <f>IF(AP242="",10,MIN(VLOOKUP(D242,MATERIAL,13,FALSE()),'Item Builder'!$W242))</f>
        <v>10</v>
      </c>
      <c r="EW242" s="95">
        <f>IF(AQ242="",10,MIN(VLOOKUP(E242,MATERIAL,13,FALSE()),'Item Builder'!$W242))</f>
        <v>10</v>
      </c>
      <c r="EX242" s="95">
        <f>IF(AR242="",10,MIN(VLOOKUP(F242,MATERIAL,13,FALSE()),'Item Builder'!$W242))</f>
        <v>10</v>
      </c>
      <c r="EY242" s="95">
        <f>IF(AS242="",10,MIN(VLOOKUP(G242,MATERIAL,13,FALSE()),'Item Builder'!$W242))</f>
        <v>10</v>
      </c>
      <c r="EZ242" s="95">
        <f>IF(AT242="",10,MIN(VLOOKUP(H242,MATERIAL,13,FALSE()),'Item Builder'!$W242))</f>
        <v>10</v>
      </c>
      <c r="FA242" s="95">
        <f>IF(AU242="",10,MIN(VLOOKUP(I242,MATERIAL,13,FALSE()),'Item Builder'!$W242))</f>
        <v>10</v>
      </c>
      <c r="FB242" s="95">
        <f>IF(AV242="",10,MIN(VLOOKUP(J242,MATERIAL,13,FALSE()),'Item Builder'!$W242))</f>
        <v>10</v>
      </c>
      <c r="FC242" s="95">
        <f>IF(AW242="",10,MIN(VLOOKUP(K242,MATERIAL,13,FALSE()),'Item Builder'!$W242))</f>
        <v>10</v>
      </c>
      <c r="FD242" s="95">
        <f>IF(AX242="",10,MIN(VLOOKUP(L242,MATERIAL,13,FALSE()),'Item Builder'!$W242))</f>
        <v>10</v>
      </c>
      <c r="FE242" s="95">
        <f>IF(AY242="",10,MIN(VLOOKUP(M242,MATERIAL,13,FALSE()),'Item Builder'!$W242))</f>
        <v>10</v>
      </c>
      <c r="FF242" s="95">
        <f>IF(AZ242="",10,MIN(VLOOKUP(N242,MATERIAL,13,FALSE()),'Item Builder'!$W242))</f>
        <v>10</v>
      </c>
      <c r="FG242" s="95">
        <f>IF(BA242="",10,MIN(VLOOKUP(O242,MATERIAL,13,FALSE()),'Item Builder'!$W242))</f>
        <v>10</v>
      </c>
      <c r="FH242" s="95">
        <f>IF(BB242="",10,MIN(VLOOKUP(P242,MATERIAL,13,FALSE()),'Item Builder'!$W242))</f>
        <v>10</v>
      </c>
    </row>
    <row r="243" spans="1:164" x14ac:dyDescent="0.25">
      <c r="A243" s="67"/>
      <c r="B243" s="68"/>
      <c r="C243" s="69"/>
      <c r="D243" s="70"/>
      <c r="E243" s="68"/>
      <c r="F243" s="69"/>
      <c r="G243" s="69"/>
      <c r="H243" s="69"/>
      <c r="I243" s="70"/>
      <c r="J243" s="68"/>
      <c r="K243" s="69"/>
      <c r="L243" s="70"/>
      <c r="M243" s="68"/>
      <c r="N243" s="69"/>
      <c r="O243" s="69"/>
      <c r="P243" s="71"/>
      <c r="Q243" s="72">
        <f>SUM(BV243:CJ243)*VLOOKUP(W243,Tables!$W$3:$Z$8,4)</f>
        <v>0</v>
      </c>
      <c r="R243" s="73">
        <f t="shared" si="168"/>
        <v>0</v>
      </c>
      <c r="S243" s="74">
        <f t="shared" si="169"/>
        <v>0</v>
      </c>
      <c r="T243" s="74">
        <f t="shared" si="170"/>
        <v>0</v>
      </c>
      <c r="U243" s="75">
        <f t="shared" si="171"/>
        <v>0</v>
      </c>
      <c r="V243" s="76">
        <f t="shared" si="172"/>
        <v>0</v>
      </c>
      <c r="W243" s="77">
        <v>0</v>
      </c>
      <c r="X243" s="78">
        <f t="shared" si="173"/>
        <v>0</v>
      </c>
      <c r="Y243" s="79">
        <f t="shared" si="174"/>
        <v>0</v>
      </c>
      <c r="Z243" s="79">
        <f t="shared" si="175"/>
        <v>0</v>
      </c>
      <c r="AA243" s="78">
        <f t="shared" si="176"/>
        <v>0</v>
      </c>
      <c r="AB243" s="79">
        <f t="shared" si="177"/>
        <v>0</v>
      </c>
      <c r="AC243" s="79">
        <f t="shared" si="178"/>
        <v>0</v>
      </c>
      <c r="AD243" s="79">
        <f t="shared" si="179"/>
        <v>0</v>
      </c>
      <c r="AE243" s="79">
        <f t="shared" si="180"/>
        <v>0</v>
      </c>
      <c r="AF243" s="78">
        <f t="shared" si="181"/>
        <v>0</v>
      </c>
      <c r="AG243" s="79">
        <f t="shared" si="182"/>
        <v>0</v>
      </c>
      <c r="AH243" s="79">
        <f t="shared" si="183"/>
        <v>0</v>
      </c>
      <c r="AI243" s="78">
        <f t="shared" si="184"/>
        <v>0</v>
      </c>
      <c r="AJ243" s="79">
        <f t="shared" si="185"/>
        <v>0</v>
      </c>
      <c r="AK243" s="79">
        <f t="shared" si="186"/>
        <v>0</v>
      </c>
      <c r="AL243" s="80">
        <f t="shared" si="187"/>
        <v>0</v>
      </c>
      <c r="AM243" s="81">
        <f t="shared" si="188"/>
        <v>0</v>
      </c>
      <c r="AN243" s="82" t="str">
        <f t="shared" si="189"/>
        <v/>
      </c>
      <c r="AO243" s="79" t="str">
        <f t="shared" si="190"/>
        <v/>
      </c>
      <c r="AP243" t="str">
        <f t="shared" si="191"/>
        <v/>
      </c>
      <c r="AQ243" s="82" t="str">
        <f t="shared" si="192"/>
        <v/>
      </c>
      <c r="AR243" t="str">
        <f t="shared" si="193"/>
        <v/>
      </c>
      <c r="AS243" t="str">
        <f t="shared" si="194"/>
        <v/>
      </c>
      <c r="AT243" t="str">
        <f t="shared" si="195"/>
        <v/>
      </c>
      <c r="AU243" t="str">
        <f t="shared" si="196"/>
        <v/>
      </c>
      <c r="AV243" s="82" t="str">
        <f t="shared" si="197"/>
        <v/>
      </c>
      <c r="AW243" t="str">
        <f t="shared" si="198"/>
        <v/>
      </c>
      <c r="AX243" t="str">
        <f t="shared" si="199"/>
        <v/>
      </c>
      <c r="AY243" s="82" t="str">
        <f t="shared" si="200"/>
        <v/>
      </c>
      <c r="AZ243" t="str">
        <f t="shared" si="201"/>
        <v/>
      </c>
      <c r="BA243" t="str">
        <f t="shared" si="202"/>
        <v/>
      </c>
      <c r="BB243" s="83" t="str">
        <f t="shared" si="203"/>
        <v/>
      </c>
      <c r="BC243" s="84">
        <f t="shared" si="204"/>
        <v>0</v>
      </c>
      <c r="BD243" s="84">
        <f t="shared" si="205"/>
        <v>0</v>
      </c>
      <c r="BE243" s="84">
        <f t="shared" si="206"/>
        <v>0</v>
      </c>
      <c r="BF243" s="84">
        <f t="shared" si="207"/>
        <v>0</v>
      </c>
      <c r="BG243" s="78">
        <f>IF(AN243="",0,VLOOKUP(AN243,Tables!$AB$3:$AC$12,2))</f>
        <v>0</v>
      </c>
      <c r="BH243" s="79">
        <f>IF(AO243="",0,VLOOKUP(AO243,Tables!$AB$3:$AC$12,2))</f>
        <v>0</v>
      </c>
      <c r="BI243" s="79">
        <f>IF(AP243="",0,VLOOKUP(AP243,Tables!$AB$3:$AC$12,2))</f>
        <v>0</v>
      </c>
      <c r="BJ243" s="78">
        <f>IF(AQ243="",0,VLOOKUP(AQ243,Tables!$AB$3:$AC$12,2))</f>
        <v>0</v>
      </c>
      <c r="BK243" s="79">
        <f>IF(AR243="",0,VLOOKUP(AR243,Tables!$AB$3:$AC$12,2))</f>
        <v>0</v>
      </c>
      <c r="BL243" s="79">
        <f>IF(AS243="",0,VLOOKUP(AS243,Tables!$AB$3:$AC$12,2))</f>
        <v>0</v>
      </c>
      <c r="BM243" s="79">
        <f>IF(AT243="",0,VLOOKUP(AT243,Tables!$AB$3:$AC$12,2))</f>
        <v>0</v>
      </c>
      <c r="BN243" s="79">
        <f>IF(AU243="",0,VLOOKUP(AU243,Tables!$AB$3:$AC$12,2))</f>
        <v>0</v>
      </c>
      <c r="BO243" s="78">
        <f>IF(AV243="",0,VLOOKUP(AV243,Tables!$AB$3:$AC$12,2))</f>
        <v>0</v>
      </c>
      <c r="BP243" s="79">
        <f>IF(AW243="",0,VLOOKUP(AW243,Tables!$AB$3:$AC$12,2))</f>
        <v>0</v>
      </c>
      <c r="BQ243" s="79">
        <f>IF(AX243="",0,VLOOKUP(AX243,Tables!$AB$3:$AC$12,2))</f>
        <v>0</v>
      </c>
      <c r="BR243" s="78">
        <f>IF(AY243="",0,VLOOKUP(AY243,Tables!$AB$3:$AC$12,2))</f>
        <v>0</v>
      </c>
      <c r="BS243" s="79">
        <f>IF(AZ243="",0,VLOOKUP(AZ243,Tables!$AB$3:$AC$12,2))</f>
        <v>0</v>
      </c>
      <c r="BT243" s="79">
        <f>IF(BA243="",0,VLOOKUP(BA243,Tables!$AB$3:$AC$12,2))</f>
        <v>0</v>
      </c>
      <c r="BU243" s="80">
        <f>IF(BB243="",0,VLOOKUP(BB243,Tables!$AB$3:$AC$12,2))</f>
        <v>0</v>
      </c>
      <c r="BV243" s="85">
        <f>IF(AN243="",0,VLOOKUP(B243,Tables!$B$3:$D$36,2,FALSE())*X$1)</f>
        <v>0</v>
      </c>
      <c r="BW243" s="72">
        <f>IF(AO243="",0,VLOOKUP(C243,Tables!$B$3:$D$36,2,FALSE())*Y$1)</f>
        <v>0</v>
      </c>
      <c r="BX243" s="72">
        <f>IF(AP243="",0,VLOOKUP(D243,Tables!$B$3:$D$36,2,FALSE())*Z$1)</f>
        <v>0</v>
      </c>
      <c r="BY243" s="85">
        <f>IF(AQ243="",0,VLOOKUP(E243,Tables!$B$3:$D$36,2,FALSE())*AA$1)</f>
        <v>0</v>
      </c>
      <c r="BZ243" s="72">
        <f>IF(AR243="",0,VLOOKUP(F243,Tables!$B$3:$D$36,2,FALSE())*AB$1)</f>
        <v>0</v>
      </c>
      <c r="CA243" s="72">
        <f>IF(AS243="",0,VLOOKUP(G243,Tables!$B$3:$D$36,2,FALSE())*AC$1)</f>
        <v>0</v>
      </c>
      <c r="CB243" s="72">
        <f>IF(AT243="",0,VLOOKUP(H243,Tables!$B$3:$D$36,2,FALSE())*AD$1)</f>
        <v>0</v>
      </c>
      <c r="CC243" s="72">
        <f>IF(AU243="",0,VLOOKUP(I243,Tables!$B$3:$D$36,2,FALSE())*AE$1)</f>
        <v>0</v>
      </c>
      <c r="CD243" s="85">
        <f>IF(AV243="",0,VLOOKUP(J243,Tables!$B$3:$D$36,2,FALSE())*AF$1)</f>
        <v>0</v>
      </c>
      <c r="CE243" s="72">
        <f>IF(AW243="",0,VLOOKUP(K243,Tables!$B$3:$D$36,2,FALSE())*AG$1)</f>
        <v>0</v>
      </c>
      <c r="CF243" s="72">
        <f>IF(AX243="",0,VLOOKUP(L243,Tables!$B$3:$D$36,2,FALSE())*AH$1)</f>
        <v>0</v>
      </c>
      <c r="CG243" s="85">
        <f>IF(AY243="",0,VLOOKUP(M243,Tables!$B$3:$D$36,2,FALSE())*AI$1)</f>
        <v>0</v>
      </c>
      <c r="CH243" s="72">
        <f>IF(AZ243="",0,VLOOKUP(N243,Tables!$B$3:$D$36,2,FALSE())*AJ$1)</f>
        <v>0</v>
      </c>
      <c r="CI243" s="72">
        <f>IF(BA243="",0,VLOOKUP(O243,Tables!$B$3:$D$36,2,FALSE())*AK$1)</f>
        <v>0</v>
      </c>
      <c r="CJ243" s="86">
        <f>IF(BB243="",0,VLOOKUP(P243,Tables!$B$3:$D$36,2,FALSE())*AL$1)</f>
        <v>0</v>
      </c>
      <c r="CK243" s="87">
        <f>IF(AN243="",0,VLOOKUP(B243,Tables!$B$3:$D$36,3,FALSE())*X$1)*IF(OR(AN243="K",AN243="P"),2,1)</f>
        <v>0</v>
      </c>
      <c r="CL243" s="73">
        <f>IF(AO243="",0,VLOOKUP(C243,Tables!$B$3:$D$36,3,FALSE())*Y$1)*IF(OR(AO243="K",AO243="P"),2,1)</f>
        <v>0</v>
      </c>
      <c r="CM243" s="73">
        <f>IF(AP243="",0,VLOOKUP(D243,Tables!$B$3:$D$36,3,FALSE())*Z$1)*IF(OR(AP243="K",AP243="P"),2,1)</f>
        <v>0</v>
      </c>
      <c r="CN243" s="87">
        <f>IF(AQ243="",0,VLOOKUP(E243,Tables!$B$3:$D$36,3,FALSE())*AA$1)</f>
        <v>0</v>
      </c>
      <c r="CO243" s="73">
        <f>IF(AR243="",0,VLOOKUP(F243,Tables!$B$3:$D$36,3,FALSE())*AB$1)</f>
        <v>0</v>
      </c>
      <c r="CP243" s="73">
        <f>IF(AS243="",0,VLOOKUP(G243,Tables!$B$3:$D$36,3,FALSE())*AC$1)</f>
        <v>0</v>
      </c>
      <c r="CQ243" s="73">
        <f>IF(AT243="",0,VLOOKUP(H243,Tables!$B$3:$D$36,3,FALSE())*AD$1)</f>
        <v>0</v>
      </c>
      <c r="CR243" s="73">
        <f>IF(AU243="",0,VLOOKUP(I243,Tables!$B$3:$D$36,3,FALSE())*AE$1)</f>
        <v>0</v>
      </c>
      <c r="CS243" s="87">
        <f>IF(AV243="",0,VLOOKUP(J243,Tables!$B$3:$D$36,3,FALSE())*AF$1)</f>
        <v>0</v>
      </c>
      <c r="CT243" s="73">
        <f>IF(AW243="",0,VLOOKUP(K243,Tables!$B$3:$D$36,3,FALSE())*AG$1)</f>
        <v>0</v>
      </c>
      <c r="CU243" s="73">
        <f>IF(AX243="",0,VLOOKUP(L243,Tables!$B$3:$D$36,3,FALSE())*AH$1)</f>
        <v>0</v>
      </c>
      <c r="CV243" s="87">
        <f>IF(AY243="",0,VLOOKUP(M243,Tables!$B$3:$D$36,3,FALSE())*AI$1)</f>
        <v>0</v>
      </c>
      <c r="CW243" s="73">
        <f>IF(AZ243="",0,VLOOKUP(N243,Tables!$B$3:$D$36,3,FALSE())*AJ$1)</f>
        <v>0</v>
      </c>
      <c r="CX243" s="73">
        <f>IF(BA243="",0,VLOOKUP(O243,Tables!$B$3:$D$36,3,FALSE())*AK$1)</f>
        <v>0</v>
      </c>
      <c r="CY243" s="88">
        <f>IF(BB243="",0,VLOOKUP(P243,Tables!$B$3:$D$36,3,FALSE())*AL$1)</f>
        <v>0</v>
      </c>
      <c r="CZ243" s="89">
        <f t="shared" si="208"/>
        <v>0</v>
      </c>
      <c r="DA243" s="75">
        <f t="shared" si="209"/>
        <v>0</v>
      </c>
      <c r="DB243" s="75">
        <f t="shared" si="210"/>
        <v>0</v>
      </c>
      <c r="DC243" s="89">
        <f t="shared" si="211"/>
        <v>0</v>
      </c>
      <c r="DD243" s="75">
        <f t="shared" si="212"/>
        <v>0</v>
      </c>
      <c r="DE243" s="75">
        <f t="shared" si="213"/>
        <v>0</v>
      </c>
      <c r="DF243" s="75">
        <f t="shared" si="214"/>
        <v>0</v>
      </c>
      <c r="DG243" s="75">
        <f t="shared" si="215"/>
        <v>0</v>
      </c>
      <c r="DH243" s="89">
        <f t="shared" si="216"/>
        <v>0</v>
      </c>
      <c r="DI243" s="75">
        <f t="shared" si="217"/>
        <v>0</v>
      </c>
      <c r="DJ243" s="75">
        <f t="shared" si="218"/>
        <v>0</v>
      </c>
      <c r="DK243" s="89">
        <f t="shared" si="219"/>
        <v>0</v>
      </c>
      <c r="DL243" s="75">
        <f t="shared" si="220"/>
        <v>0</v>
      </c>
      <c r="DM243" s="75">
        <f t="shared" si="221"/>
        <v>0</v>
      </c>
      <c r="DN243" s="90">
        <f t="shared" si="222"/>
        <v>0</v>
      </c>
      <c r="DO243" s="91">
        <f>IF(AN243="",0,VLOOKUP(B243,Tables!$B$3:$M$36,11,FALSE())*X$1)</f>
        <v>0</v>
      </c>
      <c r="DP243" s="92">
        <f>IF(AO243="",0,VLOOKUP(C243,Tables!$B$3:$M$36,11,FALSE())*Y$1)</f>
        <v>0</v>
      </c>
      <c r="DQ243" s="92">
        <f>IF(AP243="",0,VLOOKUP(D243,Tables!$B$3:$M$36,11,FALSE())*Z$1)</f>
        <v>0</v>
      </c>
      <c r="DR243" s="91">
        <f>IF(AQ243="",0,VLOOKUP(E243,Tables!$B$3:$M$36,11,FALSE())*AA$1)</f>
        <v>0</v>
      </c>
      <c r="DS243" s="92">
        <f>IF(AR243="",0,VLOOKUP(F243,Tables!$B$3:$M$36,11,FALSE())*AB$1)</f>
        <v>0</v>
      </c>
      <c r="DT243" s="92">
        <f>IF(AS243="",0,VLOOKUP(G243,Tables!$B$3:$M$36,11,FALSE())*AC$1)</f>
        <v>0</v>
      </c>
      <c r="DU243" s="92">
        <f>IF(AT243="",0,VLOOKUP(H243,Tables!$B$3:$M$36,11,FALSE())*AD$1)</f>
        <v>0</v>
      </c>
      <c r="DV243" s="92">
        <f>IF(AU243="",0,VLOOKUP(I243,Tables!$B$3:$M$36,11,FALSE())*AE$1)</f>
        <v>0</v>
      </c>
      <c r="DW243" s="91">
        <f>IF(AV243="",0,VLOOKUP(J243,Tables!$B$3:$M$36,11,FALSE())*AF$1)</f>
        <v>0</v>
      </c>
      <c r="DX243" s="92">
        <f>IF(AW243="",0,VLOOKUP(K243,Tables!$B$3:$M$36,11,FALSE())*AG$1)</f>
        <v>0</v>
      </c>
      <c r="DY243" s="92">
        <f>IF(AX243="",0,VLOOKUP(L243,Tables!$B$3:$M$36,11,FALSE())*AH$1)</f>
        <v>0</v>
      </c>
      <c r="DZ243" s="91">
        <f>IF(AY243="",0,VLOOKUP(M243,Tables!$B$3:$M$36,11,FALSE())*AI$1)</f>
        <v>0</v>
      </c>
      <c r="EA243" s="92">
        <f>IF(AZ243="",0,VLOOKUP(N243,Tables!$B$3:$M$36,11,FALSE())*AJ$1)</f>
        <v>0</v>
      </c>
      <c r="EB243" s="92">
        <f>IF(BA243="",0,VLOOKUP(O243,Tables!$B$3:$M$36,11,FALSE())*AK$1)</f>
        <v>0</v>
      </c>
      <c r="EC243" s="93">
        <f>IF(BB243="",0,VLOOKUP(P243,Tables!$B$3:$M$36,11,FALSE())*AL$1)</f>
        <v>0</v>
      </c>
      <c r="ED243" s="91">
        <f>IF(AN243="",0,VLOOKUP(B243,Tables!$B$3:$M$36,12,FALSE())*X$1)</f>
        <v>0</v>
      </c>
      <c r="EE243" s="92">
        <f>IF(AO243="",0,VLOOKUP(C243,Tables!$B$3:$M$36,12,FALSE())*Y$1)</f>
        <v>0</v>
      </c>
      <c r="EF243" s="92">
        <f>IF(AP243="",0,VLOOKUP(D243,Tables!$B$3:$M$36,12,FALSE())*Z$1)</f>
        <v>0</v>
      </c>
      <c r="EG243" s="91">
        <f>IF(AQ243="",0,VLOOKUP(E243,Tables!$B$3:$M$36,12,FALSE())*AA$1)</f>
        <v>0</v>
      </c>
      <c r="EH243" s="92">
        <f>IF(AR243="",0,VLOOKUP(F243,Tables!$B$3:$M$36,12,FALSE())*AB$1)</f>
        <v>0</v>
      </c>
      <c r="EI243" s="92">
        <f>IF(AS243="",0,VLOOKUP(G243,Tables!$B$3:$M$36,12,FALSE())*AC$1)</f>
        <v>0</v>
      </c>
      <c r="EJ243" s="92">
        <f>IF(AT243="",0,VLOOKUP(H243,Tables!$B$3:$M$36,12,FALSE())*AD$1)</f>
        <v>0</v>
      </c>
      <c r="EK243" s="92">
        <f>IF(AU243="",0,VLOOKUP(I243,Tables!$B$3:$M$36,12,FALSE())*AE$1)</f>
        <v>0</v>
      </c>
      <c r="EL243" s="91">
        <f>IF(AV243="",0,VLOOKUP(J243,Tables!$B$3:$M$36,12,FALSE())*AF$1)</f>
        <v>0</v>
      </c>
      <c r="EM243" s="92">
        <f>IF(AW243="",0,VLOOKUP(K243,Tables!$B$3:$M$36,12,FALSE())*AG$1)</f>
        <v>0</v>
      </c>
      <c r="EN243" s="92">
        <f>IF(AX243="",0,VLOOKUP(L243,Tables!$B$3:$M$36,12,FALSE())*AH$1)</f>
        <v>0</v>
      </c>
      <c r="EO243" s="91">
        <f>IF(AY243="",0,VLOOKUP(M243,Tables!$B$3:$M$36,12,FALSE())*AI$1)</f>
        <v>0</v>
      </c>
      <c r="EP243" s="92">
        <f>IF(AZ243="",0,VLOOKUP(N243,Tables!$B$3:$M$36,12,FALSE())*AJ$1)</f>
        <v>0</v>
      </c>
      <c r="EQ243" s="92">
        <f>IF(BA243="",0,VLOOKUP(O243,Tables!$B$3:$M$36,12,FALSE())*AK$1)</f>
        <v>0</v>
      </c>
      <c r="ER243" s="93">
        <f>IF(BB243="",0,VLOOKUP(P243,Tables!$B$3:$M$36,12,FALSE())*AL$1)</f>
        <v>0</v>
      </c>
      <c r="ES243" s="94">
        <f t="shared" si="223"/>
        <v>0</v>
      </c>
      <c r="ET243" s="95">
        <f>IF(AN243="",10,MIN(VLOOKUP(B243,MATERIAL,13,FALSE()),'Item Builder'!$W243))</f>
        <v>10</v>
      </c>
      <c r="EU243" s="95">
        <f>IF(AO243="",10,MIN(VLOOKUP(C243,MATERIAL,13,FALSE()),'Item Builder'!$W243))</f>
        <v>10</v>
      </c>
      <c r="EV243" s="95">
        <f>IF(AP243="",10,MIN(VLOOKUP(D243,MATERIAL,13,FALSE()),'Item Builder'!$W243))</f>
        <v>10</v>
      </c>
      <c r="EW243" s="95">
        <f>IF(AQ243="",10,MIN(VLOOKUP(E243,MATERIAL,13,FALSE()),'Item Builder'!$W243))</f>
        <v>10</v>
      </c>
      <c r="EX243" s="95">
        <f>IF(AR243="",10,MIN(VLOOKUP(F243,MATERIAL,13,FALSE()),'Item Builder'!$W243))</f>
        <v>10</v>
      </c>
      <c r="EY243" s="95">
        <f>IF(AS243="",10,MIN(VLOOKUP(G243,MATERIAL,13,FALSE()),'Item Builder'!$W243))</f>
        <v>10</v>
      </c>
      <c r="EZ243" s="95">
        <f>IF(AT243="",10,MIN(VLOOKUP(H243,MATERIAL,13,FALSE()),'Item Builder'!$W243))</f>
        <v>10</v>
      </c>
      <c r="FA243" s="95">
        <f>IF(AU243="",10,MIN(VLOOKUP(I243,MATERIAL,13,FALSE()),'Item Builder'!$W243))</f>
        <v>10</v>
      </c>
      <c r="FB243" s="95">
        <f>IF(AV243="",10,MIN(VLOOKUP(J243,MATERIAL,13,FALSE()),'Item Builder'!$W243))</f>
        <v>10</v>
      </c>
      <c r="FC243" s="95">
        <f>IF(AW243="",10,MIN(VLOOKUP(K243,MATERIAL,13,FALSE()),'Item Builder'!$W243))</f>
        <v>10</v>
      </c>
      <c r="FD243" s="95">
        <f>IF(AX243="",10,MIN(VLOOKUP(L243,MATERIAL,13,FALSE()),'Item Builder'!$W243))</f>
        <v>10</v>
      </c>
      <c r="FE243" s="95">
        <f>IF(AY243="",10,MIN(VLOOKUP(M243,MATERIAL,13,FALSE()),'Item Builder'!$W243))</f>
        <v>10</v>
      </c>
      <c r="FF243" s="95">
        <f>IF(AZ243="",10,MIN(VLOOKUP(N243,MATERIAL,13,FALSE()),'Item Builder'!$W243))</f>
        <v>10</v>
      </c>
      <c r="FG243" s="95">
        <f>IF(BA243="",10,MIN(VLOOKUP(O243,MATERIAL,13,FALSE()),'Item Builder'!$W243))</f>
        <v>10</v>
      </c>
      <c r="FH243" s="95">
        <f>IF(BB243="",10,MIN(VLOOKUP(P243,MATERIAL,13,FALSE()),'Item Builder'!$W243))</f>
        <v>10</v>
      </c>
    </row>
    <row r="244" spans="1:164" x14ac:dyDescent="0.25">
      <c r="A244" s="67"/>
      <c r="B244" s="68"/>
      <c r="C244" s="69"/>
      <c r="D244" s="70"/>
      <c r="E244" s="68"/>
      <c r="F244" s="69"/>
      <c r="G244" s="69"/>
      <c r="H244" s="69"/>
      <c r="I244" s="70"/>
      <c r="J244" s="68"/>
      <c r="K244" s="69"/>
      <c r="L244" s="70"/>
      <c r="M244" s="68"/>
      <c r="N244" s="69"/>
      <c r="O244" s="69"/>
      <c r="P244" s="71"/>
      <c r="Q244" s="72">
        <f>SUM(BV244:CJ244)*VLOOKUP(W244,Tables!$W$3:$Z$8,4)</f>
        <v>0</v>
      </c>
      <c r="R244" s="73">
        <f t="shared" si="168"/>
        <v>0</v>
      </c>
      <c r="S244" s="74">
        <f t="shared" si="169"/>
        <v>0</v>
      </c>
      <c r="T244" s="74">
        <f t="shared" si="170"/>
        <v>0</v>
      </c>
      <c r="U244" s="75">
        <f t="shared" si="171"/>
        <v>0</v>
      </c>
      <c r="V244" s="76">
        <f t="shared" si="172"/>
        <v>0</v>
      </c>
      <c r="W244" s="77">
        <v>0</v>
      </c>
      <c r="X244" s="78">
        <f t="shared" si="173"/>
        <v>0</v>
      </c>
      <c r="Y244" s="79">
        <f t="shared" si="174"/>
        <v>0</v>
      </c>
      <c r="Z244" s="79">
        <f t="shared" si="175"/>
        <v>0</v>
      </c>
      <c r="AA244" s="78">
        <f t="shared" si="176"/>
        <v>0</v>
      </c>
      <c r="AB244" s="79">
        <f t="shared" si="177"/>
        <v>0</v>
      </c>
      <c r="AC244" s="79">
        <f t="shared" si="178"/>
        <v>0</v>
      </c>
      <c r="AD244" s="79">
        <f t="shared" si="179"/>
        <v>0</v>
      </c>
      <c r="AE244" s="79">
        <f t="shared" si="180"/>
        <v>0</v>
      </c>
      <c r="AF244" s="78">
        <f t="shared" si="181"/>
        <v>0</v>
      </c>
      <c r="AG244" s="79">
        <f t="shared" si="182"/>
        <v>0</v>
      </c>
      <c r="AH244" s="79">
        <f t="shared" si="183"/>
        <v>0</v>
      </c>
      <c r="AI244" s="78">
        <f t="shared" si="184"/>
        <v>0</v>
      </c>
      <c r="AJ244" s="79">
        <f t="shared" si="185"/>
        <v>0</v>
      </c>
      <c r="AK244" s="79">
        <f t="shared" si="186"/>
        <v>0</v>
      </c>
      <c r="AL244" s="80">
        <f t="shared" si="187"/>
        <v>0</v>
      </c>
      <c r="AM244" s="81">
        <f t="shared" si="188"/>
        <v>0</v>
      </c>
      <c r="AN244" s="82" t="str">
        <f t="shared" si="189"/>
        <v/>
      </c>
      <c r="AO244" s="79" t="str">
        <f t="shared" si="190"/>
        <v/>
      </c>
      <c r="AP244" t="str">
        <f t="shared" si="191"/>
        <v/>
      </c>
      <c r="AQ244" s="82" t="str">
        <f t="shared" si="192"/>
        <v/>
      </c>
      <c r="AR244" t="str">
        <f t="shared" si="193"/>
        <v/>
      </c>
      <c r="AS244" t="str">
        <f t="shared" si="194"/>
        <v/>
      </c>
      <c r="AT244" t="str">
        <f t="shared" si="195"/>
        <v/>
      </c>
      <c r="AU244" t="str">
        <f t="shared" si="196"/>
        <v/>
      </c>
      <c r="AV244" s="82" t="str">
        <f t="shared" si="197"/>
        <v/>
      </c>
      <c r="AW244" t="str">
        <f t="shared" si="198"/>
        <v/>
      </c>
      <c r="AX244" t="str">
        <f t="shared" si="199"/>
        <v/>
      </c>
      <c r="AY244" s="82" t="str">
        <f t="shared" si="200"/>
        <v/>
      </c>
      <c r="AZ244" t="str">
        <f t="shared" si="201"/>
        <v/>
      </c>
      <c r="BA244" t="str">
        <f t="shared" si="202"/>
        <v/>
      </c>
      <c r="BB244" s="83" t="str">
        <f t="shared" si="203"/>
        <v/>
      </c>
      <c r="BC244" s="84">
        <f t="shared" si="204"/>
        <v>0</v>
      </c>
      <c r="BD244" s="84">
        <f t="shared" si="205"/>
        <v>0</v>
      </c>
      <c r="BE244" s="84">
        <f t="shared" si="206"/>
        <v>0</v>
      </c>
      <c r="BF244" s="84">
        <f t="shared" si="207"/>
        <v>0</v>
      </c>
      <c r="BG244" s="78">
        <f>IF(AN244="",0,VLOOKUP(AN244,Tables!$AB$3:$AC$12,2))</f>
        <v>0</v>
      </c>
      <c r="BH244" s="79">
        <f>IF(AO244="",0,VLOOKUP(AO244,Tables!$AB$3:$AC$12,2))</f>
        <v>0</v>
      </c>
      <c r="BI244" s="79">
        <f>IF(AP244="",0,VLOOKUP(AP244,Tables!$AB$3:$AC$12,2))</f>
        <v>0</v>
      </c>
      <c r="BJ244" s="78">
        <f>IF(AQ244="",0,VLOOKUP(AQ244,Tables!$AB$3:$AC$12,2))</f>
        <v>0</v>
      </c>
      <c r="BK244" s="79">
        <f>IF(AR244="",0,VLOOKUP(AR244,Tables!$AB$3:$AC$12,2))</f>
        <v>0</v>
      </c>
      <c r="BL244" s="79">
        <f>IF(AS244="",0,VLOOKUP(AS244,Tables!$AB$3:$AC$12,2))</f>
        <v>0</v>
      </c>
      <c r="BM244" s="79">
        <f>IF(AT244="",0,VLOOKUP(AT244,Tables!$AB$3:$AC$12,2))</f>
        <v>0</v>
      </c>
      <c r="BN244" s="79">
        <f>IF(AU244="",0,VLOOKUP(AU244,Tables!$AB$3:$AC$12,2))</f>
        <v>0</v>
      </c>
      <c r="BO244" s="78">
        <f>IF(AV244="",0,VLOOKUP(AV244,Tables!$AB$3:$AC$12,2))</f>
        <v>0</v>
      </c>
      <c r="BP244" s="79">
        <f>IF(AW244="",0,VLOOKUP(AW244,Tables!$AB$3:$AC$12,2))</f>
        <v>0</v>
      </c>
      <c r="BQ244" s="79">
        <f>IF(AX244="",0,VLOOKUP(AX244,Tables!$AB$3:$AC$12,2))</f>
        <v>0</v>
      </c>
      <c r="BR244" s="78">
        <f>IF(AY244="",0,VLOOKUP(AY244,Tables!$AB$3:$AC$12,2))</f>
        <v>0</v>
      </c>
      <c r="BS244" s="79">
        <f>IF(AZ244="",0,VLOOKUP(AZ244,Tables!$AB$3:$AC$12,2))</f>
        <v>0</v>
      </c>
      <c r="BT244" s="79">
        <f>IF(BA244="",0,VLOOKUP(BA244,Tables!$AB$3:$AC$12,2))</f>
        <v>0</v>
      </c>
      <c r="BU244" s="80">
        <f>IF(BB244="",0,VLOOKUP(BB244,Tables!$AB$3:$AC$12,2))</f>
        <v>0</v>
      </c>
      <c r="BV244" s="85">
        <f>IF(AN244="",0,VLOOKUP(B244,Tables!$B$3:$D$36,2,FALSE())*X$1)</f>
        <v>0</v>
      </c>
      <c r="BW244" s="72">
        <f>IF(AO244="",0,VLOOKUP(C244,Tables!$B$3:$D$36,2,FALSE())*Y$1)</f>
        <v>0</v>
      </c>
      <c r="BX244" s="72">
        <f>IF(AP244="",0,VLOOKUP(D244,Tables!$B$3:$D$36,2,FALSE())*Z$1)</f>
        <v>0</v>
      </c>
      <c r="BY244" s="85">
        <f>IF(AQ244="",0,VLOOKUP(E244,Tables!$B$3:$D$36,2,FALSE())*AA$1)</f>
        <v>0</v>
      </c>
      <c r="BZ244" s="72">
        <f>IF(AR244="",0,VLOOKUP(F244,Tables!$B$3:$D$36,2,FALSE())*AB$1)</f>
        <v>0</v>
      </c>
      <c r="CA244" s="72">
        <f>IF(AS244="",0,VLOOKUP(G244,Tables!$B$3:$D$36,2,FALSE())*AC$1)</f>
        <v>0</v>
      </c>
      <c r="CB244" s="72">
        <f>IF(AT244="",0,VLOOKUP(H244,Tables!$B$3:$D$36,2,FALSE())*AD$1)</f>
        <v>0</v>
      </c>
      <c r="CC244" s="72">
        <f>IF(AU244="",0,VLOOKUP(I244,Tables!$B$3:$D$36,2,FALSE())*AE$1)</f>
        <v>0</v>
      </c>
      <c r="CD244" s="85">
        <f>IF(AV244="",0,VLOOKUP(J244,Tables!$B$3:$D$36,2,FALSE())*AF$1)</f>
        <v>0</v>
      </c>
      <c r="CE244" s="72">
        <f>IF(AW244="",0,VLOOKUP(K244,Tables!$B$3:$D$36,2,FALSE())*AG$1)</f>
        <v>0</v>
      </c>
      <c r="CF244" s="72">
        <f>IF(AX244="",0,VLOOKUP(L244,Tables!$B$3:$D$36,2,FALSE())*AH$1)</f>
        <v>0</v>
      </c>
      <c r="CG244" s="85">
        <f>IF(AY244="",0,VLOOKUP(M244,Tables!$B$3:$D$36,2,FALSE())*AI$1)</f>
        <v>0</v>
      </c>
      <c r="CH244" s="72">
        <f>IF(AZ244="",0,VLOOKUP(N244,Tables!$B$3:$D$36,2,FALSE())*AJ$1)</f>
        <v>0</v>
      </c>
      <c r="CI244" s="72">
        <f>IF(BA244="",0,VLOOKUP(O244,Tables!$B$3:$D$36,2,FALSE())*AK$1)</f>
        <v>0</v>
      </c>
      <c r="CJ244" s="86">
        <f>IF(BB244="",0,VLOOKUP(P244,Tables!$B$3:$D$36,2,FALSE())*AL$1)</f>
        <v>0</v>
      </c>
      <c r="CK244" s="87">
        <f>IF(AN244="",0,VLOOKUP(B244,Tables!$B$3:$D$36,3,FALSE())*X$1)*IF(OR(AN244="K",AN244="P"),2,1)</f>
        <v>0</v>
      </c>
      <c r="CL244" s="73">
        <f>IF(AO244="",0,VLOOKUP(C244,Tables!$B$3:$D$36,3,FALSE())*Y$1)*IF(OR(AO244="K",AO244="P"),2,1)</f>
        <v>0</v>
      </c>
      <c r="CM244" s="73">
        <f>IF(AP244="",0,VLOOKUP(D244,Tables!$B$3:$D$36,3,FALSE())*Z$1)*IF(OR(AP244="K",AP244="P"),2,1)</f>
        <v>0</v>
      </c>
      <c r="CN244" s="87">
        <f>IF(AQ244="",0,VLOOKUP(E244,Tables!$B$3:$D$36,3,FALSE())*AA$1)</f>
        <v>0</v>
      </c>
      <c r="CO244" s="73">
        <f>IF(AR244="",0,VLOOKUP(F244,Tables!$B$3:$D$36,3,FALSE())*AB$1)</f>
        <v>0</v>
      </c>
      <c r="CP244" s="73">
        <f>IF(AS244="",0,VLOOKUP(G244,Tables!$B$3:$D$36,3,FALSE())*AC$1)</f>
        <v>0</v>
      </c>
      <c r="CQ244" s="73">
        <f>IF(AT244="",0,VLOOKUP(H244,Tables!$B$3:$D$36,3,FALSE())*AD$1)</f>
        <v>0</v>
      </c>
      <c r="CR244" s="73">
        <f>IF(AU244="",0,VLOOKUP(I244,Tables!$B$3:$D$36,3,FALSE())*AE$1)</f>
        <v>0</v>
      </c>
      <c r="CS244" s="87">
        <f>IF(AV244="",0,VLOOKUP(J244,Tables!$B$3:$D$36,3,FALSE())*AF$1)</f>
        <v>0</v>
      </c>
      <c r="CT244" s="73">
        <f>IF(AW244="",0,VLOOKUP(K244,Tables!$B$3:$D$36,3,FALSE())*AG$1)</f>
        <v>0</v>
      </c>
      <c r="CU244" s="73">
        <f>IF(AX244="",0,VLOOKUP(L244,Tables!$B$3:$D$36,3,FALSE())*AH$1)</f>
        <v>0</v>
      </c>
      <c r="CV244" s="87">
        <f>IF(AY244="",0,VLOOKUP(M244,Tables!$B$3:$D$36,3,FALSE())*AI$1)</f>
        <v>0</v>
      </c>
      <c r="CW244" s="73">
        <f>IF(AZ244="",0,VLOOKUP(N244,Tables!$B$3:$D$36,3,FALSE())*AJ$1)</f>
        <v>0</v>
      </c>
      <c r="CX244" s="73">
        <f>IF(BA244="",0,VLOOKUP(O244,Tables!$B$3:$D$36,3,FALSE())*AK$1)</f>
        <v>0</v>
      </c>
      <c r="CY244" s="88">
        <f>IF(BB244="",0,VLOOKUP(P244,Tables!$B$3:$D$36,3,FALSE())*AL$1)</f>
        <v>0</v>
      </c>
      <c r="CZ244" s="89">
        <f t="shared" si="208"/>
        <v>0</v>
      </c>
      <c r="DA244" s="75">
        <f t="shared" si="209"/>
        <v>0</v>
      </c>
      <c r="DB244" s="75">
        <f t="shared" si="210"/>
        <v>0</v>
      </c>
      <c r="DC244" s="89">
        <f t="shared" si="211"/>
        <v>0</v>
      </c>
      <c r="DD244" s="75">
        <f t="shared" si="212"/>
        <v>0</v>
      </c>
      <c r="DE244" s="75">
        <f t="shared" si="213"/>
        <v>0</v>
      </c>
      <c r="DF244" s="75">
        <f t="shared" si="214"/>
        <v>0</v>
      </c>
      <c r="DG244" s="75">
        <f t="shared" si="215"/>
        <v>0</v>
      </c>
      <c r="DH244" s="89">
        <f t="shared" si="216"/>
        <v>0</v>
      </c>
      <c r="DI244" s="75">
        <f t="shared" si="217"/>
        <v>0</v>
      </c>
      <c r="DJ244" s="75">
        <f t="shared" si="218"/>
        <v>0</v>
      </c>
      <c r="DK244" s="89">
        <f t="shared" si="219"/>
        <v>0</v>
      </c>
      <c r="DL244" s="75">
        <f t="shared" si="220"/>
        <v>0</v>
      </c>
      <c r="DM244" s="75">
        <f t="shared" si="221"/>
        <v>0</v>
      </c>
      <c r="DN244" s="90">
        <f t="shared" si="222"/>
        <v>0</v>
      </c>
      <c r="DO244" s="91">
        <f>IF(AN244="",0,VLOOKUP(B244,Tables!$B$3:$M$36,11,FALSE())*X$1)</f>
        <v>0</v>
      </c>
      <c r="DP244" s="92">
        <f>IF(AO244="",0,VLOOKUP(C244,Tables!$B$3:$M$36,11,FALSE())*Y$1)</f>
        <v>0</v>
      </c>
      <c r="DQ244" s="92">
        <f>IF(AP244="",0,VLOOKUP(D244,Tables!$B$3:$M$36,11,FALSE())*Z$1)</f>
        <v>0</v>
      </c>
      <c r="DR244" s="91">
        <f>IF(AQ244="",0,VLOOKUP(E244,Tables!$B$3:$M$36,11,FALSE())*AA$1)</f>
        <v>0</v>
      </c>
      <c r="DS244" s="92">
        <f>IF(AR244="",0,VLOOKUP(F244,Tables!$B$3:$M$36,11,FALSE())*AB$1)</f>
        <v>0</v>
      </c>
      <c r="DT244" s="92">
        <f>IF(AS244="",0,VLOOKUP(G244,Tables!$B$3:$M$36,11,FALSE())*AC$1)</f>
        <v>0</v>
      </c>
      <c r="DU244" s="92">
        <f>IF(AT244="",0,VLOOKUP(H244,Tables!$B$3:$M$36,11,FALSE())*AD$1)</f>
        <v>0</v>
      </c>
      <c r="DV244" s="92">
        <f>IF(AU244="",0,VLOOKUP(I244,Tables!$B$3:$M$36,11,FALSE())*AE$1)</f>
        <v>0</v>
      </c>
      <c r="DW244" s="91">
        <f>IF(AV244="",0,VLOOKUP(J244,Tables!$B$3:$M$36,11,FALSE())*AF$1)</f>
        <v>0</v>
      </c>
      <c r="DX244" s="92">
        <f>IF(AW244="",0,VLOOKUP(K244,Tables!$B$3:$M$36,11,FALSE())*AG$1)</f>
        <v>0</v>
      </c>
      <c r="DY244" s="92">
        <f>IF(AX244="",0,VLOOKUP(L244,Tables!$B$3:$M$36,11,FALSE())*AH$1)</f>
        <v>0</v>
      </c>
      <c r="DZ244" s="91">
        <f>IF(AY244="",0,VLOOKUP(M244,Tables!$B$3:$M$36,11,FALSE())*AI$1)</f>
        <v>0</v>
      </c>
      <c r="EA244" s="92">
        <f>IF(AZ244="",0,VLOOKUP(N244,Tables!$B$3:$M$36,11,FALSE())*AJ$1)</f>
        <v>0</v>
      </c>
      <c r="EB244" s="92">
        <f>IF(BA244="",0,VLOOKUP(O244,Tables!$B$3:$M$36,11,FALSE())*AK$1)</f>
        <v>0</v>
      </c>
      <c r="EC244" s="93">
        <f>IF(BB244="",0,VLOOKUP(P244,Tables!$B$3:$M$36,11,FALSE())*AL$1)</f>
        <v>0</v>
      </c>
      <c r="ED244" s="91">
        <f>IF(AN244="",0,VLOOKUP(B244,Tables!$B$3:$M$36,12,FALSE())*X$1)</f>
        <v>0</v>
      </c>
      <c r="EE244" s="92">
        <f>IF(AO244="",0,VLOOKUP(C244,Tables!$B$3:$M$36,12,FALSE())*Y$1)</f>
        <v>0</v>
      </c>
      <c r="EF244" s="92">
        <f>IF(AP244="",0,VLOOKUP(D244,Tables!$B$3:$M$36,12,FALSE())*Z$1)</f>
        <v>0</v>
      </c>
      <c r="EG244" s="91">
        <f>IF(AQ244="",0,VLOOKUP(E244,Tables!$B$3:$M$36,12,FALSE())*AA$1)</f>
        <v>0</v>
      </c>
      <c r="EH244" s="92">
        <f>IF(AR244="",0,VLOOKUP(F244,Tables!$B$3:$M$36,12,FALSE())*AB$1)</f>
        <v>0</v>
      </c>
      <c r="EI244" s="92">
        <f>IF(AS244="",0,VLOOKUP(G244,Tables!$B$3:$M$36,12,FALSE())*AC$1)</f>
        <v>0</v>
      </c>
      <c r="EJ244" s="92">
        <f>IF(AT244="",0,VLOOKUP(H244,Tables!$B$3:$M$36,12,FALSE())*AD$1)</f>
        <v>0</v>
      </c>
      <c r="EK244" s="92">
        <f>IF(AU244="",0,VLOOKUP(I244,Tables!$B$3:$M$36,12,FALSE())*AE$1)</f>
        <v>0</v>
      </c>
      <c r="EL244" s="91">
        <f>IF(AV244="",0,VLOOKUP(J244,Tables!$B$3:$M$36,12,FALSE())*AF$1)</f>
        <v>0</v>
      </c>
      <c r="EM244" s="92">
        <f>IF(AW244="",0,VLOOKUP(K244,Tables!$B$3:$M$36,12,FALSE())*AG$1)</f>
        <v>0</v>
      </c>
      <c r="EN244" s="92">
        <f>IF(AX244="",0,VLOOKUP(L244,Tables!$B$3:$M$36,12,FALSE())*AH$1)</f>
        <v>0</v>
      </c>
      <c r="EO244" s="91">
        <f>IF(AY244="",0,VLOOKUP(M244,Tables!$B$3:$M$36,12,FALSE())*AI$1)</f>
        <v>0</v>
      </c>
      <c r="EP244" s="92">
        <f>IF(AZ244="",0,VLOOKUP(N244,Tables!$B$3:$M$36,12,FALSE())*AJ$1)</f>
        <v>0</v>
      </c>
      <c r="EQ244" s="92">
        <f>IF(BA244="",0,VLOOKUP(O244,Tables!$B$3:$M$36,12,FALSE())*AK$1)</f>
        <v>0</v>
      </c>
      <c r="ER244" s="93">
        <f>IF(BB244="",0,VLOOKUP(P244,Tables!$B$3:$M$36,12,FALSE())*AL$1)</f>
        <v>0</v>
      </c>
      <c r="ES244" s="94">
        <f t="shared" si="223"/>
        <v>0</v>
      </c>
      <c r="ET244" s="95">
        <f>IF(AN244="",10,MIN(VLOOKUP(B244,MATERIAL,13,FALSE()),'Item Builder'!$W244))</f>
        <v>10</v>
      </c>
      <c r="EU244" s="95">
        <f>IF(AO244="",10,MIN(VLOOKUP(C244,MATERIAL,13,FALSE()),'Item Builder'!$W244))</f>
        <v>10</v>
      </c>
      <c r="EV244" s="95">
        <f>IF(AP244="",10,MIN(VLOOKUP(D244,MATERIAL,13,FALSE()),'Item Builder'!$W244))</f>
        <v>10</v>
      </c>
      <c r="EW244" s="95">
        <f>IF(AQ244="",10,MIN(VLOOKUP(E244,MATERIAL,13,FALSE()),'Item Builder'!$W244))</f>
        <v>10</v>
      </c>
      <c r="EX244" s="95">
        <f>IF(AR244="",10,MIN(VLOOKUP(F244,MATERIAL,13,FALSE()),'Item Builder'!$W244))</f>
        <v>10</v>
      </c>
      <c r="EY244" s="95">
        <f>IF(AS244="",10,MIN(VLOOKUP(G244,MATERIAL,13,FALSE()),'Item Builder'!$W244))</f>
        <v>10</v>
      </c>
      <c r="EZ244" s="95">
        <f>IF(AT244="",10,MIN(VLOOKUP(H244,MATERIAL,13,FALSE()),'Item Builder'!$W244))</f>
        <v>10</v>
      </c>
      <c r="FA244" s="95">
        <f>IF(AU244="",10,MIN(VLOOKUP(I244,MATERIAL,13,FALSE()),'Item Builder'!$W244))</f>
        <v>10</v>
      </c>
      <c r="FB244" s="95">
        <f>IF(AV244="",10,MIN(VLOOKUP(J244,MATERIAL,13,FALSE()),'Item Builder'!$W244))</f>
        <v>10</v>
      </c>
      <c r="FC244" s="95">
        <f>IF(AW244="",10,MIN(VLOOKUP(K244,MATERIAL,13,FALSE()),'Item Builder'!$W244))</f>
        <v>10</v>
      </c>
      <c r="FD244" s="95">
        <f>IF(AX244="",10,MIN(VLOOKUP(L244,MATERIAL,13,FALSE()),'Item Builder'!$W244))</f>
        <v>10</v>
      </c>
      <c r="FE244" s="95">
        <f>IF(AY244="",10,MIN(VLOOKUP(M244,MATERIAL,13,FALSE()),'Item Builder'!$W244))</f>
        <v>10</v>
      </c>
      <c r="FF244" s="95">
        <f>IF(AZ244="",10,MIN(VLOOKUP(N244,MATERIAL,13,FALSE()),'Item Builder'!$W244))</f>
        <v>10</v>
      </c>
      <c r="FG244" s="95">
        <f>IF(BA244="",10,MIN(VLOOKUP(O244,MATERIAL,13,FALSE()),'Item Builder'!$W244))</f>
        <v>10</v>
      </c>
      <c r="FH244" s="95">
        <f>IF(BB244="",10,MIN(VLOOKUP(P244,MATERIAL,13,FALSE()),'Item Builder'!$W244))</f>
        <v>10</v>
      </c>
    </row>
    <row r="245" spans="1:164" x14ac:dyDescent="0.25">
      <c r="A245" s="67"/>
      <c r="B245" s="68"/>
      <c r="C245" s="69"/>
      <c r="D245" s="70"/>
      <c r="E245" s="68"/>
      <c r="F245" s="69"/>
      <c r="G245" s="69"/>
      <c r="H245" s="69"/>
      <c r="I245" s="70"/>
      <c r="J245" s="68"/>
      <c r="K245" s="69"/>
      <c r="L245" s="70"/>
      <c r="M245" s="68"/>
      <c r="N245" s="69"/>
      <c r="O245" s="69"/>
      <c r="P245" s="71"/>
      <c r="Q245" s="72">
        <f>SUM(BV245:CJ245)*VLOOKUP(W245,Tables!$W$3:$Z$8,4)</f>
        <v>0</v>
      </c>
      <c r="R245" s="73">
        <f t="shared" si="168"/>
        <v>0</v>
      </c>
      <c r="S245" s="74">
        <f t="shared" si="169"/>
        <v>0</v>
      </c>
      <c r="T245" s="74">
        <f t="shared" si="170"/>
        <v>0</v>
      </c>
      <c r="U245" s="75">
        <f t="shared" si="171"/>
        <v>0</v>
      </c>
      <c r="V245" s="76">
        <f t="shared" si="172"/>
        <v>0</v>
      </c>
      <c r="W245" s="77">
        <v>0</v>
      </c>
      <c r="X245" s="78">
        <f t="shared" si="173"/>
        <v>0</v>
      </c>
      <c r="Y245" s="79">
        <f t="shared" si="174"/>
        <v>0</v>
      </c>
      <c r="Z245" s="79">
        <f t="shared" si="175"/>
        <v>0</v>
      </c>
      <c r="AA245" s="78">
        <f t="shared" si="176"/>
        <v>0</v>
      </c>
      <c r="AB245" s="79">
        <f t="shared" si="177"/>
        <v>0</v>
      </c>
      <c r="AC245" s="79">
        <f t="shared" si="178"/>
        <v>0</v>
      </c>
      <c r="AD245" s="79">
        <f t="shared" si="179"/>
        <v>0</v>
      </c>
      <c r="AE245" s="79">
        <f t="shared" si="180"/>
        <v>0</v>
      </c>
      <c r="AF245" s="78">
        <f t="shared" si="181"/>
        <v>0</v>
      </c>
      <c r="AG245" s="79">
        <f t="shared" si="182"/>
        <v>0</v>
      </c>
      <c r="AH245" s="79">
        <f t="shared" si="183"/>
        <v>0</v>
      </c>
      <c r="AI245" s="78">
        <f t="shared" si="184"/>
        <v>0</v>
      </c>
      <c r="AJ245" s="79">
        <f t="shared" si="185"/>
        <v>0</v>
      </c>
      <c r="AK245" s="79">
        <f t="shared" si="186"/>
        <v>0</v>
      </c>
      <c r="AL245" s="80">
        <f t="shared" si="187"/>
        <v>0</v>
      </c>
      <c r="AM245" s="81">
        <f t="shared" si="188"/>
        <v>0</v>
      </c>
      <c r="AN245" s="82" t="str">
        <f t="shared" si="189"/>
        <v/>
      </c>
      <c r="AO245" s="79" t="str">
        <f t="shared" si="190"/>
        <v/>
      </c>
      <c r="AP245" t="str">
        <f t="shared" si="191"/>
        <v/>
      </c>
      <c r="AQ245" s="82" t="str">
        <f t="shared" si="192"/>
        <v/>
      </c>
      <c r="AR245" t="str">
        <f t="shared" si="193"/>
        <v/>
      </c>
      <c r="AS245" t="str">
        <f t="shared" si="194"/>
        <v/>
      </c>
      <c r="AT245" t="str">
        <f t="shared" si="195"/>
        <v/>
      </c>
      <c r="AU245" t="str">
        <f t="shared" si="196"/>
        <v/>
      </c>
      <c r="AV245" s="82" t="str">
        <f t="shared" si="197"/>
        <v/>
      </c>
      <c r="AW245" t="str">
        <f t="shared" si="198"/>
        <v/>
      </c>
      <c r="AX245" t="str">
        <f t="shared" si="199"/>
        <v/>
      </c>
      <c r="AY245" s="82" t="str">
        <f t="shared" si="200"/>
        <v/>
      </c>
      <c r="AZ245" t="str">
        <f t="shared" si="201"/>
        <v/>
      </c>
      <c r="BA245" t="str">
        <f t="shared" si="202"/>
        <v/>
      </c>
      <c r="BB245" s="83" t="str">
        <f t="shared" si="203"/>
        <v/>
      </c>
      <c r="BC245" s="84">
        <f t="shared" si="204"/>
        <v>0</v>
      </c>
      <c r="BD245" s="84">
        <f t="shared" si="205"/>
        <v>0</v>
      </c>
      <c r="BE245" s="84">
        <f t="shared" si="206"/>
        <v>0</v>
      </c>
      <c r="BF245" s="84">
        <f t="shared" si="207"/>
        <v>0</v>
      </c>
      <c r="BG245" s="78">
        <f>IF(AN245="",0,VLOOKUP(AN245,Tables!$AB$3:$AC$12,2))</f>
        <v>0</v>
      </c>
      <c r="BH245" s="79">
        <f>IF(AO245="",0,VLOOKUP(AO245,Tables!$AB$3:$AC$12,2))</f>
        <v>0</v>
      </c>
      <c r="BI245" s="79">
        <f>IF(AP245="",0,VLOOKUP(AP245,Tables!$AB$3:$AC$12,2))</f>
        <v>0</v>
      </c>
      <c r="BJ245" s="78">
        <f>IF(AQ245="",0,VLOOKUP(AQ245,Tables!$AB$3:$AC$12,2))</f>
        <v>0</v>
      </c>
      <c r="BK245" s="79">
        <f>IF(AR245="",0,VLOOKUP(AR245,Tables!$AB$3:$AC$12,2))</f>
        <v>0</v>
      </c>
      <c r="BL245" s="79">
        <f>IF(AS245="",0,VLOOKUP(AS245,Tables!$AB$3:$AC$12,2))</f>
        <v>0</v>
      </c>
      <c r="BM245" s="79">
        <f>IF(AT245="",0,VLOOKUP(AT245,Tables!$AB$3:$AC$12,2))</f>
        <v>0</v>
      </c>
      <c r="BN245" s="79">
        <f>IF(AU245="",0,VLOOKUP(AU245,Tables!$AB$3:$AC$12,2))</f>
        <v>0</v>
      </c>
      <c r="BO245" s="78">
        <f>IF(AV245="",0,VLOOKUP(AV245,Tables!$AB$3:$AC$12,2))</f>
        <v>0</v>
      </c>
      <c r="BP245" s="79">
        <f>IF(AW245="",0,VLOOKUP(AW245,Tables!$AB$3:$AC$12,2))</f>
        <v>0</v>
      </c>
      <c r="BQ245" s="79">
        <f>IF(AX245="",0,VLOOKUP(AX245,Tables!$AB$3:$AC$12,2))</f>
        <v>0</v>
      </c>
      <c r="BR245" s="78">
        <f>IF(AY245="",0,VLOOKUP(AY245,Tables!$AB$3:$AC$12,2))</f>
        <v>0</v>
      </c>
      <c r="BS245" s="79">
        <f>IF(AZ245="",0,VLOOKUP(AZ245,Tables!$AB$3:$AC$12,2))</f>
        <v>0</v>
      </c>
      <c r="BT245" s="79">
        <f>IF(BA245="",0,VLOOKUP(BA245,Tables!$AB$3:$AC$12,2))</f>
        <v>0</v>
      </c>
      <c r="BU245" s="80">
        <f>IF(BB245="",0,VLOOKUP(BB245,Tables!$AB$3:$AC$12,2))</f>
        <v>0</v>
      </c>
      <c r="BV245" s="85">
        <f>IF(AN245="",0,VLOOKUP(B245,Tables!$B$3:$D$36,2,FALSE())*X$1)</f>
        <v>0</v>
      </c>
      <c r="BW245" s="72">
        <f>IF(AO245="",0,VLOOKUP(C245,Tables!$B$3:$D$36,2,FALSE())*Y$1)</f>
        <v>0</v>
      </c>
      <c r="BX245" s="72">
        <f>IF(AP245="",0,VLOOKUP(D245,Tables!$B$3:$D$36,2,FALSE())*Z$1)</f>
        <v>0</v>
      </c>
      <c r="BY245" s="85">
        <f>IF(AQ245="",0,VLOOKUP(E245,Tables!$B$3:$D$36,2,FALSE())*AA$1)</f>
        <v>0</v>
      </c>
      <c r="BZ245" s="72">
        <f>IF(AR245="",0,VLOOKUP(F245,Tables!$B$3:$D$36,2,FALSE())*AB$1)</f>
        <v>0</v>
      </c>
      <c r="CA245" s="72">
        <f>IF(AS245="",0,VLOOKUP(G245,Tables!$B$3:$D$36,2,FALSE())*AC$1)</f>
        <v>0</v>
      </c>
      <c r="CB245" s="72">
        <f>IF(AT245="",0,VLOOKUP(H245,Tables!$B$3:$D$36,2,FALSE())*AD$1)</f>
        <v>0</v>
      </c>
      <c r="CC245" s="72">
        <f>IF(AU245="",0,VLOOKUP(I245,Tables!$B$3:$D$36,2,FALSE())*AE$1)</f>
        <v>0</v>
      </c>
      <c r="CD245" s="85">
        <f>IF(AV245="",0,VLOOKUP(J245,Tables!$B$3:$D$36,2,FALSE())*AF$1)</f>
        <v>0</v>
      </c>
      <c r="CE245" s="72">
        <f>IF(AW245="",0,VLOOKUP(K245,Tables!$B$3:$D$36,2,FALSE())*AG$1)</f>
        <v>0</v>
      </c>
      <c r="CF245" s="72">
        <f>IF(AX245="",0,VLOOKUP(L245,Tables!$B$3:$D$36,2,FALSE())*AH$1)</f>
        <v>0</v>
      </c>
      <c r="CG245" s="85">
        <f>IF(AY245="",0,VLOOKUP(M245,Tables!$B$3:$D$36,2,FALSE())*AI$1)</f>
        <v>0</v>
      </c>
      <c r="CH245" s="72">
        <f>IF(AZ245="",0,VLOOKUP(N245,Tables!$B$3:$D$36,2,FALSE())*AJ$1)</f>
        <v>0</v>
      </c>
      <c r="CI245" s="72">
        <f>IF(BA245="",0,VLOOKUP(O245,Tables!$B$3:$D$36,2,FALSE())*AK$1)</f>
        <v>0</v>
      </c>
      <c r="CJ245" s="86">
        <f>IF(BB245="",0,VLOOKUP(P245,Tables!$B$3:$D$36,2,FALSE())*AL$1)</f>
        <v>0</v>
      </c>
      <c r="CK245" s="87">
        <f>IF(AN245="",0,VLOOKUP(B245,Tables!$B$3:$D$36,3,FALSE())*X$1)*IF(OR(AN245="K",AN245="P"),2,1)</f>
        <v>0</v>
      </c>
      <c r="CL245" s="73">
        <f>IF(AO245="",0,VLOOKUP(C245,Tables!$B$3:$D$36,3,FALSE())*Y$1)*IF(OR(AO245="K",AO245="P"),2,1)</f>
        <v>0</v>
      </c>
      <c r="CM245" s="73">
        <f>IF(AP245="",0,VLOOKUP(D245,Tables!$B$3:$D$36,3,FALSE())*Z$1)*IF(OR(AP245="K",AP245="P"),2,1)</f>
        <v>0</v>
      </c>
      <c r="CN245" s="87">
        <f>IF(AQ245="",0,VLOOKUP(E245,Tables!$B$3:$D$36,3,FALSE())*AA$1)</f>
        <v>0</v>
      </c>
      <c r="CO245" s="73">
        <f>IF(AR245="",0,VLOOKUP(F245,Tables!$B$3:$D$36,3,FALSE())*AB$1)</f>
        <v>0</v>
      </c>
      <c r="CP245" s="73">
        <f>IF(AS245="",0,VLOOKUP(G245,Tables!$B$3:$D$36,3,FALSE())*AC$1)</f>
        <v>0</v>
      </c>
      <c r="CQ245" s="73">
        <f>IF(AT245="",0,VLOOKUP(H245,Tables!$B$3:$D$36,3,FALSE())*AD$1)</f>
        <v>0</v>
      </c>
      <c r="CR245" s="73">
        <f>IF(AU245="",0,VLOOKUP(I245,Tables!$B$3:$D$36,3,FALSE())*AE$1)</f>
        <v>0</v>
      </c>
      <c r="CS245" s="87">
        <f>IF(AV245="",0,VLOOKUP(J245,Tables!$B$3:$D$36,3,FALSE())*AF$1)</f>
        <v>0</v>
      </c>
      <c r="CT245" s="73">
        <f>IF(AW245="",0,VLOOKUP(K245,Tables!$B$3:$D$36,3,FALSE())*AG$1)</f>
        <v>0</v>
      </c>
      <c r="CU245" s="73">
        <f>IF(AX245="",0,VLOOKUP(L245,Tables!$B$3:$D$36,3,FALSE())*AH$1)</f>
        <v>0</v>
      </c>
      <c r="CV245" s="87">
        <f>IF(AY245="",0,VLOOKUP(M245,Tables!$B$3:$D$36,3,FALSE())*AI$1)</f>
        <v>0</v>
      </c>
      <c r="CW245" s="73">
        <f>IF(AZ245="",0,VLOOKUP(N245,Tables!$B$3:$D$36,3,FALSE())*AJ$1)</f>
        <v>0</v>
      </c>
      <c r="CX245" s="73">
        <f>IF(BA245="",0,VLOOKUP(O245,Tables!$B$3:$D$36,3,FALSE())*AK$1)</f>
        <v>0</v>
      </c>
      <c r="CY245" s="88">
        <f>IF(BB245="",0,VLOOKUP(P245,Tables!$B$3:$D$36,3,FALSE())*AL$1)</f>
        <v>0</v>
      </c>
      <c r="CZ245" s="89">
        <f t="shared" si="208"/>
        <v>0</v>
      </c>
      <c r="DA245" s="75">
        <f t="shared" si="209"/>
        <v>0</v>
      </c>
      <c r="DB245" s="75">
        <f t="shared" si="210"/>
        <v>0</v>
      </c>
      <c r="DC245" s="89">
        <f t="shared" si="211"/>
        <v>0</v>
      </c>
      <c r="DD245" s="75">
        <f t="shared" si="212"/>
        <v>0</v>
      </c>
      <c r="DE245" s="75">
        <f t="shared" si="213"/>
        <v>0</v>
      </c>
      <c r="DF245" s="75">
        <f t="shared" si="214"/>
        <v>0</v>
      </c>
      <c r="DG245" s="75">
        <f t="shared" si="215"/>
        <v>0</v>
      </c>
      <c r="DH245" s="89">
        <f t="shared" si="216"/>
        <v>0</v>
      </c>
      <c r="DI245" s="75">
        <f t="shared" si="217"/>
        <v>0</v>
      </c>
      <c r="DJ245" s="75">
        <f t="shared" si="218"/>
        <v>0</v>
      </c>
      <c r="DK245" s="89">
        <f t="shared" si="219"/>
        <v>0</v>
      </c>
      <c r="DL245" s="75">
        <f t="shared" si="220"/>
        <v>0</v>
      </c>
      <c r="DM245" s="75">
        <f t="shared" si="221"/>
        <v>0</v>
      </c>
      <c r="DN245" s="90">
        <f t="shared" si="222"/>
        <v>0</v>
      </c>
      <c r="DO245" s="91">
        <f>IF(AN245="",0,VLOOKUP(B245,Tables!$B$3:$M$36,11,FALSE())*X$1)</f>
        <v>0</v>
      </c>
      <c r="DP245" s="92">
        <f>IF(AO245="",0,VLOOKUP(C245,Tables!$B$3:$M$36,11,FALSE())*Y$1)</f>
        <v>0</v>
      </c>
      <c r="DQ245" s="92">
        <f>IF(AP245="",0,VLOOKUP(D245,Tables!$B$3:$M$36,11,FALSE())*Z$1)</f>
        <v>0</v>
      </c>
      <c r="DR245" s="91">
        <f>IF(AQ245="",0,VLOOKUP(E245,Tables!$B$3:$M$36,11,FALSE())*AA$1)</f>
        <v>0</v>
      </c>
      <c r="DS245" s="92">
        <f>IF(AR245="",0,VLOOKUP(F245,Tables!$B$3:$M$36,11,FALSE())*AB$1)</f>
        <v>0</v>
      </c>
      <c r="DT245" s="92">
        <f>IF(AS245="",0,VLOOKUP(G245,Tables!$B$3:$M$36,11,FALSE())*AC$1)</f>
        <v>0</v>
      </c>
      <c r="DU245" s="92">
        <f>IF(AT245="",0,VLOOKUP(H245,Tables!$B$3:$M$36,11,FALSE())*AD$1)</f>
        <v>0</v>
      </c>
      <c r="DV245" s="92">
        <f>IF(AU245="",0,VLOOKUP(I245,Tables!$B$3:$M$36,11,FALSE())*AE$1)</f>
        <v>0</v>
      </c>
      <c r="DW245" s="91">
        <f>IF(AV245="",0,VLOOKUP(J245,Tables!$B$3:$M$36,11,FALSE())*AF$1)</f>
        <v>0</v>
      </c>
      <c r="DX245" s="92">
        <f>IF(AW245="",0,VLOOKUP(K245,Tables!$B$3:$M$36,11,FALSE())*AG$1)</f>
        <v>0</v>
      </c>
      <c r="DY245" s="92">
        <f>IF(AX245="",0,VLOOKUP(L245,Tables!$B$3:$M$36,11,FALSE())*AH$1)</f>
        <v>0</v>
      </c>
      <c r="DZ245" s="91">
        <f>IF(AY245="",0,VLOOKUP(M245,Tables!$B$3:$M$36,11,FALSE())*AI$1)</f>
        <v>0</v>
      </c>
      <c r="EA245" s="92">
        <f>IF(AZ245="",0,VLOOKUP(N245,Tables!$B$3:$M$36,11,FALSE())*AJ$1)</f>
        <v>0</v>
      </c>
      <c r="EB245" s="92">
        <f>IF(BA245="",0,VLOOKUP(O245,Tables!$B$3:$M$36,11,FALSE())*AK$1)</f>
        <v>0</v>
      </c>
      <c r="EC245" s="93">
        <f>IF(BB245="",0,VLOOKUP(P245,Tables!$B$3:$M$36,11,FALSE())*AL$1)</f>
        <v>0</v>
      </c>
      <c r="ED245" s="91">
        <f>IF(AN245="",0,VLOOKUP(B245,Tables!$B$3:$M$36,12,FALSE())*X$1)</f>
        <v>0</v>
      </c>
      <c r="EE245" s="92">
        <f>IF(AO245="",0,VLOOKUP(C245,Tables!$B$3:$M$36,12,FALSE())*Y$1)</f>
        <v>0</v>
      </c>
      <c r="EF245" s="92">
        <f>IF(AP245="",0,VLOOKUP(D245,Tables!$B$3:$M$36,12,FALSE())*Z$1)</f>
        <v>0</v>
      </c>
      <c r="EG245" s="91">
        <f>IF(AQ245="",0,VLOOKUP(E245,Tables!$B$3:$M$36,12,FALSE())*AA$1)</f>
        <v>0</v>
      </c>
      <c r="EH245" s="92">
        <f>IF(AR245="",0,VLOOKUP(F245,Tables!$B$3:$M$36,12,FALSE())*AB$1)</f>
        <v>0</v>
      </c>
      <c r="EI245" s="92">
        <f>IF(AS245="",0,VLOOKUP(G245,Tables!$B$3:$M$36,12,FALSE())*AC$1)</f>
        <v>0</v>
      </c>
      <c r="EJ245" s="92">
        <f>IF(AT245="",0,VLOOKUP(H245,Tables!$B$3:$M$36,12,FALSE())*AD$1)</f>
        <v>0</v>
      </c>
      <c r="EK245" s="92">
        <f>IF(AU245="",0,VLOOKUP(I245,Tables!$B$3:$M$36,12,FALSE())*AE$1)</f>
        <v>0</v>
      </c>
      <c r="EL245" s="91">
        <f>IF(AV245="",0,VLOOKUP(J245,Tables!$B$3:$M$36,12,FALSE())*AF$1)</f>
        <v>0</v>
      </c>
      <c r="EM245" s="92">
        <f>IF(AW245="",0,VLOOKUP(K245,Tables!$B$3:$M$36,12,FALSE())*AG$1)</f>
        <v>0</v>
      </c>
      <c r="EN245" s="92">
        <f>IF(AX245="",0,VLOOKUP(L245,Tables!$B$3:$M$36,12,FALSE())*AH$1)</f>
        <v>0</v>
      </c>
      <c r="EO245" s="91">
        <f>IF(AY245="",0,VLOOKUP(M245,Tables!$B$3:$M$36,12,FALSE())*AI$1)</f>
        <v>0</v>
      </c>
      <c r="EP245" s="92">
        <f>IF(AZ245="",0,VLOOKUP(N245,Tables!$B$3:$M$36,12,FALSE())*AJ$1)</f>
        <v>0</v>
      </c>
      <c r="EQ245" s="92">
        <f>IF(BA245="",0,VLOOKUP(O245,Tables!$B$3:$M$36,12,FALSE())*AK$1)</f>
        <v>0</v>
      </c>
      <c r="ER245" s="93">
        <f>IF(BB245="",0,VLOOKUP(P245,Tables!$B$3:$M$36,12,FALSE())*AL$1)</f>
        <v>0</v>
      </c>
      <c r="ES245" s="94">
        <f t="shared" si="223"/>
        <v>0</v>
      </c>
      <c r="ET245" s="95">
        <f>IF(AN245="",10,MIN(VLOOKUP(B245,MATERIAL,13,FALSE()),'Item Builder'!$W245))</f>
        <v>10</v>
      </c>
      <c r="EU245" s="95">
        <f>IF(AO245="",10,MIN(VLOOKUP(C245,MATERIAL,13,FALSE()),'Item Builder'!$W245))</f>
        <v>10</v>
      </c>
      <c r="EV245" s="95">
        <f>IF(AP245="",10,MIN(VLOOKUP(D245,MATERIAL,13,FALSE()),'Item Builder'!$W245))</f>
        <v>10</v>
      </c>
      <c r="EW245" s="95">
        <f>IF(AQ245="",10,MIN(VLOOKUP(E245,MATERIAL,13,FALSE()),'Item Builder'!$W245))</f>
        <v>10</v>
      </c>
      <c r="EX245" s="95">
        <f>IF(AR245="",10,MIN(VLOOKUP(F245,MATERIAL,13,FALSE()),'Item Builder'!$W245))</f>
        <v>10</v>
      </c>
      <c r="EY245" s="95">
        <f>IF(AS245="",10,MIN(VLOOKUP(G245,MATERIAL,13,FALSE()),'Item Builder'!$W245))</f>
        <v>10</v>
      </c>
      <c r="EZ245" s="95">
        <f>IF(AT245="",10,MIN(VLOOKUP(H245,MATERIAL,13,FALSE()),'Item Builder'!$W245))</f>
        <v>10</v>
      </c>
      <c r="FA245" s="95">
        <f>IF(AU245="",10,MIN(VLOOKUP(I245,MATERIAL,13,FALSE()),'Item Builder'!$W245))</f>
        <v>10</v>
      </c>
      <c r="FB245" s="95">
        <f>IF(AV245="",10,MIN(VLOOKUP(J245,MATERIAL,13,FALSE()),'Item Builder'!$W245))</f>
        <v>10</v>
      </c>
      <c r="FC245" s="95">
        <f>IF(AW245="",10,MIN(VLOOKUP(K245,MATERIAL,13,FALSE()),'Item Builder'!$W245))</f>
        <v>10</v>
      </c>
      <c r="FD245" s="95">
        <f>IF(AX245="",10,MIN(VLOOKUP(L245,MATERIAL,13,FALSE()),'Item Builder'!$W245))</f>
        <v>10</v>
      </c>
      <c r="FE245" s="95">
        <f>IF(AY245="",10,MIN(VLOOKUP(M245,MATERIAL,13,FALSE()),'Item Builder'!$W245))</f>
        <v>10</v>
      </c>
      <c r="FF245" s="95">
        <f>IF(AZ245="",10,MIN(VLOOKUP(N245,MATERIAL,13,FALSE()),'Item Builder'!$W245))</f>
        <v>10</v>
      </c>
      <c r="FG245" s="95">
        <f>IF(BA245="",10,MIN(VLOOKUP(O245,MATERIAL,13,FALSE()),'Item Builder'!$W245))</f>
        <v>10</v>
      </c>
      <c r="FH245" s="95">
        <f>IF(BB245="",10,MIN(VLOOKUP(P245,MATERIAL,13,FALSE()),'Item Builder'!$W245))</f>
        <v>10</v>
      </c>
    </row>
    <row r="246" spans="1:164" x14ac:dyDescent="0.25">
      <c r="A246" s="67"/>
      <c r="B246" s="68"/>
      <c r="C246" s="69"/>
      <c r="D246" s="70"/>
      <c r="E246" s="68"/>
      <c r="F246" s="69"/>
      <c r="G246" s="69"/>
      <c r="H246" s="69"/>
      <c r="I246" s="70"/>
      <c r="J246" s="68"/>
      <c r="K246" s="69"/>
      <c r="L246" s="70"/>
      <c r="M246" s="68"/>
      <c r="N246" s="69"/>
      <c r="O246" s="69"/>
      <c r="P246" s="71"/>
      <c r="Q246" s="72">
        <f>SUM(BV246:CJ246)*VLOOKUP(W246,Tables!$W$3:$Z$8,4)</f>
        <v>0</v>
      </c>
      <c r="R246" s="73">
        <f t="shared" si="168"/>
        <v>0</v>
      </c>
      <c r="S246" s="74">
        <f t="shared" si="169"/>
        <v>0</v>
      </c>
      <c r="T246" s="74">
        <f t="shared" si="170"/>
        <v>0</v>
      </c>
      <c r="U246" s="75">
        <f t="shared" si="171"/>
        <v>0</v>
      </c>
      <c r="V246" s="76">
        <f t="shared" si="172"/>
        <v>0</v>
      </c>
      <c r="W246" s="77">
        <v>0</v>
      </c>
      <c r="X246" s="78">
        <f t="shared" si="173"/>
        <v>0</v>
      </c>
      <c r="Y246" s="79">
        <f t="shared" si="174"/>
        <v>0</v>
      </c>
      <c r="Z246" s="79">
        <f t="shared" si="175"/>
        <v>0</v>
      </c>
      <c r="AA246" s="78">
        <f t="shared" si="176"/>
        <v>0</v>
      </c>
      <c r="AB246" s="79">
        <f t="shared" si="177"/>
        <v>0</v>
      </c>
      <c r="AC246" s="79">
        <f t="shared" si="178"/>
        <v>0</v>
      </c>
      <c r="AD246" s="79">
        <f t="shared" si="179"/>
        <v>0</v>
      </c>
      <c r="AE246" s="79">
        <f t="shared" si="180"/>
        <v>0</v>
      </c>
      <c r="AF246" s="78">
        <f t="shared" si="181"/>
        <v>0</v>
      </c>
      <c r="AG246" s="79">
        <f t="shared" si="182"/>
        <v>0</v>
      </c>
      <c r="AH246" s="79">
        <f t="shared" si="183"/>
        <v>0</v>
      </c>
      <c r="AI246" s="78">
        <f t="shared" si="184"/>
        <v>0</v>
      </c>
      <c r="AJ246" s="79">
        <f t="shared" si="185"/>
        <v>0</v>
      </c>
      <c r="AK246" s="79">
        <f t="shared" si="186"/>
        <v>0</v>
      </c>
      <c r="AL246" s="80">
        <f t="shared" si="187"/>
        <v>0</v>
      </c>
      <c r="AM246" s="81">
        <f t="shared" si="188"/>
        <v>0</v>
      </c>
      <c r="AN246" s="82" t="str">
        <f t="shared" si="189"/>
        <v/>
      </c>
      <c r="AO246" s="79" t="str">
        <f t="shared" si="190"/>
        <v/>
      </c>
      <c r="AP246" t="str">
        <f t="shared" si="191"/>
        <v/>
      </c>
      <c r="AQ246" s="82" t="str">
        <f t="shared" si="192"/>
        <v/>
      </c>
      <c r="AR246" t="str">
        <f t="shared" si="193"/>
        <v/>
      </c>
      <c r="AS246" t="str">
        <f t="shared" si="194"/>
        <v/>
      </c>
      <c r="AT246" t="str">
        <f t="shared" si="195"/>
        <v/>
      </c>
      <c r="AU246" t="str">
        <f t="shared" si="196"/>
        <v/>
      </c>
      <c r="AV246" s="82" t="str">
        <f t="shared" si="197"/>
        <v/>
      </c>
      <c r="AW246" t="str">
        <f t="shared" si="198"/>
        <v/>
      </c>
      <c r="AX246" t="str">
        <f t="shared" si="199"/>
        <v/>
      </c>
      <c r="AY246" s="82" t="str">
        <f t="shared" si="200"/>
        <v/>
      </c>
      <c r="AZ246" t="str">
        <f t="shared" si="201"/>
        <v/>
      </c>
      <c r="BA246" t="str">
        <f t="shared" si="202"/>
        <v/>
      </c>
      <c r="BB246" s="83" t="str">
        <f t="shared" si="203"/>
        <v/>
      </c>
      <c r="BC246" s="84">
        <f t="shared" si="204"/>
        <v>0</v>
      </c>
      <c r="BD246" s="84">
        <f t="shared" si="205"/>
        <v>0</v>
      </c>
      <c r="BE246" s="84">
        <f t="shared" si="206"/>
        <v>0</v>
      </c>
      <c r="BF246" s="84">
        <f t="shared" si="207"/>
        <v>0</v>
      </c>
      <c r="BG246" s="78">
        <f>IF(AN246="",0,VLOOKUP(AN246,Tables!$AB$3:$AC$12,2))</f>
        <v>0</v>
      </c>
      <c r="BH246" s="79">
        <f>IF(AO246="",0,VLOOKUP(AO246,Tables!$AB$3:$AC$12,2))</f>
        <v>0</v>
      </c>
      <c r="BI246" s="79">
        <f>IF(AP246="",0,VLOOKUP(AP246,Tables!$AB$3:$AC$12,2))</f>
        <v>0</v>
      </c>
      <c r="BJ246" s="78">
        <f>IF(AQ246="",0,VLOOKUP(AQ246,Tables!$AB$3:$AC$12,2))</f>
        <v>0</v>
      </c>
      <c r="BK246" s="79">
        <f>IF(AR246="",0,VLOOKUP(AR246,Tables!$AB$3:$AC$12,2))</f>
        <v>0</v>
      </c>
      <c r="BL246" s="79">
        <f>IF(AS246="",0,VLOOKUP(AS246,Tables!$AB$3:$AC$12,2))</f>
        <v>0</v>
      </c>
      <c r="BM246" s="79">
        <f>IF(AT246="",0,VLOOKUP(AT246,Tables!$AB$3:$AC$12,2))</f>
        <v>0</v>
      </c>
      <c r="BN246" s="79">
        <f>IF(AU246="",0,VLOOKUP(AU246,Tables!$AB$3:$AC$12,2))</f>
        <v>0</v>
      </c>
      <c r="BO246" s="78">
        <f>IF(AV246="",0,VLOOKUP(AV246,Tables!$AB$3:$AC$12,2))</f>
        <v>0</v>
      </c>
      <c r="BP246" s="79">
        <f>IF(AW246="",0,VLOOKUP(AW246,Tables!$AB$3:$AC$12,2))</f>
        <v>0</v>
      </c>
      <c r="BQ246" s="79">
        <f>IF(AX246="",0,VLOOKUP(AX246,Tables!$AB$3:$AC$12,2))</f>
        <v>0</v>
      </c>
      <c r="BR246" s="78">
        <f>IF(AY246="",0,VLOOKUP(AY246,Tables!$AB$3:$AC$12,2))</f>
        <v>0</v>
      </c>
      <c r="BS246" s="79">
        <f>IF(AZ246="",0,VLOOKUP(AZ246,Tables!$AB$3:$AC$12,2))</f>
        <v>0</v>
      </c>
      <c r="BT246" s="79">
        <f>IF(BA246="",0,VLOOKUP(BA246,Tables!$AB$3:$AC$12,2))</f>
        <v>0</v>
      </c>
      <c r="BU246" s="80">
        <f>IF(BB246="",0,VLOOKUP(BB246,Tables!$AB$3:$AC$12,2))</f>
        <v>0</v>
      </c>
      <c r="BV246" s="85">
        <f>IF(AN246="",0,VLOOKUP(B246,Tables!$B$3:$D$36,2,FALSE())*X$1)</f>
        <v>0</v>
      </c>
      <c r="BW246" s="72">
        <f>IF(AO246="",0,VLOOKUP(C246,Tables!$B$3:$D$36,2,FALSE())*Y$1)</f>
        <v>0</v>
      </c>
      <c r="BX246" s="72">
        <f>IF(AP246="",0,VLOOKUP(D246,Tables!$B$3:$D$36,2,FALSE())*Z$1)</f>
        <v>0</v>
      </c>
      <c r="BY246" s="85">
        <f>IF(AQ246="",0,VLOOKUP(E246,Tables!$B$3:$D$36,2,FALSE())*AA$1)</f>
        <v>0</v>
      </c>
      <c r="BZ246" s="72">
        <f>IF(AR246="",0,VLOOKUP(F246,Tables!$B$3:$D$36,2,FALSE())*AB$1)</f>
        <v>0</v>
      </c>
      <c r="CA246" s="72">
        <f>IF(AS246="",0,VLOOKUP(G246,Tables!$B$3:$D$36,2,FALSE())*AC$1)</f>
        <v>0</v>
      </c>
      <c r="CB246" s="72">
        <f>IF(AT246="",0,VLOOKUP(H246,Tables!$B$3:$D$36,2,FALSE())*AD$1)</f>
        <v>0</v>
      </c>
      <c r="CC246" s="72">
        <f>IF(AU246="",0,VLOOKUP(I246,Tables!$B$3:$D$36,2,FALSE())*AE$1)</f>
        <v>0</v>
      </c>
      <c r="CD246" s="85">
        <f>IF(AV246="",0,VLOOKUP(J246,Tables!$B$3:$D$36,2,FALSE())*AF$1)</f>
        <v>0</v>
      </c>
      <c r="CE246" s="72">
        <f>IF(AW246="",0,VLOOKUP(K246,Tables!$B$3:$D$36,2,FALSE())*AG$1)</f>
        <v>0</v>
      </c>
      <c r="CF246" s="72">
        <f>IF(AX246="",0,VLOOKUP(L246,Tables!$B$3:$D$36,2,FALSE())*AH$1)</f>
        <v>0</v>
      </c>
      <c r="CG246" s="85">
        <f>IF(AY246="",0,VLOOKUP(M246,Tables!$B$3:$D$36,2,FALSE())*AI$1)</f>
        <v>0</v>
      </c>
      <c r="CH246" s="72">
        <f>IF(AZ246="",0,VLOOKUP(N246,Tables!$B$3:$D$36,2,FALSE())*AJ$1)</f>
        <v>0</v>
      </c>
      <c r="CI246" s="72">
        <f>IF(BA246="",0,VLOOKUP(O246,Tables!$B$3:$D$36,2,FALSE())*AK$1)</f>
        <v>0</v>
      </c>
      <c r="CJ246" s="86">
        <f>IF(BB246="",0,VLOOKUP(P246,Tables!$B$3:$D$36,2,FALSE())*AL$1)</f>
        <v>0</v>
      </c>
      <c r="CK246" s="87">
        <f>IF(AN246="",0,VLOOKUP(B246,Tables!$B$3:$D$36,3,FALSE())*X$1)*IF(OR(AN246="K",AN246="P"),2,1)</f>
        <v>0</v>
      </c>
      <c r="CL246" s="73">
        <f>IF(AO246="",0,VLOOKUP(C246,Tables!$B$3:$D$36,3,FALSE())*Y$1)*IF(OR(AO246="K",AO246="P"),2,1)</f>
        <v>0</v>
      </c>
      <c r="CM246" s="73">
        <f>IF(AP246="",0,VLOOKUP(D246,Tables!$B$3:$D$36,3,FALSE())*Z$1)*IF(OR(AP246="K",AP246="P"),2,1)</f>
        <v>0</v>
      </c>
      <c r="CN246" s="87">
        <f>IF(AQ246="",0,VLOOKUP(E246,Tables!$B$3:$D$36,3,FALSE())*AA$1)</f>
        <v>0</v>
      </c>
      <c r="CO246" s="73">
        <f>IF(AR246="",0,VLOOKUP(F246,Tables!$B$3:$D$36,3,FALSE())*AB$1)</f>
        <v>0</v>
      </c>
      <c r="CP246" s="73">
        <f>IF(AS246="",0,VLOOKUP(G246,Tables!$B$3:$D$36,3,FALSE())*AC$1)</f>
        <v>0</v>
      </c>
      <c r="CQ246" s="73">
        <f>IF(AT246="",0,VLOOKUP(H246,Tables!$B$3:$D$36,3,FALSE())*AD$1)</f>
        <v>0</v>
      </c>
      <c r="CR246" s="73">
        <f>IF(AU246="",0,VLOOKUP(I246,Tables!$B$3:$D$36,3,FALSE())*AE$1)</f>
        <v>0</v>
      </c>
      <c r="CS246" s="87">
        <f>IF(AV246="",0,VLOOKUP(J246,Tables!$B$3:$D$36,3,FALSE())*AF$1)</f>
        <v>0</v>
      </c>
      <c r="CT246" s="73">
        <f>IF(AW246="",0,VLOOKUP(K246,Tables!$B$3:$D$36,3,FALSE())*AG$1)</f>
        <v>0</v>
      </c>
      <c r="CU246" s="73">
        <f>IF(AX246="",0,VLOOKUP(L246,Tables!$B$3:$D$36,3,FALSE())*AH$1)</f>
        <v>0</v>
      </c>
      <c r="CV246" s="87">
        <f>IF(AY246="",0,VLOOKUP(M246,Tables!$B$3:$D$36,3,FALSE())*AI$1)</f>
        <v>0</v>
      </c>
      <c r="CW246" s="73">
        <f>IF(AZ246="",0,VLOOKUP(N246,Tables!$B$3:$D$36,3,FALSE())*AJ$1)</f>
        <v>0</v>
      </c>
      <c r="CX246" s="73">
        <f>IF(BA246="",0,VLOOKUP(O246,Tables!$B$3:$D$36,3,FALSE())*AK$1)</f>
        <v>0</v>
      </c>
      <c r="CY246" s="88">
        <f>IF(BB246="",0,VLOOKUP(P246,Tables!$B$3:$D$36,3,FALSE())*AL$1)</f>
        <v>0</v>
      </c>
      <c r="CZ246" s="89">
        <f t="shared" si="208"/>
        <v>0</v>
      </c>
      <c r="DA246" s="75">
        <f t="shared" si="209"/>
        <v>0</v>
      </c>
      <c r="DB246" s="75">
        <f t="shared" si="210"/>
        <v>0</v>
      </c>
      <c r="DC246" s="89">
        <f t="shared" si="211"/>
        <v>0</v>
      </c>
      <c r="DD246" s="75">
        <f t="shared" si="212"/>
        <v>0</v>
      </c>
      <c r="DE246" s="75">
        <f t="shared" si="213"/>
        <v>0</v>
      </c>
      <c r="DF246" s="75">
        <f t="shared" si="214"/>
        <v>0</v>
      </c>
      <c r="DG246" s="75">
        <f t="shared" si="215"/>
        <v>0</v>
      </c>
      <c r="DH246" s="89">
        <f t="shared" si="216"/>
        <v>0</v>
      </c>
      <c r="DI246" s="75">
        <f t="shared" si="217"/>
        <v>0</v>
      </c>
      <c r="DJ246" s="75">
        <f t="shared" si="218"/>
        <v>0</v>
      </c>
      <c r="DK246" s="89">
        <f t="shared" si="219"/>
        <v>0</v>
      </c>
      <c r="DL246" s="75">
        <f t="shared" si="220"/>
        <v>0</v>
      </c>
      <c r="DM246" s="75">
        <f t="shared" si="221"/>
        <v>0</v>
      </c>
      <c r="DN246" s="90">
        <f t="shared" si="222"/>
        <v>0</v>
      </c>
      <c r="DO246" s="91">
        <f>IF(AN246="",0,VLOOKUP(B246,Tables!$B$3:$M$36,11,FALSE())*X$1)</f>
        <v>0</v>
      </c>
      <c r="DP246" s="92">
        <f>IF(AO246="",0,VLOOKUP(C246,Tables!$B$3:$M$36,11,FALSE())*Y$1)</f>
        <v>0</v>
      </c>
      <c r="DQ246" s="92">
        <f>IF(AP246="",0,VLOOKUP(D246,Tables!$B$3:$M$36,11,FALSE())*Z$1)</f>
        <v>0</v>
      </c>
      <c r="DR246" s="91">
        <f>IF(AQ246="",0,VLOOKUP(E246,Tables!$B$3:$M$36,11,FALSE())*AA$1)</f>
        <v>0</v>
      </c>
      <c r="DS246" s="92">
        <f>IF(AR246="",0,VLOOKUP(F246,Tables!$B$3:$M$36,11,FALSE())*AB$1)</f>
        <v>0</v>
      </c>
      <c r="DT246" s="92">
        <f>IF(AS246="",0,VLOOKUP(G246,Tables!$B$3:$M$36,11,FALSE())*AC$1)</f>
        <v>0</v>
      </c>
      <c r="DU246" s="92">
        <f>IF(AT246="",0,VLOOKUP(H246,Tables!$B$3:$M$36,11,FALSE())*AD$1)</f>
        <v>0</v>
      </c>
      <c r="DV246" s="92">
        <f>IF(AU246="",0,VLOOKUP(I246,Tables!$B$3:$M$36,11,FALSE())*AE$1)</f>
        <v>0</v>
      </c>
      <c r="DW246" s="91">
        <f>IF(AV246="",0,VLOOKUP(J246,Tables!$B$3:$M$36,11,FALSE())*AF$1)</f>
        <v>0</v>
      </c>
      <c r="DX246" s="92">
        <f>IF(AW246="",0,VLOOKUP(K246,Tables!$B$3:$M$36,11,FALSE())*AG$1)</f>
        <v>0</v>
      </c>
      <c r="DY246" s="92">
        <f>IF(AX246="",0,VLOOKUP(L246,Tables!$B$3:$M$36,11,FALSE())*AH$1)</f>
        <v>0</v>
      </c>
      <c r="DZ246" s="91">
        <f>IF(AY246="",0,VLOOKUP(M246,Tables!$B$3:$M$36,11,FALSE())*AI$1)</f>
        <v>0</v>
      </c>
      <c r="EA246" s="92">
        <f>IF(AZ246="",0,VLOOKUP(N246,Tables!$B$3:$M$36,11,FALSE())*AJ$1)</f>
        <v>0</v>
      </c>
      <c r="EB246" s="92">
        <f>IF(BA246="",0,VLOOKUP(O246,Tables!$B$3:$M$36,11,FALSE())*AK$1)</f>
        <v>0</v>
      </c>
      <c r="EC246" s="93">
        <f>IF(BB246="",0,VLOOKUP(P246,Tables!$B$3:$M$36,11,FALSE())*AL$1)</f>
        <v>0</v>
      </c>
      <c r="ED246" s="91">
        <f>IF(AN246="",0,VLOOKUP(B246,Tables!$B$3:$M$36,12,FALSE())*X$1)</f>
        <v>0</v>
      </c>
      <c r="EE246" s="92">
        <f>IF(AO246="",0,VLOOKUP(C246,Tables!$B$3:$M$36,12,FALSE())*Y$1)</f>
        <v>0</v>
      </c>
      <c r="EF246" s="92">
        <f>IF(AP246="",0,VLOOKUP(D246,Tables!$B$3:$M$36,12,FALSE())*Z$1)</f>
        <v>0</v>
      </c>
      <c r="EG246" s="91">
        <f>IF(AQ246="",0,VLOOKUP(E246,Tables!$B$3:$M$36,12,FALSE())*AA$1)</f>
        <v>0</v>
      </c>
      <c r="EH246" s="92">
        <f>IF(AR246="",0,VLOOKUP(F246,Tables!$B$3:$M$36,12,FALSE())*AB$1)</f>
        <v>0</v>
      </c>
      <c r="EI246" s="92">
        <f>IF(AS246="",0,VLOOKUP(G246,Tables!$B$3:$M$36,12,FALSE())*AC$1)</f>
        <v>0</v>
      </c>
      <c r="EJ246" s="92">
        <f>IF(AT246="",0,VLOOKUP(H246,Tables!$B$3:$M$36,12,FALSE())*AD$1)</f>
        <v>0</v>
      </c>
      <c r="EK246" s="92">
        <f>IF(AU246="",0,VLOOKUP(I246,Tables!$B$3:$M$36,12,FALSE())*AE$1)</f>
        <v>0</v>
      </c>
      <c r="EL246" s="91">
        <f>IF(AV246="",0,VLOOKUP(J246,Tables!$B$3:$M$36,12,FALSE())*AF$1)</f>
        <v>0</v>
      </c>
      <c r="EM246" s="92">
        <f>IF(AW246="",0,VLOOKUP(K246,Tables!$B$3:$M$36,12,FALSE())*AG$1)</f>
        <v>0</v>
      </c>
      <c r="EN246" s="92">
        <f>IF(AX246="",0,VLOOKUP(L246,Tables!$B$3:$M$36,12,FALSE())*AH$1)</f>
        <v>0</v>
      </c>
      <c r="EO246" s="91">
        <f>IF(AY246="",0,VLOOKUP(M246,Tables!$B$3:$M$36,12,FALSE())*AI$1)</f>
        <v>0</v>
      </c>
      <c r="EP246" s="92">
        <f>IF(AZ246="",0,VLOOKUP(N246,Tables!$B$3:$M$36,12,FALSE())*AJ$1)</f>
        <v>0</v>
      </c>
      <c r="EQ246" s="92">
        <f>IF(BA246="",0,VLOOKUP(O246,Tables!$B$3:$M$36,12,FALSE())*AK$1)</f>
        <v>0</v>
      </c>
      <c r="ER246" s="93">
        <f>IF(BB246="",0,VLOOKUP(P246,Tables!$B$3:$M$36,12,FALSE())*AL$1)</f>
        <v>0</v>
      </c>
      <c r="ES246" s="94">
        <f t="shared" si="223"/>
        <v>0</v>
      </c>
      <c r="ET246" s="95">
        <f>IF(AN246="",10,MIN(VLOOKUP(B246,MATERIAL,13,FALSE()),'Item Builder'!$W246))</f>
        <v>10</v>
      </c>
      <c r="EU246" s="95">
        <f>IF(AO246="",10,MIN(VLOOKUP(C246,MATERIAL,13,FALSE()),'Item Builder'!$W246))</f>
        <v>10</v>
      </c>
      <c r="EV246" s="95">
        <f>IF(AP246="",10,MIN(VLOOKUP(D246,MATERIAL,13,FALSE()),'Item Builder'!$W246))</f>
        <v>10</v>
      </c>
      <c r="EW246" s="95">
        <f>IF(AQ246="",10,MIN(VLOOKUP(E246,MATERIAL,13,FALSE()),'Item Builder'!$W246))</f>
        <v>10</v>
      </c>
      <c r="EX246" s="95">
        <f>IF(AR246="",10,MIN(VLOOKUP(F246,MATERIAL,13,FALSE()),'Item Builder'!$W246))</f>
        <v>10</v>
      </c>
      <c r="EY246" s="95">
        <f>IF(AS246="",10,MIN(VLOOKUP(G246,MATERIAL,13,FALSE()),'Item Builder'!$W246))</f>
        <v>10</v>
      </c>
      <c r="EZ246" s="95">
        <f>IF(AT246="",10,MIN(VLOOKUP(H246,MATERIAL,13,FALSE()),'Item Builder'!$W246))</f>
        <v>10</v>
      </c>
      <c r="FA246" s="95">
        <f>IF(AU246="",10,MIN(VLOOKUP(I246,MATERIAL,13,FALSE()),'Item Builder'!$W246))</f>
        <v>10</v>
      </c>
      <c r="FB246" s="95">
        <f>IF(AV246="",10,MIN(VLOOKUP(J246,MATERIAL,13,FALSE()),'Item Builder'!$W246))</f>
        <v>10</v>
      </c>
      <c r="FC246" s="95">
        <f>IF(AW246="",10,MIN(VLOOKUP(K246,MATERIAL,13,FALSE()),'Item Builder'!$W246))</f>
        <v>10</v>
      </c>
      <c r="FD246" s="95">
        <f>IF(AX246="",10,MIN(VLOOKUP(L246,MATERIAL,13,FALSE()),'Item Builder'!$W246))</f>
        <v>10</v>
      </c>
      <c r="FE246" s="95">
        <f>IF(AY246="",10,MIN(VLOOKUP(M246,MATERIAL,13,FALSE()),'Item Builder'!$W246))</f>
        <v>10</v>
      </c>
      <c r="FF246" s="95">
        <f>IF(AZ246="",10,MIN(VLOOKUP(N246,MATERIAL,13,FALSE()),'Item Builder'!$W246))</f>
        <v>10</v>
      </c>
      <c r="FG246" s="95">
        <f>IF(BA246="",10,MIN(VLOOKUP(O246,MATERIAL,13,FALSE()),'Item Builder'!$W246))</f>
        <v>10</v>
      </c>
      <c r="FH246" s="95">
        <f>IF(BB246="",10,MIN(VLOOKUP(P246,MATERIAL,13,FALSE()),'Item Builder'!$W246))</f>
        <v>10</v>
      </c>
    </row>
    <row r="247" spans="1:164" x14ac:dyDescent="0.25">
      <c r="A247" s="67"/>
      <c r="B247" s="68"/>
      <c r="C247" s="69"/>
      <c r="D247" s="70"/>
      <c r="E247" s="68"/>
      <c r="F247" s="69"/>
      <c r="G247" s="69"/>
      <c r="H247" s="69"/>
      <c r="I247" s="70"/>
      <c r="J247" s="68"/>
      <c r="K247" s="69"/>
      <c r="L247" s="70"/>
      <c r="M247" s="68"/>
      <c r="N247" s="69"/>
      <c r="O247" s="69"/>
      <c r="P247" s="71"/>
      <c r="Q247" s="72">
        <f>SUM(BV247:CJ247)*VLOOKUP(W247,Tables!$W$3:$Z$8,4)</f>
        <v>0</v>
      </c>
      <c r="R247" s="73">
        <f t="shared" si="168"/>
        <v>0</v>
      </c>
      <c r="S247" s="74">
        <f t="shared" si="169"/>
        <v>0</v>
      </c>
      <c r="T247" s="74">
        <f t="shared" si="170"/>
        <v>0</v>
      </c>
      <c r="U247" s="75">
        <f t="shared" si="171"/>
        <v>0</v>
      </c>
      <c r="V247" s="76">
        <f t="shared" si="172"/>
        <v>0</v>
      </c>
      <c r="W247" s="77">
        <v>0</v>
      </c>
      <c r="X247" s="78">
        <f t="shared" si="173"/>
        <v>0</v>
      </c>
      <c r="Y247" s="79">
        <f t="shared" si="174"/>
        <v>0</v>
      </c>
      <c r="Z247" s="79">
        <f t="shared" si="175"/>
        <v>0</v>
      </c>
      <c r="AA247" s="78">
        <f t="shared" si="176"/>
        <v>0</v>
      </c>
      <c r="AB247" s="79">
        <f t="shared" si="177"/>
        <v>0</v>
      </c>
      <c r="AC247" s="79">
        <f t="shared" si="178"/>
        <v>0</v>
      </c>
      <c r="AD247" s="79">
        <f t="shared" si="179"/>
        <v>0</v>
      </c>
      <c r="AE247" s="79">
        <f t="shared" si="180"/>
        <v>0</v>
      </c>
      <c r="AF247" s="78">
        <f t="shared" si="181"/>
        <v>0</v>
      </c>
      <c r="AG247" s="79">
        <f t="shared" si="182"/>
        <v>0</v>
      </c>
      <c r="AH247" s="79">
        <f t="shared" si="183"/>
        <v>0</v>
      </c>
      <c r="AI247" s="78">
        <f t="shared" si="184"/>
        <v>0</v>
      </c>
      <c r="AJ247" s="79">
        <f t="shared" si="185"/>
        <v>0</v>
      </c>
      <c r="AK247" s="79">
        <f t="shared" si="186"/>
        <v>0</v>
      </c>
      <c r="AL247" s="80">
        <f t="shared" si="187"/>
        <v>0</v>
      </c>
      <c r="AM247" s="81">
        <f t="shared" si="188"/>
        <v>0</v>
      </c>
      <c r="AN247" s="82" t="str">
        <f t="shared" si="189"/>
        <v/>
      </c>
      <c r="AO247" s="79" t="str">
        <f t="shared" si="190"/>
        <v/>
      </c>
      <c r="AP247" t="str">
        <f t="shared" si="191"/>
        <v/>
      </c>
      <c r="AQ247" s="82" t="str">
        <f t="shared" si="192"/>
        <v/>
      </c>
      <c r="AR247" t="str">
        <f t="shared" si="193"/>
        <v/>
      </c>
      <c r="AS247" t="str">
        <f t="shared" si="194"/>
        <v/>
      </c>
      <c r="AT247" t="str">
        <f t="shared" si="195"/>
        <v/>
      </c>
      <c r="AU247" t="str">
        <f t="shared" si="196"/>
        <v/>
      </c>
      <c r="AV247" s="82" t="str">
        <f t="shared" si="197"/>
        <v/>
      </c>
      <c r="AW247" t="str">
        <f t="shared" si="198"/>
        <v/>
      </c>
      <c r="AX247" t="str">
        <f t="shared" si="199"/>
        <v/>
      </c>
      <c r="AY247" s="82" t="str">
        <f t="shared" si="200"/>
        <v/>
      </c>
      <c r="AZ247" t="str">
        <f t="shared" si="201"/>
        <v/>
      </c>
      <c r="BA247" t="str">
        <f t="shared" si="202"/>
        <v/>
      </c>
      <c r="BB247" s="83" t="str">
        <f t="shared" si="203"/>
        <v/>
      </c>
      <c r="BC247" s="84">
        <f t="shared" si="204"/>
        <v>0</v>
      </c>
      <c r="BD247" s="84">
        <f t="shared" si="205"/>
        <v>0</v>
      </c>
      <c r="BE247" s="84">
        <f t="shared" si="206"/>
        <v>0</v>
      </c>
      <c r="BF247" s="84">
        <f t="shared" si="207"/>
        <v>0</v>
      </c>
      <c r="BG247" s="78">
        <f>IF(AN247="",0,VLOOKUP(AN247,Tables!$AB$3:$AC$12,2))</f>
        <v>0</v>
      </c>
      <c r="BH247" s="79">
        <f>IF(AO247="",0,VLOOKUP(AO247,Tables!$AB$3:$AC$12,2))</f>
        <v>0</v>
      </c>
      <c r="BI247" s="79">
        <f>IF(AP247="",0,VLOOKUP(AP247,Tables!$AB$3:$AC$12,2))</f>
        <v>0</v>
      </c>
      <c r="BJ247" s="78">
        <f>IF(AQ247="",0,VLOOKUP(AQ247,Tables!$AB$3:$AC$12,2))</f>
        <v>0</v>
      </c>
      <c r="BK247" s="79">
        <f>IF(AR247="",0,VLOOKUP(AR247,Tables!$AB$3:$AC$12,2))</f>
        <v>0</v>
      </c>
      <c r="BL247" s="79">
        <f>IF(AS247="",0,VLOOKUP(AS247,Tables!$AB$3:$AC$12,2))</f>
        <v>0</v>
      </c>
      <c r="BM247" s="79">
        <f>IF(AT247="",0,VLOOKUP(AT247,Tables!$AB$3:$AC$12,2))</f>
        <v>0</v>
      </c>
      <c r="BN247" s="79">
        <f>IF(AU247="",0,VLOOKUP(AU247,Tables!$AB$3:$AC$12,2))</f>
        <v>0</v>
      </c>
      <c r="BO247" s="78">
        <f>IF(AV247="",0,VLOOKUP(AV247,Tables!$AB$3:$AC$12,2))</f>
        <v>0</v>
      </c>
      <c r="BP247" s="79">
        <f>IF(AW247="",0,VLOOKUP(AW247,Tables!$AB$3:$AC$12,2))</f>
        <v>0</v>
      </c>
      <c r="BQ247" s="79">
        <f>IF(AX247="",0,VLOOKUP(AX247,Tables!$AB$3:$AC$12,2))</f>
        <v>0</v>
      </c>
      <c r="BR247" s="78">
        <f>IF(AY247="",0,VLOOKUP(AY247,Tables!$AB$3:$AC$12,2))</f>
        <v>0</v>
      </c>
      <c r="BS247" s="79">
        <f>IF(AZ247="",0,VLOOKUP(AZ247,Tables!$AB$3:$AC$12,2))</f>
        <v>0</v>
      </c>
      <c r="BT247" s="79">
        <f>IF(BA247="",0,VLOOKUP(BA247,Tables!$AB$3:$AC$12,2))</f>
        <v>0</v>
      </c>
      <c r="BU247" s="80">
        <f>IF(BB247="",0,VLOOKUP(BB247,Tables!$AB$3:$AC$12,2))</f>
        <v>0</v>
      </c>
      <c r="BV247" s="85">
        <f>IF(AN247="",0,VLOOKUP(B247,Tables!$B$3:$D$36,2,FALSE())*X$1)</f>
        <v>0</v>
      </c>
      <c r="BW247" s="72">
        <f>IF(AO247="",0,VLOOKUP(C247,Tables!$B$3:$D$36,2,FALSE())*Y$1)</f>
        <v>0</v>
      </c>
      <c r="BX247" s="72">
        <f>IF(AP247="",0,VLOOKUP(D247,Tables!$B$3:$D$36,2,FALSE())*Z$1)</f>
        <v>0</v>
      </c>
      <c r="BY247" s="85">
        <f>IF(AQ247="",0,VLOOKUP(E247,Tables!$B$3:$D$36,2,FALSE())*AA$1)</f>
        <v>0</v>
      </c>
      <c r="BZ247" s="72">
        <f>IF(AR247="",0,VLOOKUP(F247,Tables!$B$3:$D$36,2,FALSE())*AB$1)</f>
        <v>0</v>
      </c>
      <c r="CA247" s="72">
        <f>IF(AS247="",0,VLOOKUP(G247,Tables!$B$3:$D$36,2,FALSE())*AC$1)</f>
        <v>0</v>
      </c>
      <c r="CB247" s="72">
        <f>IF(AT247="",0,VLOOKUP(H247,Tables!$B$3:$D$36,2,FALSE())*AD$1)</f>
        <v>0</v>
      </c>
      <c r="CC247" s="72">
        <f>IF(AU247="",0,VLOOKUP(I247,Tables!$B$3:$D$36,2,FALSE())*AE$1)</f>
        <v>0</v>
      </c>
      <c r="CD247" s="85">
        <f>IF(AV247="",0,VLOOKUP(J247,Tables!$B$3:$D$36,2,FALSE())*AF$1)</f>
        <v>0</v>
      </c>
      <c r="CE247" s="72">
        <f>IF(AW247="",0,VLOOKUP(K247,Tables!$B$3:$D$36,2,FALSE())*AG$1)</f>
        <v>0</v>
      </c>
      <c r="CF247" s="72">
        <f>IF(AX247="",0,VLOOKUP(L247,Tables!$B$3:$D$36,2,FALSE())*AH$1)</f>
        <v>0</v>
      </c>
      <c r="CG247" s="85">
        <f>IF(AY247="",0,VLOOKUP(M247,Tables!$B$3:$D$36,2,FALSE())*AI$1)</f>
        <v>0</v>
      </c>
      <c r="CH247" s="72">
        <f>IF(AZ247="",0,VLOOKUP(N247,Tables!$B$3:$D$36,2,FALSE())*AJ$1)</f>
        <v>0</v>
      </c>
      <c r="CI247" s="72">
        <f>IF(BA247="",0,VLOOKUP(O247,Tables!$B$3:$D$36,2,FALSE())*AK$1)</f>
        <v>0</v>
      </c>
      <c r="CJ247" s="86">
        <f>IF(BB247="",0,VLOOKUP(P247,Tables!$B$3:$D$36,2,FALSE())*AL$1)</f>
        <v>0</v>
      </c>
      <c r="CK247" s="87">
        <f>IF(AN247="",0,VLOOKUP(B247,Tables!$B$3:$D$36,3,FALSE())*X$1)*IF(OR(AN247="K",AN247="P"),2,1)</f>
        <v>0</v>
      </c>
      <c r="CL247" s="73">
        <f>IF(AO247="",0,VLOOKUP(C247,Tables!$B$3:$D$36,3,FALSE())*Y$1)*IF(OR(AO247="K",AO247="P"),2,1)</f>
        <v>0</v>
      </c>
      <c r="CM247" s="73">
        <f>IF(AP247="",0,VLOOKUP(D247,Tables!$B$3:$D$36,3,FALSE())*Z$1)*IF(OR(AP247="K",AP247="P"),2,1)</f>
        <v>0</v>
      </c>
      <c r="CN247" s="87">
        <f>IF(AQ247="",0,VLOOKUP(E247,Tables!$B$3:$D$36,3,FALSE())*AA$1)</f>
        <v>0</v>
      </c>
      <c r="CO247" s="73">
        <f>IF(AR247="",0,VLOOKUP(F247,Tables!$B$3:$D$36,3,FALSE())*AB$1)</f>
        <v>0</v>
      </c>
      <c r="CP247" s="73">
        <f>IF(AS247="",0,VLOOKUP(G247,Tables!$B$3:$D$36,3,FALSE())*AC$1)</f>
        <v>0</v>
      </c>
      <c r="CQ247" s="73">
        <f>IF(AT247="",0,VLOOKUP(H247,Tables!$B$3:$D$36,3,FALSE())*AD$1)</f>
        <v>0</v>
      </c>
      <c r="CR247" s="73">
        <f>IF(AU247="",0,VLOOKUP(I247,Tables!$B$3:$D$36,3,FALSE())*AE$1)</f>
        <v>0</v>
      </c>
      <c r="CS247" s="87">
        <f>IF(AV247="",0,VLOOKUP(J247,Tables!$B$3:$D$36,3,FALSE())*AF$1)</f>
        <v>0</v>
      </c>
      <c r="CT247" s="73">
        <f>IF(AW247="",0,VLOOKUP(K247,Tables!$B$3:$D$36,3,FALSE())*AG$1)</f>
        <v>0</v>
      </c>
      <c r="CU247" s="73">
        <f>IF(AX247="",0,VLOOKUP(L247,Tables!$B$3:$D$36,3,FALSE())*AH$1)</f>
        <v>0</v>
      </c>
      <c r="CV247" s="87">
        <f>IF(AY247="",0,VLOOKUP(M247,Tables!$B$3:$D$36,3,FALSE())*AI$1)</f>
        <v>0</v>
      </c>
      <c r="CW247" s="73">
        <f>IF(AZ247="",0,VLOOKUP(N247,Tables!$B$3:$D$36,3,FALSE())*AJ$1)</f>
        <v>0</v>
      </c>
      <c r="CX247" s="73">
        <f>IF(BA247="",0,VLOOKUP(O247,Tables!$B$3:$D$36,3,FALSE())*AK$1)</f>
        <v>0</v>
      </c>
      <c r="CY247" s="88">
        <f>IF(BB247="",0,VLOOKUP(P247,Tables!$B$3:$D$36,3,FALSE())*AL$1)</f>
        <v>0</v>
      </c>
      <c r="CZ247" s="89">
        <f t="shared" si="208"/>
        <v>0</v>
      </c>
      <c r="DA247" s="75">
        <f t="shared" si="209"/>
        <v>0</v>
      </c>
      <c r="DB247" s="75">
        <f t="shared" si="210"/>
        <v>0</v>
      </c>
      <c r="DC247" s="89">
        <f t="shared" si="211"/>
        <v>0</v>
      </c>
      <c r="DD247" s="75">
        <f t="shared" si="212"/>
        <v>0</v>
      </c>
      <c r="DE247" s="75">
        <f t="shared" si="213"/>
        <v>0</v>
      </c>
      <c r="DF247" s="75">
        <f t="shared" si="214"/>
        <v>0</v>
      </c>
      <c r="DG247" s="75">
        <f t="shared" si="215"/>
        <v>0</v>
      </c>
      <c r="DH247" s="89">
        <f t="shared" si="216"/>
        <v>0</v>
      </c>
      <c r="DI247" s="75">
        <f t="shared" si="217"/>
        <v>0</v>
      </c>
      <c r="DJ247" s="75">
        <f t="shared" si="218"/>
        <v>0</v>
      </c>
      <c r="DK247" s="89">
        <f t="shared" si="219"/>
        <v>0</v>
      </c>
      <c r="DL247" s="75">
        <f t="shared" si="220"/>
        <v>0</v>
      </c>
      <c r="DM247" s="75">
        <f t="shared" si="221"/>
        <v>0</v>
      </c>
      <c r="DN247" s="90">
        <f t="shared" si="222"/>
        <v>0</v>
      </c>
      <c r="DO247" s="91">
        <f>IF(AN247="",0,VLOOKUP(B247,Tables!$B$3:$M$36,11,FALSE())*X$1)</f>
        <v>0</v>
      </c>
      <c r="DP247" s="92">
        <f>IF(AO247="",0,VLOOKUP(C247,Tables!$B$3:$M$36,11,FALSE())*Y$1)</f>
        <v>0</v>
      </c>
      <c r="DQ247" s="92">
        <f>IF(AP247="",0,VLOOKUP(D247,Tables!$B$3:$M$36,11,FALSE())*Z$1)</f>
        <v>0</v>
      </c>
      <c r="DR247" s="91">
        <f>IF(AQ247="",0,VLOOKUP(E247,Tables!$B$3:$M$36,11,FALSE())*AA$1)</f>
        <v>0</v>
      </c>
      <c r="DS247" s="92">
        <f>IF(AR247="",0,VLOOKUP(F247,Tables!$B$3:$M$36,11,FALSE())*AB$1)</f>
        <v>0</v>
      </c>
      <c r="DT247" s="92">
        <f>IF(AS247="",0,VLOOKUP(G247,Tables!$B$3:$M$36,11,FALSE())*AC$1)</f>
        <v>0</v>
      </c>
      <c r="DU247" s="92">
        <f>IF(AT247="",0,VLOOKUP(H247,Tables!$B$3:$M$36,11,FALSE())*AD$1)</f>
        <v>0</v>
      </c>
      <c r="DV247" s="92">
        <f>IF(AU247="",0,VLOOKUP(I247,Tables!$B$3:$M$36,11,FALSE())*AE$1)</f>
        <v>0</v>
      </c>
      <c r="DW247" s="91">
        <f>IF(AV247="",0,VLOOKUP(J247,Tables!$B$3:$M$36,11,FALSE())*AF$1)</f>
        <v>0</v>
      </c>
      <c r="DX247" s="92">
        <f>IF(AW247="",0,VLOOKUP(K247,Tables!$B$3:$M$36,11,FALSE())*AG$1)</f>
        <v>0</v>
      </c>
      <c r="DY247" s="92">
        <f>IF(AX247="",0,VLOOKUP(L247,Tables!$B$3:$M$36,11,FALSE())*AH$1)</f>
        <v>0</v>
      </c>
      <c r="DZ247" s="91">
        <f>IF(AY247="",0,VLOOKUP(M247,Tables!$B$3:$M$36,11,FALSE())*AI$1)</f>
        <v>0</v>
      </c>
      <c r="EA247" s="92">
        <f>IF(AZ247="",0,VLOOKUP(N247,Tables!$B$3:$M$36,11,FALSE())*AJ$1)</f>
        <v>0</v>
      </c>
      <c r="EB247" s="92">
        <f>IF(BA247="",0,VLOOKUP(O247,Tables!$B$3:$M$36,11,FALSE())*AK$1)</f>
        <v>0</v>
      </c>
      <c r="EC247" s="93">
        <f>IF(BB247="",0,VLOOKUP(P247,Tables!$B$3:$M$36,11,FALSE())*AL$1)</f>
        <v>0</v>
      </c>
      <c r="ED247" s="91">
        <f>IF(AN247="",0,VLOOKUP(B247,Tables!$B$3:$M$36,12,FALSE())*X$1)</f>
        <v>0</v>
      </c>
      <c r="EE247" s="92">
        <f>IF(AO247="",0,VLOOKUP(C247,Tables!$B$3:$M$36,12,FALSE())*Y$1)</f>
        <v>0</v>
      </c>
      <c r="EF247" s="92">
        <f>IF(AP247="",0,VLOOKUP(D247,Tables!$B$3:$M$36,12,FALSE())*Z$1)</f>
        <v>0</v>
      </c>
      <c r="EG247" s="91">
        <f>IF(AQ247="",0,VLOOKUP(E247,Tables!$B$3:$M$36,12,FALSE())*AA$1)</f>
        <v>0</v>
      </c>
      <c r="EH247" s="92">
        <f>IF(AR247="",0,VLOOKUP(F247,Tables!$B$3:$M$36,12,FALSE())*AB$1)</f>
        <v>0</v>
      </c>
      <c r="EI247" s="92">
        <f>IF(AS247="",0,VLOOKUP(G247,Tables!$B$3:$M$36,12,FALSE())*AC$1)</f>
        <v>0</v>
      </c>
      <c r="EJ247" s="92">
        <f>IF(AT247="",0,VLOOKUP(H247,Tables!$B$3:$M$36,12,FALSE())*AD$1)</f>
        <v>0</v>
      </c>
      <c r="EK247" s="92">
        <f>IF(AU247="",0,VLOOKUP(I247,Tables!$B$3:$M$36,12,FALSE())*AE$1)</f>
        <v>0</v>
      </c>
      <c r="EL247" s="91">
        <f>IF(AV247="",0,VLOOKUP(J247,Tables!$B$3:$M$36,12,FALSE())*AF$1)</f>
        <v>0</v>
      </c>
      <c r="EM247" s="92">
        <f>IF(AW247="",0,VLOOKUP(K247,Tables!$B$3:$M$36,12,FALSE())*AG$1)</f>
        <v>0</v>
      </c>
      <c r="EN247" s="92">
        <f>IF(AX247="",0,VLOOKUP(L247,Tables!$B$3:$M$36,12,FALSE())*AH$1)</f>
        <v>0</v>
      </c>
      <c r="EO247" s="91">
        <f>IF(AY247="",0,VLOOKUP(M247,Tables!$B$3:$M$36,12,FALSE())*AI$1)</f>
        <v>0</v>
      </c>
      <c r="EP247" s="92">
        <f>IF(AZ247="",0,VLOOKUP(N247,Tables!$B$3:$M$36,12,FALSE())*AJ$1)</f>
        <v>0</v>
      </c>
      <c r="EQ247" s="92">
        <f>IF(BA247="",0,VLOOKUP(O247,Tables!$B$3:$M$36,12,FALSE())*AK$1)</f>
        <v>0</v>
      </c>
      <c r="ER247" s="93">
        <f>IF(BB247="",0,VLOOKUP(P247,Tables!$B$3:$M$36,12,FALSE())*AL$1)</f>
        <v>0</v>
      </c>
      <c r="ES247" s="94">
        <f t="shared" si="223"/>
        <v>0</v>
      </c>
      <c r="ET247" s="95">
        <f>IF(AN247="",10,MIN(VLOOKUP(B247,MATERIAL,13,FALSE()),'Item Builder'!$W247))</f>
        <v>10</v>
      </c>
      <c r="EU247" s="95">
        <f>IF(AO247="",10,MIN(VLOOKUP(C247,MATERIAL,13,FALSE()),'Item Builder'!$W247))</f>
        <v>10</v>
      </c>
      <c r="EV247" s="95">
        <f>IF(AP247="",10,MIN(VLOOKUP(D247,MATERIAL,13,FALSE()),'Item Builder'!$W247))</f>
        <v>10</v>
      </c>
      <c r="EW247" s="95">
        <f>IF(AQ247="",10,MIN(VLOOKUP(E247,MATERIAL,13,FALSE()),'Item Builder'!$W247))</f>
        <v>10</v>
      </c>
      <c r="EX247" s="95">
        <f>IF(AR247="",10,MIN(VLOOKUP(F247,MATERIAL,13,FALSE()),'Item Builder'!$W247))</f>
        <v>10</v>
      </c>
      <c r="EY247" s="95">
        <f>IF(AS247="",10,MIN(VLOOKUP(G247,MATERIAL,13,FALSE()),'Item Builder'!$W247))</f>
        <v>10</v>
      </c>
      <c r="EZ247" s="95">
        <f>IF(AT247="",10,MIN(VLOOKUP(H247,MATERIAL,13,FALSE()),'Item Builder'!$W247))</f>
        <v>10</v>
      </c>
      <c r="FA247" s="95">
        <f>IF(AU247="",10,MIN(VLOOKUP(I247,MATERIAL,13,FALSE()),'Item Builder'!$W247))</f>
        <v>10</v>
      </c>
      <c r="FB247" s="95">
        <f>IF(AV247="",10,MIN(VLOOKUP(J247,MATERIAL,13,FALSE()),'Item Builder'!$W247))</f>
        <v>10</v>
      </c>
      <c r="FC247" s="95">
        <f>IF(AW247="",10,MIN(VLOOKUP(K247,MATERIAL,13,FALSE()),'Item Builder'!$W247))</f>
        <v>10</v>
      </c>
      <c r="FD247" s="95">
        <f>IF(AX247="",10,MIN(VLOOKUP(L247,MATERIAL,13,FALSE()),'Item Builder'!$W247))</f>
        <v>10</v>
      </c>
      <c r="FE247" s="95">
        <f>IF(AY247="",10,MIN(VLOOKUP(M247,MATERIAL,13,FALSE()),'Item Builder'!$W247))</f>
        <v>10</v>
      </c>
      <c r="FF247" s="95">
        <f>IF(AZ247="",10,MIN(VLOOKUP(N247,MATERIAL,13,FALSE()),'Item Builder'!$W247))</f>
        <v>10</v>
      </c>
      <c r="FG247" s="95">
        <f>IF(BA247="",10,MIN(VLOOKUP(O247,MATERIAL,13,FALSE()),'Item Builder'!$W247))</f>
        <v>10</v>
      </c>
      <c r="FH247" s="95">
        <f>IF(BB247="",10,MIN(VLOOKUP(P247,MATERIAL,13,FALSE()),'Item Builder'!$W247))</f>
        <v>10</v>
      </c>
    </row>
    <row r="248" spans="1:164" x14ac:dyDescent="0.25">
      <c r="A248" s="67"/>
      <c r="B248" s="68"/>
      <c r="C248" s="69"/>
      <c r="D248" s="70"/>
      <c r="E248" s="68"/>
      <c r="F248" s="69"/>
      <c r="G248" s="69"/>
      <c r="H248" s="69"/>
      <c r="I248" s="70"/>
      <c r="J248" s="68"/>
      <c r="K248" s="69"/>
      <c r="L248" s="70"/>
      <c r="M248" s="68"/>
      <c r="N248" s="69"/>
      <c r="O248" s="69"/>
      <c r="P248" s="71"/>
      <c r="Q248" s="72">
        <f>SUM(BV248:CJ248)*VLOOKUP(W248,Tables!$W$3:$Z$8,4)</f>
        <v>0</v>
      </c>
      <c r="R248" s="73">
        <f t="shared" si="168"/>
        <v>0</v>
      </c>
      <c r="S248" s="74">
        <f t="shared" si="169"/>
        <v>0</v>
      </c>
      <c r="T248" s="74">
        <f t="shared" si="170"/>
        <v>0</v>
      </c>
      <c r="U248" s="75">
        <f t="shared" si="171"/>
        <v>0</v>
      </c>
      <c r="V248" s="76">
        <f t="shared" si="172"/>
        <v>0</v>
      </c>
      <c r="W248" s="77">
        <v>0</v>
      </c>
      <c r="X248" s="78">
        <f t="shared" si="173"/>
        <v>0</v>
      </c>
      <c r="Y248" s="79">
        <f t="shared" si="174"/>
        <v>0</v>
      </c>
      <c r="Z248" s="79">
        <f t="shared" si="175"/>
        <v>0</v>
      </c>
      <c r="AA248" s="78">
        <f t="shared" si="176"/>
        <v>0</v>
      </c>
      <c r="AB248" s="79">
        <f t="shared" si="177"/>
        <v>0</v>
      </c>
      <c r="AC248" s="79">
        <f t="shared" si="178"/>
        <v>0</v>
      </c>
      <c r="AD248" s="79">
        <f t="shared" si="179"/>
        <v>0</v>
      </c>
      <c r="AE248" s="79">
        <f t="shared" si="180"/>
        <v>0</v>
      </c>
      <c r="AF248" s="78">
        <f t="shared" si="181"/>
        <v>0</v>
      </c>
      <c r="AG248" s="79">
        <f t="shared" si="182"/>
        <v>0</v>
      </c>
      <c r="AH248" s="79">
        <f t="shared" si="183"/>
        <v>0</v>
      </c>
      <c r="AI248" s="78">
        <f t="shared" si="184"/>
        <v>0</v>
      </c>
      <c r="AJ248" s="79">
        <f t="shared" si="185"/>
        <v>0</v>
      </c>
      <c r="AK248" s="79">
        <f t="shared" si="186"/>
        <v>0</v>
      </c>
      <c r="AL248" s="80">
        <f t="shared" si="187"/>
        <v>0</v>
      </c>
      <c r="AM248" s="81">
        <f t="shared" si="188"/>
        <v>0</v>
      </c>
      <c r="AN248" s="82" t="str">
        <f t="shared" si="189"/>
        <v/>
      </c>
      <c r="AO248" s="79" t="str">
        <f t="shared" si="190"/>
        <v/>
      </c>
      <c r="AP248" t="str">
        <f t="shared" si="191"/>
        <v/>
      </c>
      <c r="AQ248" s="82" t="str">
        <f t="shared" si="192"/>
        <v/>
      </c>
      <c r="AR248" t="str">
        <f t="shared" si="193"/>
        <v/>
      </c>
      <c r="AS248" t="str">
        <f t="shared" si="194"/>
        <v/>
      </c>
      <c r="AT248" t="str">
        <f t="shared" si="195"/>
        <v/>
      </c>
      <c r="AU248" t="str">
        <f t="shared" si="196"/>
        <v/>
      </c>
      <c r="AV248" s="82" t="str">
        <f t="shared" si="197"/>
        <v/>
      </c>
      <c r="AW248" t="str">
        <f t="shared" si="198"/>
        <v/>
      </c>
      <c r="AX248" t="str">
        <f t="shared" si="199"/>
        <v/>
      </c>
      <c r="AY248" s="82" t="str">
        <f t="shared" si="200"/>
        <v/>
      </c>
      <c r="AZ248" t="str">
        <f t="shared" si="201"/>
        <v/>
      </c>
      <c r="BA248" t="str">
        <f t="shared" si="202"/>
        <v/>
      </c>
      <c r="BB248" s="83" t="str">
        <f t="shared" si="203"/>
        <v/>
      </c>
      <c r="BC248" s="84">
        <f t="shared" si="204"/>
        <v>0</v>
      </c>
      <c r="BD248" s="84">
        <f t="shared" si="205"/>
        <v>0</v>
      </c>
      <c r="BE248" s="84">
        <f t="shared" si="206"/>
        <v>0</v>
      </c>
      <c r="BF248" s="84">
        <f t="shared" si="207"/>
        <v>0</v>
      </c>
      <c r="BG248" s="78">
        <f>IF(AN248="",0,VLOOKUP(AN248,Tables!$AB$3:$AC$12,2))</f>
        <v>0</v>
      </c>
      <c r="BH248" s="79">
        <f>IF(AO248="",0,VLOOKUP(AO248,Tables!$AB$3:$AC$12,2))</f>
        <v>0</v>
      </c>
      <c r="BI248" s="79">
        <f>IF(AP248="",0,VLOOKUP(AP248,Tables!$AB$3:$AC$12,2))</f>
        <v>0</v>
      </c>
      <c r="BJ248" s="78">
        <f>IF(AQ248="",0,VLOOKUP(AQ248,Tables!$AB$3:$AC$12,2))</f>
        <v>0</v>
      </c>
      <c r="BK248" s="79">
        <f>IF(AR248="",0,VLOOKUP(AR248,Tables!$AB$3:$AC$12,2))</f>
        <v>0</v>
      </c>
      <c r="BL248" s="79">
        <f>IF(AS248="",0,VLOOKUP(AS248,Tables!$AB$3:$AC$12,2))</f>
        <v>0</v>
      </c>
      <c r="BM248" s="79">
        <f>IF(AT248="",0,VLOOKUP(AT248,Tables!$AB$3:$AC$12,2))</f>
        <v>0</v>
      </c>
      <c r="BN248" s="79">
        <f>IF(AU248="",0,VLOOKUP(AU248,Tables!$AB$3:$AC$12,2))</f>
        <v>0</v>
      </c>
      <c r="BO248" s="78">
        <f>IF(AV248="",0,VLOOKUP(AV248,Tables!$AB$3:$AC$12,2))</f>
        <v>0</v>
      </c>
      <c r="BP248" s="79">
        <f>IF(AW248="",0,VLOOKUP(AW248,Tables!$AB$3:$AC$12,2))</f>
        <v>0</v>
      </c>
      <c r="BQ248" s="79">
        <f>IF(AX248="",0,VLOOKUP(AX248,Tables!$AB$3:$AC$12,2))</f>
        <v>0</v>
      </c>
      <c r="BR248" s="78">
        <f>IF(AY248="",0,VLOOKUP(AY248,Tables!$AB$3:$AC$12,2))</f>
        <v>0</v>
      </c>
      <c r="BS248" s="79">
        <f>IF(AZ248="",0,VLOOKUP(AZ248,Tables!$AB$3:$AC$12,2))</f>
        <v>0</v>
      </c>
      <c r="BT248" s="79">
        <f>IF(BA248="",0,VLOOKUP(BA248,Tables!$AB$3:$AC$12,2))</f>
        <v>0</v>
      </c>
      <c r="BU248" s="80">
        <f>IF(BB248="",0,VLOOKUP(BB248,Tables!$AB$3:$AC$12,2))</f>
        <v>0</v>
      </c>
      <c r="BV248" s="85">
        <f>IF(AN248="",0,VLOOKUP(B248,Tables!$B$3:$D$36,2,FALSE())*X$1)</f>
        <v>0</v>
      </c>
      <c r="BW248" s="72">
        <f>IF(AO248="",0,VLOOKUP(C248,Tables!$B$3:$D$36,2,FALSE())*Y$1)</f>
        <v>0</v>
      </c>
      <c r="BX248" s="72">
        <f>IF(AP248="",0,VLOOKUP(D248,Tables!$B$3:$D$36,2,FALSE())*Z$1)</f>
        <v>0</v>
      </c>
      <c r="BY248" s="85">
        <f>IF(AQ248="",0,VLOOKUP(E248,Tables!$B$3:$D$36,2,FALSE())*AA$1)</f>
        <v>0</v>
      </c>
      <c r="BZ248" s="72">
        <f>IF(AR248="",0,VLOOKUP(F248,Tables!$B$3:$D$36,2,FALSE())*AB$1)</f>
        <v>0</v>
      </c>
      <c r="CA248" s="72">
        <f>IF(AS248="",0,VLOOKUP(G248,Tables!$B$3:$D$36,2,FALSE())*AC$1)</f>
        <v>0</v>
      </c>
      <c r="CB248" s="72">
        <f>IF(AT248="",0,VLOOKUP(H248,Tables!$B$3:$D$36,2,FALSE())*AD$1)</f>
        <v>0</v>
      </c>
      <c r="CC248" s="72">
        <f>IF(AU248="",0,VLOOKUP(I248,Tables!$B$3:$D$36,2,FALSE())*AE$1)</f>
        <v>0</v>
      </c>
      <c r="CD248" s="85">
        <f>IF(AV248="",0,VLOOKUP(J248,Tables!$B$3:$D$36,2,FALSE())*AF$1)</f>
        <v>0</v>
      </c>
      <c r="CE248" s="72">
        <f>IF(AW248="",0,VLOOKUP(K248,Tables!$B$3:$D$36,2,FALSE())*AG$1)</f>
        <v>0</v>
      </c>
      <c r="CF248" s="72">
        <f>IF(AX248="",0,VLOOKUP(L248,Tables!$B$3:$D$36,2,FALSE())*AH$1)</f>
        <v>0</v>
      </c>
      <c r="CG248" s="85">
        <f>IF(AY248="",0,VLOOKUP(M248,Tables!$B$3:$D$36,2,FALSE())*AI$1)</f>
        <v>0</v>
      </c>
      <c r="CH248" s="72">
        <f>IF(AZ248="",0,VLOOKUP(N248,Tables!$B$3:$D$36,2,FALSE())*AJ$1)</f>
        <v>0</v>
      </c>
      <c r="CI248" s="72">
        <f>IF(BA248="",0,VLOOKUP(O248,Tables!$B$3:$D$36,2,FALSE())*AK$1)</f>
        <v>0</v>
      </c>
      <c r="CJ248" s="86">
        <f>IF(BB248="",0,VLOOKUP(P248,Tables!$B$3:$D$36,2,FALSE())*AL$1)</f>
        <v>0</v>
      </c>
      <c r="CK248" s="87">
        <f>IF(AN248="",0,VLOOKUP(B248,Tables!$B$3:$D$36,3,FALSE())*X$1)*IF(OR(AN248="K",AN248="P"),2,1)</f>
        <v>0</v>
      </c>
      <c r="CL248" s="73">
        <f>IF(AO248="",0,VLOOKUP(C248,Tables!$B$3:$D$36,3,FALSE())*Y$1)*IF(OR(AO248="K",AO248="P"),2,1)</f>
        <v>0</v>
      </c>
      <c r="CM248" s="73">
        <f>IF(AP248="",0,VLOOKUP(D248,Tables!$B$3:$D$36,3,FALSE())*Z$1)*IF(OR(AP248="K",AP248="P"),2,1)</f>
        <v>0</v>
      </c>
      <c r="CN248" s="87">
        <f>IF(AQ248="",0,VLOOKUP(E248,Tables!$B$3:$D$36,3,FALSE())*AA$1)</f>
        <v>0</v>
      </c>
      <c r="CO248" s="73">
        <f>IF(AR248="",0,VLOOKUP(F248,Tables!$B$3:$D$36,3,FALSE())*AB$1)</f>
        <v>0</v>
      </c>
      <c r="CP248" s="73">
        <f>IF(AS248="",0,VLOOKUP(G248,Tables!$B$3:$D$36,3,FALSE())*AC$1)</f>
        <v>0</v>
      </c>
      <c r="CQ248" s="73">
        <f>IF(AT248="",0,VLOOKUP(H248,Tables!$B$3:$D$36,3,FALSE())*AD$1)</f>
        <v>0</v>
      </c>
      <c r="CR248" s="73">
        <f>IF(AU248="",0,VLOOKUP(I248,Tables!$B$3:$D$36,3,FALSE())*AE$1)</f>
        <v>0</v>
      </c>
      <c r="CS248" s="87">
        <f>IF(AV248="",0,VLOOKUP(J248,Tables!$B$3:$D$36,3,FALSE())*AF$1)</f>
        <v>0</v>
      </c>
      <c r="CT248" s="73">
        <f>IF(AW248="",0,VLOOKUP(K248,Tables!$B$3:$D$36,3,FALSE())*AG$1)</f>
        <v>0</v>
      </c>
      <c r="CU248" s="73">
        <f>IF(AX248="",0,VLOOKUP(L248,Tables!$B$3:$D$36,3,FALSE())*AH$1)</f>
        <v>0</v>
      </c>
      <c r="CV248" s="87">
        <f>IF(AY248="",0,VLOOKUP(M248,Tables!$B$3:$D$36,3,FALSE())*AI$1)</f>
        <v>0</v>
      </c>
      <c r="CW248" s="73">
        <f>IF(AZ248="",0,VLOOKUP(N248,Tables!$B$3:$D$36,3,FALSE())*AJ$1)</f>
        <v>0</v>
      </c>
      <c r="CX248" s="73">
        <f>IF(BA248="",0,VLOOKUP(O248,Tables!$B$3:$D$36,3,FALSE())*AK$1)</f>
        <v>0</v>
      </c>
      <c r="CY248" s="88">
        <f>IF(BB248="",0,VLOOKUP(P248,Tables!$B$3:$D$36,3,FALSE())*AL$1)</f>
        <v>0</v>
      </c>
      <c r="CZ248" s="89">
        <f t="shared" si="208"/>
        <v>0</v>
      </c>
      <c r="DA248" s="75">
        <f t="shared" si="209"/>
        <v>0</v>
      </c>
      <c r="DB248" s="75">
        <f t="shared" si="210"/>
        <v>0</v>
      </c>
      <c r="DC248" s="89">
        <f t="shared" si="211"/>
        <v>0</v>
      </c>
      <c r="DD248" s="75">
        <f t="shared" si="212"/>
        <v>0</v>
      </c>
      <c r="DE248" s="75">
        <f t="shared" si="213"/>
        <v>0</v>
      </c>
      <c r="DF248" s="75">
        <f t="shared" si="214"/>
        <v>0</v>
      </c>
      <c r="DG248" s="75">
        <f t="shared" si="215"/>
        <v>0</v>
      </c>
      <c r="DH248" s="89">
        <f t="shared" si="216"/>
        <v>0</v>
      </c>
      <c r="DI248" s="75">
        <f t="shared" si="217"/>
        <v>0</v>
      </c>
      <c r="DJ248" s="75">
        <f t="shared" si="218"/>
        <v>0</v>
      </c>
      <c r="DK248" s="89">
        <f t="shared" si="219"/>
        <v>0</v>
      </c>
      <c r="DL248" s="75">
        <f t="shared" si="220"/>
        <v>0</v>
      </c>
      <c r="DM248" s="75">
        <f t="shared" si="221"/>
        <v>0</v>
      </c>
      <c r="DN248" s="90">
        <f t="shared" si="222"/>
        <v>0</v>
      </c>
      <c r="DO248" s="91">
        <f>IF(AN248="",0,VLOOKUP(B248,Tables!$B$3:$M$36,11,FALSE())*X$1)</f>
        <v>0</v>
      </c>
      <c r="DP248" s="92">
        <f>IF(AO248="",0,VLOOKUP(C248,Tables!$B$3:$M$36,11,FALSE())*Y$1)</f>
        <v>0</v>
      </c>
      <c r="DQ248" s="92">
        <f>IF(AP248="",0,VLOOKUP(D248,Tables!$B$3:$M$36,11,FALSE())*Z$1)</f>
        <v>0</v>
      </c>
      <c r="DR248" s="91">
        <f>IF(AQ248="",0,VLOOKUP(E248,Tables!$B$3:$M$36,11,FALSE())*AA$1)</f>
        <v>0</v>
      </c>
      <c r="DS248" s="92">
        <f>IF(AR248="",0,VLOOKUP(F248,Tables!$B$3:$M$36,11,FALSE())*AB$1)</f>
        <v>0</v>
      </c>
      <c r="DT248" s="92">
        <f>IF(AS248="",0,VLOOKUP(G248,Tables!$B$3:$M$36,11,FALSE())*AC$1)</f>
        <v>0</v>
      </c>
      <c r="DU248" s="92">
        <f>IF(AT248="",0,VLOOKUP(H248,Tables!$B$3:$M$36,11,FALSE())*AD$1)</f>
        <v>0</v>
      </c>
      <c r="DV248" s="92">
        <f>IF(AU248="",0,VLOOKUP(I248,Tables!$B$3:$M$36,11,FALSE())*AE$1)</f>
        <v>0</v>
      </c>
      <c r="DW248" s="91">
        <f>IF(AV248="",0,VLOOKUP(J248,Tables!$B$3:$M$36,11,FALSE())*AF$1)</f>
        <v>0</v>
      </c>
      <c r="DX248" s="92">
        <f>IF(AW248="",0,VLOOKUP(K248,Tables!$B$3:$M$36,11,FALSE())*AG$1)</f>
        <v>0</v>
      </c>
      <c r="DY248" s="92">
        <f>IF(AX248="",0,VLOOKUP(L248,Tables!$B$3:$M$36,11,FALSE())*AH$1)</f>
        <v>0</v>
      </c>
      <c r="DZ248" s="91">
        <f>IF(AY248="",0,VLOOKUP(M248,Tables!$B$3:$M$36,11,FALSE())*AI$1)</f>
        <v>0</v>
      </c>
      <c r="EA248" s="92">
        <f>IF(AZ248="",0,VLOOKUP(N248,Tables!$B$3:$M$36,11,FALSE())*AJ$1)</f>
        <v>0</v>
      </c>
      <c r="EB248" s="92">
        <f>IF(BA248="",0,VLOOKUP(O248,Tables!$B$3:$M$36,11,FALSE())*AK$1)</f>
        <v>0</v>
      </c>
      <c r="EC248" s="93">
        <f>IF(BB248="",0,VLOOKUP(P248,Tables!$B$3:$M$36,11,FALSE())*AL$1)</f>
        <v>0</v>
      </c>
      <c r="ED248" s="91">
        <f>IF(AN248="",0,VLOOKUP(B248,Tables!$B$3:$M$36,12,FALSE())*X$1)</f>
        <v>0</v>
      </c>
      <c r="EE248" s="92">
        <f>IF(AO248="",0,VLOOKUP(C248,Tables!$B$3:$M$36,12,FALSE())*Y$1)</f>
        <v>0</v>
      </c>
      <c r="EF248" s="92">
        <f>IF(AP248="",0,VLOOKUP(D248,Tables!$B$3:$M$36,12,FALSE())*Z$1)</f>
        <v>0</v>
      </c>
      <c r="EG248" s="91">
        <f>IF(AQ248="",0,VLOOKUP(E248,Tables!$B$3:$M$36,12,FALSE())*AA$1)</f>
        <v>0</v>
      </c>
      <c r="EH248" s="92">
        <f>IF(AR248="",0,VLOOKUP(F248,Tables!$B$3:$M$36,12,FALSE())*AB$1)</f>
        <v>0</v>
      </c>
      <c r="EI248" s="92">
        <f>IF(AS248="",0,VLOOKUP(G248,Tables!$B$3:$M$36,12,FALSE())*AC$1)</f>
        <v>0</v>
      </c>
      <c r="EJ248" s="92">
        <f>IF(AT248="",0,VLOOKUP(H248,Tables!$B$3:$M$36,12,FALSE())*AD$1)</f>
        <v>0</v>
      </c>
      <c r="EK248" s="92">
        <f>IF(AU248="",0,VLOOKUP(I248,Tables!$B$3:$M$36,12,FALSE())*AE$1)</f>
        <v>0</v>
      </c>
      <c r="EL248" s="91">
        <f>IF(AV248="",0,VLOOKUP(J248,Tables!$B$3:$M$36,12,FALSE())*AF$1)</f>
        <v>0</v>
      </c>
      <c r="EM248" s="92">
        <f>IF(AW248="",0,VLOOKUP(K248,Tables!$B$3:$M$36,12,FALSE())*AG$1)</f>
        <v>0</v>
      </c>
      <c r="EN248" s="92">
        <f>IF(AX248="",0,VLOOKUP(L248,Tables!$B$3:$M$36,12,FALSE())*AH$1)</f>
        <v>0</v>
      </c>
      <c r="EO248" s="91">
        <f>IF(AY248="",0,VLOOKUP(M248,Tables!$B$3:$M$36,12,FALSE())*AI$1)</f>
        <v>0</v>
      </c>
      <c r="EP248" s="92">
        <f>IF(AZ248="",0,VLOOKUP(N248,Tables!$B$3:$M$36,12,FALSE())*AJ$1)</f>
        <v>0</v>
      </c>
      <c r="EQ248" s="92">
        <f>IF(BA248="",0,VLOOKUP(O248,Tables!$B$3:$M$36,12,FALSE())*AK$1)</f>
        <v>0</v>
      </c>
      <c r="ER248" s="93">
        <f>IF(BB248="",0,VLOOKUP(P248,Tables!$B$3:$M$36,12,FALSE())*AL$1)</f>
        <v>0</v>
      </c>
      <c r="ES248" s="94">
        <f t="shared" si="223"/>
        <v>0</v>
      </c>
      <c r="ET248" s="95">
        <f>IF(AN248="",10,MIN(VLOOKUP(B248,MATERIAL,13,FALSE()),'Item Builder'!$W248))</f>
        <v>10</v>
      </c>
      <c r="EU248" s="95">
        <f>IF(AO248="",10,MIN(VLOOKUP(C248,MATERIAL,13,FALSE()),'Item Builder'!$W248))</f>
        <v>10</v>
      </c>
      <c r="EV248" s="95">
        <f>IF(AP248="",10,MIN(VLOOKUP(D248,MATERIAL,13,FALSE()),'Item Builder'!$W248))</f>
        <v>10</v>
      </c>
      <c r="EW248" s="95">
        <f>IF(AQ248="",10,MIN(VLOOKUP(E248,MATERIAL,13,FALSE()),'Item Builder'!$W248))</f>
        <v>10</v>
      </c>
      <c r="EX248" s="95">
        <f>IF(AR248="",10,MIN(VLOOKUP(F248,MATERIAL,13,FALSE()),'Item Builder'!$W248))</f>
        <v>10</v>
      </c>
      <c r="EY248" s="95">
        <f>IF(AS248="",10,MIN(VLOOKUP(G248,MATERIAL,13,FALSE()),'Item Builder'!$W248))</f>
        <v>10</v>
      </c>
      <c r="EZ248" s="95">
        <f>IF(AT248="",10,MIN(VLOOKUP(H248,MATERIAL,13,FALSE()),'Item Builder'!$W248))</f>
        <v>10</v>
      </c>
      <c r="FA248" s="95">
        <f>IF(AU248="",10,MIN(VLOOKUP(I248,MATERIAL,13,FALSE()),'Item Builder'!$W248))</f>
        <v>10</v>
      </c>
      <c r="FB248" s="95">
        <f>IF(AV248="",10,MIN(VLOOKUP(J248,MATERIAL,13,FALSE()),'Item Builder'!$W248))</f>
        <v>10</v>
      </c>
      <c r="FC248" s="95">
        <f>IF(AW248="",10,MIN(VLOOKUP(K248,MATERIAL,13,FALSE()),'Item Builder'!$W248))</f>
        <v>10</v>
      </c>
      <c r="FD248" s="95">
        <f>IF(AX248="",10,MIN(VLOOKUP(L248,MATERIAL,13,FALSE()),'Item Builder'!$W248))</f>
        <v>10</v>
      </c>
      <c r="FE248" s="95">
        <f>IF(AY248="",10,MIN(VLOOKUP(M248,MATERIAL,13,FALSE()),'Item Builder'!$W248))</f>
        <v>10</v>
      </c>
      <c r="FF248" s="95">
        <f>IF(AZ248="",10,MIN(VLOOKUP(N248,MATERIAL,13,FALSE()),'Item Builder'!$W248))</f>
        <v>10</v>
      </c>
      <c r="FG248" s="95">
        <f>IF(BA248="",10,MIN(VLOOKUP(O248,MATERIAL,13,FALSE()),'Item Builder'!$W248))</f>
        <v>10</v>
      </c>
      <c r="FH248" s="95">
        <f>IF(BB248="",10,MIN(VLOOKUP(P248,MATERIAL,13,FALSE()),'Item Builder'!$W248))</f>
        <v>10</v>
      </c>
    </row>
    <row r="249" spans="1:164" x14ac:dyDescent="0.25">
      <c r="A249" s="67"/>
      <c r="B249" s="68"/>
      <c r="C249" s="69"/>
      <c r="D249" s="70"/>
      <c r="E249" s="68"/>
      <c r="F249" s="69"/>
      <c r="G249" s="69"/>
      <c r="H249" s="69"/>
      <c r="I249" s="70"/>
      <c r="J249" s="68"/>
      <c r="K249" s="69"/>
      <c r="L249" s="70"/>
      <c r="M249" s="68"/>
      <c r="N249" s="69"/>
      <c r="O249" s="69"/>
      <c r="P249" s="71"/>
      <c r="Q249" s="72">
        <f>SUM(BV249:CJ249)*VLOOKUP(W249,Tables!$W$3:$Z$8,4)</f>
        <v>0</v>
      </c>
      <c r="R249" s="73">
        <f t="shared" si="168"/>
        <v>0</v>
      </c>
      <c r="S249" s="74">
        <f t="shared" si="169"/>
        <v>0</v>
      </c>
      <c r="T249" s="74">
        <f t="shared" si="170"/>
        <v>0</v>
      </c>
      <c r="U249" s="75">
        <f t="shared" si="171"/>
        <v>0</v>
      </c>
      <c r="V249" s="76">
        <f t="shared" si="172"/>
        <v>0</v>
      </c>
      <c r="W249" s="77">
        <v>0</v>
      </c>
      <c r="X249" s="78">
        <f t="shared" si="173"/>
        <v>0</v>
      </c>
      <c r="Y249" s="79">
        <f t="shared" si="174"/>
        <v>0</v>
      </c>
      <c r="Z249" s="79">
        <f t="shared" si="175"/>
        <v>0</v>
      </c>
      <c r="AA249" s="78">
        <f t="shared" si="176"/>
        <v>0</v>
      </c>
      <c r="AB249" s="79">
        <f t="shared" si="177"/>
        <v>0</v>
      </c>
      <c r="AC249" s="79">
        <f t="shared" si="178"/>
        <v>0</v>
      </c>
      <c r="AD249" s="79">
        <f t="shared" si="179"/>
        <v>0</v>
      </c>
      <c r="AE249" s="79">
        <f t="shared" si="180"/>
        <v>0</v>
      </c>
      <c r="AF249" s="78">
        <f t="shared" si="181"/>
        <v>0</v>
      </c>
      <c r="AG249" s="79">
        <f t="shared" si="182"/>
        <v>0</v>
      </c>
      <c r="AH249" s="79">
        <f t="shared" si="183"/>
        <v>0</v>
      </c>
      <c r="AI249" s="78">
        <f t="shared" si="184"/>
        <v>0</v>
      </c>
      <c r="AJ249" s="79">
        <f t="shared" si="185"/>
        <v>0</v>
      </c>
      <c r="AK249" s="79">
        <f t="shared" si="186"/>
        <v>0</v>
      </c>
      <c r="AL249" s="80">
        <f t="shared" si="187"/>
        <v>0</v>
      </c>
      <c r="AM249" s="81">
        <f t="shared" si="188"/>
        <v>0</v>
      </c>
      <c r="AN249" s="82" t="str">
        <f t="shared" si="189"/>
        <v/>
      </c>
      <c r="AO249" s="79" t="str">
        <f t="shared" si="190"/>
        <v/>
      </c>
      <c r="AP249" t="str">
        <f t="shared" si="191"/>
        <v/>
      </c>
      <c r="AQ249" s="82" t="str">
        <f t="shared" si="192"/>
        <v/>
      </c>
      <c r="AR249" t="str">
        <f t="shared" si="193"/>
        <v/>
      </c>
      <c r="AS249" t="str">
        <f t="shared" si="194"/>
        <v/>
      </c>
      <c r="AT249" t="str">
        <f t="shared" si="195"/>
        <v/>
      </c>
      <c r="AU249" t="str">
        <f t="shared" si="196"/>
        <v/>
      </c>
      <c r="AV249" s="82" t="str">
        <f t="shared" si="197"/>
        <v/>
      </c>
      <c r="AW249" t="str">
        <f t="shared" si="198"/>
        <v/>
      </c>
      <c r="AX249" t="str">
        <f t="shared" si="199"/>
        <v/>
      </c>
      <c r="AY249" s="82" t="str">
        <f t="shared" si="200"/>
        <v/>
      </c>
      <c r="AZ249" t="str">
        <f t="shared" si="201"/>
        <v/>
      </c>
      <c r="BA249" t="str">
        <f t="shared" si="202"/>
        <v/>
      </c>
      <c r="BB249" s="83" t="str">
        <f t="shared" si="203"/>
        <v/>
      </c>
      <c r="BC249" s="84">
        <f t="shared" si="204"/>
        <v>0</v>
      </c>
      <c r="BD249" s="84">
        <f t="shared" si="205"/>
        <v>0</v>
      </c>
      <c r="BE249" s="84">
        <f t="shared" si="206"/>
        <v>0</v>
      </c>
      <c r="BF249" s="84">
        <f t="shared" si="207"/>
        <v>0</v>
      </c>
      <c r="BG249" s="78">
        <f>IF(AN249="",0,VLOOKUP(AN249,Tables!$AB$3:$AC$12,2))</f>
        <v>0</v>
      </c>
      <c r="BH249" s="79">
        <f>IF(AO249="",0,VLOOKUP(AO249,Tables!$AB$3:$AC$12,2))</f>
        <v>0</v>
      </c>
      <c r="BI249" s="79">
        <f>IF(AP249="",0,VLOOKUP(AP249,Tables!$AB$3:$AC$12,2))</f>
        <v>0</v>
      </c>
      <c r="BJ249" s="78">
        <f>IF(AQ249="",0,VLOOKUP(AQ249,Tables!$AB$3:$AC$12,2))</f>
        <v>0</v>
      </c>
      <c r="BK249" s="79">
        <f>IF(AR249="",0,VLOOKUP(AR249,Tables!$AB$3:$AC$12,2))</f>
        <v>0</v>
      </c>
      <c r="BL249" s="79">
        <f>IF(AS249="",0,VLOOKUP(AS249,Tables!$AB$3:$AC$12,2))</f>
        <v>0</v>
      </c>
      <c r="BM249" s="79">
        <f>IF(AT249="",0,VLOOKUP(AT249,Tables!$AB$3:$AC$12,2))</f>
        <v>0</v>
      </c>
      <c r="BN249" s="79">
        <f>IF(AU249="",0,VLOOKUP(AU249,Tables!$AB$3:$AC$12,2))</f>
        <v>0</v>
      </c>
      <c r="BO249" s="78">
        <f>IF(AV249="",0,VLOOKUP(AV249,Tables!$AB$3:$AC$12,2))</f>
        <v>0</v>
      </c>
      <c r="BP249" s="79">
        <f>IF(AW249="",0,VLOOKUP(AW249,Tables!$AB$3:$AC$12,2))</f>
        <v>0</v>
      </c>
      <c r="BQ249" s="79">
        <f>IF(AX249="",0,VLOOKUP(AX249,Tables!$AB$3:$AC$12,2))</f>
        <v>0</v>
      </c>
      <c r="BR249" s="78">
        <f>IF(AY249="",0,VLOOKUP(AY249,Tables!$AB$3:$AC$12,2))</f>
        <v>0</v>
      </c>
      <c r="BS249" s="79">
        <f>IF(AZ249="",0,VLOOKUP(AZ249,Tables!$AB$3:$AC$12,2))</f>
        <v>0</v>
      </c>
      <c r="BT249" s="79">
        <f>IF(BA249="",0,VLOOKUP(BA249,Tables!$AB$3:$AC$12,2))</f>
        <v>0</v>
      </c>
      <c r="BU249" s="80">
        <f>IF(BB249="",0,VLOOKUP(BB249,Tables!$AB$3:$AC$12,2))</f>
        <v>0</v>
      </c>
      <c r="BV249" s="85">
        <f>IF(AN249="",0,VLOOKUP(B249,Tables!$B$3:$D$36,2,FALSE())*X$1)</f>
        <v>0</v>
      </c>
      <c r="BW249" s="72">
        <f>IF(AO249="",0,VLOOKUP(C249,Tables!$B$3:$D$36,2,FALSE())*Y$1)</f>
        <v>0</v>
      </c>
      <c r="BX249" s="72">
        <f>IF(AP249="",0,VLOOKUP(D249,Tables!$B$3:$D$36,2,FALSE())*Z$1)</f>
        <v>0</v>
      </c>
      <c r="BY249" s="85">
        <f>IF(AQ249="",0,VLOOKUP(E249,Tables!$B$3:$D$36,2,FALSE())*AA$1)</f>
        <v>0</v>
      </c>
      <c r="BZ249" s="72">
        <f>IF(AR249="",0,VLOOKUP(F249,Tables!$B$3:$D$36,2,FALSE())*AB$1)</f>
        <v>0</v>
      </c>
      <c r="CA249" s="72">
        <f>IF(AS249="",0,VLOOKUP(G249,Tables!$B$3:$D$36,2,FALSE())*AC$1)</f>
        <v>0</v>
      </c>
      <c r="CB249" s="72">
        <f>IF(AT249="",0,VLOOKUP(H249,Tables!$B$3:$D$36,2,FALSE())*AD$1)</f>
        <v>0</v>
      </c>
      <c r="CC249" s="72">
        <f>IF(AU249="",0,VLOOKUP(I249,Tables!$B$3:$D$36,2,FALSE())*AE$1)</f>
        <v>0</v>
      </c>
      <c r="CD249" s="85">
        <f>IF(AV249="",0,VLOOKUP(J249,Tables!$B$3:$D$36,2,FALSE())*AF$1)</f>
        <v>0</v>
      </c>
      <c r="CE249" s="72">
        <f>IF(AW249="",0,VLOOKUP(K249,Tables!$B$3:$D$36,2,FALSE())*AG$1)</f>
        <v>0</v>
      </c>
      <c r="CF249" s="72">
        <f>IF(AX249="",0,VLOOKUP(L249,Tables!$B$3:$D$36,2,FALSE())*AH$1)</f>
        <v>0</v>
      </c>
      <c r="CG249" s="85">
        <f>IF(AY249="",0,VLOOKUP(M249,Tables!$B$3:$D$36,2,FALSE())*AI$1)</f>
        <v>0</v>
      </c>
      <c r="CH249" s="72">
        <f>IF(AZ249="",0,VLOOKUP(N249,Tables!$B$3:$D$36,2,FALSE())*AJ$1)</f>
        <v>0</v>
      </c>
      <c r="CI249" s="72">
        <f>IF(BA249="",0,VLOOKUP(O249,Tables!$B$3:$D$36,2,FALSE())*AK$1)</f>
        <v>0</v>
      </c>
      <c r="CJ249" s="86">
        <f>IF(BB249="",0,VLOOKUP(P249,Tables!$B$3:$D$36,2,FALSE())*AL$1)</f>
        <v>0</v>
      </c>
      <c r="CK249" s="87">
        <f>IF(AN249="",0,VLOOKUP(B249,Tables!$B$3:$D$36,3,FALSE())*X$1)*IF(OR(AN249="K",AN249="P"),2,1)</f>
        <v>0</v>
      </c>
      <c r="CL249" s="73">
        <f>IF(AO249="",0,VLOOKUP(C249,Tables!$B$3:$D$36,3,FALSE())*Y$1)*IF(OR(AO249="K",AO249="P"),2,1)</f>
        <v>0</v>
      </c>
      <c r="CM249" s="73">
        <f>IF(AP249="",0,VLOOKUP(D249,Tables!$B$3:$D$36,3,FALSE())*Z$1)*IF(OR(AP249="K",AP249="P"),2,1)</f>
        <v>0</v>
      </c>
      <c r="CN249" s="87">
        <f>IF(AQ249="",0,VLOOKUP(E249,Tables!$B$3:$D$36,3,FALSE())*AA$1)</f>
        <v>0</v>
      </c>
      <c r="CO249" s="73">
        <f>IF(AR249="",0,VLOOKUP(F249,Tables!$B$3:$D$36,3,FALSE())*AB$1)</f>
        <v>0</v>
      </c>
      <c r="CP249" s="73">
        <f>IF(AS249="",0,VLOOKUP(G249,Tables!$B$3:$D$36,3,FALSE())*AC$1)</f>
        <v>0</v>
      </c>
      <c r="CQ249" s="73">
        <f>IF(AT249="",0,VLOOKUP(H249,Tables!$B$3:$D$36,3,FALSE())*AD$1)</f>
        <v>0</v>
      </c>
      <c r="CR249" s="73">
        <f>IF(AU249="",0,VLOOKUP(I249,Tables!$B$3:$D$36,3,FALSE())*AE$1)</f>
        <v>0</v>
      </c>
      <c r="CS249" s="87">
        <f>IF(AV249="",0,VLOOKUP(J249,Tables!$B$3:$D$36,3,FALSE())*AF$1)</f>
        <v>0</v>
      </c>
      <c r="CT249" s="73">
        <f>IF(AW249="",0,VLOOKUP(K249,Tables!$B$3:$D$36,3,FALSE())*AG$1)</f>
        <v>0</v>
      </c>
      <c r="CU249" s="73">
        <f>IF(AX249="",0,VLOOKUP(L249,Tables!$B$3:$D$36,3,FALSE())*AH$1)</f>
        <v>0</v>
      </c>
      <c r="CV249" s="87">
        <f>IF(AY249="",0,VLOOKUP(M249,Tables!$B$3:$D$36,3,FALSE())*AI$1)</f>
        <v>0</v>
      </c>
      <c r="CW249" s="73">
        <f>IF(AZ249="",0,VLOOKUP(N249,Tables!$B$3:$D$36,3,FALSE())*AJ$1)</f>
        <v>0</v>
      </c>
      <c r="CX249" s="73">
        <f>IF(BA249="",0,VLOOKUP(O249,Tables!$B$3:$D$36,3,FALSE())*AK$1)</f>
        <v>0</v>
      </c>
      <c r="CY249" s="88">
        <f>IF(BB249="",0,VLOOKUP(P249,Tables!$B$3:$D$36,3,FALSE())*AL$1)</f>
        <v>0</v>
      </c>
      <c r="CZ249" s="89">
        <f t="shared" si="208"/>
        <v>0</v>
      </c>
      <c r="DA249" s="75">
        <f t="shared" si="209"/>
        <v>0</v>
      </c>
      <c r="DB249" s="75">
        <f t="shared" si="210"/>
        <v>0</v>
      </c>
      <c r="DC249" s="89">
        <f t="shared" si="211"/>
        <v>0</v>
      </c>
      <c r="DD249" s="75">
        <f t="shared" si="212"/>
        <v>0</v>
      </c>
      <c r="DE249" s="75">
        <f t="shared" si="213"/>
        <v>0</v>
      </c>
      <c r="DF249" s="75">
        <f t="shared" si="214"/>
        <v>0</v>
      </c>
      <c r="DG249" s="75">
        <f t="shared" si="215"/>
        <v>0</v>
      </c>
      <c r="DH249" s="89">
        <f t="shared" si="216"/>
        <v>0</v>
      </c>
      <c r="DI249" s="75">
        <f t="shared" si="217"/>
        <v>0</v>
      </c>
      <c r="DJ249" s="75">
        <f t="shared" si="218"/>
        <v>0</v>
      </c>
      <c r="DK249" s="89">
        <f t="shared" si="219"/>
        <v>0</v>
      </c>
      <c r="DL249" s="75">
        <f t="shared" si="220"/>
        <v>0</v>
      </c>
      <c r="DM249" s="75">
        <f t="shared" si="221"/>
        <v>0</v>
      </c>
      <c r="DN249" s="90">
        <f t="shared" si="222"/>
        <v>0</v>
      </c>
      <c r="DO249" s="91">
        <f>IF(AN249="",0,VLOOKUP(B249,Tables!$B$3:$M$36,11,FALSE())*X$1)</f>
        <v>0</v>
      </c>
      <c r="DP249" s="92">
        <f>IF(AO249="",0,VLOOKUP(C249,Tables!$B$3:$M$36,11,FALSE())*Y$1)</f>
        <v>0</v>
      </c>
      <c r="DQ249" s="92">
        <f>IF(AP249="",0,VLOOKUP(D249,Tables!$B$3:$M$36,11,FALSE())*Z$1)</f>
        <v>0</v>
      </c>
      <c r="DR249" s="91">
        <f>IF(AQ249="",0,VLOOKUP(E249,Tables!$B$3:$M$36,11,FALSE())*AA$1)</f>
        <v>0</v>
      </c>
      <c r="DS249" s="92">
        <f>IF(AR249="",0,VLOOKUP(F249,Tables!$B$3:$M$36,11,FALSE())*AB$1)</f>
        <v>0</v>
      </c>
      <c r="DT249" s="92">
        <f>IF(AS249="",0,VLOOKUP(G249,Tables!$B$3:$M$36,11,FALSE())*AC$1)</f>
        <v>0</v>
      </c>
      <c r="DU249" s="92">
        <f>IF(AT249="",0,VLOOKUP(H249,Tables!$B$3:$M$36,11,FALSE())*AD$1)</f>
        <v>0</v>
      </c>
      <c r="DV249" s="92">
        <f>IF(AU249="",0,VLOOKUP(I249,Tables!$B$3:$M$36,11,FALSE())*AE$1)</f>
        <v>0</v>
      </c>
      <c r="DW249" s="91">
        <f>IF(AV249="",0,VLOOKUP(J249,Tables!$B$3:$M$36,11,FALSE())*AF$1)</f>
        <v>0</v>
      </c>
      <c r="DX249" s="92">
        <f>IF(AW249="",0,VLOOKUP(K249,Tables!$B$3:$M$36,11,FALSE())*AG$1)</f>
        <v>0</v>
      </c>
      <c r="DY249" s="92">
        <f>IF(AX249="",0,VLOOKUP(L249,Tables!$B$3:$M$36,11,FALSE())*AH$1)</f>
        <v>0</v>
      </c>
      <c r="DZ249" s="91">
        <f>IF(AY249="",0,VLOOKUP(M249,Tables!$B$3:$M$36,11,FALSE())*AI$1)</f>
        <v>0</v>
      </c>
      <c r="EA249" s="92">
        <f>IF(AZ249="",0,VLOOKUP(N249,Tables!$B$3:$M$36,11,FALSE())*AJ$1)</f>
        <v>0</v>
      </c>
      <c r="EB249" s="92">
        <f>IF(BA249="",0,VLOOKUP(O249,Tables!$B$3:$M$36,11,FALSE())*AK$1)</f>
        <v>0</v>
      </c>
      <c r="EC249" s="93">
        <f>IF(BB249="",0,VLOOKUP(P249,Tables!$B$3:$M$36,11,FALSE())*AL$1)</f>
        <v>0</v>
      </c>
      <c r="ED249" s="91">
        <f>IF(AN249="",0,VLOOKUP(B249,Tables!$B$3:$M$36,12,FALSE())*X$1)</f>
        <v>0</v>
      </c>
      <c r="EE249" s="92">
        <f>IF(AO249="",0,VLOOKUP(C249,Tables!$B$3:$M$36,12,FALSE())*Y$1)</f>
        <v>0</v>
      </c>
      <c r="EF249" s="92">
        <f>IF(AP249="",0,VLOOKUP(D249,Tables!$B$3:$M$36,12,FALSE())*Z$1)</f>
        <v>0</v>
      </c>
      <c r="EG249" s="91">
        <f>IF(AQ249="",0,VLOOKUP(E249,Tables!$B$3:$M$36,12,FALSE())*AA$1)</f>
        <v>0</v>
      </c>
      <c r="EH249" s="92">
        <f>IF(AR249="",0,VLOOKUP(F249,Tables!$B$3:$M$36,12,FALSE())*AB$1)</f>
        <v>0</v>
      </c>
      <c r="EI249" s="92">
        <f>IF(AS249="",0,VLOOKUP(G249,Tables!$B$3:$M$36,12,FALSE())*AC$1)</f>
        <v>0</v>
      </c>
      <c r="EJ249" s="92">
        <f>IF(AT249="",0,VLOOKUP(H249,Tables!$B$3:$M$36,12,FALSE())*AD$1)</f>
        <v>0</v>
      </c>
      <c r="EK249" s="92">
        <f>IF(AU249="",0,VLOOKUP(I249,Tables!$B$3:$M$36,12,FALSE())*AE$1)</f>
        <v>0</v>
      </c>
      <c r="EL249" s="91">
        <f>IF(AV249="",0,VLOOKUP(J249,Tables!$B$3:$M$36,12,FALSE())*AF$1)</f>
        <v>0</v>
      </c>
      <c r="EM249" s="92">
        <f>IF(AW249="",0,VLOOKUP(K249,Tables!$B$3:$M$36,12,FALSE())*AG$1)</f>
        <v>0</v>
      </c>
      <c r="EN249" s="92">
        <f>IF(AX249="",0,VLOOKUP(L249,Tables!$B$3:$M$36,12,FALSE())*AH$1)</f>
        <v>0</v>
      </c>
      <c r="EO249" s="91">
        <f>IF(AY249="",0,VLOOKUP(M249,Tables!$B$3:$M$36,12,FALSE())*AI$1)</f>
        <v>0</v>
      </c>
      <c r="EP249" s="92">
        <f>IF(AZ249="",0,VLOOKUP(N249,Tables!$B$3:$M$36,12,FALSE())*AJ$1)</f>
        <v>0</v>
      </c>
      <c r="EQ249" s="92">
        <f>IF(BA249="",0,VLOOKUP(O249,Tables!$B$3:$M$36,12,FALSE())*AK$1)</f>
        <v>0</v>
      </c>
      <c r="ER249" s="93">
        <f>IF(BB249="",0,VLOOKUP(P249,Tables!$B$3:$M$36,12,FALSE())*AL$1)</f>
        <v>0</v>
      </c>
      <c r="ES249" s="94">
        <f t="shared" si="223"/>
        <v>0</v>
      </c>
      <c r="ET249" s="95">
        <f>IF(AN249="",10,MIN(VLOOKUP(B249,MATERIAL,13,FALSE()),'Item Builder'!$W249))</f>
        <v>10</v>
      </c>
      <c r="EU249" s="95">
        <f>IF(AO249="",10,MIN(VLOOKUP(C249,MATERIAL,13,FALSE()),'Item Builder'!$W249))</f>
        <v>10</v>
      </c>
      <c r="EV249" s="95">
        <f>IF(AP249="",10,MIN(VLOOKUP(D249,MATERIAL,13,FALSE()),'Item Builder'!$W249))</f>
        <v>10</v>
      </c>
      <c r="EW249" s="95">
        <f>IF(AQ249="",10,MIN(VLOOKUP(E249,MATERIAL,13,FALSE()),'Item Builder'!$W249))</f>
        <v>10</v>
      </c>
      <c r="EX249" s="95">
        <f>IF(AR249="",10,MIN(VLOOKUP(F249,MATERIAL,13,FALSE()),'Item Builder'!$W249))</f>
        <v>10</v>
      </c>
      <c r="EY249" s="95">
        <f>IF(AS249="",10,MIN(VLOOKUP(G249,MATERIAL,13,FALSE()),'Item Builder'!$W249))</f>
        <v>10</v>
      </c>
      <c r="EZ249" s="95">
        <f>IF(AT249="",10,MIN(VLOOKUP(H249,MATERIAL,13,FALSE()),'Item Builder'!$W249))</f>
        <v>10</v>
      </c>
      <c r="FA249" s="95">
        <f>IF(AU249="",10,MIN(VLOOKUP(I249,MATERIAL,13,FALSE()),'Item Builder'!$W249))</f>
        <v>10</v>
      </c>
      <c r="FB249" s="95">
        <f>IF(AV249="",10,MIN(VLOOKUP(J249,MATERIAL,13,FALSE()),'Item Builder'!$W249))</f>
        <v>10</v>
      </c>
      <c r="FC249" s="95">
        <f>IF(AW249="",10,MIN(VLOOKUP(K249,MATERIAL,13,FALSE()),'Item Builder'!$W249))</f>
        <v>10</v>
      </c>
      <c r="FD249" s="95">
        <f>IF(AX249="",10,MIN(VLOOKUP(L249,MATERIAL,13,FALSE()),'Item Builder'!$W249))</f>
        <v>10</v>
      </c>
      <c r="FE249" s="95">
        <f>IF(AY249="",10,MIN(VLOOKUP(M249,MATERIAL,13,FALSE()),'Item Builder'!$W249))</f>
        <v>10</v>
      </c>
      <c r="FF249" s="95">
        <f>IF(AZ249="",10,MIN(VLOOKUP(N249,MATERIAL,13,FALSE()),'Item Builder'!$W249))</f>
        <v>10</v>
      </c>
      <c r="FG249" s="95">
        <f>IF(BA249="",10,MIN(VLOOKUP(O249,MATERIAL,13,FALSE()),'Item Builder'!$W249))</f>
        <v>10</v>
      </c>
      <c r="FH249" s="95">
        <f>IF(BB249="",10,MIN(VLOOKUP(P249,MATERIAL,13,FALSE()),'Item Builder'!$W249))</f>
        <v>10</v>
      </c>
    </row>
    <row r="250" spans="1:164" x14ac:dyDescent="0.25">
      <c r="A250" s="67"/>
      <c r="B250" s="68"/>
      <c r="C250" s="69"/>
      <c r="D250" s="70"/>
      <c r="E250" s="68"/>
      <c r="F250" s="69"/>
      <c r="G250" s="69"/>
      <c r="H250" s="69"/>
      <c r="I250" s="70"/>
      <c r="J250" s="68"/>
      <c r="K250" s="69"/>
      <c r="L250" s="70"/>
      <c r="M250" s="68"/>
      <c r="N250" s="69"/>
      <c r="O250" s="69"/>
      <c r="P250" s="71"/>
      <c r="Q250" s="72">
        <f>SUM(BV250:CJ250)*VLOOKUP(W250,Tables!$W$3:$Z$8,4)</f>
        <v>0</v>
      </c>
      <c r="R250" s="73">
        <f t="shared" si="168"/>
        <v>0</v>
      </c>
      <c r="S250" s="74">
        <f t="shared" si="169"/>
        <v>0</v>
      </c>
      <c r="T250" s="74">
        <f t="shared" si="170"/>
        <v>0</v>
      </c>
      <c r="U250" s="75">
        <f t="shared" si="171"/>
        <v>0</v>
      </c>
      <c r="V250" s="76">
        <f t="shared" si="172"/>
        <v>0</v>
      </c>
      <c r="W250" s="77">
        <v>0</v>
      </c>
      <c r="X250" s="78">
        <f t="shared" si="173"/>
        <v>0</v>
      </c>
      <c r="Y250" s="79">
        <f t="shared" si="174"/>
        <v>0</v>
      </c>
      <c r="Z250" s="79">
        <f t="shared" si="175"/>
        <v>0</v>
      </c>
      <c r="AA250" s="78">
        <f t="shared" si="176"/>
        <v>0</v>
      </c>
      <c r="AB250" s="79">
        <f t="shared" si="177"/>
        <v>0</v>
      </c>
      <c r="AC250" s="79">
        <f t="shared" si="178"/>
        <v>0</v>
      </c>
      <c r="AD250" s="79">
        <f t="shared" si="179"/>
        <v>0</v>
      </c>
      <c r="AE250" s="79">
        <f t="shared" si="180"/>
        <v>0</v>
      </c>
      <c r="AF250" s="78">
        <f t="shared" si="181"/>
        <v>0</v>
      </c>
      <c r="AG250" s="79">
        <f t="shared" si="182"/>
        <v>0</v>
      </c>
      <c r="AH250" s="79">
        <f t="shared" si="183"/>
        <v>0</v>
      </c>
      <c r="AI250" s="78">
        <f t="shared" si="184"/>
        <v>0</v>
      </c>
      <c r="AJ250" s="79">
        <f t="shared" si="185"/>
        <v>0</v>
      </c>
      <c r="AK250" s="79">
        <f t="shared" si="186"/>
        <v>0</v>
      </c>
      <c r="AL250" s="80">
        <f t="shared" si="187"/>
        <v>0</v>
      </c>
      <c r="AM250" s="81">
        <f t="shared" si="188"/>
        <v>0</v>
      </c>
      <c r="AN250" s="82" t="str">
        <f t="shared" si="189"/>
        <v/>
      </c>
      <c r="AO250" s="79" t="str">
        <f t="shared" si="190"/>
        <v/>
      </c>
      <c r="AP250" t="str">
        <f t="shared" si="191"/>
        <v/>
      </c>
      <c r="AQ250" s="82" t="str">
        <f t="shared" si="192"/>
        <v/>
      </c>
      <c r="AR250" t="str">
        <f t="shared" si="193"/>
        <v/>
      </c>
      <c r="AS250" t="str">
        <f t="shared" si="194"/>
        <v/>
      </c>
      <c r="AT250" t="str">
        <f t="shared" si="195"/>
        <v/>
      </c>
      <c r="AU250" t="str">
        <f t="shared" si="196"/>
        <v/>
      </c>
      <c r="AV250" s="82" t="str">
        <f t="shared" si="197"/>
        <v/>
      </c>
      <c r="AW250" t="str">
        <f t="shared" si="198"/>
        <v/>
      </c>
      <c r="AX250" t="str">
        <f t="shared" si="199"/>
        <v/>
      </c>
      <c r="AY250" s="82" t="str">
        <f t="shared" si="200"/>
        <v/>
      </c>
      <c r="AZ250" t="str">
        <f t="shared" si="201"/>
        <v/>
      </c>
      <c r="BA250" t="str">
        <f t="shared" si="202"/>
        <v/>
      </c>
      <c r="BB250" s="83" t="str">
        <f t="shared" si="203"/>
        <v/>
      </c>
      <c r="BC250" s="84">
        <f t="shared" si="204"/>
        <v>0</v>
      </c>
      <c r="BD250" s="84">
        <f t="shared" si="205"/>
        <v>0</v>
      </c>
      <c r="BE250" s="84">
        <f t="shared" si="206"/>
        <v>0</v>
      </c>
      <c r="BF250" s="84">
        <f t="shared" si="207"/>
        <v>0</v>
      </c>
      <c r="BG250" s="78">
        <f>IF(AN250="",0,VLOOKUP(AN250,Tables!$AB$3:$AC$12,2))</f>
        <v>0</v>
      </c>
      <c r="BH250" s="79">
        <f>IF(AO250="",0,VLOOKUP(AO250,Tables!$AB$3:$AC$12,2))</f>
        <v>0</v>
      </c>
      <c r="BI250" s="79">
        <f>IF(AP250="",0,VLOOKUP(AP250,Tables!$AB$3:$AC$12,2))</f>
        <v>0</v>
      </c>
      <c r="BJ250" s="78">
        <f>IF(AQ250="",0,VLOOKUP(AQ250,Tables!$AB$3:$AC$12,2))</f>
        <v>0</v>
      </c>
      <c r="BK250" s="79">
        <f>IF(AR250="",0,VLOOKUP(AR250,Tables!$AB$3:$AC$12,2))</f>
        <v>0</v>
      </c>
      <c r="BL250" s="79">
        <f>IF(AS250="",0,VLOOKUP(AS250,Tables!$AB$3:$AC$12,2))</f>
        <v>0</v>
      </c>
      <c r="BM250" s="79">
        <f>IF(AT250="",0,VLOOKUP(AT250,Tables!$AB$3:$AC$12,2))</f>
        <v>0</v>
      </c>
      <c r="BN250" s="79">
        <f>IF(AU250="",0,VLOOKUP(AU250,Tables!$AB$3:$AC$12,2))</f>
        <v>0</v>
      </c>
      <c r="BO250" s="78">
        <f>IF(AV250="",0,VLOOKUP(AV250,Tables!$AB$3:$AC$12,2))</f>
        <v>0</v>
      </c>
      <c r="BP250" s="79">
        <f>IF(AW250="",0,VLOOKUP(AW250,Tables!$AB$3:$AC$12,2))</f>
        <v>0</v>
      </c>
      <c r="BQ250" s="79">
        <f>IF(AX250="",0,VLOOKUP(AX250,Tables!$AB$3:$AC$12,2))</f>
        <v>0</v>
      </c>
      <c r="BR250" s="78">
        <f>IF(AY250="",0,VLOOKUP(AY250,Tables!$AB$3:$AC$12,2))</f>
        <v>0</v>
      </c>
      <c r="BS250" s="79">
        <f>IF(AZ250="",0,VLOOKUP(AZ250,Tables!$AB$3:$AC$12,2))</f>
        <v>0</v>
      </c>
      <c r="BT250" s="79">
        <f>IF(BA250="",0,VLOOKUP(BA250,Tables!$AB$3:$AC$12,2))</f>
        <v>0</v>
      </c>
      <c r="BU250" s="80">
        <f>IF(BB250="",0,VLOOKUP(BB250,Tables!$AB$3:$AC$12,2))</f>
        <v>0</v>
      </c>
      <c r="BV250" s="85">
        <f>IF(AN250="",0,VLOOKUP(B250,Tables!$B$3:$D$36,2,FALSE())*X$1)</f>
        <v>0</v>
      </c>
      <c r="BW250" s="72">
        <f>IF(AO250="",0,VLOOKUP(C250,Tables!$B$3:$D$36,2,FALSE())*Y$1)</f>
        <v>0</v>
      </c>
      <c r="BX250" s="72">
        <f>IF(AP250="",0,VLOOKUP(D250,Tables!$B$3:$D$36,2,FALSE())*Z$1)</f>
        <v>0</v>
      </c>
      <c r="BY250" s="85">
        <f>IF(AQ250="",0,VLOOKUP(E250,Tables!$B$3:$D$36,2,FALSE())*AA$1)</f>
        <v>0</v>
      </c>
      <c r="BZ250" s="72">
        <f>IF(AR250="",0,VLOOKUP(F250,Tables!$B$3:$D$36,2,FALSE())*AB$1)</f>
        <v>0</v>
      </c>
      <c r="CA250" s="72">
        <f>IF(AS250="",0,VLOOKUP(G250,Tables!$B$3:$D$36,2,FALSE())*AC$1)</f>
        <v>0</v>
      </c>
      <c r="CB250" s="72">
        <f>IF(AT250="",0,VLOOKUP(H250,Tables!$B$3:$D$36,2,FALSE())*AD$1)</f>
        <v>0</v>
      </c>
      <c r="CC250" s="72">
        <f>IF(AU250="",0,VLOOKUP(I250,Tables!$B$3:$D$36,2,FALSE())*AE$1)</f>
        <v>0</v>
      </c>
      <c r="CD250" s="85">
        <f>IF(AV250="",0,VLOOKUP(J250,Tables!$B$3:$D$36,2,FALSE())*AF$1)</f>
        <v>0</v>
      </c>
      <c r="CE250" s="72">
        <f>IF(AW250="",0,VLOOKUP(K250,Tables!$B$3:$D$36,2,FALSE())*AG$1)</f>
        <v>0</v>
      </c>
      <c r="CF250" s="72">
        <f>IF(AX250="",0,VLOOKUP(L250,Tables!$B$3:$D$36,2,FALSE())*AH$1)</f>
        <v>0</v>
      </c>
      <c r="CG250" s="85">
        <f>IF(AY250="",0,VLOOKUP(M250,Tables!$B$3:$D$36,2,FALSE())*AI$1)</f>
        <v>0</v>
      </c>
      <c r="CH250" s="72">
        <f>IF(AZ250="",0,VLOOKUP(N250,Tables!$B$3:$D$36,2,FALSE())*AJ$1)</f>
        <v>0</v>
      </c>
      <c r="CI250" s="72">
        <f>IF(BA250="",0,VLOOKUP(O250,Tables!$B$3:$D$36,2,FALSE())*AK$1)</f>
        <v>0</v>
      </c>
      <c r="CJ250" s="86">
        <f>IF(BB250="",0,VLOOKUP(P250,Tables!$B$3:$D$36,2,FALSE())*AL$1)</f>
        <v>0</v>
      </c>
      <c r="CK250" s="87">
        <f>IF(AN250="",0,VLOOKUP(B250,Tables!$B$3:$D$36,3,FALSE())*X$1)*IF(OR(AN250="K",AN250="P"),2,1)</f>
        <v>0</v>
      </c>
      <c r="CL250" s="73">
        <f>IF(AO250="",0,VLOOKUP(C250,Tables!$B$3:$D$36,3,FALSE())*Y$1)*IF(OR(AO250="K",AO250="P"),2,1)</f>
        <v>0</v>
      </c>
      <c r="CM250" s="73">
        <f>IF(AP250="",0,VLOOKUP(D250,Tables!$B$3:$D$36,3,FALSE())*Z$1)*IF(OR(AP250="K",AP250="P"),2,1)</f>
        <v>0</v>
      </c>
      <c r="CN250" s="87">
        <f>IF(AQ250="",0,VLOOKUP(E250,Tables!$B$3:$D$36,3,FALSE())*AA$1)</f>
        <v>0</v>
      </c>
      <c r="CO250" s="73">
        <f>IF(AR250="",0,VLOOKUP(F250,Tables!$B$3:$D$36,3,FALSE())*AB$1)</f>
        <v>0</v>
      </c>
      <c r="CP250" s="73">
        <f>IF(AS250="",0,VLOOKUP(G250,Tables!$B$3:$D$36,3,FALSE())*AC$1)</f>
        <v>0</v>
      </c>
      <c r="CQ250" s="73">
        <f>IF(AT250="",0,VLOOKUP(H250,Tables!$B$3:$D$36,3,FALSE())*AD$1)</f>
        <v>0</v>
      </c>
      <c r="CR250" s="73">
        <f>IF(AU250="",0,VLOOKUP(I250,Tables!$B$3:$D$36,3,FALSE())*AE$1)</f>
        <v>0</v>
      </c>
      <c r="CS250" s="87">
        <f>IF(AV250="",0,VLOOKUP(J250,Tables!$B$3:$D$36,3,FALSE())*AF$1)</f>
        <v>0</v>
      </c>
      <c r="CT250" s="73">
        <f>IF(AW250="",0,VLOOKUP(K250,Tables!$B$3:$D$36,3,FALSE())*AG$1)</f>
        <v>0</v>
      </c>
      <c r="CU250" s="73">
        <f>IF(AX250="",0,VLOOKUP(L250,Tables!$B$3:$D$36,3,FALSE())*AH$1)</f>
        <v>0</v>
      </c>
      <c r="CV250" s="87">
        <f>IF(AY250="",0,VLOOKUP(M250,Tables!$B$3:$D$36,3,FALSE())*AI$1)</f>
        <v>0</v>
      </c>
      <c r="CW250" s="73">
        <f>IF(AZ250="",0,VLOOKUP(N250,Tables!$B$3:$D$36,3,FALSE())*AJ$1)</f>
        <v>0</v>
      </c>
      <c r="CX250" s="73">
        <f>IF(BA250="",0,VLOOKUP(O250,Tables!$B$3:$D$36,3,FALSE())*AK$1)</f>
        <v>0</v>
      </c>
      <c r="CY250" s="88">
        <f>IF(BB250="",0,VLOOKUP(P250,Tables!$B$3:$D$36,3,FALSE())*AL$1)</f>
        <v>0</v>
      </c>
      <c r="CZ250" s="89">
        <f t="shared" si="208"/>
        <v>0</v>
      </c>
      <c r="DA250" s="75">
        <f t="shared" si="209"/>
        <v>0</v>
      </c>
      <c r="DB250" s="75">
        <f t="shared" si="210"/>
        <v>0</v>
      </c>
      <c r="DC250" s="89">
        <f t="shared" si="211"/>
        <v>0</v>
      </c>
      <c r="DD250" s="75">
        <f t="shared" si="212"/>
        <v>0</v>
      </c>
      <c r="DE250" s="75">
        <f t="shared" si="213"/>
        <v>0</v>
      </c>
      <c r="DF250" s="75">
        <f t="shared" si="214"/>
        <v>0</v>
      </c>
      <c r="DG250" s="75">
        <f t="shared" si="215"/>
        <v>0</v>
      </c>
      <c r="DH250" s="89">
        <f t="shared" si="216"/>
        <v>0</v>
      </c>
      <c r="DI250" s="75">
        <f t="shared" si="217"/>
        <v>0</v>
      </c>
      <c r="DJ250" s="75">
        <f t="shared" si="218"/>
        <v>0</v>
      </c>
      <c r="DK250" s="89">
        <f t="shared" si="219"/>
        <v>0</v>
      </c>
      <c r="DL250" s="75">
        <f t="shared" si="220"/>
        <v>0</v>
      </c>
      <c r="DM250" s="75">
        <f t="shared" si="221"/>
        <v>0</v>
      </c>
      <c r="DN250" s="90">
        <f t="shared" si="222"/>
        <v>0</v>
      </c>
      <c r="DO250" s="91">
        <f>IF(AN250="",0,VLOOKUP(B250,Tables!$B$3:$M$36,11,FALSE())*X$1)</f>
        <v>0</v>
      </c>
      <c r="DP250" s="92">
        <f>IF(AO250="",0,VLOOKUP(C250,Tables!$B$3:$M$36,11,FALSE())*Y$1)</f>
        <v>0</v>
      </c>
      <c r="DQ250" s="92">
        <f>IF(AP250="",0,VLOOKUP(D250,Tables!$B$3:$M$36,11,FALSE())*Z$1)</f>
        <v>0</v>
      </c>
      <c r="DR250" s="91">
        <f>IF(AQ250="",0,VLOOKUP(E250,Tables!$B$3:$M$36,11,FALSE())*AA$1)</f>
        <v>0</v>
      </c>
      <c r="DS250" s="92">
        <f>IF(AR250="",0,VLOOKUP(F250,Tables!$B$3:$M$36,11,FALSE())*AB$1)</f>
        <v>0</v>
      </c>
      <c r="DT250" s="92">
        <f>IF(AS250="",0,VLOOKUP(G250,Tables!$B$3:$M$36,11,FALSE())*AC$1)</f>
        <v>0</v>
      </c>
      <c r="DU250" s="92">
        <f>IF(AT250="",0,VLOOKUP(H250,Tables!$B$3:$M$36,11,FALSE())*AD$1)</f>
        <v>0</v>
      </c>
      <c r="DV250" s="92">
        <f>IF(AU250="",0,VLOOKUP(I250,Tables!$B$3:$M$36,11,FALSE())*AE$1)</f>
        <v>0</v>
      </c>
      <c r="DW250" s="91">
        <f>IF(AV250="",0,VLOOKUP(J250,Tables!$B$3:$M$36,11,FALSE())*AF$1)</f>
        <v>0</v>
      </c>
      <c r="DX250" s="92">
        <f>IF(AW250="",0,VLOOKUP(K250,Tables!$B$3:$M$36,11,FALSE())*AG$1)</f>
        <v>0</v>
      </c>
      <c r="DY250" s="92">
        <f>IF(AX250="",0,VLOOKUP(L250,Tables!$B$3:$M$36,11,FALSE())*AH$1)</f>
        <v>0</v>
      </c>
      <c r="DZ250" s="91">
        <f>IF(AY250="",0,VLOOKUP(M250,Tables!$B$3:$M$36,11,FALSE())*AI$1)</f>
        <v>0</v>
      </c>
      <c r="EA250" s="92">
        <f>IF(AZ250="",0,VLOOKUP(N250,Tables!$B$3:$M$36,11,FALSE())*AJ$1)</f>
        <v>0</v>
      </c>
      <c r="EB250" s="92">
        <f>IF(BA250="",0,VLOOKUP(O250,Tables!$B$3:$M$36,11,FALSE())*AK$1)</f>
        <v>0</v>
      </c>
      <c r="EC250" s="93">
        <f>IF(BB250="",0,VLOOKUP(P250,Tables!$B$3:$M$36,11,FALSE())*AL$1)</f>
        <v>0</v>
      </c>
      <c r="ED250" s="91">
        <f>IF(AN250="",0,VLOOKUP(B250,Tables!$B$3:$M$36,12,FALSE())*X$1)</f>
        <v>0</v>
      </c>
      <c r="EE250" s="92">
        <f>IF(AO250="",0,VLOOKUP(C250,Tables!$B$3:$M$36,12,FALSE())*Y$1)</f>
        <v>0</v>
      </c>
      <c r="EF250" s="92">
        <f>IF(AP250="",0,VLOOKUP(D250,Tables!$B$3:$M$36,12,FALSE())*Z$1)</f>
        <v>0</v>
      </c>
      <c r="EG250" s="91">
        <f>IF(AQ250="",0,VLOOKUP(E250,Tables!$B$3:$M$36,12,FALSE())*AA$1)</f>
        <v>0</v>
      </c>
      <c r="EH250" s="92">
        <f>IF(AR250="",0,VLOOKUP(F250,Tables!$B$3:$M$36,12,FALSE())*AB$1)</f>
        <v>0</v>
      </c>
      <c r="EI250" s="92">
        <f>IF(AS250="",0,VLOOKUP(G250,Tables!$B$3:$M$36,12,FALSE())*AC$1)</f>
        <v>0</v>
      </c>
      <c r="EJ250" s="92">
        <f>IF(AT250="",0,VLOOKUP(H250,Tables!$B$3:$M$36,12,FALSE())*AD$1)</f>
        <v>0</v>
      </c>
      <c r="EK250" s="92">
        <f>IF(AU250="",0,VLOOKUP(I250,Tables!$B$3:$M$36,12,FALSE())*AE$1)</f>
        <v>0</v>
      </c>
      <c r="EL250" s="91">
        <f>IF(AV250="",0,VLOOKUP(J250,Tables!$B$3:$M$36,12,FALSE())*AF$1)</f>
        <v>0</v>
      </c>
      <c r="EM250" s="92">
        <f>IF(AW250="",0,VLOOKUP(K250,Tables!$B$3:$M$36,12,FALSE())*AG$1)</f>
        <v>0</v>
      </c>
      <c r="EN250" s="92">
        <f>IF(AX250="",0,VLOOKUP(L250,Tables!$B$3:$M$36,12,FALSE())*AH$1)</f>
        <v>0</v>
      </c>
      <c r="EO250" s="91">
        <f>IF(AY250="",0,VLOOKUP(M250,Tables!$B$3:$M$36,12,FALSE())*AI$1)</f>
        <v>0</v>
      </c>
      <c r="EP250" s="92">
        <f>IF(AZ250="",0,VLOOKUP(N250,Tables!$B$3:$M$36,12,FALSE())*AJ$1)</f>
        <v>0</v>
      </c>
      <c r="EQ250" s="92">
        <f>IF(BA250="",0,VLOOKUP(O250,Tables!$B$3:$M$36,12,FALSE())*AK$1)</f>
        <v>0</v>
      </c>
      <c r="ER250" s="93">
        <f>IF(BB250="",0,VLOOKUP(P250,Tables!$B$3:$M$36,12,FALSE())*AL$1)</f>
        <v>0</v>
      </c>
      <c r="ES250" s="94">
        <f t="shared" si="223"/>
        <v>0</v>
      </c>
      <c r="ET250" s="95">
        <f>IF(AN250="",10,MIN(VLOOKUP(B250,MATERIAL,13,FALSE()),'Item Builder'!$W250))</f>
        <v>10</v>
      </c>
      <c r="EU250" s="95">
        <f>IF(AO250="",10,MIN(VLOOKUP(C250,MATERIAL,13,FALSE()),'Item Builder'!$W250))</f>
        <v>10</v>
      </c>
      <c r="EV250" s="95">
        <f>IF(AP250="",10,MIN(VLOOKUP(D250,MATERIAL,13,FALSE()),'Item Builder'!$W250))</f>
        <v>10</v>
      </c>
      <c r="EW250" s="95">
        <f>IF(AQ250="",10,MIN(VLOOKUP(E250,MATERIAL,13,FALSE()),'Item Builder'!$W250))</f>
        <v>10</v>
      </c>
      <c r="EX250" s="95">
        <f>IF(AR250="",10,MIN(VLOOKUP(F250,MATERIAL,13,FALSE()),'Item Builder'!$W250))</f>
        <v>10</v>
      </c>
      <c r="EY250" s="95">
        <f>IF(AS250="",10,MIN(VLOOKUP(G250,MATERIAL,13,FALSE()),'Item Builder'!$W250))</f>
        <v>10</v>
      </c>
      <c r="EZ250" s="95">
        <f>IF(AT250="",10,MIN(VLOOKUP(H250,MATERIAL,13,FALSE()),'Item Builder'!$W250))</f>
        <v>10</v>
      </c>
      <c r="FA250" s="95">
        <f>IF(AU250="",10,MIN(VLOOKUP(I250,MATERIAL,13,FALSE()),'Item Builder'!$W250))</f>
        <v>10</v>
      </c>
      <c r="FB250" s="95">
        <f>IF(AV250="",10,MIN(VLOOKUP(J250,MATERIAL,13,FALSE()),'Item Builder'!$W250))</f>
        <v>10</v>
      </c>
      <c r="FC250" s="95">
        <f>IF(AW250="",10,MIN(VLOOKUP(K250,MATERIAL,13,FALSE()),'Item Builder'!$W250))</f>
        <v>10</v>
      </c>
      <c r="FD250" s="95">
        <f>IF(AX250="",10,MIN(VLOOKUP(L250,MATERIAL,13,FALSE()),'Item Builder'!$W250))</f>
        <v>10</v>
      </c>
      <c r="FE250" s="95">
        <f>IF(AY250="",10,MIN(VLOOKUP(M250,MATERIAL,13,FALSE()),'Item Builder'!$W250))</f>
        <v>10</v>
      </c>
      <c r="FF250" s="95">
        <f>IF(AZ250="",10,MIN(VLOOKUP(N250,MATERIAL,13,FALSE()),'Item Builder'!$W250))</f>
        <v>10</v>
      </c>
      <c r="FG250" s="95">
        <f>IF(BA250="",10,MIN(VLOOKUP(O250,MATERIAL,13,FALSE()),'Item Builder'!$W250))</f>
        <v>10</v>
      </c>
      <c r="FH250" s="95">
        <f>IF(BB250="",10,MIN(VLOOKUP(P250,MATERIAL,13,FALSE()),'Item Builder'!$W250))</f>
        <v>10</v>
      </c>
    </row>
    <row r="251" spans="1:164" x14ac:dyDescent="0.25">
      <c r="A251" s="67"/>
      <c r="B251" s="68"/>
      <c r="C251" s="69"/>
      <c r="D251" s="70"/>
      <c r="E251" s="68"/>
      <c r="F251" s="69"/>
      <c r="G251" s="69"/>
      <c r="H251" s="69"/>
      <c r="I251" s="70"/>
      <c r="J251" s="68"/>
      <c r="K251" s="69"/>
      <c r="L251" s="70"/>
      <c r="M251" s="68"/>
      <c r="N251" s="69"/>
      <c r="O251" s="69"/>
      <c r="P251" s="71"/>
      <c r="Q251" s="72">
        <f>SUM(BV251:CJ251)*VLOOKUP(W251,Tables!$W$3:$Z$8,4)</f>
        <v>0</v>
      </c>
      <c r="R251" s="73">
        <f t="shared" si="168"/>
        <v>0</v>
      </c>
      <c r="S251" s="74">
        <f t="shared" si="169"/>
        <v>0</v>
      </c>
      <c r="T251" s="74">
        <f t="shared" si="170"/>
        <v>0</v>
      </c>
      <c r="U251" s="75">
        <f t="shared" si="171"/>
        <v>0</v>
      </c>
      <c r="V251" s="76">
        <f t="shared" si="172"/>
        <v>0</v>
      </c>
      <c r="W251" s="77">
        <v>0</v>
      </c>
      <c r="X251" s="78">
        <f t="shared" si="173"/>
        <v>0</v>
      </c>
      <c r="Y251" s="79">
        <f t="shared" si="174"/>
        <v>0</v>
      </c>
      <c r="Z251" s="79">
        <f t="shared" si="175"/>
        <v>0</v>
      </c>
      <c r="AA251" s="78">
        <f t="shared" si="176"/>
        <v>0</v>
      </c>
      <c r="AB251" s="79">
        <f t="shared" si="177"/>
        <v>0</v>
      </c>
      <c r="AC251" s="79">
        <f t="shared" si="178"/>
        <v>0</v>
      </c>
      <c r="AD251" s="79">
        <f t="shared" si="179"/>
        <v>0</v>
      </c>
      <c r="AE251" s="79">
        <f t="shared" si="180"/>
        <v>0</v>
      </c>
      <c r="AF251" s="78">
        <f t="shared" si="181"/>
        <v>0</v>
      </c>
      <c r="AG251" s="79">
        <f t="shared" si="182"/>
        <v>0</v>
      </c>
      <c r="AH251" s="79">
        <f t="shared" si="183"/>
        <v>0</v>
      </c>
      <c r="AI251" s="78">
        <f t="shared" si="184"/>
        <v>0</v>
      </c>
      <c r="AJ251" s="79">
        <f t="shared" si="185"/>
        <v>0</v>
      </c>
      <c r="AK251" s="79">
        <f t="shared" si="186"/>
        <v>0</v>
      </c>
      <c r="AL251" s="80">
        <f t="shared" si="187"/>
        <v>0</v>
      </c>
      <c r="AM251" s="81">
        <f t="shared" si="188"/>
        <v>0</v>
      </c>
      <c r="AN251" s="82" t="str">
        <f t="shared" si="189"/>
        <v/>
      </c>
      <c r="AO251" s="79" t="str">
        <f t="shared" si="190"/>
        <v/>
      </c>
      <c r="AP251" t="str">
        <f t="shared" si="191"/>
        <v/>
      </c>
      <c r="AQ251" s="82" t="str">
        <f t="shared" si="192"/>
        <v/>
      </c>
      <c r="AR251" t="str">
        <f t="shared" si="193"/>
        <v/>
      </c>
      <c r="AS251" t="str">
        <f t="shared" si="194"/>
        <v/>
      </c>
      <c r="AT251" t="str">
        <f t="shared" si="195"/>
        <v/>
      </c>
      <c r="AU251" t="str">
        <f t="shared" si="196"/>
        <v/>
      </c>
      <c r="AV251" s="82" t="str">
        <f t="shared" si="197"/>
        <v/>
      </c>
      <c r="AW251" t="str">
        <f t="shared" si="198"/>
        <v/>
      </c>
      <c r="AX251" t="str">
        <f t="shared" si="199"/>
        <v/>
      </c>
      <c r="AY251" s="82" t="str">
        <f t="shared" si="200"/>
        <v/>
      </c>
      <c r="AZ251" t="str">
        <f t="shared" si="201"/>
        <v/>
      </c>
      <c r="BA251" t="str">
        <f t="shared" si="202"/>
        <v/>
      </c>
      <c r="BB251" s="83" t="str">
        <f t="shared" si="203"/>
        <v/>
      </c>
      <c r="BC251" s="84">
        <f t="shared" si="204"/>
        <v>0</v>
      </c>
      <c r="BD251" s="84">
        <f t="shared" si="205"/>
        <v>0</v>
      </c>
      <c r="BE251" s="84">
        <f t="shared" si="206"/>
        <v>0</v>
      </c>
      <c r="BF251" s="84">
        <f t="shared" si="207"/>
        <v>0</v>
      </c>
      <c r="BG251" s="78">
        <f>IF(AN251="",0,VLOOKUP(AN251,Tables!$AB$3:$AC$12,2))</f>
        <v>0</v>
      </c>
      <c r="BH251" s="79">
        <f>IF(AO251="",0,VLOOKUP(AO251,Tables!$AB$3:$AC$12,2))</f>
        <v>0</v>
      </c>
      <c r="BI251" s="79">
        <f>IF(AP251="",0,VLOOKUP(AP251,Tables!$AB$3:$AC$12,2))</f>
        <v>0</v>
      </c>
      <c r="BJ251" s="78">
        <f>IF(AQ251="",0,VLOOKUP(AQ251,Tables!$AB$3:$AC$12,2))</f>
        <v>0</v>
      </c>
      <c r="BK251" s="79">
        <f>IF(AR251="",0,VLOOKUP(AR251,Tables!$AB$3:$AC$12,2))</f>
        <v>0</v>
      </c>
      <c r="BL251" s="79">
        <f>IF(AS251="",0,VLOOKUP(AS251,Tables!$AB$3:$AC$12,2))</f>
        <v>0</v>
      </c>
      <c r="BM251" s="79">
        <f>IF(AT251="",0,VLOOKUP(AT251,Tables!$AB$3:$AC$12,2))</f>
        <v>0</v>
      </c>
      <c r="BN251" s="79">
        <f>IF(AU251="",0,VLOOKUP(AU251,Tables!$AB$3:$AC$12,2))</f>
        <v>0</v>
      </c>
      <c r="BO251" s="78">
        <f>IF(AV251="",0,VLOOKUP(AV251,Tables!$AB$3:$AC$12,2))</f>
        <v>0</v>
      </c>
      <c r="BP251" s="79">
        <f>IF(AW251="",0,VLOOKUP(AW251,Tables!$AB$3:$AC$12,2))</f>
        <v>0</v>
      </c>
      <c r="BQ251" s="79">
        <f>IF(AX251="",0,VLOOKUP(AX251,Tables!$AB$3:$AC$12,2))</f>
        <v>0</v>
      </c>
      <c r="BR251" s="78">
        <f>IF(AY251="",0,VLOOKUP(AY251,Tables!$AB$3:$AC$12,2))</f>
        <v>0</v>
      </c>
      <c r="BS251" s="79">
        <f>IF(AZ251="",0,VLOOKUP(AZ251,Tables!$AB$3:$AC$12,2))</f>
        <v>0</v>
      </c>
      <c r="BT251" s="79">
        <f>IF(BA251="",0,VLOOKUP(BA251,Tables!$AB$3:$AC$12,2))</f>
        <v>0</v>
      </c>
      <c r="BU251" s="80">
        <f>IF(BB251="",0,VLOOKUP(BB251,Tables!$AB$3:$AC$12,2))</f>
        <v>0</v>
      </c>
      <c r="BV251" s="85">
        <f>IF(AN251="",0,VLOOKUP(B251,Tables!$B$3:$D$36,2,FALSE())*X$1)</f>
        <v>0</v>
      </c>
      <c r="BW251" s="72">
        <f>IF(AO251="",0,VLOOKUP(C251,Tables!$B$3:$D$36,2,FALSE())*Y$1)</f>
        <v>0</v>
      </c>
      <c r="BX251" s="72">
        <f>IF(AP251="",0,VLOOKUP(D251,Tables!$B$3:$D$36,2,FALSE())*Z$1)</f>
        <v>0</v>
      </c>
      <c r="BY251" s="85">
        <f>IF(AQ251="",0,VLOOKUP(E251,Tables!$B$3:$D$36,2,FALSE())*AA$1)</f>
        <v>0</v>
      </c>
      <c r="BZ251" s="72">
        <f>IF(AR251="",0,VLOOKUP(F251,Tables!$B$3:$D$36,2,FALSE())*AB$1)</f>
        <v>0</v>
      </c>
      <c r="CA251" s="72">
        <f>IF(AS251="",0,VLOOKUP(G251,Tables!$B$3:$D$36,2,FALSE())*AC$1)</f>
        <v>0</v>
      </c>
      <c r="CB251" s="72">
        <f>IF(AT251="",0,VLOOKUP(H251,Tables!$B$3:$D$36,2,FALSE())*AD$1)</f>
        <v>0</v>
      </c>
      <c r="CC251" s="72">
        <f>IF(AU251="",0,VLOOKUP(I251,Tables!$B$3:$D$36,2,FALSE())*AE$1)</f>
        <v>0</v>
      </c>
      <c r="CD251" s="85">
        <f>IF(AV251="",0,VLOOKUP(J251,Tables!$B$3:$D$36,2,FALSE())*AF$1)</f>
        <v>0</v>
      </c>
      <c r="CE251" s="72">
        <f>IF(AW251="",0,VLOOKUP(K251,Tables!$B$3:$D$36,2,FALSE())*AG$1)</f>
        <v>0</v>
      </c>
      <c r="CF251" s="72">
        <f>IF(AX251="",0,VLOOKUP(L251,Tables!$B$3:$D$36,2,FALSE())*AH$1)</f>
        <v>0</v>
      </c>
      <c r="CG251" s="85">
        <f>IF(AY251="",0,VLOOKUP(M251,Tables!$B$3:$D$36,2,FALSE())*AI$1)</f>
        <v>0</v>
      </c>
      <c r="CH251" s="72">
        <f>IF(AZ251="",0,VLOOKUP(N251,Tables!$B$3:$D$36,2,FALSE())*AJ$1)</f>
        <v>0</v>
      </c>
      <c r="CI251" s="72">
        <f>IF(BA251="",0,VLOOKUP(O251,Tables!$B$3:$D$36,2,FALSE())*AK$1)</f>
        <v>0</v>
      </c>
      <c r="CJ251" s="86">
        <f>IF(BB251="",0,VLOOKUP(P251,Tables!$B$3:$D$36,2,FALSE())*AL$1)</f>
        <v>0</v>
      </c>
      <c r="CK251" s="87">
        <f>IF(AN251="",0,VLOOKUP(B251,Tables!$B$3:$D$36,3,FALSE())*X$1)*IF(OR(AN251="K",AN251="P"),2,1)</f>
        <v>0</v>
      </c>
      <c r="CL251" s="73">
        <f>IF(AO251="",0,VLOOKUP(C251,Tables!$B$3:$D$36,3,FALSE())*Y$1)*IF(OR(AO251="K",AO251="P"),2,1)</f>
        <v>0</v>
      </c>
      <c r="CM251" s="73">
        <f>IF(AP251="",0,VLOOKUP(D251,Tables!$B$3:$D$36,3,FALSE())*Z$1)*IF(OR(AP251="K",AP251="P"),2,1)</f>
        <v>0</v>
      </c>
      <c r="CN251" s="87">
        <f>IF(AQ251="",0,VLOOKUP(E251,Tables!$B$3:$D$36,3,FALSE())*AA$1)</f>
        <v>0</v>
      </c>
      <c r="CO251" s="73">
        <f>IF(AR251="",0,VLOOKUP(F251,Tables!$B$3:$D$36,3,FALSE())*AB$1)</f>
        <v>0</v>
      </c>
      <c r="CP251" s="73">
        <f>IF(AS251="",0,VLOOKUP(G251,Tables!$B$3:$D$36,3,FALSE())*AC$1)</f>
        <v>0</v>
      </c>
      <c r="CQ251" s="73">
        <f>IF(AT251="",0,VLOOKUP(H251,Tables!$B$3:$D$36,3,FALSE())*AD$1)</f>
        <v>0</v>
      </c>
      <c r="CR251" s="73">
        <f>IF(AU251="",0,VLOOKUP(I251,Tables!$B$3:$D$36,3,FALSE())*AE$1)</f>
        <v>0</v>
      </c>
      <c r="CS251" s="87">
        <f>IF(AV251="",0,VLOOKUP(J251,Tables!$B$3:$D$36,3,FALSE())*AF$1)</f>
        <v>0</v>
      </c>
      <c r="CT251" s="73">
        <f>IF(AW251="",0,VLOOKUP(K251,Tables!$B$3:$D$36,3,FALSE())*AG$1)</f>
        <v>0</v>
      </c>
      <c r="CU251" s="73">
        <f>IF(AX251="",0,VLOOKUP(L251,Tables!$B$3:$D$36,3,FALSE())*AH$1)</f>
        <v>0</v>
      </c>
      <c r="CV251" s="87">
        <f>IF(AY251="",0,VLOOKUP(M251,Tables!$B$3:$D$36,3,FALSE())*AI$1)</f>
        <v>0</v>
      </c>
      <c r="CW251" s="73">
        <f>IF(AZ251="",0,VLOOKUP(N251,Tables!$B$3:$D$36,3,FALSE())*AJ$1)</f>
        <v>0</v>
      </c>
      <c r="CX251" s="73">
        <f>IF(BA251="",0,VLOOKUP(O251,Tables!$B$3:$D$36,3,FALSE())*AK$1)</f>
        <v>0</v>
      </c>
      <c r="CY251" s="88">
        <f>IF(BB251="",0,VLOOKUP(P251,Tables!$B$3:$D$36,3,FALSE())*AL$1)</f>
        <v>0</v>
      </c>
      <c r="CZ251" s="89">
        <f t="shared" si="208"/>
        <v>0</v>
      </c>
      <c r="DA251" s="75">
        <f t="shared" si="209"/>
        <v>0</v>
      </c>
      <c r="DB251" s="75">
        <f t="shared" si="210"/>
        <v>0</v>
      </c>
      <c r="DC251" s="89">
        <f t="shared" si="211"/>
        <v>0</v>
      </c>
      <c r="DD251" s="75">
        <f t="shared" si="212"/>
        <v>0</v>
      </c>
      <c r="DE251" s="75">
        <f t="shared" si="213"/>
        <v>0</v>
      </c>
      <c r="DF251" s="75">
        <f t="shared" si="214"/>
        <v>0</v>
      </c>
      <c r="DG251" s="75">
        <f t="shared" si="215"/>
        <v>0</v>
      </c>
      <c r="DH251" s="89">
        <f t="shared" si="216"/>
        <v>0</v>
      </c>
      <c r="DI251" s="75">
        <f t="shared" si="217"/>
        <v>0</v>
      </c>
      <c r="DJ251" s="75">
        <f t="shared" si="218"/>
        <v>0</v>
      </c>
      <c r="DK251" s="89">
        <f t="shared" si="219"/>
        <v>0</v>
      </c>
      <c r="DL251" s="75">
        <f t="shared" si="220"/>
        <v>0</v>
      </c>
      <c r="DM251" s="75">
        <f t="shared" si="221"/>
        <v>0</v>
      </c>
      <c r="DN251" s="90">
        <f t="shared" si="222"/>
        <v>0</v>
      </c>
      <c r="DO251" s="91">
        <f>IF(AN251="",0,VLOOKUP(B251,Tables!$B$3:$M$36,11,FALSE())*X$1)</f>
        <v>0</v>
      </c>
      <c r="DP251" s="92">
        <f>IF(AO251="",0,VLOOKUP(C251,Tables!$B$3:$M$36,11,FALSE())*Y$1)</f>
        <v>0</v>
      </c>
      <c r="DQ251" s="92">
        <f>IF(AP251="",0,VLOOKUP(D251,Tables!$B$3:$M$36,11,FALSE())*Z$1)</f>
        <v>0</v>
      </c>
      <c r="DR251" s="91">
        <f>IF(AQ251="",0,VLOOKUP(E251,Tables!$B$3:$M$36,11,FALSE())*AA$1)</f>
        <v>0</v>
      </c>
      <c r="DS251" s="92">
        <f>IF(AR251="",0,VLOOKUP(F251,Tables!$B$3:$M$36,11,FALSE())*AB$1)</f>
        <v>0</v>
      </c>
      <c r="DT251" s="92">
        <f>IF(AS251="",0,VLOOKUP(G251,Tables!$B$3:$M$36,11,FALSE())*AC$1)</f>
        <v>0</v>
      </c>
      <c r="DU251" s="92">
        <f>IF(AT251="",0,VLOOKUP(H251,Tables!$B$3:$M$36,11,FALSE())*AD$1)</f>
        <v>0</v>
      </c>
      <c r="DV251" s="92">
        <f>IF(AU251="",0,VLOOKUP(I251,Tables!$B$3:$M$36,11,FALSE())*AE$1)</f>
        <v>0</v>
      </c>
      <c r="DW251" s="91">
        <f>IF(AV251="",0,VLOOKUP(J251,Tables!$B$3:$M$36,11,FALSE())*AF$1)</f>
        <v>0</v>
      </c>
      <c r="DX251" s="92">
        <f>IF(AW251="",0,VLOOKUP(K251,Tables!$B$3:$M$36,11,FALSE())*AG$1)</f>
        <v>0</v>
      </c>
      <c r="DY251" s="92">
        <f>IF(AX251="",0,VLOOKUP(L251,Tables!$B$3:$M$36,11,FALSE())*AH$1)</f>
        <v>0</v>
      </c>
      <c r="DZ251" s="91">
        <f>IF(AY251="",0,VLOOKUP(M251,Tables!$B$3:$M$36,11,FALSE())*AI$1)</f>
        <v>0</v>
      </c>
      <c r="EA251" s="92">
        <f>IF(AZ251="",0,VLOOKUP(N251,Tables!$B$3:$M$36,11,FALSE())*AJ$1)</f>
        <v>0</v>
      </c>
      <c r="EB251" s="92">
        <f>IF(BA251="",0,VLOOKUP(O251,Tables!$B$3:$M$36,11,FALSE())*AK$1)</f>
        <v>0</v>
      </c>
      <c r="EC251" s="93">
        <f>IF(BB251="",0,VLOOKUP(P251,Tables!$B$3:$M$36,11,FALSE())*AL$1)</f>
        <v>0</v>
      </c>
      <c r="ED251" s="91">
        <f>IF(AN251="",0,VLOOKUP(B251,Tables!$B$3:$M$36,12,FALSE())*X$1)</f>
        <v>0</v>
      </c>
      <c r="EE251" s="92">
        <f>IF(AO251="",0,VLOOKUP(C251,Tables!$B$3:$M$36,12,FALSE())*Y$1)</f>
        <v>0</v>
      </c>
      <c r="EF251" s="92">
        <f>IF(AP251="",0,VLOOKUP(D251,Tables!$B$3:$M$36,12,FALSE())*Z$1)</f>
        <v>0</v>
      </c>
      <c r="EG251" s="91">
        <f>IF(AQ251="",0,VLOOKUP(E251,Tables!$B$3:$M$36,12,FALSE())*AA$1)</f>
        <v>0</v>
      </c>
      <c r="EH251" s="92">
        <f>IF(AR251="",0,VLOOKUP(F251,Tables!$B$3:$M$36,12,FALSE())*AB$1)</f>
        <v>0</v>
      </c>
      <c r="EI251" s="92">
        <f>IF(AS251="",0,VLOOKUP(G251,Tables!$B$3:$M$36,12,FALSE())*AC$1)</f>
        <v>0</v>
      </c>
      <c r="EJ251" s="92">
        <f>IF(AT251="",0,VLOOKUP(H251,Tables!$B$3:$M$36,12,FALSE())*AD$1)</f>
        <v>0</v>
      </c>
      <c r="EK251" s="92">
        <f>IF(AU251="",0,VLOOKUP(I251,Tables!$B$3:$M$36,12,FALSE())*AE$1)</f>
        <v>0</v>
      </c>
      <c r="EL251" s="91">
        <f>IF(AV251="",0,VLOOKUP(J251,Tables!$B$3:$M$36,12,FALSE())*AF$1)</f>
        <v>0</v>
      </c>
      <c r="EM251" s="92">
        <f>IF(AW251="",0,VLOOKUP(K251,Tables!$B$3:$M$36,12,FALSE())*AG$1)</f>
        <v>0</v>
      </c>
      <c r="EN251" s="92">
        <f>IF(AX251="",0,VLOOKUP(L251,Tables!$B$3:$M$36,12,FALSE())*AH$1)</f>
        <v>0</v>
      </c>
      <c r="EO251" s="91">
        <f>IF(AY251="",0,VLOOKUP(M251,Tables!$B$3:$M$36,12,FALSE())*AI$1)</f>
        <v>0</v>
      </c>
      <c r="EP251" s="92">
        <f>IF(AZ251="",0,VLOOKUP(N251,Tables!$B$3:$M$36,12,FALSE())*AJ$1)</f>
        <v>0</v>
      </c>
      <c r="EQ251" s="92">
        <f>IF(BA251="",0,VLOOKUP(O251,Tables!$B$3:$M$36,12,FALSE())*AK$1)</f>
        <v>0</v>
      </c>
      <c r="ER251" s="93">
        <f>IF(BB251="",0,VLOOKUP(P251,Tables!$B$3:$M$36,12,FALSE())*AL$1)</f>
        <v>0</v>
      </c>
      <c r="ES251" s="94">
        <f t="shared" si="223"/>
        <v>0</v>
      </c>
      <c r="ET251" s="95">
        <f>IF(AN251="",10,MIN(VLOOKUP(B251,MATERIAL,13,FALSE()),'Item Builder'!$W251))</f>
        <v>10</v>
      </c>
      <c r="EU251" s="95">
        <f>IF(AO251="",10,MIN(VLOOKUP(C251,MATERIAL,13,FALSE()),'Item Builder'!$W251))</f>
        <v>10</v>
      </c>
      <c r="EV251" s="95">
        <f>IF(AP251="",10,MIN(VLOOKUP(D251,MATERIAL,13,FALSE()),'Item Builder'!$W251))</f>
        <v>10</v>
      </c>
      <c r="EW251" s="95">
        <f>IF(AQ251="",10,MIN(VLOOKUP(E251,MATERIAL,13,FALSE()),'Item Builder'!$W251))</f>
        <v>10</v>
      </c>
      <c r="EX251" s="95">
        <f>IF(AR251="",10,MIN(VLOOKUP(F251,MATERIAL,13,FALSE()),'Item Builder'!$W251))</f>
        <v>10</v>
      </c>
      <c r="EY251" s="95">
        <f>IF(AS251="",10,MIN(VLOOKUP(G251,MATERIAL,13,FALSE()),'Item Builder'!$W251))</f>
        <v>10</v>
      </c>
      <c r="EZ251" s="95">
        <f>IF(AT251="",10,MIN(VLOOKUP(H251,MATERIAL,13,FALSE()),'Item Builder'!$W251))</f>
        <v>10</v>
      </c>
      <c r="FA251" s="95">
        <f>IF(AU251="",10,MIN(VLOOKUP(I251,MATERIAL,13,FALSE()),'Item Builder'!$W251))</f>
        <v>10</v>
      </c>
      <c r="FB251" s="95">
        <f>IF(AV251="",10,MIN(VLOOKUP(J251,MATERIAL,13,FALSE()),'Item Builder'!$W251))</f>
        <v>10</v>
      </c>
      <c r="FC251" s="95">
        <f>IF(AW251="",10,MIN(VLOOKUP(K251,MATERIAL,13,FALSE()),'Item Builder'!$W251))</f>
        <v>10</v>
      </c>
      <c r="FD251" s="95">
        <f>IF(AX251="",10,MIN(VLOOKUP(L251,MATERIAL,13,FALSE()),'Item Builder'!$W251))</f>
        <v>10</v>
      </c>
      <c r="FE251" s="95">
        <f>IF(AY251="",10,MIN(VLOOKUP(M251,MATERIAL,13,FALSE()),'Item Builder'!$W251))</f>
        <v>10</v>
      </c>
      <c r="FF251" s="95">
        <f>IF(AZ251="",10,MIN(VLOOKUP(N251,MATERIAL,13,FALSE()),'Item Builder'!$W251))</f>
        <v>10</v>
      </c>
      <c r="FG251" s="95">
        <f>IF(BA251="",10,MIN(VLOOKUP(O251,MATERIAL,13,FALSE()),'Item Builder'!$W251))</f>
        <v>10</v>
      </c>
      <c r="FH251" s="95">
        <f>IF(BB251="",10,MIN(VLOOKUP(P251,MATERIAL,13,FALSE()),'Item Builder'!$W251))</f>
        <v>10</v>
      </c>
    </row>
  </sheetData>
  <mergeCells count="71">
    <mergeCell ref="FN20:FP23"/>
    <mergeCell ref="FJ21:FK21"/>
    <mergeCell ref="FJ22:FK22"/>
    <mergeCell ref="FJ23:FK23"/>
    <mergeCell ref="FJ16:FK16"/>
    <mergeCell ref="FJ17:FK17"/>
    <mergeCell ref="FJ18:FK18"/>
    <mergeCell ref="FJ19:FK19"/>
    <mergeCell ref="FJ20:FK20"/>
    <mergeCell ref="FB2:FD2"/>
    <mergeCell ref="FE2:FH2"/>
    <mergeCell ref="FJ3:FL3"/>
    <mergeCell ref="FJ4:FK4"/>
    <mergeCell ref="FN4:FP16"/>
    <mergeCell ref="FJ5:FK5"/>
    <mergeCell ref="FJ6:FK6"/>
    <mergeCell ref="FJ7:FK7"/>
    <mergeCell ref="FJ8:FK8"/>
    <mergeCell ref="FJ9:FK9"/>
    <mergeCell ref="FJ10:FK10"/>
    <mergeCell ref="FJ11:FK11"/>
    <mergeCell ref="FJ12:FK12"/>
    <mergeCell ref="FJ13:FK13"/>
    <mergeCell ref="FJ14:FK14"/>
    <mergeCell ref="FJ15:FK15"/>
    <mergeCell ref="EG2:EK2"/>
    <mergeCell ref="EL2:EN2"/>
    <mergeCell ref="EO2:ER2"/>
    <mergeCell ref="ET2:EV2"/>
    <mergeCell ref="EW2:FA2"/>
    <mergeCell ref="DO2:DQ2"/>
    <mergeCell ref="DR2:DV2"/>
    <mergeCell ref="DW2:DY2"/>
    <mergeCell ref="DZ2:EC2"/>
    <mergeCell ref="ED2:EF2"/>
    <mergeCell ref="CV2:CY2"/>
    <mergeCell ref="CZ2:DB2"/>
    <mergeCell ref="DC2:DG2"/>
    <mergeCell ref="DH2:DJ2"/>
    <mergeCell ref="DK2:DN2"/>
    <mergeCell ref="CD2:CF2"/>
    <mergeCell ref="CG2:CJ2"/>
    <mergeCell ref="CK2:CM2"/>
    <mergeCell ref="CN2:CR2"/>
    <mergeCell ref="CS2:CU2"/>
    <mergeCell ref="BJ2:BN2"/>
    <mergeCell ref="BO2:BQ2"/>
    <mergeCell ref="BR2:BU2"/>
    <mergeCell ref="BV2:BX2"/>
    <mergeCell ref="BY2:CC2"/>
    <mergeCell ref="ED1:ER1"/>
    <mergeCell ref="ET1:FH1"/>
    <mergeCell ref="B2:D2"/>
    <mergeCell ref="E2:I2"/>
    <mergeCell ref="J2:L2"/>
    <mergeCell ref="M2:P2"/>
    <mergeCell ref="X2:Z2"/>
    <mergeCell ref="AA2:AE2"/>
    <mergeCell ref="AF2:AH2"/>
    <mergeCell ref="AI2:AL2"/>
    <mergeCell ref="AN2:AP2"/>
    <mergeCell ref="AQ2:AU2"/>
    <mergeCell ref="AV2:AX2"/>
    <mergeCell ref="AY2:BB2"/>
    <mergeCell ref="BC2:BF2"/>
    <mergeCell ref="BG2:BI2"/>
    <mergeCell ref="AN1:BB1"/>
    <mergeCell ref="BG1:BU1"/>
    <mergeCell ref="BV1:CJ1"/>
    <mergeCell ref="DA1:DM1"/>
    <mergeCell ref="DO1:EC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7"/>
  <sheetViews>
    <sheetView zoomScale="85" zoomScaleNormal="85" workbookViewId="0">
      <selection activeCell="A2" sqref="A2"/>
    </sheetView>
  </sheetViews>
  <sheetFormatPr defaultColWidth="8.7109375" defaultRowHeight="15" x14ac:dyDescent="0.25"/>
  <cols>
    <col min="1" max="1" width="4.7109375" customWidth="1"/>
    <col min="2" max="2" width="24.7109375" customWidth="1"/>
    <col min="8" max="8" width="4.7109375" customWidth="1"/>
    <col min="10" max="10" width="4.7109375" customWidth="1"/>
    <col min="11" max="11" width="24.7109375" customWidth="1"/>
    <col min="17" max="17" width="4.7109375" customWidth="1"/>
    <col min="19" max="19" width="4.7109375" customWidth="1"/>
    <col min="20" max="20" width="24.7109375" customWidth="1"/>
    <col min="26" max="26" width="4.7109375" customWidth="1"/>
    <col min="28" max="28" width="4.7109375" customWidth="1"/>
    <col min="29" max="29" width="24.7109375" customWidth="1"/>
    <col min="35" max="35" width="4.7109375" customWidth="1"/>
    <col min="36" max="36" width="12.85546875" customWidth="1"/>
  </cols>
  <sheetData>
    <row r="1" spans="1:35" ht="21" x14ac:dyDescent="0.35">
      <c r="A1" s="40" t="s">
        <v>379</v>
      </c>
    </row>
    <row r="3" spans="1:35" x14ac:dyDescent="0.25">
      <c r="A3" s="15"/>
      <c r="B3" s="18"/>
      <c r="C3" s="18"/>
      <c r="D3" s="18"/>
      <c r="E3" s="18"/>
      <c r="F3" s="18"/>
      <c r="G3" s="18"/>
      <c r="H3" s="17"/>
      <c r="J3" s="15"/>
      <c r="K3" s="18"/>
      <c r="L3" s="18"/>
      <c r="M3" s="18"/>
      <c r="N3" s="18"/>
      <c r="O3" s="18"/>
      <c r="P3" s="18"/>
      <c r="Q3" s="17"/>
      <c r="S3" s="15"/>
      <c r="T3" s="18"/>
      <c r="U3" s="18"/>
      <c r="V3" s="18"/>
      <c r="W3" s="18"/>
      <c r="X3" s="18"/>
      <c r="Y3" s="18"/>
      <c r="Z3" s="17"/>
      <c r="AB3" s="15"/>
      <c r="AC3" s="18"/>
      <c r="AD3" s="18"/>
      <c r="AE3" s="18"/>
      <c r="AF3" s="18"/>
      <c r="AG3" s="18"/>
      <c r="AH3" s="18"/>
      <c r="AI3" s="17"/>
    </row>
    <row r="4" spans="1:35" ht="18.75" x14ac:dyDescent="0.3">
      <c r="A4" s="19"/>
      <c r="B4" s="20" t="s">
        <v>4</v>
      </c>
      <c r="C4" s="115" t="s">
        <v>380</v>
      </c>
      <c r="D4" s="115"/>
      <c r="E4" s="115"/>
      <c r="F4" s="115"/>
      <c r="G4" s="115"/>
      <c r="H4" s="21"/>
      <c r="J4" s="19"/>
      <c r="K4" s="20" t="s">
        <v>4</v>
      </c>
      <c r="L4" s="13" t="s">
        <v>381</v>
      </c>
      <c r="M4" s="13"/>
      <c r="N4" s="13"/>
      <c r="O4" s="13"/>
      <c r="P4" s="13"/>
      <c r="Q4" s="21"/>
      <c r="S4" s="19"/>
      <c r="T4" s="20" t="s">
        <v>4</v>
      </c>
      <c r="U4" s="115" t="s">
        <v>382</v>
      </c>
      <c r="V4" s="115"/>
      <c r="W4" s="115"/>
      <c r="X4" s="115"/>
      <c r="Y4" s="115"/>
      <c r="Z4" s="21"/>
      <c r="AB4" s="19"/>
      <c r="AC4" s="20" t="s">
        <v>4</v>
      </c>
      <c r="AD4" s="115" t="s">
        <v>383</v>
      </c>
      <c r="AE4" s="115"/>
      <c r="AF4" s="115"/>
      <c r="AG4" s="115"/>
      <c r="AH4" s="115"/>
      <c r="AI4" s="21"/>
    </row>
    <row r="5" spans="1:35" ht="15.75" customHeight="1" x14ac:dyDescent="0.25">
      <c r="A5" s="19"/>
      <c r="B5" s="22" t="s">
        <v>9</v>
      </c>
      <c r="C5" s="12" t="s">
        <v>10</v>
      </c>
      <c r="D5" s="12"/>
      <c r="E5" s="12"/>
      <c r="F5" s="12"/>
      <c r="G5" s="12"/>
      <c r="H5" s="21"/>
      <c r="J5" s="19"/>
      <c r="K5" s="22" t="s">
        <v>9</v>
      </c>
      <c r="L5" s="12" t="s">
        <v>10</v>
      </c>
      <c r="M5" s="12"/>
      <c r="N5" s="12"/>
      <c r="O5" s="12"/>
      <c r="P5" s="12"/>
      <c r="Q5" s="21"/>
      <c r="S5" s="19"/>
      <c r="T5" s="22" t="s">
        <v>9</v>
      </c>
      <c r="U5" s="12" t="s">
        <v>10</v>
      </c>
      <c r="V5" s="12"/>
      <c r="W5" s="12"/>
      <c r="X5" s="12"/>
      <c r="Y5" s="12"/>
      <c r="Z5" s="21"/>
      <c r="AB5" s="19"/>
      <c r="AC5" s="22" t="s">
        <v>9</v>
      </c>
      <c r="AD5" s="12" t="s">
        <v>10</v>
      </c>
      <c r="AE5" s="12"/>
      <c r="AF5" s="12"/>
      <c r="AG5" s="12"/>
      <c r="AH5" s="12"/>
      <c r="AI5" s="21"/>
    </row>
    <row r="6" spans="1:35" ht="15.75" customHeight="1" x14ac:dyDescent="0.25">
      <c r="A6" s="23">
        <v>0</v>
      </c>
      <c r="B6" s="24" t="s">
        <v>237</v>
      </c>
      <c r="C6" s="25" t="s">
        <v>12</v>
      </c>
      <c r="D6" s="25" t="s">
        <v>13</v>
      </c>
      <c r="E6" s="25" t="s">
        <v>14</v>
      </c>
      <c r="F6" s="25" t="s">
        <v>15</v>
      </c>
      <c r="G6" s="25" t="s">
        <v>16</v>
      </c>
      <c r="H6" s="21"/>
      <c r="J6" s="23"/>
      <c r="K6" s="24" t="s">
        <v>18</v>
      </c>
      <c r="L6" s="25" t="s">
        <v>12</v>
      </c>
      <c r="M6" s="25" t="s">
        <v>13</v>
      </c>
      <c r="N6" s="25" t="s">
        <v>14</v>
      </c>
      <c r="O6" s="25" t="s">
        <v>15</v>
      </c>
      <c r="P6" s="25" t="s">
        <v>16</v>
      </c>
      <c r="Q6" s="21"/>
      <c r="S6" s="23"/>
      <c r="T6" s="24" t="s">
        <v>82</v>
      </c>
      <c r="U6" s="25" t="s">
        <v>12</v>
      </c>
      <c r="V6" s="25" t="s">
        <v>13</v>
      </c>
      <c r="W6" s="25" t="s">
        <v>14</v>
      </c>
      <c r="X6" s="25" t="s">
        <v>15</v>
      </c>
      <c r="Y6" s="25" t="s">
        <v>16</v>
      </c>
      <c r="Z6" s="21"/>
      <c r="AB6" s="23"/>
      <c r="AC6" s="24" t="s">
        <v>374</v>
      </c>
      <c r="AD6" s="25" t="s">
        <v>12</v>
      </c>
      <c r="AE6" s="25" t="s">
        <v>13</v>
      </c>
      <c r="AF6" s="25" t="s">
        <v>14</v>
      </c>
      <c r="AG6" s="25" t="s">
        <v>15</v>
      </c>
      <c r="AH6" s="25" t="s">
        <v>16</v>
      </c>
      <c r="AI6" s="21"/>
    </row>
    <row r="7" spans="1:35" ht="15.75" customHeight="1" x14ac:dyDescent="0.25">
      <c r="A7" s="23">
        <v>0</v>
      </c>
      <c r="B7" s="24" t="s">
        <v>303</v>
      </c>
      <c r="C7" s="26">
        <v>211</v>
      </c>
      <c r="D7" s="27">
        <v>0</v>
      </c>
      <c r="E7" s="27">
        <v>0</v>
      </c>
      <c r="F7" s="28">
        <v>2</v>
      </c>
      <c r="G7" s="29">
        <v>7.5</v>
      </c>
      <c r="H7" s="21"/>
      <c r="J7" s="23"/>
      <c r="K7" s="24" t="s">
        <v>21</v>
      </c>
      <c r="L7" s="26">
        <v>2086</v>
      </c>
      <c r="M7" s="27">
        <v>30</v>
      </c>
      <c r="N7" s="27">
        <v>10</v>
      </c>
      <c r="O7" s="28">
        <v>6</v>
      </c>
      <c r="P7" s="29">
        <v>65.959999999999994</v>
      </c>
      <c r="Q7" s="21"/>
      <c r="S7" s="23"/>
      <c r="T7" s="24" t="s">
        <v>18</v>
      </c>
      <c r="U7" s="26">
        <v>3166</v>
      </c>
      <c r="V7" s="27">
        <v>40</v>
      </c>
      <c r="W7" s="27">
        <v>20</v>
      </c>
      <c r="X7" s="28">
        <v>9</v>
      </c>
      <c r="Y7" s="29">
        <v>86.8</v>
      </c>
      <c r="Z7" s="21"/>
      <c r="AB7" s="23"/>
      <c r="AC7" s="24" t="s">
        <v>18</v>
      </c>
      <c r="AD7" s="26">
        <v>6794</v>
      </c>
      <c r="AE7" s="27">
        <v>40</v>
      </c>
      <c r="AF7" s="27">
        <v>20</v>
      </c>
      <c r="AG7" s="28">
        <v>10</v>
      </c>
      <c r="AH7" s="29">
        <v>87.92</v>
      </c>
      <c r="AI7" s="21"/>
    </row>
    <row r="8" spans="1:35" ht="15.75" customHeight="1" x14ac:dyDescent="0.25">
      <c r="A8" s="23">
        <v>0</v>
      </c>
      <c r="B8" s="24" t="s">
        <v>181</v>
      </c>
      <c r="H8" s="21"/>
      <c r="J8" s="23"/>
      <c r="K8" s="24" t="s">
        <v>25</v>
      </c>
      <c r="Q8" s="21"/>
      <c r="S8" s="23"/>
      <c r="T8" s="24" t="s">
        <v>21</v>
      </c>
      <c r="Z8" s="21"/>
      <c r="AB8" s="23"/>
      <c r="AC8" s="24" t="s">
        <v>21</v>
      </c>
      <c r="AI8" s="21"/>
    </row>
    <row r="9" spans="1:35" ht="15.75" customHeight="1" x14ac:dyDescent="0.25">
      <c r="A9" s="23">
        <v>0</v>
      </c>
      <c r="B9" s="24" t="s">
        <v>310</v>
      </c>
      <c r="C9" s="30" t="s">
        <v>27</v>
      </c>
      <c r="D9" s="30" t="s">
        <v>28</v>
      </c>
      <c r="E9" s="30" t="s">
        <v>29</v>
      </c>
      <c r="F9" s="30" t="s">
        <v>30</v>
      </c>
      <c r="G9" s="30" t="s">
        <v>31</v>
      </c>
      <c r="H9" s="21"/>
      <c r="J9" s="23"/>
      <c r="K9" s="24" t="s">
        <v>33</v>
      </c>
      <c r="L9" s="30" t="s">
        <v>27</v>
      </c>
      <c r="M9" s="30" t="s">
        <v>28</v>
      </c>
      <c r="N9" s="30" t="s">
        <v>29</v>
      </c>
      <c r="O9" s="30" t="s">
        <v>30</v>
      </c>
      <c r="P9" s="30" t="s">
        <v>31</v>
      </c>
      <c r="Q9" s="21"/>
      <c r="S9" s="23"/>
      <c r="T9" s="24" t="s">
        <v>84</v>
      </c>
      <c r="U9" s="30" t="s">
        <v>27</v>
      </c>
      <c r="V9" s="30" t="s">
        <v>28</v>
      </c>
      <c r="W9" s="30" t="s">
        <v>29</v>
      </c>
      <c r="X9" s="30" t="s">
        <v>30</v>
      </c>
      <c r="Y9" s="30" t="s">
        <v>31</v>
      </c>
      <c r="Z9" s="21"/>
      <c r="AB9" s="23"/>
      <c r="AC9" s="24" t="s">
        <v>84</v>
      </c>
      <c r="AD9" s="30" t="s">
        <v>27</v>
      </c>
      <c r="AE9" s="30" t="s">
        <v>28</v>
      </c>
      <c r="AF9" s="30" t="s">
        <v>29</v>
      </c>
      <c r="AG9" s="30" t="s">
        <v>30</v>
      </c>
      <c r="AH9" s="30" t="s">
        <v>31</v>
      </c>
      <c r="AI9" s="21"/>
    </row>
    <row r="10" spans="1:35" x14ac:dyDescent="0.25">
      <c r="A10" s="23">
        <v>0</v>
      </c>
      <c r="B10" s="24" t="s">
        <v>251</v>
      </c>
      <c r="C10" s="31" t="s">
        <v>34</v>
      </c>
      <c r="D10" s="32">
        <v>0</v>
      </c>
      <c r="E10" s="32">
        <v>0</v>
      </c>
      <c r="F10" s="32">
        <v>0</v>
      </c>
      <c r="G10" s="32">
        <v>1</v>
      </c>
      <c r="H10" s="33">
        <v>0</v>
      </c>
      <c r="J10" s="23"/>
      <c r="K10" s="24" t="s">
        <v>36</v>
      </c>
      <c r="L10" s="31" t="s">
        <v>34</v>
      </c>
      <c r="M10" s="32">
        <v>4</v>
      </c>
      <c r="N10" s="105">
        <v>10</v>
      </c>
      <c r="O10" s="105">
        <v>8</v>
      </c>
      <c r="P10" s="32">
        <v>5</v>
      </c>
      <c r="Q10" s="33"/>
      <c r="S10" s="23"/>
      <c r="T10" s="24" t="s">
        <v>85</v>
      </c>
      <c r="U10" s="31" t="s">
        <v>34</v>
      </c>
      <c r="V10" s="32">
        <v>10</v>
      </c>
      <c r="W10" s="105">
        <v>21</v>
      </c>
      <c r="X10" s="105">
        <v>17</v>
      </c>
      <c r="Y10" s="32">
        <v>10</v>
      </c>
      <c r="Z10" s="33"/>
      <c r="AB10" s="23"/>
      <c r="AC10" s="24" t="s">
        <v>85</v>
      </c>
      <c r="AD10" s="31" t="s">
        <v>34</v>
      </c>
      <c r="AE10" s="32">
        <v>12</v>
      </c>
      <c r="AF10" s="105">
        <v>23</v>
      </c>
      <c r="AG10" s="105">
        <v>19</v>
      </c>
      <c r="AH10" s="32">
        <v>12</v>
      </c>
      <c r="AI10" s="33"/>
    </row>
    <row r="11" spans="1:35" x14ac:dyDescent="0.25">
      <c r="A11" s="23">
        <v>0</v>
      </c>
      <c r="B11" s="24" t="s">
        <v>75</v>
      </c>
      <c r="C11" s="31" t="s">
        <v>37</v>
      </c>
      <c r="D11" s="32">
        <v>0</v>
      </c>
      <c r="E11" s="32">
        <v>0</v>
      </c>
      <c r="F11" s="32">
        <v>0</v>
      </c>
      <c r="G11" s="32">
        <v>0</v>
      </c>
      <c r="H11" s="33">
        <v>0</v>
      </c>
      <c r="J11" s="23"/>
      <c r="K11" s="24" t="s">
        <v>8</v>
      </c>
      <c r="L11" s="31" t="s">
        <v>37</v>
      </c>
      <c r="M11" s="32">
        <v>0</v>
      </c>
      <c r="N11" s="32">
        <v>0</v>
      </c>
      <c r="O11" s="32">
        <v>0</v>
      </c>
      <c r="P11" s="32">
        <v>0</v>
      </c>
      <c r="Q11" s="33"/>
      <c r="S11" s="23"/>
      <c r="T11" s="24" t="s">
        <v>25</v>
      </c>
      <c r="U11" s="31" t="s">
        <v>37</v>
      </c>
      <c r="V11" s="32">
        <v>6</v>
      </c>
      <c r="W11" s="105">
        <v>11</v>
      </c>
      <c r="X11" s="105">
        <v>9</v>
      </c>
      <c r="Y11" s="32">
        <v>5</v>
      </c>
      <c r="Z11" s="33"/>
      <c r="AB11" s="23"/>
      <c r="AC11" s="24" t="s">
        <v>25</v>
      </c>
      <c r="AD11" s="31" t="s">
        <v>37</v>
      </c>
      <c r="AE11" s="32">
        <v>8</v>
      </c>
      <c r="AF11" s="105">
        <v>13</v>
      </c>
      <c r="AG11" s="105">
        <v>11</v>
      </c>
      <c r="AH11" s="32">
        <v>7</v>
      </c>
      <c r="AI11" s="33"/>
    </row>
    <row r="12" spans="1:35" x14ac:dyDescent="0.25">
      <c r="A12" s="23">
        <v>0</v>
      </c>
      <c r="B12" s="24"/>
      <c r="C12" s="30" t="s">
        <v>40</v>
      </c>
      <c r="D12" s="34">
        <v>0</v>
      </c>
      <c r="E12" s="34">
        <v>0</v>
      </c>
      <c r="F12" s="34">
        <v>0</v>
      </c>
      <c r="G12" s="34">
        <v>0</v>
      </c>
      <c r="H12" s="33">
        <v>0</v>
      </c>
      <c r="J12" s="23"/>
      <c r="K12" s="24" t="s">
        <v>214</v>
      </c>
      <c r="L12" s="30" t="s">
        <v>40</v>
      </c>
      <c r="M12" s="34">
        <v>4</v>
      </c>
      <c r="N12" s="106">
        <v>10</v>
      </c>
      <c r="O12" s="106">
        <v>8</v>
      </c>
      <c r="P12" s="34">
        <v>5</v>
      </c>
      <c r="Q12" s="33"/>
      <c r="S12" s="23"/>
      <c r="T12" s="24" t="s">
        <v>87</v>
      </c>
      <c r="U12" s="30" t="s">
        <v>40</v>
      </c>
      <c r="V12" s="34">
        <v>10</v>
      </c>
      <c r="W12" s="106">
        <v>21</v>
      </c>
      <c r="X12" s="106">
        <v>17</v>
      </c>
      <c r="Y12" s="34">
        <v>10</v>
      </c>
      <c r="Z12" s="33"/>
      <c r="AB12" s="23"/>
      <c r="AC12" s="24" t="s">
        <v>87</v>
      </c>
      <c r="AD12" s="30" t="s">
        <v>40</v>
      </c>
      <c r="AE12" s="34">
        <v>12</v>
      </c>
      <c r="AF12" s="106">
        <v>23</v>
      </c>
      <c r="AG12" s="106">
        <v>19</v>
      </c>
      <c r="AH12" s="34">
        <v>12</v>
      </c>
      <c r="AI12" s="33"/>
    </row>
    <row r="13" spans="1:35" x14ac:dyDescent="0.25">
      <c r="A13" s="23">
        <v>0</v>
      </c>
      <c r="B13" s="24"/>
      <c r="C13" s="31" t="s">
        <v>43</v>
      </c>
      <c r="D13" s="32">
        <v>0</v>
      </c>
      <c r="E13" s="32">
        <v>1</v>
      </c>
      <c r="F13" s="32">
        <v>0</v>
      </c>
      <c r="G13" s="32">
        <v>2</v>
      </c>
      <c r="H13" s="33">
        <v>0</v>
      </c>
      <c r="J13" s="23"/>
      <c r="K13" s="24" t="s">
        <v>22</v>
      </c>
      <c r="L13" s="31" t="s">
        <v>43</v>
      </c>
      <c r="M13" s="32">
        <v>6</v>
      </c>
      <c r="N13" s="105">
        <v>11</v>
      </c>
      <c r="O13" s="105">
        <v>9</v>
      </c>
      <c r="P13" s="32">
        <v>6</v>
      </c>
      <c r="Q13" s="33"/>
      <c r="S13" s="23"/>
      <c r="T13" s="24" t="s">
        <v>33</v>
      </c>
      <c r="U13" s="31" t="s">
        <v>43</v>
      </c>
      <c r="V13" s="32">
        <v>10</v>
      </c>
      <c r="W13" s="105">
        <v>21</v>
      </c>
      <c r="X13" s="105">
        <v>17</v>
      </c>
      <c r="Y13" s="32">
        <v>10</v>
      </c>
      <c r="Z13" s="33"/>
      <c r="AB13" s="23"/>
      <c r="AC13" s="24" t="s">
        <v>33</v>
      </c>
      <c r="AD13" s="31" t="s">
        <v>43</v>
      </c>
      <c r="AE13" s="32">
        <v>11</v>
      </c>
      <c r="AF13" s="105">
        <v>22</v>
      </c>
      <c r="AG13" s="105">
        <v>18</v>
      </c>
      <c r="AH13" s="32">
        <v>11</v>
      </c>
      <c r="AI13" s="33"/>
    </row>
    <row r="14" spans="1:35" x14ac:dyDescent="0.25">
      <c r="A14" s="23">
        <v>0</v>
      </c>
      <c r="B14" s="24"/>
      <c r="C14" s="31" t="s">
        <v>44</v>
      </c>
      <c r="D14" s="32">
        <v>0</v>
      </c>
      <c r="E14" s="32">
        <v>1</v>
      </c>
      <c r="F14" s="32">
        <v>0</v>
      </c>
      <c r="G14" s="32">
        <v>2</v>
      </c>
      <c r="H14" s="33">
        <v>0</v>
      </c>
      <c r="J14" s="23"/>
      <c r="K14" s="24" t="s">
        <v>46</v>
      </c>
      <c r="L14" s="31" t="s">
        <v>44</v>
      </c>
      <c r="M14" s="32">
        <v>6</v>
      </c>
      <c r="N14" s="105">
        <v>11</v>
      </c>
      <c r="O14" s="105">
        <v>9</v>
      </c>
      <c r="P14" s="32">
        <v>6</v>
      </c>
      <c r="Q14" s="33"/>
      <c r="S14" s="23"/>
      <c r="T14" s="24" t="s">
        <v>36</v>
      </c>
      <c r="U14" s="31" t="s">
        <v>44</v>
      </c>
      <c r="V14" s="32">
        <v>10</v>
      </c>
      <c r="W14" s="105">
        <v>21</v>
      </c>
      <c r="X14" s="105">
        <v>17</v>
      </c>
      <c r="Y14" s="32">
        <v>10</v>
      </c>
      <c r="Z14" s="33"/>
      <c r="AB14" s="23"/>
      <c r="AC14" s="24" t="s">
        <v>36</v>
      </c>
      <c r="AD14" s="31" t="s">
        <v>44</v>
      </c>
      <c r="AE14" s="32">
        <v>11</v>
      </c>
      <c r="AF14" s="105">
        <v>22</v>
      </c>
      <c r="AG14" s="105">
        <v>18</v>
      </c>
      <c r="AH14" s="32">
        <v>11</v>
      </c>
      <c r="AI14" s="33"/>
    </row>
    <row r="15" spans="1:35" x14ac:dyDescent="0.25">
      <c r="A15" s="23">
        <v>0</v>
      </c>
      <c r="B15" s="24"/>
      <c r="C15" s="31" t="s">
        <v>47</v>
      </c>
      <c r="D15" s="32">
        <v>0</v>
      </c>
      <c r="E15" s="32">
        <v>1</v>
      </c>
      <c r="F15" s="32">
        <v>0</v>
      </c>
      <c r="G15" s="32">
        <v>1</v>
      </c>
      <c r="H15" s="33">
        <v>0</v>
      </c>
      <c r="J15" s="23"/>
      <c r="K15" s="24" t="s">
        <v>48</v>
      </c>
      <c r="L15" s="31" t="s">
        <v>47</v>
      </c>
      <c r="M15" s="32">
        <v>12</v>
      </c>
      <c r="N15" s="105">
        <v>22</v>
      </c>
      <c r="O15" s="105">
        <v>18</v>
      </c>
      <c r="P15" s="32">
        <v>11</v>
      </c>
      <c r="Q15" s="33"/>
      <c r="S15" s="23"/>
      <c r="T15" s="24" t="s">
        <v>88</v>
      </c>
      <c r="U15" s="31" t="s">
        <v>47</v>
      </c>
      <c r="V15" s="32">
        <v>10</v>
      </c>
      <c r="W15" s="105">
        <v>21</v>
      </c>
      <c r="X15" s="105">
        <v>17</v>
      </c>
      <c r="Y15" s="32">
        <v>10</v>
      </c>
      <c r="Z15" s="33"/>
      <c r="AB15" s="23"/>
      <c r="AC15" s="24" t="s">
        <v>88</v>
      </c>
      <c r="AD15" s="31" t="s">
        <v>47</v>
      </c>
      <c r="AE15" s="32">
        <v>11</v>
      </c>
      <c r="AF15" s="105">
        <v>22</v>
      </c>
      <c r="AG15" s="105">
        <v>18</v>
      </c>
      <c r="AH15" s="32">
        <v>11</v>
      </c>
      <c r="AI15" s="33"/>
    </row>
    <row r="16" spans="1:35" x14ac:dyDescent="0.25">
      <c r="A16" s="23">
        <v>0</v>
      </c>
      <c r="B16" s="24"/>
      <c r="C16" s="31" t="s">
        <v>49</v>
      </c>
      <c r="D16" s="32">
        <v>0</v>
      </c>
      <c r="E16" s="32">
        <v>1</v>
      </c>
      <c r="F16" s="32">
        <v>0</v>
      </c>
      <c r="G16" s="32">
        <v>1</v>
      </c>
      <c r="H16" s="33">
        <v>0</v>
      </c>
      <c r="J16" s="23"/>
      <c r="K16" s="24" t="s">
        <v>50</v>
      </c>
      <c r="L16" s="31" t="s">
        <v>49</v>
      </c>
      <c r="M16" s="32">
        <v>6</v>
      </c>
      <c r="N16" s="105">
        <v>11</v>
      </c>
      <c r="O16" s="105">
        <v>9</v>
      </c>
      <c r="P16" s="32">
        <v>6</v>
      </c>
      <c r="Q16" s="33"/>
      <c r="S16" s="23"/>
      <c r="T16" s="24" t="s">
        <v>8</v>
      </c>
      <c r="U16" s="31" t="s">
        <v>49</v>
      </c>
      <c r="V16" s="32">
        <v>10</v>
      </c>
      <c r="W16" s="105">
        <v>21</v>
      </c>
      <c r="X16" s="105">
        <v>17</v>
      </c>
      <c r="Y16" s="32">
        <v>10</v>
      </c>
      <c r="Z16" s="33"/>
      <c r="AB16" s="23"/>
      <c r="AC16" s="24" t="s">
        <v>375</v>
      </c>
      <c r="AD16" s="31" t="s">
        <v>49</v>
      </c>
      <c r="AE16" s="32">
        <v>11</v>
      </c>
      <c r="AF16" s="105">
        <v>22</v>
      </c>
      <c r="AG16" s="105">
        <v>18</v>
      </c>
      <c r="AH16" s="32">
        <v>11</v>
      </c>
      <c r="AI16" s="33"/>
    </row>
    <row r="17" spans="1:35" x14ac:dyDescent="0.25">
      <c r="A17" s="23">
        <v>0</v>
      </c>
      <c r="B17" s="24"/>
      <c r="C17" s="30" t="s">
        <v>51</v>
      </c>
      <c r="D17" s="34">
        <v>0</v>
      </c>
      <c r="E17" s="34">
        <v>0</v>
      </c>
      <c r="F17" s="34">
        <v>0</v>
      </c>
      <c r="G17" s="34">
        <v>0</v>
      </c>
      <c r="H17" s="33">
        <v>0</v>
      </c>
      <c r="J17" s="23"/>
      <c r="K17" s="24"/>
      <c r="L17" s="30" t="s">
        <v>51</v>
      </c>
      <c r="M17" s="34">
        <v>4</v>
      </c>
      <c r="N17" s="107">
        <v>10</v>
      </c>
      <c r="O17" s="107">
        <v>8</v>
      </c>
      <c r="P17" s="34">
        <v>5</v>
      </c>
      <c r="Q17" s="33"/>
      <c r="S17" s="23"/>
      <c r="T17" s="24" t="s">
        <v>38</v>
      </c>
      <c r="U17" s="30" t="s">
        <v>51</v>
      </c>
      <c r="V17" s="34">
        <v>4</v>
      </c>
      <c r="W17" s="108">
        <v>10</v>
      </c>
      <c r="X17" s="108">
        <v>8</v>
      </c>
      <c r="Y17" s="34">
        <v>5</v>
      </c>
      <c r="Z17" s="33"/>
      <c r="AB17" s="23"/>
      <c r="AC17" s="24" t="s">
        <v>42</v>
      </c>
      <c r="AD17" s="30" t="s">
        <v>51</v>
      </c>
      <c r="AE17" s="34">
        <v>4</v>
      </c>
      <c r="AF17" s="107">
        <v>10</v>
      </c>
      <c r="AG17" s="107">
        <v>8</v>
      </c>
      <c r="AH17" s="34">
        <v>5</v>
      </c>
      <c r="AI17" s="33"/>
    </row>
    <row r="18" spans="1:35" x14ac:dyDescent="0.25">
      <c r="A18" s="23">
        <v>0</v>
      </c>
      <c r="B18" s="24"/>
      <c r="C18" s="31" t="s">
        <v>52</v>
      </c>
      <c r="D18" s="32">
        <v>0</v>
      </c>
      <c r="E18" s="32">
        <v>1</v>
      </c>
      <c r="F18" s="32">
        <v>0</v>
      </c>
      <c r="G18" s="32">
        <v>2</v>
      </c>
      <c r="H18" s="33">
        <v>0</v>
      </c>
      <c r="J18" s="23"/>
      <c r="K18" s="24"/>
      <c r="L18" s="31" t="s">
        <v>52</v>
      </c>
      <c r="M18" s="32">
        <v>6</v>
      </c>
      <c r="N18" s="105">
        <v>11</v>
      </c>
      <c r="O18" s="105">
        <v>9</v>
      </c>
      <c r="P18" s="32">
        <v>6</v>
      </c>
      <c r="Q18" s="33"/>
      <c r="S18" s="23"/>
      <c r="T18" s="24" t="s">
        <v>22</v>
      </c>
      <c r="U18" s="31" t="s">
        <v>52</v>
      </c>
      <c r="V18" s="32">
        <v>10</v>
      </c>
      <c r="W18" s="105">
        <v>21</v>
      </c>
      <c r="X18" s="105">
        <v>17</v>
      </c>
      <c r="Y18" s="32">
        <v>10</v>
      </c>
      <c r="Z18" s="33"/>
      <c r="AB18" s="23"/>
      <c r="AC18" s="24" t="s">
        <v>22</v>
      </c>
      <c r="AD18" s="31" t="s">
        <v>52</v>
      </c>
      <c r="AE18" s="32">
        <v>11</v>
      </c>
      <c r="AF18" s="105">
        <v>22</v>
      </c>
      <c r="AG18" s="105">
        <v>18</v>
      </c>
      <c r="AH18" s="32">
        <v>11</v>
      </c>
      <c r="AI18" s="33"/>
    </row>
    <row r="19" spans="1:35" x14ac:dyDescent="0.25">
      <c r="A19" s="23">
        <v>0</v>
      </c>
      <c r="B19" s="24"/>
      <c r="C19" s="31" t="s">
        <v>53</v>
      </c>
      <c r="D19" s="32">
        <v>0</v>
      </c>
      <c r="E19" s="32">
        <v>1</v>
      </c>
      <c r="F19" s="32">
        <v>0</v>
      </c>
      <c r="G19" s="32">
        <v>2</v>
      </c>
      <c r="H19" s="33">
        <v>0</v>
      </c>
      <c r="J19" s="23"/>
      <c r="K19" s="24"/>
      <c r="L19" s="31" t="s">
        <v>53</v>
      </c>
      <c r="M19" s="32">
        <v>6</v>
      </c>
      <c r="N19" s="105">
        <v>11</v>
      </c>
      <c r="O19" s="105">
        <v>9</v>
      </c>
      <c r="P19" s="32">
        <v>6</v>
      </c>
      <c r="Q19" s="33"/>
      <c r="S19" s="23"/>
      <c r="T19" s="24" t="s">
        <v>46</v>
      </c>
      <c r="U19" s="31" t="s">
        <v>53</v>
      </c>
      <c r="V19" s="32">
        <v>10</v>
      </c>
      <c r="W19" s="105">
        <v>21</v>
      </c>
      <c r="X19" s="105">
        <v>17</v>
      </c>
      <c r="Y19" s="32">
        <v>10</v>
      </c>
      <c r="Z19" s="33"/>
      <c r="AB19" s="23"/>
      <c r="AC19" s="24" t="s">
        <v>46</v>
      </c>
      <c r="AD19" s="31" t="s">
        <v>53</v>
      </c>
      <c r="AE19" s="32">
        <v>11</v>
      </c>
      <c r="AF19" s="105">
        <v>22</v>
      </c>
      <c r="AG19" s="105">
        <v>18</v>
      </c>
      <c r="AH19" s="32">
        <v>11</v>
      </c>
      <c r="AI19" s="33"/>
    </row>
    <row r="20" spans="1:35" x14ac:dyDescent="0.25">
      <c r="A20" s="23">
        <v>0</v>
      </c>
      <c r="B20" s="24"/>
      <c r="C20" s="30" t="s">
        <v>54</v>
      </c>
      <c r="D20" s="34">
        <v>0</v>
      </c>
      <c r="E20" s="34">
        <v>1</v>
      </c>
      <c r="F20" s="34">
        <v>0</v>
      </c>
      <c r="G20" s="34">
        <v>2</v>
      </c>
      <c r="H20" s="33">
        <v>0</v>
      </c>
      <c r="J20" s="23"/>
      <c r="K20" s="24"/>
      <c r="L20" s="30" t="s">
        <v>54</v>
      </c>
      <c r="M20" s="34">
        <v>6</v>
      </c>
      <c r="N20" s="107">
        <v>12</v>
      </c>
      <c r="O20" s="107">
        <v>9</v>
      </c>
      <c r="P20" s="34">
        <v>7</v>
      </c>
      <c r="Q20" s="33"/>
      <c r="S20" s="23"/>
      <c r="T20" s="24" t="s">
        <v>76</v>
      </c>
      <c r="U20" s="30" t="s">
        <v>54</v>
      </c>
      <c r="V20" s="34">
        <v>4</v>
      </c>
      <c r="W20" s="107">
        <v>11</v>
      </c>
      <c r="X20" s="107">
        <v>8</v>
      </c>
      <c r="Y20" s="34">
        <v>6</v>
      </c>
      <c r="Z20" s="33"/>
      <c r="AB20" s="23"/>
      <c r="AC20" s="24" t="s">
        <v>76</v>
      </c>
      <c r="AD20" s="30" t="s">
        <v>54</v>
      </c>
      <c r="AE20" s="34">
        <v>5</v>
      </c>
      <c r="AF20" s="107">
        <v>12</v>
      </c>
      <c r="AG20" s="107">
        <v>9</v>
      </c>
      <c r="AH20" s="34">
        <v>7</v>
      </c>
      <c r="AI20" s="33"/>
    </row>
    <row r="21" spans="1:35" x14ac:dyDescent="0.25">
      <c r="A21" s="23">
        <v>0</v>
      </c>
      <c r="B21" s="24"/>
      <c r="C21" s="31" t="s">
        <v>55</v>
      </c>
      <c r="D21" s="32">
        <v>0</v>
      </c>
      <c r="E21" s="32">
        <v>1</v>
      </c>
      <c r="F21" s="32">
        <v>0</v>
      </c>
      <c r="G21" s="32">
        <v>3</v>
      </c>
      <c r="H21" s="33">
        <v>0</v>
      </c>
      <c r="J21" s="23"/>
      <c r="K21" s="24"/>
      <c r="L21" s="31" t="s">
        <v>55</v>
      </c>
      <c r="M21" s="32">
        <v>6</v>
      </c>
      <c r="N21" s="109">
        <v>19</v>
      </c>
      <c r="O21" s="109">
        <v>15</v>
      </c>
      <c r="P21" s="32">
        <v>9</v>
      </c>
      <c r="Q21" s="33"/>
      <c r="S21" s="23"/>
      <c r="T21" s="24" t="s">
        <v>48</v>
      </c>
      <c r="U21" s="31" t="s">
        <v>55</v>
      </c>
      <c r="V21" s="32">
        <v>6</v>
      </c>
      <c r="W21" s="109">
        <v>19</v>
      </c>
      <c r="X21" s="109">
        <v>15</v>
      </c>
      <c r="Y21" s="32">
        <v>9</v>
      </c>
      <c r="Z21" s="33"/>
      <c r="AB21" s="23"/>
      <c r="AC21" s="24" t="s">
        <v>48</v>
      </c>
      <c r="AD21" s="31" t="s">
        <v>55</v>
      </c>
      <c r="AE21" s="32">
        <v>9</v>
      </c>
      <c r="AF21" s="109">
        <v>22</v>
      </c>
      <c r="AG21" s="109">
        <v>17</v>
      </c>
      <c r="AH21" s="32">
        <v>12</v>
      </c>
      <c r="AI21" s="33"/>
    </row>
    <row r="22" spans="1:35" x14ac:dyDescent="0.25">
      <c r="A22" s="23">
        <v>0</v>
      </c>
      <c r="B22" s="24"/>
      <c r="C22" s="31" t="s">
        <v>56</v>
      </c>
      <c r="D22" s="32">
        <v>0</v>
      </c>
      <c r="E22" s="32">
        <v>1</v>
      </c>
      <c r="F22" s="32">
        <v>0</v>
      </c>
      <c r="G22" s="32">
        <v>3</v>
      </c>
      <c r="H22" s="33">
        <v>0</v>
      </c>
      <c r="J22" s="23"/>
      <c r="K22" s="24"/>
      <c r="L22" s="31" t="s">
        <v>56</v>
      </c>
      <c r="M22" s="32">
        <v>10</v>
      </c>
      <c r="N22" s="105">
        <v>22</v>
      </c>
      <c r="O22" s="105">
        <v>17</v>
      </c>
      <c r="P22" s="32">
        <v>11</v>
      </c>
      <c r="Q22" s="33"/>
      <c r="S22" s="23"/>
      <c r="T22" s="24" t="s">
        <v>50</v>
      </c>
      <c r="U22" s="31" t="s">
        <v>56</v>
      </c>
      <c r="V22" s="32">
        <v>10</v>
      </c>
      <c r="W22" s="105">
        <v>22</v>
      </c>
      <c r="X22" s="105">
        <v>17</v>
      </c>
      <c r="Y22" s="32">
        <v>11</v>
      </c>
      <c r="Z22" s="33"/>
      <c r="AB22" s="23"/>
      <c r="AC22" s="24" t="s">
        <v>50</v>
      </c>
      <c r="AD22" s="31" t="s">
        <v>56</v>
      </c>
      <c r="AE22" s="32">
        <v>10</v>
      </c>
      <c r="AF22" s="105">
        <v>22</v>
      </c>
      <c r="AG22" s="105">
        <v>17</v>
      </c>
      <c r="AH22" s="32">
        <v>11</v>
      </c>
      <c r="AI22" s="33"/>
    </row>
    <row r="23" spans="1:35" x14ac:dyDescent="0.25">
      <c r="A23" s="23">
        <v>0</v>
      </c>
      <c r="B23" s="24"/>
      <c r="C23" s="31" t="s">
        <v>57</v>
      </c>
      <c r="D23" s="32">
        <v>0</v>
      </c>
      <c r="E23" s="32">
        <v>1</v>
      </c>
      <c r="F23" s="32">
        <v>0</v>
      </c>
      <c r="G23" s="32">
        <v>2</v>
      </c>
      <c r="H23" s="33">
        <v>0</v>
      </c>
      <c r="J23" s="23"/>
      <c r="K23" s="24"/>
      <c r="L23" s="31" t="s">
        <v>57</v>
      </c>
      <c r="M23" s="32">
        <v>4</v>
      </c>
      <c r="N23" s="105">
        <v>10</v>
      </c>
      <c r="O23" s="105">
        <v>8</v>
      </c>
      <c r="P23" s="32">
        <v>5</v>
      </c>
      <c r="Q23" s="33"/>
      <c r="S23" s="23"/>
      <c r="T23" s="24"/>
      <c r="U23" s="31" t="s">
        <v>57</v>
      </c>
      <c r="V23" s="32">
        <v>10</v>
      </c>
      <c r="W23" s="105">
        <v>21</v>
      </c>
      <c r="X23" s="105">
        <v>17</v>
      </c>
      <c r="Y23" s="32">
        <v>10</v>
      </c>
      <c r="Z23" s="33"/>
      <c r="AB23" s="23"/>
      <c r="AC23" s="24"/>
      <c r="AD23" s="31" t="s">
        <v>57</v>
      </c>
      <c r="AE23" s="32">
        <v>10</v>
      </c>
      <c r="AF23" s="105">
        <v>21</v>
      </c>
      <c r="AG23" s="105">
        <v>17</v>
      </c>
      <c r="AH23" s="32">
        <v>10</v>
      </c>
      <c r="AI23" s="33"/>
    </row>
    <row r="24" spans="1:35" x14ac:dyDescent="0.25">
      <c r="A24" s="23">
        <v>0</v>
      </c>
      <c r="B24" s="24"/>
      <c r="C24" s="31" t="s">
        <v>58</v>
      </c>
      <c r="D24" s="32">
        <v>1</v>
      </c>
      <c r="E24" s="32">
        <v>2</v>
      </c>
      <c r="F24" s="32">
        <v>1</v>
      </c>
      <c r="G24" s="32">
        <v>4</v>
      </c>
      <c r="H24" s="33">
        <v>0</v>
      </c>
      <c r="J24" s="23"/>
      <c r="K24" s="24"/>
      <c r="L24" s="31" t="s">
        <v>58</v>
      </c>
      <c r="M24" s="32">
        <v>4</v>
      </c>
      <c r="N24" s="109">
        <v>10</v>
      </c>
      <c r="O24" s="109">
        <v>8</v>
      </c>
      <c r="P24" s="32">
        <v>5</v>
      </c>
      <c r="Q24" s="33"/>
      <c r="S24" s="23"/>
      <c r="T24" s="24"/>
      <c r="U24" s="31" t="s">
        <v>58</v>
      </c>
      <c r="V24" s="32">
        <v>4</v>
      </c>
      <c r="W24" s="109">
        <v>10</v>
      </c>
      <c r="X24" s="109">
        <v>8</v>
      </c>
      <c r="Y24" s="32">
        <v>5</v>
      </c>
      <c r="Z24" s="33"/>
      <c r="AB24" s="23"/>
      <c r="AC24" s="24"/>
      <c r="AD24" s="31" t="s">
        <v>58</v>
      </c>
      <c r="AE24" s="32">
        <v>4</v>
      </c>
      <c r="AF24" s="109">
        <v>10</v>
      </c>
      <c r="AG24" s="109">
        <v>8</v>
      </c>
      <c r="AH24" s="32">
        <v>5</v>
      </c>
      <c r="AI24" s="33"/>
    </row>
    <row r="25" spans="1:35" x14ac:dyDescent="0.25">
      <c r="A25" s="23">
        <v>0</v>
      </c>
      <c r="B25" s="24"/>
      <c r="H25" s="21"/>
      <c r="J25" s="23"/>
      <c r="K25" s="24"/>
      <c r="Q25" s="21"/>
      <c r="S25" s="23"/>
      <c r="T25" s="24"/>
      <c r="Z25" s="21"/>
      <c r="AB25" s="23"/>
      <c r="AC25" s="24"/>
      <c r="AI25" s="21"/>
    </row>
    <row r="26" spans="1:35" x14ac:dyDescent="0.25">
      <c r="A26" s="23">
        <v>0</v>
      </c>
      <c r="B26" s="24"/>
      <c r="D26" s="35" t="s">
        <v>59</v>
      </c>
      <c r="H26" s="21"/>
      <c r="J26" s="23"/>
      <c r="K26" s="24"/>
      <c r="M26" s="35" t="s">
        <v>59</v>
      </c>
      <c r="Q26" s="21"/>
      <c r="S26" s="23"/>
      <c r="T26" s="24"/>
      <c r="V26" s="35" t="s">
        <v>59</v>
      </c>
      <c r="Z26" s="21"/>
      <c r="AB26" s="23"/>
      <c r="AC26" s="24"/>
      <c r="AE26" s="35" t="s">
        <v>59</v>
      </c>
      <c r="AI26" s="21"/>
    </row>
    <row r="27" spans="1:35" x14ac:dyDescent="0.25">
      <c r="A27" s="23">
        <v>0</v>
      </c>
      <c r="B27" s="24"/>
      <c r="D27" s="31" t="s">
        <v>60</v>
      </c>
      <c r="E27" s="27">
        <v>0</v>
      </c>
      <c r="F27" s="36"/>
      <c r="H27" s="21"/>
      <c r="J27" s="23"/>
      <c r="K27" s="24"/>
      <c r="M27" s="31" t="s">
        <v>60</v>
      </c>
      <c r="N27" s="27">
        <v>0</v>
      </c>
      <c r="O27" s="36"/>
      <c r="Q27" s="21"/>
      <c r="S27" s="23"/>
      <c r="T27" s="24"/>
      <c r="V27" s="31" t="s">
        <v>60</v>
      </c>
      <c r="W27" s="27">
        <v>0</v>
      </c>
      <c r="X27" s="36"/>
      <c r="Z27" s="21"/>
      <c r="AB27" s="23"/>
      <c r="AC27" s="24"/>
      <c r="AE27" s="31" t="s">
        <v>60</v>
      </c>
      <c r="AF27" s="27">
        <v>0</v>
      </c>
      <c r="AG27" s="36"/>
      <c r="AI27" s="21"/>
    </row>
    <row r="28" spans="1:35" x14ac:dyDescent="0.25">
      <c r="A28" s="23">
        <v>0</v>
      </c>
      <c r="B28" s="24"/>
      <c r="D28" s="31" t="s">
        <v>61</v>
      </c>
      <c r="E28" s="27">
        <v>0</v>
      </c>
      <c r="F28" s="36"/>
      <c r="H28" s="21"/>
      <c r="J28" s="23"/>
      <c r="K28" s="24"/>
      <c r="M28" s="31" t="s">
        <v>61</v>
      </c>
      <c r="N28" s="27">
        <v>0</v>
      </c>
      <c r="O28" s="36"/>
      <c r="Q28" s="21"/>
      <c r="S28" s="23"/>
      <c r="T28" s="24"/>
      <c r="V28" s="31" t="s">
        <v>61</v>
      </c>
      <c r="W28" s="27">
        <v>0</v>
      </c>
      <c r="X28" s="36"/>
      <c r="Z28" s="21"/>
      <c r="AB28" s="23"/>
      <c r="AC28" s="24"/>
      <c r="AE28" s="31" t="s">
        <v>61</v>
      </c>
      <c r="AF28" s="27">
        <v>0</v>
      </c>
      <c r="AG28" s="36"/>
      <c r="AI28" s="21"/>
    </row>
    <row r="29" spans="1:35" x14ac:dyDescent="0.25">
      <c r="A29" s="23">
        <v>0</v>
      </c>
      <c r="B29" s="24"/>
      <c r="D29" s="31" t="s">
        <v>62</v>
      </c>
      <c r="E29" s="27">
        <v>0</v>
      </c>
      <c r="F29" s="36"/>
      <c r="H29" s="21"/>
      <c r="J29" s="23"/>
      <c r="K29" s="24"/>
      <c r="M29" s="31" t="s">
        <v>62</v>
      </c>
      <c r="N29" s="27">
        <v>0</v>
      </c>
      <c r="O29" s="36"/>
      <c r="Q29" s="21"/>
      <c r="S29" s="23"/>
      <c r="T29" s="24"/>
      <c r="V29" s="31" t="s">
        <v>62</v>
      </c>
      <c r="W29" s="27">
        <v>0</v>
      </c>
      <c r="X29" s="36"/>
      <c r="Z29" s="21"/>
      <c r="AB29" s="23"/>
      <c r="AC29" s="24"/>
      <c r="AE29" s="31" t="s">
        <v>62</v>
      </c>
      <c r="AF29" s="27">
        <v>0</v>
      </c>
      <c r="AG29" s="36"/>
      <c r="AI29" s="21"/>
    </row>
    <row r="30" spans="1:35" x14ac:dyDescent="0.25">
      <c r="A30" s="23">
        <v>0</v>
      </c>
      <c r="B30" s="24"/>
      <c r="D30" s="31" t="s">
        <v>63</v>
      </c>
      <c r="E30" s="27">
        <v>0</v>
      </c>
      <c r="F30" s="36"/>
      <c r="H30" s="21"/>
      <c r="J30" s="23"/>
      <c r="K30" s="24"/>
      <c r="M30" s="31" t="s">
        <v>63</v>
      </c>
      <c r="N30" s="27">
        <v>0</v>
      </c>
      <c r="O30" s="36"/>
      <c r="Q30" s="21"/>
      <c r="S30" s="23"/>
      <c r="T30" s="24"/>
      <c r="V30" s="31" t="s">
        <v>63</v>
      </c>
      <c r="W30" s="27">
        <v>0</v>
      </c>
      <c r="X30" s="36"/>
      <c r="Z30" s="21"/>
      <c r="AB30" s="23"/>
      <c r="AC30" s="24"/>
      <c r="AE30" s="31" t="s">
        <v>63</v>
      </c>
      <c r="AF30" s="27">
        <v>0</v>
      </c>
      <c r="AG30" s="36"/>
      <c r="AI30" s="21"/>
    </row>
    <row r="31" spans="1:35" x14ac:dyDescent="0.25">
      <c r="A31" s="23">
        <v>0</v>
      </c>
      <c r="B31" s="24"/>
      <c r="H31" s="21"/>
      <c r="J31" s="23"/>
      <c r="K31" s="24"/>
      <c r="Q31" s="21"/>
      <c r="S31" s="23"/>
      <c r="T31" s="24"/>
      <c r="Z31" s="21"/>
      <c r="AB31" s="23"/>
      <c r="AC31" s="24"/>
      <c r="AI31" s="21"/>
    </row>
    <row r="32" spans="1:35" x14ac:dyDescent="0.25">
      <c r="A32" s="23">
        <v>0</v>
      </c>
      <c r="B32" s="24"/>
      <c r="H32" s="21"/>
      <c r="J32" s="23"/>
      <c r="K32" s="24"/>
      <c r="Q32" s="21"/>
      <c r="S32" s="23"/>
      <c r="T32" s="24"/>
      <c r="Z32" s="21"/>
      <c r="AB32" s="23"/>
      <c r="AC32" s="24"/>
      <c r="AI32" s="21"/>
    </row>
    <row r="33" spans="1:35" x14ac:dyDescent="0.25">
      <c r="A33" s="23">
        <v>0</v>
      </c>
      <c r="B33" s="24"/>
      <c r="H33" s="21"/>
      <c r="J33" s="23"/>
      <c r="K33" s="24"/>
      <c r="Q33" s="21"/>
      <c r="S33" s="23"/>
      <c r="T33" s="24"/>
      <c r="Z33" s="21"/>
      <c r="AB33" s="23"/>
      <c r="AC33" s="24"/>
      <c r="AI33" s="21"/>
    </row>
    <row r="34" spans="1:35" x14ac:dyDescent="0.25">
      <c r="A34" s="37"/>
      <c r="B34" s="38"/>
      <c r="C34" s="38"/>
      <c r="D34" s="38"/>
      <c r="E34" s="38"/>
      <c r="F34" s="38"/>
      <c r="G34" s="38"/>
      <c r="H34" s="39"/>
      <c r="J34" s="37"/>
      <c r="K34" s="38"/>
      <c r="L34" s="38"/>
      <c r="M34" s="38"/>
      <c r="N34" s="38"/>
      <c r="O34" s="38"/>
      <c r="P34" s="38"/>
      <c r="Q34" s="39"/>
      <c r="S34" s="37"/>
      <c r="T34" s="38"/>
      <c r="U34" s="38"/>
      <c r="V34" s="38"/>
      <c r="W34" s="38"/>
      <c r="X34" s="38"/>
      <c r="Y34" s="38"/>
      <c r="Z34" s="39"/>
      <c r="AB34" s="37"/>
      <c r="AC34" s="38"/>
      <c r="AD34" s="38"/>
      <c r="AE34" s="38"/>
      <c r="AF34" s="38"/>
      <c r="AG34" s="38"/>
      <c r="AH34" s="38"/>
      <c r="AI34" s="39"/>
    </row>
    <row r="36" spans="1:35" x14ac:dyDescent="0.25">
      <c r="A36" s="15"/>
      <c r="B36" s="18"/>
      <c r="C36" s="18"/>
      <c r="D36" s="18"/>
      <c r="E36" s="18"/>
      <c r="F36" s="18"/>
      <c r="G36" s="18"/>
      <c r="H36" s="17"/>
      <c r="J36" s="15"/>
      <c r="K36" s="18"/>
      <c r="L36" s="18"/>
      <c r="M36" s="18"/>
      <c r="N36" s="18"/>
      <c r="O36" s="18"/>
      <c r="P36" s="18"/>
      <c r="Q36" s="17"/>
      <c r="S36" s="15"/>
      <c r="T36" s="18"/>
      <c r="U36" s="18"/>
      <c r="V36" s="18"/>
      <c r="W36" s="18"/>
      <c r="X36" s="18"/>
      <c r="Y36" s="18"/>
      <c r="Z36" s="17"/>
      <c r="AB36" s="15"/>
      <c r="AC36" s="18"/>
      <c r="AD36" s="18"/>
      <c r="AE36" s="18"/>
      <c r="AF36" s="18"/>
      <c r="AG36" s="18"/>
      <c r="AH36" s="18"/>
      <c r="AI36" s="17"/>
    </row>
    <row r="37" spans="1:35" ht="18.75" x14ac:dyDescent="0.3">
      <c r="A37" s="19"/>
      <c r="B37" s="20"/>
      <c r="C37" s="115"/>
      <c r="D37" s="115"/>
      <c r="E37" s="115"/>
      <c r="F37" s="115"/>
      <c r="G37" s="115"/>
      <c r="H37" s="21"/>
      <c r="J37" s="19"/>
      <c r="K37" s="20"/>
      <c r="L37" s="115"/>
      <c r="M37" s="115"/>
      <c r="N37" s="115"/>
      <c r="O37" s="115"/>
      <c r="P37" s="115"/>
      <c r="Q37" s="21"/>
      <c r="S37" s="19"/>
      <c r="T37" s="20"/>
      <c r="U37" s="115"/>
      <c r="V37" s="115"/>
      <c r="W37" s="115"/>
      <c r="X37" s="115"/>
      <c r="Y37" s="115"/>
      <c r="Z37" s="21"/>
      <c r="AB37" s="19"/>
      <c r="AC37" s="20"/>
      <c r="AD37" s="115"/>
      <c r="AE37" s="115"/>
      <c r="AF37" s="115"/>
      <c r="AG37" s="115"/>
      <c r="AH37" s="115"/>
      <c r="AI37" s="21"/>
    </row>
    <row r="38" spans="1:35" ht="15.75" x14ac:dyDescent="0.25">
      <c r="A38" s="19"/>
      <c r="B38" s="22"/>
      <c r="C38" s="12"/>
      <c r="D38" s="12"/>
      <c r="E38" s="12"/>
      <c r="F38" s="12"/>
      <c r="G38" s="12"/>
      <c r="H38" s="21"/>
      <c r="J38" s="19"/>
      <c r="K38" s="22"/>
      <c r="L38" s="12"/>
      <c r="M38" s="12"/>
      <c r="N38" s="12"/>
      <c r="O38" s="12"/>
      <c r="P38" s="12"/>
      <c r="Q38" s="21"/>
      <c r="S38" s="19"/>
      <c r="T38" s="22"/>
      <c r="U38" s="12"/>
      <c r="V38" s="12"/>
      <c r="W38" s="12"/>
      <c r="X38" s="12"/>
      <c r="Y38" s="12"/>
      <c r="Z38" s="21"/>
      <c r="AB38" s="19"/>
      <c r="AC38" s="22"/>
      <c r="AD38" s="12"/>
      <c r="AE38" s="12"/>
      <c r="AF38" s="12"/>
      <c r="AG38" s="12"/>
      <c r="AH38" s="12"/>
      <c r="AI38" s="21"/>
    </row>
    <row r="39" spans="1:35" x14ac:dyDescent="0.25">
      <c r="A39" s="23"/>
      <c r="B39" s="24"/>
      <c r="C39" s="25"/>
      <c r="D39" s="25"/>
      <c r="E39" s="25"/>
      <c r="F39" s="25"/>
      <c r="G39" s="25"/>
      <c r="H39" s="21"/>
      <c r="J39" s="23"/>
      <c r="K39" s="24"/>
      <c r="L39" s="25"/>
      <c r="M39" s="25"/>
      <c r="N39" s="25"/>
      <c r="O39" s="25"/>
      <c r="P39" s="25"/>
      <c r="Q39" s="21"/>
      <c r="S39" s="23"/>
      <c r="T39" s="24"/>
      <c r="U39" s="25"/>
      <c r="V39" s="25"/>
      <c r="W39" s="25"/>
      <c r="X39" s="25"/>
      <c r="Y39" s="25"/>
      <c r="Z39" s="21"/>
      <c r="AB39" s="23"/>
      <c r="AC39" s="24"/>
      <c r="AD39" s="25"/>
      <c r="AE39" s="25"/>
      <c r="AF39" s="25"/>
      <c r="AG39" s="25"/>
      <c r="AH39" s="25"/>
      <c r="AI39" s="21"/>
    </row>
    <row r="40" spans="1:35" x14ac:dyDescent="0.25">
      <c r="A40" s="23"/>
      <c r="B40" s="24"/>
      <c r="C40" s="26"/>
      <c r="D40" s="27"/>
      <c r="E40" s="27"/>
      <c r="F40" s="28"/>
      <c r="G40" s="29"/>
      <c r="H40" s="21"/>
      <c r="J40" s="23"/>
      <c r="K40" s="24"/>
      <c r="L40" s="26"/>
      <c r="M40" s="27"/>
      <c r="N40" s="27"/>
      <c r="O40" s="28"/>
      <c r="P40" s="29"/>
      <c r="Q40" s="21"/>
      <c r="S40" s="23"/>
      <c r="T40" s="24"/>
      <c r="U40" s="26"/>
      <c r="V40" s="27"/>
      <c r="W40" s="27"/>
      <c r="X40" s="28"/>
      <c r="Y40" s="29"/>
      <c r="Z40" s="21"/>
      <c r="AB40" s="23"/>
      <c r="AC40" s="24"/>
      <c r="AD40" s="26"/>
      <c r="AE40" s="27"/>
      <c r="AF40" s="27"/>
      <c r="AG40" s="28"/>
      <c r="AH40" s="29"/>
      <c r="AI40" s="21"/>
    </row>
    <row r="41" spans="1:35" x14ac:dyDescent="0.25">
      <c r="A41" s="23"/>
      <c r="B41" s="24"/>
      <c r="H41" s="21"/>
      <c r="J41" s="23"/>
      <c r="K41" s="24"/>
      <c r="Q41" s="21"/>
      <c r="S41" s="23"/>
      <c r="T41" s="24"/>
      <c r="Z41" s="21"/>
      <c r="AB41" s="23"/>
      <c r="AC41" s="24"/>
      <c r="AI41" s="21"/>
    </row>
    <row r="42" spans="1:35" x14ac:dyDescent="0.25">
      <c r="A42" s="23"/>
      <c r="B42" s="24"/>
      <c r="C42" s="30"/>
      <c r="D42" s="30"/>
      <c r="E42" s="30"/>
      <c r="F42" s="30"/>
      <c r="G42" s="30"/>
      <c r="H42" s="21"/>
      <c r="J42" s="23"/>
      <c r="K42" s="24"/>
      <c r="L42" s="30"/>
      <c r="M42" s="30"/>
      <c r="N42" s="30"/>
      <c r="O42" s="30"/>
      <c r="P42" s="30"/>
      <c r="Q42" s="21"/>
      <c r="S42" s="23"/>
      <c r="T42" s="24"/>
      <c r="U42" s="30"/>
      <c r="V42" s="30"/>
      <c r="W42" s="30"/>
      <c r="X42" s="30"/>
      <c r="Y42" s="30"/>
      <c r="Z42" s="21"/>
      <c r="AB42" s="23"/>
      <c r="AC42" s="24"/>
      <c r="AD42" s="30"/>
      <c r="AE42" s="30"/>
      <c r="AF42" s="30"/>
      <c r="AG42" s="30"/>
      <c r="AH42" s="30"/>
      <c r="AI42" s="21"/>
    </row>
    <row r="43" spans="1:35" x14ac:dyDescent="0.25">
      <c r="A43" s="23"/>
      <c r="B43" s="24"/>
      <c r="C43" s="31"/>
      <c r="D43" s="32"/>
      <c r="E43" s="32"/>
      <c r="F43" s="32"/>
      <c r="G43" s="32"/>
      <c r="H43" s="33"/>
      <c r="J43" s="23"/>
      <c r="K43" s="24"/>
      <c r="L43" s="31"/>
      <c r="M43" s="32"/>
      <c r="N43" s="32"/>
      <c r="O43" s="32"/>
      <c r="P43" s="32"/>
      <c r="Q43" s="33"/>
      <c r="S43" s="23"/>
      <c r="T43" s="24"/>
      <c r="U43" s="31"/>
      <c r="V43" s="32"/>
      <c r="W43" s="32"/>
      <c r="X43" s="32"/>
      <c r="Y43" s="32"/>
      <c r="Z43" s="33"/>
      <c r="AB43" s="23"/>
      <c r="AC43" s="24"/>
      <c r="AD43" s="31"/>
      <c r="AE43" s="32"/>
      <c r="AF43" s="32"/>
      <c r="AG43" s="32"/>
      <c r="AH43" s="32"/>
      <c r="AI43" s="33"/>
    </row>
    <row r="44" spans="1:35" x14ac:dyDescent="0.25">
      <c r="A44" s="23"/>
      <c r="B44" s="24"/>
      <c r="C44" s="31"/>
      <c r="D44" s="32"/>
      <c r="E44" s="32"/>
      <c r="F44" s="32"/>
      <c r="G44" s="32"/>
      <c r="H44" s="33"/>
      <c r="J44" s="23"/>
      <c r="K44" s="24"/>
      <c r="L44" s="31"/>
      <c r="M44" s="32"/>
      <c r="N44" s="32"/>
      <c r="O44" s="32"/>
      <c r="P44" s="32"/>
      <c r="Q44" s="33"/>
      <c r="S44" s="23"/>
      <c r="T44" s="24"/>
      <c r="U44" s="31"/>
      <c r="V44" s="32"/>
      <c r="W44" s="32"/>
      <c r="X44" s="32"/>
      <c r="Y44" s="32"/>
      <c r="Z44" s="33"/>
      <c r="AB44" s="23"/>
      <c r="AC44" s="24"/>
      <c r="AD44" s="31"/>
      <c r="AE44" s="32"/>
      <c r="AF44" s="32"/>
      <c r="AG44" s="32"/>
      <c r="AH44" s="32"/>
      <c r="AI44" s="33"/>
    </row>
    <row r="45" spans="1:35" x14ac:dyDescent="0.25">
      <c r="A45" s="23"/>
      <c r="B45" s="24"/>
      <c r="C45" s="30"/>
      <c r="D45" s="34"/>
      <c r="E45" s="34"/>
      <c r="F45" s="34"/>
      <c r="G45" s="34"/>
      <c r="H45" s="33"/>
      <c r="J45" s="23"/>
      <c r="K45" s="24"/>
      <c r="L45" s="30"/>
      <c r="M45" s="34"/>
      <c r="N45" s="34"/>
      <c r="O45" s="34"/>
      <c r="P45" s="34"/>
      <c r="Q45" s="33"/>
      <c r="S45" s="23"/>
      <c r="T45" s="24"/>
      <c r="U45" s="30"/>
      <c r="V45" s="34"/>
      <c r="W45" s="34"/>
      <c r="X45" s="34"/>
      <c r="Y45" s="34"/>
      <c r="Z45" s="33"/>
      <c r="AB45" s="23"/>
      <c r="AC45" s="24"/>
      <c r="AD45" s="30"/>
      <c r="AE45" s="34"/>
      <c r="AF45" s="34"/>
      <c r="AG45" s="34"/>
      <c r="AH45" s="34"/>
      <c r="AI45" s="33"/>
    </row>
    <row r="46" spans="1:35" x14ac:dyDescent="0.25">
      <c r="A46" s="23"/>
      <c r="B46" s="24"/>
      <c r="C46" s="31"/>
      <c r="D46" s="32"/>
      <c r="E46" s="32"/>
      <c r="F46" s="32"/>
      <c r="G46" s="32"/>
      <c r="H46" s="33"/>
      <c r="J46" s="23"/>
      <c r="K46" s="24"/>
      <c r="L46" s="31"/>
      <c r="M46" s="32"/>
      <c r="N46" s="32"/>
      <c r="O46" s="32"/>
      <c r="P46" s="32"/>
      <c r="Q46" s="33"/>
      <c r="S46" s="23"/>
      <c r="T46" s="24"/>
      <c r="U46" s="31"/>
      <c r="V46" s="32"/>
      <c r="W46" s="32"/>
      <c r="X46" s="32"/>
      <c r="Y46" s="32"/>
      <c r="Z46" s="33"/>
      <c r="AB46" s="23"/>
      <c r="AC46" s="24"/>
      <c r="AD46" s="31"/>
      <c r="AE46" s="32"/>
      <c r="AF46" s="32"/>
      <c r="AG46" s="32"/>
      <c r="AH46" s="32"/>
      <c r="AI46" s="33"/>
    </row>
    <row r="47" spans="1:35" x14ac:dyDescent="0.25">
      <c r="A47" s="23"/>
      <c r="B47" s="24"/>
      <c r="C47" s="31"/>
      <c r="D47" s="32"/>
      <c r="E47" s="32"/>
      <c r="F47" s="32"/>
      <c r="G47" s="32"/>
      <c r="H47" s="33"/>
      <c r="J47" s="23"/>
      <c r="K47" s="24"/>
      <c r="L47" s="31"/>
      <c r="M47" s="32"/>
      <c r="N47" s="32"/>
      <c r="O47" s="32"/>
      <c r="P47" s="32"/>
      <c r="Q47" s="33"/>
      <c r="S47" s="23"/>
      <c r="T47" s="24"/>
      <c r="U47" s="31"/>
      <c r="V47" s="32"/>
      <c r="W47" s="32"/>
      <c r="X47" s="32"/>
      <c r="Y47" s="32"/>
      <c r="Z47" s="33"/>
      <c r="AB47" s="23"/>
      <c r="AC47" s="24"/>
      <c r="AD47" s="31"/>
      <c r="AE47" s="32"/>
      <c r="AF47" s="32"/>
      <c r="AG47" s="32"/>
      <c r="AH47" s="32"/>
      <c r="AI47" s="33"/>
    </row>
    <row r="48" spans="1:35" x14ac:dyDescent="0.25">
      <c r="A48" s="23"/>
      <c r="B48" s="24"/>
      <c r="C48" s="31"/>
      <c r="D48" s="32"/>
      <c r="E48" s="32"/>
      <c r="F48" s="32"/>
      <c r="G48" s="32"/>
      <c r="H48" s="33"/>
      <c r="J48" s="23"/>
      <c r="K48" s="24"/>
      <c r="L48" s="31"/>
      <c r="M48" s="32"/>
      <c r="N48" s="32"/>
      <c r="O48" s="32"/>
      <c r="P48" s="32"/>
      <c r="Q48" s="33"/>
      <c r="S48" s="23"/>
      <c r="T48" s="24"/>
      <c r="U48" s="31"/>
      <c r="V48" s="32"/>
      <c r="W48" s="32"/>
      <c r="X48" s="32"/>
      <c r="Y48" s="32"/>
      <c r="Z48" s="33"/>
      <c r="AB48" s="23"/>
      <c r="AC48" s="24"/>
      <c r="AD48" s="31"/>
      <c r="AE48" s="32"/>
      <c r="AF48" s="32"/>
      <c r="AG48" s="32"/>
      <c r="AH48" s="32"/>
      <c r="AI48" s="33"/>
    </row>
    <row r="49" spans="1:35" x14ac:dyDescent="0.25">
      <c r="A49" s="23"/>
      <c r="B49" s="24"/>
      <c r="C49" s="31"/>
      <c r="D49" s="32"/>
      <c r="E49" s="32"/>
      <c r="F49" s="32"/>
      <c r="G49" s="32"/>
      <c r="H49" s="33"/>
      <c r="J49" s="23"/>
      <c r="K49" s="24"/>
      <c r="L49" s="31"/>
      <c r="M49" s="32"/>
      <c r="N49" s="32"/>
      <c r="O49" s="32"/>
      <c r="P49" s="32"/>
      <c r="Q49" s="33"/>
      <c r="S49" s="23"/>
      <c r="T49" s="24"/>
      <c r="U49" s="31"/>
      <c r="V49" s="32"/>
      <c r="W49" s="32"/>
      <c r="X49" s="32"/>
      <c r="Y49" s="32"/>
      <c r="Z49" s="33"/>
      <c r="AB49" s="23"/>
      <c r="AC49" s="24"/>
      <c r="AD49" s="31"/>
      <c r="AE49" s="32"/>
      <c r="AF49" s="32"/>
      <c r="AG49" s="32"/>
      <c r="AH49" s="32"/>
      <c r="AI49" s="33"/>
    </row>
    <row r="50" spans="1:35" x14ac:dyDescent="0.25">
      <c r="A50" s="23"/>
      <c r="B50" s="24"/>
      <c r="C50" s="30"/>
      <c r="D50" s="34"/>
      <c r="E50" s="34"/>
      <c r="F50" s="34"/>
      <c r="G50" s="34"/>
      <c r="H50" s="33"/>
      <c r="J50" s="23"/>
      <c r="K50" s="24"/>
      <c r="L50" s="30"/>
      <c r="M50" s="34"/>
      <c r="N50" s="34"/>
      <c r="O50" s="34"/>
      <c r="P50" s="34"/>
      <c r="Q50" s="33"/>
      <c r="S50" s="23"/>
      <c r="T50" s="24"/>
      <c r="U50" s="30"/>
      <c r="V50" s="34"/>
      <c r="W50" s="34"/>
      <c r="X50" s="34"/>
      <c r="Y50" s="34"/>
      <c r="Z50" s="33"/>
      <c r="AB50" s="23"/>
      <c r="AC50" s="24"/>
      <c r="AD50" s="30"/>
      <c r="AE50" s="34"/>
      <c r="AF50" s="34"/>
      <c r="AG50" s="34"/>
      <c r="AH50" s="34"/>
      <c r="AI50" s="33"/>
    </row>
    <row r="51" spans="1:35" x14ac:dyDescent="0.25">
      <c r="A51" s="23"/>
      <c r="B51" s="24"/>
      <c r="C51" s="31"/>
      <c r="D51" s="32"/>
      <c r="E51" s="32"/>
      <c r="F51" s="32"/>
      <c r="G51" s="32"/>
      <c r="H51" s="33"/>
      <c r="J51" s="23"/>
      <c r="K51" s="24"/>
      <c r="L51" s="31"/>
      <c r="M51" s="32"/>
      <c r="N51" s="32"/>
      <c r="O51" s="32"/>
      <c r="P51" s="32"/>
      <c r="Q51" s="33"/>
      <c r="S51" s="23"/>
      <c r="T51" s="24"/>
      <c r="U51" s="31"/>
      <c r="V51" s="32"/>
      <c r="W51" s="32"/>
      <c r="X51" s="32"/>
      <c r="Y51" s="32"/>
      <c r="Z51" s="33"/>
      <c r="AB51" s="23"/>
      <c r="AC51" s="24"/>
      <c r="AD51" s="31"/>
      <c r="AE51" s="32"/>
      <c r="AF51" s="32"/>
      <c r="AG51" s="32"/>
      <c r="AH51" s="32"/>
      <c r="AI51" s="33"/>
    </row>
    <row r="52" spans="1:35" x14ac:dyDescent="0.25">
      <c r="A52" s="23"/>
      <c r="B52" s="24"/>
      <c r="C52" s="31"/>
      <c r="D52" s="32"/>
      <c r="E52" s="32"/>
      <c r="F52" s="32"/>
      <c r="G52" s="32"/>
      <c r="H52" s="33"/>
      <c r="J52" s="23"/>
      <c r="K52" s="24"/>
      <c r="L52" s="31"/>
      <c r="M52" s="32"/>
      <c r="N52" s="32"/>
      <c r="O52" s="32"/>
      <c r="P52" s="32"/>
      <c r="Q52" s="33"/>
      <c r="S52" s="23"/>
      <c r="T52" s="24"/>
      <c r="U52" s="31"/>
      <c r="V52" s="32"/>
      <c r="W52" s="32"/>
      <c r="X52" s="32"/>
      <c r="Y52" s="32"/>
      <c r="Z52" s="33"/>
      <c r="AB52" s="23"/>
      <c r="AC52" s="24"/>
      <c r="AD52" s="31"/>
      <c r="AE52" s="32"/>
      <c r="AF52" s="32"/>
      <c r="AG52" s="32"/>
      <c r="AH52" s="32"/>
      <c r="AI52" s="33"/>
    </row>
    <row r="53" spans="1:35" x14ac:dyDescent="0.25">
      <c r="A53" s="23"/>
      <c r="B53" s="24"/>
      <c r="C53" s="30"/>
      <c r="D53" s="34"/>
      <c r="E53" s="34"/>
      <c r="F53" s="34"/>
      <c r="G53" s="34"/>
      <c r="H53" s="33"/>
      <c r="J53" s="23"/>
      <c r="K53" s="24"/>
      <c r="L53" s="30"/>
      <c r="M53" s="34"/>
      <c r="N53" s="34"/>
      <c r="O53" s="34"/>
      <c r="P53" s="34"/>
      <c r="Q53" s="33"/>
      <c r="S53" s="23"/>
      <c r="T53" s="24"/>
      <c r="U53" s="30"/>
      <c r="V53" s="34"/>
      <c r="W53" s="34"/>
      <c r="X53" s="34"/>
      <c r="Y53" s="34"/>
      <c r="Z53" s="33"/>
      <c r="AB53" s="23"/>
      <c r="AC53" s="24"/>
      <c r="AD53" s="30"/>
      <c r="AE53" s="34"/>
      <c r="AF53" s="34"/>
      <c r="AG53" s="34"/>
      <c r="AH53" s="34"/>
      <c r="AI53" s="33"/>
    </row>
    <row r="54" spans="1:35" x14ac:dyDescent="0.25">
      <c r="A54" s="23"/>
      <c r="B54" s="24"/>
      <c r="C54" s="31"/>
      <c r="D54" s="32"/>
      <c r="E54" s="32"/>
      <c r="F54" s="32"/>
      <c r="G54" s="32"/>
      <c r="H54" s="33"/>
      <c r="J54" s="23"/>
      <c r="K54" s="24"/>
      <c r="L54" s="31"/>
      <c r="M54" s="32"/>
      <c r="N54" s="32"/>
      <c r="O54" s="32"/>
      <c r="P54" s="32"/>
      <c r="Q54" s="33"/>
      <c r="S54" s="23"/>
      <c r="T54" s="24"/>
      <c r="U54" s="31"/>
      <c r="V54" s="32"/>
      <c r="W54" s="32"/>
      <c r="X54" s="32"/>
      <c r="Y54" s="32"/>
      <c r="Z54" s="33"/>
      <c r="AB54" s="23"/>
      <c r="AC54" s="24"/>
      <c r="AD54" s="31"/>
      <c r="AE54" s="32"/>
      <c r="AF54" s="32"/>
      <c r="AG54" s="32"/>
      <c r="AH54" s="32"/>
      <c r="AI54" s="33"/>
    </row>
    <row r="55" spans="1:35" x14ac:dyDescent="0.25">
      <c r="A55" s="23"/>
      <c r="B55" s="24"/>
      <c r="C55" s="31"/>
      <c r="D55" s="32"/>
      <c r="E55" s="32"/>
      <c r="F55" s="32"/>
      <c r="G55" s="32"/>
      <c r="H55" s="33"/>
      <c r="J55" s="23"/>
      <c r="K55" s="24"/>
      <c r="L55" s="31"/>
      <c r="M55" s="32"/>
      <c r="N55" s="32"/>
      <c r="O55" s="32"/>
      <c r="P55" s="32"/>
      <c r="Q55" s="33"/>
      <c r="S55" s="23"/>
      <c r="T55" s="24"/>
      <c r="U55" s="31"/>
      <c r="V55" s="32"/>
      <c r="W55" s="32"/>
      <c r="X55" s="32"/>
      <c r="Y55" s="32"/>
      <c r="Z55" s="33"/>
      <c r="AB55" s="23"/>
      <c r="AC55" s="24"/>
      <c r="AD55" s="31"/>
      <c r="AE55" s="32"/>
      <c r="AF55" s="32"/>
      <c r="AG55" s="32"/>
      <c r="AH55" s="32"/>
      <c r="AI55" s="33"/>
    </row>
    <row r="56" spans="1:35" x14ac:dyDescent="0.25">
      <c r="A56" s="23"/>
      <c r="B56" s="24"/>
      <c r="C56" s="31"/>
      <c r="D56" s="32"/>
      <c r="E56" s="32"/>
      <c r="F56" s="32"/>
      <c r="G56" s="32"/>
      <c r="H56" s="33"/>
      <c r="J56" s="23"/>
      <c r="K56" s="24"/>
      <c r="L56" s="31"/>
      <c r="M56" s="32"/>
      <c r="N56" s="32"/>
      <c r="O56" s="32"/>
      <c r="P56" s="32"/>
      <c r="Q56" s="33"/>
      <c r="S56" s="23"/>
      <c r="T56" s="24"/>
      <c r="U56" s="31"/>
      <c r="V56" s="32"/>
      <c r="W56" s="32"/>
      <c r="X56" s="32"/>
      <c r="Y56" s="32"/>
      <c r="Z56" s="33"/>
      <c r="AB56" s="23"/>
      <c r="AC56" s="24"/>
      <c r="AD56" s="31"/>
      <c r="AE56" s="32"/>
      <c r="AF56" s="32"/>
      <c r="AG56" s="32"/>
      <c r="AH56" s="32"/>
      <c r="AI56" s="33"/>
    </row>
    <row r="57" spans="1:35" x14ac:dyDescent="0.25">
      <c r="A57" s="23"/>
      <c r="B57" s="24"/>
      <c r="C57" s="31"/>
      <c r="D57" s="32"/>
      <c r="E57" s="32"/>
      <c r="F57" s="32"/>
      <c r="G57" s="32"/>
      <c r="H57" s="33"/>
      <c r="J57" s="23"/>
      <c r="K57" s="24"/>
      <c r="L57" s="31"/>
      <c r="M57" s="32"/>
      <c r="N57" s="32"/>
      <c r="O57" s="32"/>
      <c r="P57" s="32"/>
      <c r="Q57" s="33"/>
      <c r="S57" s="23"/>
      <c r="T57" s="24"/>
      <c r="U57" s="31"/>
      <c r="V57" s="32"/>
      <c r="W57" s="32"/>
      <c r="X57" s="32"/>
      <c r="Y57" s="32"/>
      <c r="Z57" s="33"/>
      <c r="AB57" s="23"/>
      <c r="AC57" s="24"/>
      <c r="AD57" s="31"/>
      <c r="AE57" s="32"/>
      <c r="AF57" s="32"/>
      <c r="AG57" s="32"/>
      <c r="AH57" s="32"/>
      <c r="AI57" s="33"/>
    </row>
    <row r="58" spans="1:35" x14ac:dyDescent="0.25">
      <c r="A58" s="23"/>
      <c r="B58" s="24"/>
      <c r="H58" s="21"/>
      <c r="J58" s="23"/>
      <c r="K58" s="24"/>
      <c r="Q58" s="21"/>
      <c r="S58" s="23"/>
      <c r="T58" s="24"/>
      <c r="Z58" s="21"/>
      <c r="AB58" s="23"/>
      <c r="AC58" s="24"/>
      <c r="AI58" s="21"/>
    </row>
    <row r="59" spans="1:35" x14ac:dyDescent="0.25">
      <c r="A59" s="23"/>
      <c r="B59" s="24"/>
      <c r="D59" s="35"/>
      <c r="H59" s="21"/>
      <c r="J59" s="23"/>
      <c r="K59" s="24"/>
      <c r="M59" s="35"/>
      <c r="Q59" s="21"/>
      <c r="S59" s="23"/>
      <c r="T59" s="24"/>
      <c r="V59" s="35"/>
      <c r="Z59" s="21"/>
      <c r="AB59" s="23"/>
      <c r="AC59" s="24"/>
      <c r="AE59" s="35"/>
      <c r="AI59" s="21"/>
    </row>
    <row r="60" spans="1:35" x14ac:dyDescent="0.25">
      <c r="A60" s="23"/>
      <c r="B60" s="24"/>
      <c r="D60" s="31"/>
      <c r="E60" s="27"/>
      <c r="F60" s="36"/>
      <c r="H60" s="21"/>
      <c r="J60" s="23"/>
      <c r="K60" s="24"/>
      <c r="M60" s="31"/>
      <c r="N60" s="27"/>
      <c r="O60" s="36"/>
      <c r="Q60" s="21"/>
      <c r="S60" s="23"/>
      <c r="T60" s="24"/>
      <c r="V60" s="31"/>
      <c r="W60" s="27"/>
      <c r="X60" s="36"/>
      <c r="Z60" s="21"/>
      <c r="AB60" s="23"/>
      <c r="AC60" s="24"/>
      <c r="AE60" s="31"/>
      <c r="AF60" s="27"/>
      <c r="AG60" s="36"/>
      <c r="AI60" s="21"/>
    </row>
    <row r="61" spans="1:35" x14ac:dyDescent="0.25">
      <c r="A61" s="23"/>
      <c r="B61" s="24"/>
      <c r="D61" s="31"/>
      <c r="E61" s="27"/>
      <c r="F61" s="36"/>
      <c r="H61" s="21"/>
      <c r="J61" s="23"/>
      <c r="K61" s="24"/>
      <c r="M61" s="31"/>
      <c r="N61" s="27"/>
      <c r="O61" s="36"/>
      <c r="Q61" s="21"/>
      <c r="S61" s="23"/>
      <c r="T61" s="24"/>
      <c r="V61" s="31"/>
      <c r="W61" s="27"/>
      <c r="X61" s="36"/>
      <c r="Z61" s="21"/>
      <c r="AB61" s="23"/>
      <c r="AC61" s="24"/>
      <c r="AE61" s="31"/>
      <c r="AF61" s="27"/>
      <c r="AG61" s="36"/>
      <c r="AI61" s="21"/>
    </row>
    <row r="62" spans="1:35" x14ac:dyDescent="0.25">
      <c r="A62" s="23"/>
      <c r="B62" s="24"/>
      <c r="D62" s="31"/>
      <c r="E62" s="27"/>
      <c r="F62" s="36"/>
      <c r="H62" s="21"/>
      <c r="J62" s="23"/>
      <c r="K62" s="24"/>
      <c r="M62" s="31"/>
      <c r="N62" s="27"/>
      <c r="O62" s="36"/>
      <c r="Q62" s="21"/>
      <c r="S62" s="23"/>
      <c r="T62" s="24"/>
      <c r="V62" s="31"/>
      <c r="W62" s="27"/>
      <c r="X62" s="36"/>
      <c r="Z62" s="21"/>
      <c r="AB62" s="23"/>
      <c r="AC62" s="24"/>
      <c r="AE62" s="31"/>
      <c r="AF62" s="27"/>
      <c r="AG62" s="36"/>
      <c r="AI62" s="21"/>
    </row>
    <row r="63" spans="1:35" x14ac:dyDescent="0.25">
      <c r="A63" s="23"/>
      <c r="B63" s="24"/>
      <c r="D63" s="31"/>
      <c r="E63" s="27"/>
      <c r="F63" s="36"/>
      <c r="H63" s="21"/>
      <c r="J63" s="23"/>
      <c r="K63" s="24"/>
      <c r="M63" s="31"/>
      <c r="N63" s="27"/>
      <c r="O63" s="36"/>
      <c r="Q63" s="21"/>
      <c r="S63" s="23"/>
      <c r="T63" s="24"/>
      <c r="V63" s="31"/>
      <c r="W63" s="27"/>
      <c r="X63" s="36"/>
      <c r="Z63" s="21"/>
      <c r="AB63" s="23"/>
      <c r="AC63" s="24"/>
      <c r="AE63" s="31"/>
      <c r="AF63" s="27"/>
      <c r="AG63" s="36"/>
      <c r="AI63" s="21"/>
    </row>
    <row r="64" spans="1:35" x14ac:dyDescent="0.25">
      <c r="A64" s="23"/>
      <c r="B64" s="24"/>
      <c r="H64" s="21"/>
      <c r="J64" s="23"/>
      <c r="K64" s="24"/>
      <c r="Q64" s="21"/>
      <c r="S64" s="23"/>
      <c r="T64" s="24"/>
      <c r="Z64" s="21"/>
      <c r="AB64" s="23"/>
      <c r="AC64" s="24"/>
      <c r="AI64" s="21"/>
    </row>
    <row r="65" spans="1:35" x14ac:dyDescent="0.25">
      <c r="A65" s="23"/>
      <c r="B65" s="24"/>
      <c r="H65" s="21"/>
      <c r="J65" s="23"/>
      <c r="K65" s="24"/>
      <c r="Q65" s="21"/>
      <c r="S65" s="23"/>
      <c r="T65" s="24"/>
      <c r="Z65" s="21"/>
      <c r="AB65" s="23"/>
      <c r="AC65" s="24"/>
      <c r="AI65" s="21"/>
    </row>
    <row r="66" spans="1:35" x14ac:dyDescent="0.25">
      <c r="A66" s="23"/>
      <c r="B66" s="24"/>
      <c r="H66" s="21"/>
      <c r="J66" s="23"/>
      <c r="K66" s="24"/>
      <c r="Q66" s="21"/>
      <c r="S66" s="23"/>
      <c r="T66" s="24"/>
      <c r="Z66" s="21"/>
      <c r="AB66" s="23"/>
      <c r="AC66" s="24"/>
      <c r="AI66" s="21"/>
    </row>
    <row r="67" spans="1:35" x14ac:dyDescent="0.25">
      <c r="A67" s="37"/>
      <c r="B67" s="38"/>
      <c r="C67" s="38"/>
      <c r="D67" s="38"/>
      <c r="E67" s="38"/>
      <c r="F67" s="38"/>
      <c r="G67" s="38"/>
      <c r="H67" s="39"/>
      <c r="J67" s="37"/>
      <c r="K67" s="38"/>
      <c r="L67" s="38"/>
      <c r="M67" s="38"/>
      <c r="N67" s="38"/>
      <c r="O67" s="38"/>
      <c r="P67" s="38"/>
      <c r="Q67" s="39"/>
      <c r="S67" s="37"/>
      <c r="T67" s="38"/>
      <c r="U67" s="38"/>
      <c r="V67" s="38"/>
      <c r="W67" s="38"/>
      <c r="X67" s="38"/>
      <c r="Y67" s="38"/>
      <c r="Z67" s="39"/>
      <c r="AB67" s="37"/>
      <c r="AC67" s="38"/>
      <c r="AD67" s="38"/>
      <c r="AE67" s="38"/>
      <c r="AF67" s="38"/>
      <c r="AG67" s="38"/>
      <c r="AH67" s="38"/>
      <c r="AI67" s="39"/>
    </row>
  </sheetData>
  <mergeCells count="16">
    <mergeCell ref="C37:G37"/>
    <mergeCell ref="L37:P37"/>
    <mergeCell ref="U37:Y37"/>
    <mergeCell ref="AD37:AH37"/>
    <mergeCell ref="C38:G38"/>
    <mergeCell ref="L38:P38"/>
    <mergeCell ref="U38:Y38"/>
    <mergeCell ref="AD38:AH38"/>
    <mergeCell ref="C4:G4"/>
    <mergeCell ref="L4:P4"/>
    <mergeCell ref="U4:Y4"/>
    <mergeCell ref="AD4:AH4"/>
    <mergeCell ref="C5:G5"/>
    <mergeCell ref="L5:P5"/>
    <mergeCell ref="U5:Y5"/>
    <mergeCell ref="AD5:AH5"/>
  </mergeCells>
  <conditionalFormatting sqref="C5:G5">
    <cfRule type="expression" dxfId="27" priority="7">
      <formula>$DY$36=0</formula>
    </cfRule>
  </conditionalFormatting>
  <conditionalFormatting sqref="C38:G38 L38:P38 U38:Y38 AD38:AH38">
    <cfRule type="expression" dxfId="26" priority="2">
      <formula>$DY$36=0</formula>
    </cfRule>
  </conditionalFormatting>
  <conditionalFormatting sqref="E10:F24">
    <cfRule type="expression" dxfId="25" priority="8">
      <formula>$H10=2</formula>
    </cfRule>
    <cfRule type="expression" dxfId="24" priority="9">
      <formula>$H10=3</formula>
    </cfRule>
    <cfRule type="expression" dxfId="23" priority="10">
      <formula>$H10=4</formula>
    </cfRule>
  </conditionalFormatting>
  <conditionalFormatting sqref="E18:F21">
    <cfRule type="expression" dxfId="22" priority="11">
      <formula>$H18=1</formula>
    </cfRule>
  </conditionalFormatting>
  <conditionalFormatting sqref="E43:F57">
    <cfRule type="expression" dxfId="21" priority="3">
      <formula>$H43=2</formula>
    </cfRule>
    <cfRule type="expression" dxfId="20" priority="4">
      <formula>$H43=3</formula>
    </cfRule>
    <cfRule type="expression" dxfId="19" priority="5">
      <formula>$H43=4</formula>
    </cfRule>
  </conditionalFormatting>
  <conditionalFormatting sqref="E51:F54">
    <cfRule type="expression" dxfId="18" priority="6">
      <formula>$H51=1</formula>
    </cfRule>
  </conditionalFormatting>
  <conditionalFormatting sqref="L5:P5 U5:Y5 AD5:AH5">
    <cfRule type="expression" dxfId="17" priority="20">
      <formula>$DP$36=0</formula>
    </cfRule>
  </conditionalFormatting>
  <conditionalFormatting sqref="N43:O57 W43:X57 AF43:AG57">
    <cfRule type="expression" dxfId="16" priority="12">
      <formula>$H43=2</formula>
    </cfRule>
    <cfRule type="expression" dxfId="15" priority="13">
      <formula>$H43=3</formula>
    </cfRule>
    <cfRule type="expression" dxfId="14" priority="14">
      <formula>$H43=4</formula>
    </cfRule>
  </conditionalFormatting>
  <conditionalFormatting sqref="N51:O54 W51:X54 AF51:AG54">
    <cfRule type="expression" dxfId="13" priority="15">
      <formula>$H51=1</formula>
    </cfRule>
  </conditionalFormatting>
  <conditionalFormatting sqref="W10:X24 AF10:AG24">
    <cfRule type="expression" dxfId="12" priority="16">
      <formula>#REF!=2</formula>
    </cfRule>
    <cfRule type="expression" dxfId="11" priority="17">
      <formula>#REF!=3</formula>
    </cfRule>
    <cfRule type="expression" dxfId="10" priority="18">
      <formula>#REF!=4</formula>
    </cfRule>
  </conditionalFormatting>
  <conditionalFormatting sqref="W18:X21 AF18:AG21">
    <cfRule type="expression" dxfId="9" priority="19">
      <formula>#REF!=1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21"/>
  <sheetViews>
    <sheetView zoomScale="85" zoomScaleNormal="85" workbookViewId="0">
      <selection activeCell="B1" sqref="B1"/>
    </sheetView>
  </sheetViews>
  <sheetFormatPr defaultColWidth="8.7109375" defaultRowHeight="15" x14ac:dyDescent="0.25"/>
  <cols>
    <col min="1" max="1" width="22.7109375" customWidth="1"/>
    <col min="2" max="2" width="6.7109375" customWidth="1"/>
    <col min="3" max="4" width="6.5703125" customWidth="1"/>
    <col min="5" max="5" width="6.7109375" customWidth="1"/>
    <col min="6" max="9" width="6.5703125" customWidth="1"/>
    <col min="10" max="10" width="6.7109375" customWidth="1"/>
    <col min="11" max="11" width="8.85546875" customWidth="1"/>
    <col min="12" max="13" width="6.7109375" customWidth="1"/>
    <col min="14" max="14" width="9.28515625" customWidth="1"/>
    <col min="16" max="29" width="9.140625" hidden="1" customWidth="1"/>
    <col min="30" max="30" width="12.5703125" customWidth="1"/>
  </cols>
  <sheetData>
    <row r="1" spans="1:29" ht="18.75" x14ac:dyDescent="0.3">
      <c r="A1" s="55" t="s">
        <v>384</v>
      </c>
      <c r="T1" s="55" t="s">
        <v>385</v>
      </c>
      <c r="W1" s="55" t="s">
        <v>386</v>
      </c>
      <c r="AB1" s="55" t="s">
        <v>387</v>
      </c>
    </row>
    <row r="2" spans="1:29" x14ac:dyDescent="0.25">
      <c r="A2" s="45" t="s">
        <v>388</v>
      </c>
      <c r="B2" s="30" t="s">
        <v>389</v>
      </c>
      <c r="C2" s="30" t="s">
        <v>12</v>
      </c>
      <c r="D2" s="30" t="s">
        <v>96</v>
      </c>
      <c r="E2" s="30" t="s">
        <v>90</v>
      </c>
      <c r="F2" s="30" t="s">
        <v>28</v>
      </c>
      <c r="G2" s="30" t="s">
        <v>29</v>
      </c>
      <c r="H2" s="30" t="s">
        <v>30</v>
      </c>
      <c r="I2" s="30" t="s">
        <v>31</v>
      </c>
      <c r="J2" s="30" t="s">
        <v>390</v>
      </c>
      <c r="K2" s="30" t="s">
        <v>391</v>
      </c>
      <c r="L2" s="30" t="s">
        <v>137</v>
      </c>
      <c r="M2" s="30" t="s">
        <v>142</v>
      </c>
      <c r="N2" s="30" t="s">
        <v>392</v>
      </c>
      <c r="P2" s="31" t="s">
        <v>393</v>
      </c>
      <c r="Q2" s="31" t="s">
        <v>394</v>
      </c>
      <c r="R2" t="s">
        <v>395</v>
      </c>
      <c r="T2" s="45" t="s">
        <v>396</v>
      </c>
      <c r="U2" s="45" t="s">
        <v>140</v>
      </c>
      <c r="W2" s="30" t="s">
        <v>97</v>
      </c>
      <c r="X2" s="30" t="s">
        <v>98</v>
      </c>
      <c r="Y2" s="30" t="s">
        <v>99</v>
      </c>
      <c r="Z2" s="30" t="s">
        <v>397</v>
      </c>
      <c r="AB2" s="30" t="s">
        <v>398</v>
      </c>
      <c r="AC2" s="30" t="s">
        <v>399</v>
      </c>
    </row>
    <row r="3" spans="1:29" x14ac:dyDescent="0.25">
      <c r="A3" t="s">
        <v>400</v>
      </c>
      <c r="B3" s="31" t="s">
        <v>146</v>
      </c>
      <c r="C3" s="31">
        <v>60</v>
      </c>
      <c r="D3" s="31">
        <v>2.5</v>
      </c>
      <c r="E3" s="31">
        <v>1</v>
      </c>
      <c r="F3" s="31">
        <v>0</v>
      </c>
      <c r="G3" s="31">
        <v>0</v>
      </c>
      <c r="H3" s="31">
        <v>0</v>
      </c>
      <c r="I3" s="31">
        <v>1</v>
      </c>
      <c r="J3" s="31">
        <v>0</v>
      </c>
      <c r="K3" s="31">
        <v>1</v>
      </c>
      <c r="L3" s="31">
        <v>20</v>
      </c>
      <c r="M3" s="31">
        <v>45</v>
      </c>
      <c r="N3" s="31">
        <v>0</v>
      </c>
      <c r="P3">
        <f>0.15*L3+M3</f>
        <v>48</v>
      </c>
      <c r="Q3">
        <f t="shared" ref="Q3:Q23" si="0">C3-M3-0.2*L3</f>
        <v>11</v>
      </c>
      <c r="R3" s="110">
        <f t="shared" ref="R3:R35" si="1">Q3/C3</f>
        <v>0.18333333333333332</v>
      </c>
      <c r="T3" t="s">
        <v>34</v>
      </c>
      <c r="U3" s="110">
        <v>0.04</v>
      </c>
      <c r="W3" s="31">
        <v>0</v>
      </c>
      <c r="X3" s="111">
        <v>0</v>
      </c>
      <c r="Y3" s="111">
        <v>0</v>
      </c>
      <c r="Z3" s="112">
        <v>1</v>
      </c>
      <c r="AB3" t="s">
        <v>401</v>
      </c>
      <c r="AC3" s="31">
        <v>1</v>
      </c>
    </row>
    <row r="4" spans="1:29" x14ac:dyDescent="0.25">
      <c r="A4" t="s">
        <v>402</v>
      </c>
      <c r="B4" s="31" t="s">
        <v>147</v>
      </c>
      <c r="C4" s="31">
        <v>60</v>
      </c>
      <c r="D4" s="31">
        <v>2.5</v>
      </c>
      <c r="E4" s="31">
        <v>0.5</v>
      </c>
      <c r="F4" s="31">
        <f>IF('Suit Builder'!$G$25="Back",Tables!F3,0)</f>
        <v>0</v>
      </c>
      <c r="G4" s="31">
        <f>IF('Suit Builder'!$G$25="Back",Tables!G3,0)</f>
        <v>0</v>
      </c>
      <c r="H4" s="31">
        <f>IF('Suit Builder'!$G$25="Back",Tables!H3,0)</f>
        <v>0</v>
      </c>
      <c r="I4" s="31">
        <v>1</v>
      </c>
      <c r="J4" s="31">
        <f>IF('Suit Builder'!$G$25="Back",Tables!J3,0)</f>
        <v>0</v>
      </c>
      <c r="K4" s="31">
        <v>1</v>
      </c>
      <c r="L4" s="31">
        <v>20</v>
      </c>
      <c r="M4" s="31">
        <v>45</v>
      </c>
      <c r="N4" s="31">
        <v>0</v>
      </c>
      <c r="P4">
        <f>0.15*L4+M4</f>
        <v>48</v>
      </c>
      <c r="Q4">
        <f t="shared" si="0"/>
        <v>11</v>
      </c>
      <c r="R4" s="110">
        <f t="shared" si="1"/>
        <v>0.18333333333333332</v>
      </c>
      <c r="T4" t="s">
        <v>37</v>
      </c>
      <c r="U4" s="110">
        <v>0.03</v>
      </c>
      <c r="W4" s="31">
        <v>1</v>
      </c>
      <c r="X4" s="111">
        <v>1</v>
      </c>
      <c r="Y4" s="111">
        <v>0</v>
      </c>
      <c r="Z4" s="112">
        <v>2</v>
      </c>
      <c r="AB4" t="s">
        <v>131</v>
      </c>
      <c r="AC4" s="31">
        <v>1</v>
      </c>
    </row>
    <row r="5" spans="1:29" x14ac:dyDescent="0.25">
      <c r="A5" t="s">
        <v>403</v>
      </c>
      <c r="B5" s="31" t="s">
        <v>151</v>
      </c>
      <c r="C5" s="31">
        <v>80</v>
      </c>
      <c r="D5" s="31">
        <v>5</v>
      </c>
      <c r="E5" s="31">
        <v>1</v>
      </c>
      <c r="F5" s="31">
        <v>0</v>
      </c>
      <c r="G5" s="31">
        <v>1</v>
      </c>
      <c r="H5" s="31">
        <v>0</v>
      </c>
      <c r="I5" s="31">
        <v>1</v>
      </c>
      <c r="J5" s="31">
        <v>0</v>
      </c>
      <c r="K5" s="31">
        <v>1</v>
      </c>
      <c r="L5" s="31">
        <v>20</v>
      </c>
      <c r="M5" s="31">
        <v>60</v>
      </c>
      <c r="N5" s="31">
        <v>1</v>
      </c>
      <c r="P5">
        <f>0.15*L5+M5</f>
        <v>63</v>
      </c>
      <c r="Q5">
        <f t="shared" si="0"/>
        <v>16</v>
      </c>
      <c r="R5" s="110">
        <f t="shared" si="1"/>
        <v>0.2</v>
      </c>
      <c r="T5" t="s">
        <v>40</v>
      </c>
      <c r="U5" s="110">
        <v>0.02</v>
      </c>
      <c r="W5" s="31">
        <v>2</v>
      </c>
      <c r="X5" s="111">
        <v>1</v>
      </c>
      <c r="Y5" s="111">
        <v>1</v>
      </c>
      <c r="Z5" s="112">
        <v>3</v>
      </c>
      <c r="AB5" t="s">
        <v>101</v>
      </c>
      <c r="AC5" s="31">
        <v>1.5</v>
      </c>
    </row>
    <row r="6" spans="1:29" x14ac:dyDescent="0.25">
      <c r="A6" t="s">
        <v>404</v>
      </c>
      <c r="B6" s="31" t="s">
        <v>152</v>
      </c>
      <c r="C6" s="31">
        <v>80</v>
      </c>
      <c r="D6" s="31">
        <v>5</v>
      </c>
      <c r="E6" s="31">
        <v>0.5</v>
      </c>
      <c r="F6" s="31">
        <f>IF('Suit Builder'!$G$25="Back",Tables!F5,0)</f>
        <v>0</v>
      </c>
      <c r="G6" s="31">
        <f>IF('Suit Builder'!$G$25="Back",Tables!G5,0)</f>
        <v>0</v>
      </c>
      <c r="H6" s="31">
        <f>IF('Suit Builder'!$G$25="Back",Tables!H5,0)</f>
        <v>0</v>
      </c>
      <c r="I6" s="31">
        <v>1</v>
      </c>
      <c r="J6" s="31">
        <f>IF('Suit Builder'!$G$25="Back",Tables!J5,0)</f>
        <v>0</v>
      </c>
      <c r="K6" s="31">
        <v>1</v>
      </c>
      <c r="L6" s="31">
        <v>20</v>
      </c>
      <c r="M6" s="31">
        <v>60</v>
      </c>
      <c r="N6" s="31">
        <v>1</v>
      </c>
      <c r="P6">
        <f>0.15*L6+M6</f>
        <v>63</v>
      </c>
      <c r="Q6">
        <f t="shared" si="0"/>
        <v>16</v>
      </c>
      <c r="R6" s="110">
        <f t="shared" si="1"/>
        <v>0.2</v>
      </c>
      <c r="T6" t="s">
        <v>43</v>
      </c>
      <c r="U6" s="110">
        <v>0.03</v>
      </c>
      <c r="W6" s="31">
        <v>3</v>
      </c>
      <c r="X6" s="111">
        <v>2</v>
      </c>
      <c r="Y6" s="111">
        <v>1</v>
      </c>
      <c r="Z6" s="112">
        <v>4</v>
      </c>
      <c r="AB6" t="s">
        <v>104</v>
      </c>
      <c r="AC6" s="31">
        <v>3</v>
      </c>
    </row>
    <row r="7" spans="1:29" x14ac:dyDescent="0.25">
      <c r="A7" t="s">
        <v>154</v>
      </c>
      <c r="B7" s="31" t="s">
        <v>155</v>
      </c>
      <c r="C7" s="31">
        <v>80</v>
      </c>
      <c r="D7" s="31">
        <v>2.5</v>
      </c>
      <c r="E7" s="31">
        <v>1</v>
      </c>
      <c r="F7" s="31">
        <v>0</v>
      </c>
      <c r="G7" s="31">
        <v>0</v>
      </c>
      <c r="H7" s="31">
        <v>0</v>
      </c>
      <c r="I7" s="31">
        <v>1</v>
      </c>
      <c r="J7" s="31">
        <v>0</v>
      </c>
      <c r="K7" s="31">
        <v>1</v>
      </c>
      <c r="L7" s="31">
        <v>20</v>
      </c>
      <c r="M7" s="31">
        <v>60</v>
      </c>
      <c r="N7" s="31">
        <v>0</v>
      </c>
      <c r="P7">
        <f t="shared" ref="P7:P23" si="2">0.25*L7+1.25*M7</f>
        <v>80</v>
      </c>
      <c r="Q7">
        <f t="shared" si="0"/>
        <v>16</v>
      </c>
      <c r="R7" s="110">
        <f t="shared" si="1"/>
        <v>0.2</v>
      </c>
      <c r="T7" t="s">
        <v>44</v>
      </c>
      <c r="U7" s="110">
        <v>0.06</v>
      </c>
      <c r="W7" s="31">
        <v>4</v>
      </c>
      <c r="X7" s="111">
        <v>2</v>
      </c>
      <c r="Y7" s="111">
        <v>2</v>
      </c>
      <c r="Z7" s="112">
        <v>5</v>
      </c>
      <c r="AB7" t="s">
        <v>106</v>
      </c>
      <c r="AC7" s="31">
        <v>1</v>
      </c>
    </row>
    <row r="8" spans="1:29" x14ac:dyDescent="0.25">
      <c r="A8" t="s">
        <v>405</v>
      </c>
      <c r="B8" s="31" t="s">
        <v>156</v>
      </c>
      <c r="C8" s="31">
        <v>80</v>
      </c>
      <c r="D8" s="31">
        <v>2.5</v>
      </c>
      <c r="E8" s="31">
        <v>0.5</v>
      </c>
      <c r="F8" s="31">
        <f>IF('Suit Builder'!$G$25="Back",Tables!F7,0)</f>
        <v>0</v>
      </c>
      <c r="G8" s="31">
        <f>IF('Suit Builder'!$G$25="Back",Tables!G7,0)</f>
        <v>0</v>
      </c>
      <c r="H8" s="31">
        <f>IF('Suit Builder'!$G$25="Back",Tables!H7,0)</f>
        <v>0</v>
      </c>
      <c r="I8" s="31">
        <v>1</v>
      </c>
      <c r="J8" s="31">
        <f>IF('Suit Builder'!$G$25="Back",Tables!J7,0)</f>
        <v>0</v>
      </c>
      <c r="K8" s="31">
        <v>1</v>
      </c>
      <c r="L8" s="31">
        <v>20</v>
      </c>
      <c r="M8" s="31">
        <v>60</v>
      </c>
      <c r="N8" s="31">
        <v>0</v>
      </c>
      <c r="P8">
        <f t="shared" si="2"/>
        <v>80</v>
      </c>
      <c r="Q8">
        <f t="shared" si="0"/>
        <v>16</v>
      </c>
      <c r="R8" s="110">
        <f t="shared" si="1"/>
        <v>0.2</v>
      </c>
      <c r="T8" t="s">
        <v>47</v>
      </c>
      <c r="U8" s="110">
        <v>0.02</v>
      </c>
      <c r="W8" s="31">
        <v>5</v>
      </c>
      <c r="X8" s="111">
        <v>3</v>
      </c>
      <c r="Y8" s="111">
        <v>2</v>
      </c>
      <c r="Z8" s="112">
        <v>6</v>
      </c>
      <c r="AB8" t="s">
        <v>105</v>
      </c>
      <c r="AC8" s="31">
        <v>1</v>
      </c>
    </row>
    <row r="9" spans="1:29" x14ac:dyDescent="0.25">
      <c r="A9" s="113" t="s">
        <v>158</v>
      </c>
      <c r="B9" s="114" t="s">
        <v>131</v>
      </c>
      <c r="C9" s="31">
        <v>100</v>
      </c>
      <c r="D9" s="31">
        <v>5</v>
      </c>
      <c r="E9" s="31">
        <v>1</v>
      </c>
      <c r="F9" s="31">
        <v>0</v>
      </c>
      <c r="G9" s="31">
        <v>1</v>
      </c>
      <c r="H9" s="31">
        <v>0</v>
      </c>
      <c r="I9" s="31">
        <v>1</v>
      </c>
      <c r="J9" s="31">
        <v>0</v>
      </c>
      <c r="K9" s="31">
        <v>1</v>
      </c>
      <c r="L9" s="31">
        <v>20</v>
      </c>
      <c r="M9" s="31">
        <v>80</v>
      </c>
      <c r="N9" s="31">
        <v>1</v>
      </c>
      <c r="P9">
        <f t="shared" si="2"/>
        <v>105</v>
      </c>
      <c r="Q9">
        <f t="shared" si="0"/>
        <v>16</v>
      </c>
      <c r="R9" s="110">
        <f t="shared" si="1"/>
        <v>0.16</v>
      </c>
      <c r="T9" t="s">
        <v>49</v>
      </c>
      <c r="U9" s="110">
        <v>0.05</v>
      </c>
      <c r="AB9" t="s">
        <v>108</v>
      </c>
      <c r="AC9" s="31">
        <v>1</v>
      </c>
    </row>
    <row r="10" spans="1:29" x14ac:dyDescent="0.25">
      <c r="A10" s="113" t="s">
        <v>406</v>
      </c>
      <c r="B10" s="114" t="s">
        <v>159</v>
      </c>
      <c r="C10" s="31">
        <v>100</v>
      </c>
      <c r="D10" s="31">
        <v>5</v>
      </c>
      <c r="E10" s="31">
        <v>0.5</v>
      </c>
      <c r="F10" s="31">
        <f>IF('Suit Builder'!$G$25="Back",Tables!F9,0)</f>
        <v>0</v>
      </c>
      <c r="G10" s="31">
        <f>IF('Suit Builder'!$G$25="Back",Tables!G9,0)</f>
        <v>0</v>
      </c>
      <c r="H10" s="31">
        <f>IF('Suit Builder'!$G$25="Back",Tables!H9,0)</f>
        <v>0</v>
      </c>
      <c r="I10" s="31">
        <v>1</v>
      </c>
      <c r="J10" s="31">
        <f>IF('Suit Builder'!$G$25="Back",Tables!J9,0)</f>
        <v>0</v>
      </c>
      <c r="K10" s="31">
        <v>1</v>
      </c>
      <c r="L10" s="31">
        <v>20</v>
      </c>
      <c r="M10" s="31">
        <v>80</v>
      </c>
      <c r="N10" s="31">
        <v>1</v>
      </c>
      <c r="P10">
        <f t="shared" si="2"/>
        <v>105</v>
      </c>
      <c r="Q10">
        <f t="shared" si="0"/>
        <v>16</v>
      </c>
      <c r="R10" s="110">
        <f t="shared" si="1"/>
        <v>0.16</v>
      </c>
      <c r="T10" t="s">
        <v>51</v>
      </c>
      <c r="U10" s="110">
        <v>0.05</v>
      </c>
      <c r="AB10" t="s">
        <v>30</v>
      </c>
      <c r="AC10" s="31">
        <v>1</v>
      </c>
    </row>
    <row r="11" spans="1:29" x14ac:dyDescent="0.25">
      <c r="A11" t="s">
        <v>160</v>
      </c>
      <c r="B11" s="31" t="s">
        <v>161</v>
      </c>
      <c r="C11" s="31">
        <v>80</v>
      </c>
      <c r="D11" s="31">
        <v>2.5</v>
      </c>
      <c r="E11" s="31">
        <v>1</v>
      </c>
      <c r="F11" s="31">
        <v>0</v>
      </c>
      <c r="G11" s="31">
        <v>0</v>
      </c>
      <c r="H11" s="31">
        <v>0</v>
      </c>
      <c r="I11" s="31">
        <v>1</v>
      </c>
      <c r="J11" s="31">
        <v>0</v>
      </c>
      <c r="K11" s="31">
        <v>1</v>
      </c>
      <c r="L11" s="31">
        <v>20</v>
      </c>
      <c r="M11" s="31">
        <v>60</v>
      </c>
      <c r="N11" s="31">
        <v>0</v>
      </c>
      <c r="P11">
        <f t="shared" si="2"/>
        <v>80</v>
      </c>
      <c r="Q11">
        <f t="shared" si="0"/>
        <v>16</v>
      </c>
      <c r="R11" s="110">
        <f t="shared" si="1"/>
        <v>0.2</v>
      </c>
      <c r="T11" t="s">
        <v>52</v>
      </c>
      <c r="U11" s="110">
        <v>0.12</v>
      </c>
      <c r="AB11" t="s">
        <v>103</v>
      </c>
      <c r="AC11" s="31">
        <v>2</v>
      </c>
    </row>
    <row r="12" spans="1:29" x14ac:dyDescent="0.25">
      <c r="A12" t="s">
        <v>407</v>
      </c>
      <c r="B12" s="31" t="s">
        <v>162</v>
      </c>
      <c r="C12" s="31">
        <v>80</v>
      </c>
      <c r="D12" s="31">
        <v>2.5</v>
      </c>
      <c r="E12" s="31">
        <v>0.5</v>
      </c>
      <c r="F12" s="31">
        <f>IF('Suit Builder'!$G$25="Back",Tables!F11,0)</f>
        <v>0</v>
      </c>
      <c r="G12" s="31">
        <f>IF('Suit Builder'!$G$25="Back",Tables!G11,0)</f>
        <v>0</v>
      </c>
      <c r="H12" s="31">
        <f>IF('Suit Builder'!$G$25="Back",Tables!H11,0)</f>
        <v>0</v>
      </c>
      <c r="I12" s="31">
        <v>1</v>
      </c>
      <c r="J12" s="31">
        <f>IF('Suit Builder'!$G$25="Back",Tables!J11,0)</f>
        <v>0</v>
      </c>
      <c r="K12" s="31">
        <v>1</v>
      </c>
      <c r="L12" s="31">
        <v>20</v>
      </c>
      <c r="M12" s="31">
        <v>60</v>
      </c>
      <c r="N12" s="31">
        <v>0</v>
      </c>
      <c r="P12">
        <f t="shared" si="2"/>
        <v>80</v>
      </c>
      <c r="Q12">
        <f t="shared" si="0"/>
        <v>16</v>
      </c>
      <c r="R12" s="110">
        <f t="shared" si="1"/>
        <v>0.2</v>
      </c>
      <c r="T12" t="s">
        <v>53</v>
      </c>
      <c r="U12" s="110">
        <v>0.12</v>
      </c>
      <c r="AB12" t="s">
        <v>107</v>
      </c>
      <c r="AC12" s="31">
        <v>1</v>
      </c>
    </row>
    <row r="13" spans="1:29" x14ac:dyDescent="0.25">
      <c r="A13" t="s">
        <v>164</v>
      </c>
      <c r="B13" s="31" t="s">
        <v>165</v>
      </c>
      <c r="C13" s="31">
        <v>400</v>
      </c>
      <c r="D13" s="31">
        <v>5</v>
      </c>
      <c r="E13" s="31">
        <v>1</v>
      </c>
      <c r="F13" s="31">
        <v>0</v>
      </c>
      <c r="G13" s="31">
        <v>1</v>
      </c>
      <c r="H13" s="31">
        <v>0</v>
      </c>
      <c r="I13" s="31">
        <v>1</v>
      </c>
      <c r="J13" s="31">
        <v>0</v>
      </c>
      <c r="K13" s="31">
        <v>1</v>
      </c>
      <c r="L13" s="31">
        <v>20</v>
      </c>
      <c r="M13" s="31">
        <v>320</v>
      </c>
      <c r="N13" s="31">
        <v>1</v>
      </c>
      <c r="P13">
        <f t="shared" si="2"/>
        <v>405</v>
      </c>
      <c r="Q13">
        <f t="shared" si="0"/>
        <v>76</v>
      </c>
      <c r="R13" s="110">
        <f t="shared" si="1"/>
        <v>0.19</v>
      </c>
      <c r="T13" t="s">
        <v>54</v>
      </c>
      <c r="U13" s="110">
        <v>0.1</v>
      </c>
      <c r="AB13">
        <v>0</v>
      </c>
      <c r="AC13" s="47">
        <v>0</v>
      </c>
    </row>
    <row r="14" spans="1:29" x14ac:dyDescent="0.25">
      <c r="A14" t="s">
        <v>408</v>
      </c>
      <c r="B14" s="31" t="s">
        <v>166</v>
      </c>
      <c r="C14" s="31">
        <v>400</v>
      </c>
      <c r="D14" s="31">
        <v>5</v>
      </c>
      <c r="E14" s="31">
        <v>0.5</v>
      </c>
      <c r="F14" s="31">
        <f>IF('Suit Builder'!$G$25="Back",Tables!F13,0)</f>
        <v>0</v>
      </c>
      <c r="G14" s="31">
        <f>IF('Suit Builder'!$G$25="Back",Tables!G13,0)</f>
        <v>0</v>
      </c>
      <c r="H14" s="31">
        <f>IF('Suit Builder'!$G$25="Back",Tables!H13,0)</f>
        <v>0</v>
      </c>
      <c r="I14" s="31">
        <v>1</v>
      </c>
      <c r="J14" s="31">
        <f>IF('Suit Builder'!$G$25="Back",Tables!J13,0)</f>
        <v>0</v>
      </c>
      <c r="K14" s="31">
        <v>1</v>
      </c>
      <c r="L14" s="31">
        <v>20</v>
      </c>
      <c r="M14" s="31">
        <v>320</v>
      </c>
      <c r="N14" s="31">
        <v>1</v>
      </c>
      <c r="P14">
        <f t="shared" si="2"/>
        <v>405</v>
      </c>
      <c r="Q14">
        <f t="shared" si="0"/>
        <v>76</v>
      </c>
      <c r="R14" s="110">
        <f t="shared" si="1"/>
        <v>0.19</v>
      </c>
      <c r="T14" t="s">
        <v>55</v>
      </c>
      <c r="U14" s="110">
        <v>0.14000000000000001</v>
      </c>
      <c r="AC14" s="47"/>
    </row>
    <row r="15" spans="1:29" x14ac:dyDescent="0.25">
      <c r="A15" t="s">
        <v>167</v>
      </c>
      <c r="B15" s="31" t="s">
        <v>168</v>
      </c>
      <c r="C15" s="31">
        <v>600</v>
      </c>
      <c r="D15" s="31">
        <v>6</v>
      </c>
      <c r="E15" s="31">
        <v>1</v>
      </c>
      <c r="F15" s="31">
        <v>0</v>
      </c>
      <c r="G15" s="31">
        <v>1</v>
      </c>
      <c r="H15" s="31">
        <v>0</v>
      </c>
      <c r="I15" s="31">
        <v>1</v>
      </c>
      <c r="J15" s="31">
        <v>0</v>
      </c>
      <c r="K15" s="31">
        <v>1</v>
      </c>
      <c r="L15" s="31">
        <v>20</v>
      </c>
      <c r="M15" s="31">
        <v>480</v>
      </c>
      <c r="N15" s="31">
        <v>1</v>
      </c>
      <c r="P15">
        <f t="shared" si="2"/>
        <v>605</v>
      </c>
      <c r="Q15">
        <f t="shared" si="0"/>
        <v>116</v>
      </c>
      <c r="R15" s="110">
        <f t="shared" si="1"/>
        <v>0.19333333333333333</v>
      </c>
      <c r="T15" t="s">
        <v>56</v>
      </c>
      <c r="U15" s="110">
        <v>0.03</v>
      </c>
      <c r="W15" t="s">
        <v>121</v>
      </c>
      <c r="AC15" s="47"/>
    </row>
    <row r="16" spans="1:29" x14ac:dyDescent="0.25">
      <c r="A16" t="s">
        <v>409</v>
      </c>
      <c r="B16" s="31" t="s">
        <v>169</v>
      </c>
      <c r="C16" s="31">
        <v>600</v>
      </c>
      <c r="D16" s="31">
        <v>6</v>
      </c>
      <c r="E16" s="31">
        <v>0.5</v>
      </c>
      <c r="F16" s="31">
        <f>IF('Suit Builder'!$G$25="Back",Tables!F15,0)</f>
        <v>0</v>
      </c>
      <c r="G16" s="31">
        <f>IF('Suit Builder'!$G$25="Back",Tables!G15,0)</f>
        <v>0</v>
      </c>
      <c r="H16" s="31">
        <f>IF('Suit Builder'!$G$25="Back",Tables!H15,0)</f>
        <v>0</v>
      </c>
      <c r="I16" s="31">
        <v>1</v>
      </c>
      <c r="J16" s="31">
        <f>IF('Suit Builder'!$G$25="Back",Tables!J15,0)</f>
        <v>0</v>
      </c>
      <c r="K16" s="31">
        <v>1</v>
      </c>
      <c r="L16" s="31">
        <v>20</v>
      </c>
      <c r="M16" s="31">
        <v>480</v>
      </c>
      <c r="N16" s="31">
        <v>1</v>
      </c>
      <c r="P16">
        <f t="shared" si="2"/>
        <v>605</v>
      </c>
      <c r="Q16">
        <f t="shared" si="0"/>
        <v>116</v>
      </c>
      <c r="R16" s="110">
        <f t="shared" si="1"/>
        <v>0.19333333333333333</v>
      </c>
      <c r="T16" t="s">
        <v>57</v>
      </c>
      <c r="U16" s="110">
        <v>0.12</v>
      </c>
      <c r="W16" t="s">
        <v>410</v>
      </c>
      <c r="AC16" s="47"/>
    </row>
    <row r="17" spans="1:29" x14ac:dyDescent="0.25">
      <c r="A17" t="s">
        <v>170</v>
      </c>
      <c r="B17" s="31" t="s">
        <v>171</v>
      </c>
      <c r="C17" s="31">
        <v>120</v>
      </c>
      <c r="D17" s="31">
        <v>2.5</v>
      </c>
      <c r="E17" s="31">
        <v>1</v>
      </c>
      <c r="F17" s="31">
        <v>0</v>
      </c>
      <c r="G17" s="31">
        <v>0</v>
      </c>
      <c r="H17" s="31">
        <v>0</v>
      </c>
      <c r="I17" s="31">
        <v>1</v>
      </c>
      <c r="J17" s="31">
        <v>0</v>
      </c>
      <c r="K17" s="31">
        <v>1</v>
      </c>
      <c r="L17" s="31">
        <v>20</v>
      </c>
      <c r="M17" s="31">
        <v>90</v>
      </c>
      <c r="N17" s="31">
        <v>0</v>
      </c>
      <c r="P17">
        <f t="shared" si="2"/>
        <v>117.5</v>
      </c>
      <c r="Q17">
        <f t="shared" si="0"/>
        <v>26</v>
      </c>
      <c r="R17" s="110">
        <f t="shared" si="1"/>
        <v>0.21666666666666667</v>
      </c>
      <c r="T17" t="s">
        <v>58</v>
      </c>
      <c r="U17" s="110">
        <v>7.0000000000000007E-2</v>
      </c>
      <c r="AC17" s="47"/>
    </row>
    <row r="18" spans="1:29" x14ac:dyDescent="0.25">
      <c r="A18" t="s">
        <v>411</v>
      </c>
      <c r="B18" s="31" t="s">
        <v>172</v>
      </c>
      <c r="C18" s="31">
        <v>120</v>
      </c>
      <c r="D18" s="31">
        <v>2.5</v>
      </c>
      <c r="E18" s="31">
        <v>0.5</v>
      </c>
      <c r="F18" s="31">
        <f>IF('Suit Builder'!$G$25="Back",Tables!F17,0)</f>
        <v>0</v>
      </c>
      <c r="G18" s="31">
        <f>IF('Suit Builder'!$G$25="Back",Tables!G17,0)</f>
        <v>0</v>
      </c>
      <c r="H18" s="31">
        <f>IF('Suit Builder'!$G$25="Back",Tables!H17,0)</f>
        <v>0</v>
      </c>
      <c r="I18" s="31">
        <v>1</v>
      </c>
      <c r="J18" s="31">
        <f>IF('Suit Builder'!$G$25="Back",Tables!J17,0)</f>
        <v>0</v>
      </c>
      <c r="K18" s="31">
        <v>1</v>
      </c>
      <c r="L18" s="31">
        <v>20</v>
      </c>
      <c r="M18" s="31">
        <v>90</v>
      </c>
      <c r="N18" s="31">
        <v>0</v>
      </c>
      <c r="P18">
        <f t="shared" si="2"/>
        <v>117.5</v>
      </c>
      <c r="Q18">
        <f t="shared" si="0"/>
        <v>26</v>
      </c>
      <c r="R18" s="110">
        <f t="shared" si="1"/>
        <v>0.21666666666666667</v>
      </c>
      <c r="AC18" s="47"/>
    </row>
    <row r="19" spans="1:29" x14ac:dyDescent="0.25">
      <c r="A19" t="s">
        <v>174</v>
      </c>
      <c r="B19" s="31" t="s">
        <v>175</v>
      </c>
      <c r="C19" s="31">
        <v>700</v>
      </c>
      <c r="D19" s="31">
        <v>2.5</v>
      </c>
      <c r="E19" s="31">
        <v>1</v>
      </c>
      <c r="F19" s="31">
        <v>0</v>
      </c>
      <c r="G19" s="31">
        <v>0</v>
      </c>
      <c r="H19" s="31">
        <v>0</v>
      </c>
      <c r="I19" s="31">
        <v>1</v>
      </c>
      <c r="J19" s="31">
        <v>0</v>
      </c>
      <c r="K19" s="31">
        <v>1</v>
      </c>
      <c r="L19" s="31">
        <v>20</v>
      </c>
      <c r="M19" s="31">
        <v>600</v>
      </c>
      <c r="N19" s="31">
        <v>0</v>
      </c>
      <c r="P19">
        <f t="shared" si="2"/>
        <v>755</v>
      </c>
      <c r="Q19">
        <f t="shared" si="0"/>
        <v>96</v>
      </c>
      <c r="R19" s="110">
        <f t="shared" si="1"/>
        <v>0.13714285714285715</v>
      </c>
      <c r="AC19" s="47"/>
    </row>
    <row r="20" spans="1:29" x14ac:dyDescent="0.25">
      <c r="A20" t="s">
        <v>412</v>
      </c>
      <c r="B20" s="31" t="s">
        <v>176</v>
      </c>
      <c r="C20" s="31">
        <v>700</v>
      </c>
      <c r="D20" s="31">
        <v>2.5</v>
      </c>
      <c r="E20" s="31">
        <v>0.5</v>
      </c>
      <c r="F20" s="31">
        <f>IF('Suit Builder'!$G$25="Back",Tables!F19,0)</f>
        <v>0</v>
      </c>
      <c r="G20" s="31">
        <f>IF('Suit Builder'!$G$25="Back",Tables!G19,0)</f>
        <v>0</v>
      </c>
      <c r="H20" s="31">
        <f>IF('Suit Builder'!$G$25="Back",Tables!H19,0)</f>
        <v>0</v>
      </c>
      <c r="I20" s="31">
        <v>1</v>
      </c>
      <c r="J20" s="31">
        <f>IF('Suit Builder'!$G$25="Back",Tables!J19,0)</f>
        <v>0</v>
      </c>
      <c r="K20" s="31">
        <v>1</v>
      </c>
      <c r="L20" s="31">
        <v>20</v>
      </c>
      <c r="M20" s="31">
        <v>600</v>
      </c>
      <c r="N20" s="31">
        <v>0</v>
      </c>
      <c r="P20">
        <f t="shared" si="2"/>
        <v>755</v>
      </c>
      <c r="Q20">
        <f t="shared" si="0"/>
        <v>96</v>
      </c>
      <c r="R20" s="110">
        <f t="shared" si="1"/>
        <v>0.13714285714285715</v>
      </c>
      <c r="AC20" s="47"/>
    </row>
    <row r="21" spans="1:29" x14ac:dyDescent="0.25">
      <c r="A21" s="113" t="s">
        <v>177</v>
      </c>
      <c r="B21" s="114" t="s">
        <v>101</v>
      </c>
      <c r="C21" s="31">
        <v>200</v>
      </c>
      <c r="D21" s="31">
        <v>8</v>
      </c>
      <c r="E21" s="31">
        <v>1.5</v>
      </c>
      <c r="F21" s="31">
        <v>2</v>
      </c>
      <c r="G21" s="31">
        <v>2</v>
      </c>
      <c r="H21" s="31">
        <v>1</v>
      </c>
      <c r="I21" s="31">
        <v>2</v>
      </c>
      <c r="J21" s="31">
        <v>0</v>
      </c>
      <c r="K21" s="31">
        <v>0.8</v>
      </c>
      <c r="L21" s="31">
        <v>30</v>
      </c>
      <c r="M21" s="31">
        <v>150</v>
      </c>
      <c r="N21" s="31">
        <v>1</v>
      </c>
      <c r="P21">
        <f t="shared" si="2"/>
        <v>195</v>
      </c>
      <c r="Q21">
        <f t="shared" si="0"/>
        <v>44</v>
      </c>
      <c r="R21" s="110">
        <f t="shared" si="1"/>
        <v>0.22</v>
      </c>
      <c r="AC21" s="47"/>
    </row>
    <row r="22" spans="1:29" x14ac:dyDescent="0.25">
      <c r="A22" s="113" t="s">
        <v>413</v>
      </c>
      <c r="B22" s="114" t="s">
        <v>178</v>
      </c>
      <c r="C22" s="31">
        <v>200</v>
      </c>
      <c r="D22" s="31">
        <v>8</v>
      </c>
      <c r="E22" s="31">
        <v>1</v>
      </c>
      <c r="F22" s="31">
        <f>IF('Suit Builder'!$G$25="Back",Tables!F21,0)</f>
        <v>0</v>
      </c>
      <c r="G22" s="31">
        <f>IF('Suit Builder'!$G$25="Back",Tables!G21,0)</f>
        <v>0</v>
      </c>
      <c r="H22" s="31">
        <f>IF('Suit Builder'!$G$25="Back",Tables!H21,0)</f>
        <v>0</v>
      </c>
      <c r="I22" s="31">
        <v>2</v>
      </c>
      <c r="J22" s="31">
        <f>IF('Suit Builder'!$G$25="Back",Tables!J21,0)</f>
        <v>0</v>
      </c>
      <c r="K22" s="31">
        <v>0.8</v>
      </c>
      <c r="L22" s="31">
        <v>30</v>
      </c>
      <c r="M22" s="31">
        <v>150</v>
      </c>
      <c r="N22" s="31">
        <v>1</v>
      </c>
      <c r="P22">
        <f t="shared" si="2"/>
        <v>195</v>
      </c>
      <c r="Q22">
        <f t="shared" si="0"/>
        <v>44</v>
      </c>
      <c r="R22" s="110">
        <f t="shared" si="1"/>
        <v>0.22</v>
      </c>
      <c r="AC22" s="47"/>
    </row>
    <row r="23" spans="1:29" x14ac:dyDescent="0.25">
      <c r="A23" s="113" t="s">
        <v>180</v>
      </c>
      <c r="B23" s="114" t="s">
        <v>103</v>
      </c>
      <c r="C23" s="31">
        <v>400</v>
      </c>
      <c r="D23" s="31">
        <v>18</v>
      </c>
      <c r="E23" s="31">
        <v>2</v>
      </c>
      <c r="F23" s="31">
        <v>4</v>
      </c>
      <c r="G23" s="31">
        <v>3</v>
      </c>
      <c r="H23" s="31">
        <v>2</v>
      </c>
      <c r="I23" s="31">
        <v>3</v>
      </c>
      <c r="J23" s="31">
        <v>0</v>
      </c>
      <c r="K23" s="31">
        <v>0.65</v>
      </c>
      <c r="L23" s="31">
        <v>120</v>
      </c>
      <c r="M23" s="31">
        <v>300</v>
      </c>
      <c r="N23" s="31">
        <v>1</v>
      </c>
      <c r="P23">
        <f t="shared" si="2"/>
        <v>405</v>
      </c>
      <c r="Q23">
        <f t="shared" si="0"/>
        <v>76</v>
      </c>
      <c r="R23" s="110">
        <f t="shared" si="1"/>
        <v>0.19</v>
      </c>
      <c r="AC23" s="47"/>
    </row>
    <row r="24" spans="1:29" x14ac:dyDescent="0.25">
      <c r="A24" s="113" t="s">
        <v>7</v>
      </c>
      <c r="B24" s="114" t="s">
        <v>104</v>
      </c>
      <c r="C24" s="31">
        <v>800</v>
      </c>
      <c r="D24" s="31">
        <v>28</v>
      </c>
      <c r="E24" s="31">
        <v>3</v>
      </c>
      <c r="F24" s="31">
        <v>6</v>
      </c>
      <c r="G24" s="31">
        <v>5</v>
      </c>
      <c r="H24" s="31">
        <v>4</v>
      </c>
      <c r="I24" s="31">
        <v>5</v>
      </c>
      <c r="J24" s="31">
        <v>1</v>
      </c>
      <c r="K24" s="31">
        <v>1.25</v>
      </c>
      <c r="L24" s="31">
        <v>300</v>
      </c>
      <c r="M24" s="31">
        <v>600</v>
      </c>
      <c r="N24" s="31">
        <v>2</v>
      </c>
      <c r="P24">
        <f>0.45*L24+1.25*M24</f>
        <v>885</v>
      </c>
      <c r="Q24">
        <f>C24-M24-0.36*L24</f>
        <v>92</v>
      </c>
      <c r="R24" s="110">
        <f t="shared" si="1"/>
        <v>0.115</v>
      </c>
      <c r="AC24" s="47"/>
    </row>
    <row r="25" spans="1:29" x14ac:dyDescent="0.25">
      <c r="A25" t="s">
        <v>182</v>
      </c>
      <c r="B25" s="31" t="s">
        <v>183</v>
      </c>
      <c r="C25" s="31">
        <v>300</v>
      </c>
      <c r="D25" s="31">
        <v>10</v>
      </c>
      <c r="E25" s="31">
        <v>1.5</v>
      </c>
      <c r="F25" s="31">
        <v>2</v>
      </c>
      <c r="G25" s="31">
        <v>2</v>
      </c>
      <c r="H25" s="31">
        <v>1</v>
      </c>
      <c r="I25" s="31">
        <v>2</v>
      </c>
      <c r="J25" s="31">
        <v>0</v>
      </c>
      <c r="K25" s="31">
        <v>1</v>
      </c>
      <c r="L25" s="31">
        <v>60</v>
      </c>
      <c r="M25" s="31">
        <v>240</v>
      </c>
      <c r="N25" s="31">
        <v>1</v>
      </c>
      <c r="P25">
        <f t="shared" ref="P25:P31" si="3">0.25*L25+1.25*M25</f>
        <v>315</v>
      </c>
      <c r="Q25">
        <f>C25-M25-0.2*L25</f>
        <v>48</v>
      </c>
      <c r="R25" s="110">
        <f t="shared" si="1"/>
        <v>0.16</v>
      </c>
      <c r="AC25" s="47"/>
    </row>
    <row r="26" spans="1:29" x14ac:dyDescent="0.25">
      <c r="A26" t="s">
        <v>414</v>
      </c>
      <c r="B26" s="31" t="s">
        <v>184</v>
      </c>
      <c r="C26" s="31">
        <v>300</v>
      </c>
      <c r="D26" s="31">
        <v>10</v>
      </c>
      <c r="E26" s="31">
        <v>1</v>
      </c>
      <c r="F26" s="31">
        <f>IF('Suit Builder'!$G$25="Back",Tables!F25,0)</f>
        <v>0</v>
      </c>
      <c r="G26" s="31">
        <f>IF('Suit Builder'!$G$25="Back",Tables!G25,0)</f>
        <v>0</v>
      </c>
      <c r="H26" s="31">
        <f>IF('Suit Builder'!$G$25="Back",Tables!H25,0)</f>
        <v>0</v>
      </c>
      <c r="I26" s="31">
        <v>1</v>
      </c>
      <c r="J26" s="31">
        <f>IF('Suit Builder'!$G$25="Back",Tables!J25,0)</f>
        <v>0</v>
      </c>
      <c r="K26" s="31">
        <v>1</v>
      </c>
      <c r="L26" s="31">
        <v>60</v>
      </c>
      <c r="M26" s="31">
        <v>240</v>
      </c>
      <c r="N26" s="31">
        <v>1</v>
      </c>
      <c r="P26">
        <f t="shared" si="3"/>
        <v>315</v>
      </c>
      <c r="Q26">
        <f>C26-M26-0.2*L26</f>
        <v>48</v>
      </c>
      <c r="R26" s="110">
        <f t="shared" si="1"/>
        <v>0.16</v>
      </c>
      <c r="AC26" s="47"/>
    </row>
    <row r="27" spans="1:29" x14ac:dyDescent="0.25">
      <c r="A27" t="s">
        <v>185</v>
      </c>
      <c r="B27" s="31" t="s">
        <v>186</v>
      </c>
      <c r="C27" s="31">
        <v>600</v>
      </c>
      <c r="D27" s="31">
        <v>20</v>
      </c>
      <c r="E27" s="31">
        <v>2</v>
      </c>
      <c r="F27" s="31">
        <v>4</v>
      </c>
      <c r="G27" s="31">
        <v>3</v>
      </c>
      <c r="H27" s="31">
        <v>2</v>
      </c>
      <c r="I27" s="31">
        <v>3</v>
      </c>
      <c r="J27" s="31">
        <v>0</v>
      </c>
      <c r="K27" s="31">
        <v>1</v>
      </c>
      <c r="L27" s="31">
        <v>120</v>
      </c>
      <c r="M27" s="31">
        <v>450</v>
      </c>
      <c r="N27" s="31">
        <v>1</v>
      </c>
      <c r="P27">
        <f t="shared" si="3"/>
        <v>592.5</v>
      </c>
      <c r="Q27">
        <f>C27-M27-0.2*L27</f>
        <v>126</v>
      </c>
      <c r="R27" s="110">
        <f t="shared" si="1"/>
        <v>0.21</v>
      </c>
      <c r="AC27" s="47"/>
    </row>
    <row r="28" spans="1:29" x14ac:dyDescent="0.25">
      <c r="A28" t="s">
        <v>187</v>
      </c>
      <c r="B28" s="31" t="s">
        <v>188</v>
      </c>
      <c r="C28" s="31">
        <v>90</v>
      </c>
      <c r="D28" s="31">
        <v>10</v>
      </c>
      <c r="E28" s="31">
        <v>1</v>
      </c>
      <c r="F28" s="31">
        <v>0</v>
      </c>
      <c r="G28" s="31">
        <v>1</v>
      </c>
      <c r="H28" s="31">
        <v>0</v>
      </c>
      <c r="I28" s="31">
        <v>2</v>
      </c>
      <c r="J28" s="31">
        <v>0</v>
      </c>
      <c r="K28" s="31">
        <v>1</v>
      </c>
      <c r="L28" s="31">
        <v>60</v>
      </c>
      <c r="M28" s="31">
        <v>60</v>
      </c>
      <c r="N28" s="31">
        <v>1</v>
      </c>
      <c r="P28">
        <f t="shared" si="3"/>
        <v>90</v>
      </c>
      <c r="Q28">
        <f>C28-M28-0.2*L28</f>
        <v>18</v>
      </c>
      <c r="R28" s="110">
        <f t="shared" si="1"/>
        <v>0.2</v>
      </c>
      <c r="AC28" s="47"/>
    </row>
    <row r="29" spans="1:29" x14ac:dyDescent="0.25">
      <c r="A29" s="113" t="s">
        <v>189</v>
      </c>
      <c r="B29" s="114" t="s">
        <v>105</v>
      </c>
      <c r="C29" s="31">
        <v>400</v>
      </c>
      <c r="D29" s="31">
        <v>15</v>
      </c>
      <c r="E29" s="31">
        <v>1</v>
      </c>
      <c r="F29" s="31">
        <v>1</v>
      </c>
      <c r="G29" s="31">
        <v>2</v>
      </c>
      <c r="H29" s="31">
        <v>1</v>
      </c>
      <c r="I29" s="31">
        <v>3</v>
      </c>
      <c r="J29" s="31">
        <v>0</v>
      </c>
      <c r="K29" s="31">
        <v>1.5</v>
      </c>
      <c r="L29" s="31">
        <v>120</v>
      </c>
      <c r="M29" s="31">
        <v>240</v>
      </c>
      <c r="N29" s="31">
        <v>1</v>
      </c>
      <c r="P29">
        <f t="shared" si="3"/>
        <v>330</v>
      </c>
      <c r="Q29">
        <f>C29-M29-0.2*L29</f>
        <v>136</v>
      </c>
      <c r="R29" s="110">
        <f t="shared" si="1"/>
        <v>0.34</v>
      </c>
      <c r="AC29" s="47"/>
    </row>
    <row r="30" spans="1:29" x14ac:dyDescent="0.25">
      <c r="A30" s="113" t="s">
        <v>190</v>
      </c>
      <c r="B30" s="114" t="s">
        <v>106</v>
      </c>
      <c r="C30" s="31">
        <v>500</v>
      </c>
      <c r="D30" s="31">
        <v>38</v>
      </c>
      <c r="E30" s="31">
        <v>1</v>
      </c>
      <c r="F30" s="31">
        <v>4</v>
      </c>
      <c r="G30" s="31">
        <v>6</v>
      </c>
      <c r="H30" s="31">
        <v>5</v>
      </c>
      <c r="I30" s="31">
        <v>4</v>
      </c>
      <c r="J30" s="31">
        <v>2</v>
      </c>
      <c r="K30" s="31">
        <v>1.5</v>
      </c>
      <c r="L30" s="31">
        <v>800</v>
      </c>
      <c r="M30" s="31">
        <v>200</v>
      </c>
      <c r="N30" s="31">
        <v>3</v>
      </c>
      <c r="P30">
        <f t="shared" si="3"/>
        <v>450</v>
      </c>
      <c r="Q30">
        <f>C30-M30-0.25*L30</f>
        <v>100</v>
      </c>
      <c r="R30" s="110">
        <f t="shared" si="1"/>
        <v>0.2</v>
      </c>
      <c r="AC30" s="47"/>
    </row>
    <row r="31" spans="1:29" x14ac:dyDescent="0.25">
      <c r="A31" s="113" t="s">
        <v>415</v>
      </c>
      <c r="B31" s="114" t="s">
        <v>191</v>
      </c>
      <c r="C31" s="31">
        <v>250</v>
      </c>
      <c r="D31" s="31">
        <v>19</v>
      </c>
      <c r="E31" s="31">
        <v>1</v>
      </c>
      <c r="F31" s="31">
        <f>IF('Suit Builder'!$G$25="Front",Tables!F30,0)</f>
        <v>4</v>
      </c>
      <c r="G31" s="31">
        <f>IF('Suit Builder'!$G$25="Front",Tables!G30,0)</f>
        <v>6</v>
      </c>
      <c r="H31" s="31">
        <f>IF('Suit Builder'!$G$25="Front",Tables!H30,0)</f>
        <v>5</v>
      </c>
      <c r="I31" s="31">
        <f>IF('Suit Builder'!$G$25="Front",Tables!I30,0)</f>
        <v>4</v>
      </c>
      <c r="J31" s="31">
        <f>IF('Suit Builder'!$G$25="Front",Tables!J30,0)</f>
        <v>2</v>
      </c>
      <c r="K31" s="31">
        <v>1.5</v>
      </c>
      <c r="L31" s="31">
        <v>400</v>
      </c>
      <c r="M31" s="31">
        <v>100</v>
      </c>
      <c r="N31" s="31">
        <v>3</v>
      </c>
      <c r="P31">
        <f t="shared" si="3"/>
        <v>225</v>
      </c>
      <c r="Q31">
        <f>C31-M31-0.25*L31</f>
        <v>50</v>
      </c>
      <c r="R31" s="110">
        <f t="shared" si="1"/>
        <v>0.2</v>
      </c>
      <c r="AC31" s="47"/>
    </row>
    <row r="32" spans="1:29" x14ac:dyDescent="0.25">
      <c r="A32" s="113" t="s">
        <v>194</v>
      </c>
      <c r="B32" s="114" t="s">
        <v>107</v>
      </c>
      <c r="C32" s="31">
        <v>1000</v>
      </c>
      <c r="D32" s="31">
        <v>55</v>
      </c>
      <c r="E32" s="31">
        <v>1</v>
      </c>
      <c r="F32" s="31">
        <v>4</v>
      </c>
      <c r="G32" s="31">
        <v>8</v>
      </c>
      <c r="H32" s="31">
        <v>5</v>
      </c>
      <c r="I32" s="31">
        <v>5</v>
      </c>
      <c r="J32" s="31">
        <v>3</v>
      </c>
      <c r="K32" s="31">
        <v>1.3</v>
      </c>
      <c r="L32" s="31">
        <v>1100</v>
      </c>
      <c r="M32" s="31">
        <v>350</v>
      </c>
      <c r="N32" s="31">
        <v>4</v>
      </c>
      <c r="P32">
        <f>0.45*L32+1.25*M32</f>
        <v>932.5</v>
      </c>
      <c r="Q32">
        <f>C32-M32-0.36*L32</f>
        <v>254</v>
      </c>
      <c r="R32" s="110">
        <f t="shared" si="1"/>
        <v>0.254</v>
      </c>
      <c r="AC32" s="47"/>
    </row>
    <row r="33" spans="1:29" x14ac:dyDescent="0.25">
      <c r="A33" s="113" t="s">
        <v>130</v>
      </c>
      <c r="B33" s="114" t="s">
        <v>108</v>
      </c>
      <c r="C33" s="31">
        <v>1500</v>
      </c>
      <c r="D33" s="31">
        <v>45</v>
      </c>
      <c r="E33" s="31">
        <v>1</v>
      </c>
      <c r="F33" s="31">
        <v>2</v>
      </c>
      <c r="G33" s="31">
        <v>8</v>
      </c>
      <c r="H33" s="31">
        <v>7</v>
      </c>
      <c r="I33" s="31">
        <v>3</v>
      </c>
      <c r="J33" s="31">
        <v>3</v>
      </c>
      <c r="K33" s="31">
        <v>1</v>
      </c>
      <c r="L33" s="31">
        <v>900</v>
      </c>
      <c r="M33" s="31">
        <v>750</v>
      </c>
      <c r="N33" s="31">
        <v>5</v>
      </c>
      <c r="P33">
        <f>0.45*L33+1.25*M33</f>
        <v>1342.5</v>
      </c>
      <c r="Q33">
        <f>C33-M33-0.36*L33</f>
        <v>426</v>
      </c>
      <c r="R33" s="110">
        <f t="shared" si="1"/>
        <v>0.28399999999999997</v>
      </c>
      <c r="AC33" s="47"/>
    </row>
    <row r="34" spans="1:29" x14ac:dyDescent="0.25">
      <c r="A34" s="113" t="s">
        <v>196</v>
      </c>
      <c r="B34" s="114" t="s">
        <v>30</v>
      </c>
      <c r="C34" s="31">
        <v>2000</v>
      </c>
      <c r="D34" s="31">
        <v>38</v>
      </c>
      <c r="E34" s="31">
        <v>1</v>
      </c>
      <c r="F34" s="31">
        <v>6</v>
      </c>
      <c r="G34" s="31">
        <v>11</v>
      </c>
      <c r="H34" s="31">
        <v>9</v>
      </c>
      <c r="I34" s="31">
        <v>5</v>
      </c>
      <c r="J34" s="31">
        <v>4</v>
      </c>
      <c r="K34" s="31">
        <v>1.5</v>
      </c>
      <c r="L34" s="31">
        <v>2400</v>
      </c>
      <c r="M34" s="31">
        <v>240</v>
      </c>
      <c r="N34" s="31">
        <v>5</v>
      </c>
      <c r="P34">
        <f>0.45*L34+1.25*M34</f>
        <v>1380</v>
      </c>
      <c r="Q34">
        <f>C34-M34-0.36*L34</f>
        <v>896</v>
      </c>
      <c r="R34" s="110">
        <f t="shared" si="1"/>
        <v>0.44800000000000001</v>
      </c>
      <c r="AC34" s="47"/>
    </row>
    <row r="35" spans="1:29" x14ac:dyDescent="0.25">
      <c r="A35" s="113" t="s">
        <v>416</v>
      </c>
      <c r="B35" s="114" t="s">
        <v>197</v>
      </c>
      <c r="C35" s="31">
        <v>1000</v>
      </c>
      <c r="D35" s="31">
        <v>19</v>
      </c>
      <c r="E35" s="31">
        <v>1</v>
      </c>
      <c r="F35" s="31">
        <f>IF('Suit Builder'!$G$25="Front",Tables!F34,0)</f>
        <v>6</v>
      </c>
      <c r="G35" s="31">
        <f>IF('Suit Builder'!$G$25="Front",Tables!G34,0)</f>
        <v>11</v>
      </c>
      <c r="H35" s="31">
        <f>IF('Suit Builder'!$G$25="Front",Tables!H34,0)</f>
        <v>9</v>
      </c>
      <c r="I35" s="31">
        <f>IF('Suit Builder'!$G$25="Front",Tables!I34,0)</f>
        <v>5</v>
      </c>
      <c r="J35" s="31">
        <f>IF('Suit Builder'!$G$25="Front",Tables!J34,0)</f>
        <v>4</v>
      </c>
      <c r="K35" s="31">
        <v>1.5</v>
      </c>
      <c r="L35" s="31">
        <v>1200</v>
      </c>
      <c r="M35" s="31">
        <v>120</v>
      </c>
      <c r="N35" s="31">
        <v>5</v>
      </c>
      <c r="P35">
        <f>0.45*L35+1.25*M35</f>
        <v>690</v>
      </c>
      <c r="Q35">
        <f>C35-M35-0.36*L35</f>
        <v>448</v>
      </c>
      <c r="R35" s="110">
        <f t="shared" si="1"/>
        <v>0.44800000000000001</v>
      </c>
      <c r="AC35" s="47"/>
    </row>
    <row r="36" spans="1:29" x14ac:dyDescent="0.25">
      <c r="B36" s="31">
        <v>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1</v>
      </c>
      <c r="L36" s="31">
        <v>0</v>
      </c>
      <c r="M36" s="31">
        <v>0</v>
      </c>
      <c r="N36" s="31">
        <v>0</v>
      </c>
      <c r="P36">
        <v>0</v>
      </c>
      <c r="Q36">
        <v>0</v>
      </c>
      <c r="R36" s="110">
        <v>0</v>
      </c>
      <c r="AC36" s="47"/>
    </row>
    <row r="37" spans="1:29" x14ac:dyDescent="0.25">
      <c r="AC37" s="47"/>
    </row>
    <row r="38" spans="1:29" x14ac:dyDescent="0.25">
      <c r="AC38" s="47"/>
    </row>
    <row r="39" spans="1:29" x14ac:dyDescent="0.25">
      <c r="A39" s="113" t="s">
        <v>417</v>
      </c>
      <c r="B39" s="114"/>
      <c r="AC39" s="47"/>
    </row>
    <row r="40" spans="1:29" x14ac:dyDescent="0.25">
      <c r="AC40" s="47"/>
    </row>
    <row r="41" spans="1:29" x14ac:dyDescent="0.25">
      <c r="A41" t="s">
        <v>418</v>
      </c>
      <c r="AC41" s="47"/>
    </row>
    <row r="42" spans="1:29" ht="15" customHeight="1" x14ac:dyDescent="0.25">
      <c r="A42" s="116" t="s">
        <v>419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AC42" s="47"/>
    </row>
    <row r="43" spans="1:29" x14ac:dyDescent="0.2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AC43" s="47"/>
    </row>
    <row r="44" spans="1:29" x14ac:dyDescent="0.25">
      <c r="A44" t="s">
        <v>420</v>
      </c>
      <c r="AC44" s="47"/>
    </row>
    <row r="45" spans="1:29" x14ac:dyDescent="0.25">
      <c r="A45" t="s">
        <v>421</v>
      </c>
      <c r="AC45" s="47"/>
    </row>
    <row r="46" spans="1:29" x14ac:dyDescent="0.25">
      <c r="A46" t="s">
        <v>422</v>
      </c>
      <c r="AC46" s="47"/>
    </row>
    <row r="47" spans="1:29" x14ac:dyDescent="0.25">
      <c r="B47" t="s">
        <v>423</v>
      </c>
      <c r="AC47" s="47"/>
    </row>
    <row r="48" spans="1:29" x14ac:dyDescent="0.25">
      <c r="B48" t="s">
        <v>424</v>
      </c>
      <c r="AC48" s="47"/>
    </row>
    <row r="49" spans="1:29" x14ac:dyDescent="0.25">
      <c r="AC49" s="47"/>
    </row>
    <row r="50" spans="1:29" x14ac:dyDescent="0.25">
      <c r="A50" t="s">
        <v>62</v>
      </c>
      <c r="B50" t="s">
        <v>425</v>
      </c>
      <c r="AC50" s="47"/>
    </row>
    <row r="51" spans="1:29" x14ac:dyDescent="0.25">
      <c r="A51" t="s">
        <v>61</v>
      </c>
      <c r="B51" t="s">
        <v>426</v>
      </c>
      <c r="AC51" s="47"/>
    </row>
    <row r="52" spans="1:29" x14ac:dyDescent="0.25">
      <c r="A52" t="s">
        <v>63</v>
      </c>
      <c r="B52" t="s">
        <v>427</v>
      </c>
      <c r="AC52" s="47"/>
    </row>
    <row r="53" spans="1:29" x14ac:dyDescent="0.25">
      <c r="AC53" s="47"/>
    </row>
    <row r="54" spans="1:29" x14ac:dyDescent="0.25">
      <c r="A54" t="s">
        <v>428</v>
      </c>
      <c r="AC54" s="47"/>
    </row>
    <row r="55" spans="1:29" x14ac:dyDescent="0.25">
      <c r="AC55" s="47"/>
    </row>
    <row r="56" spans="1:29" x14ac:dyDescent="0.25">
      <c r="AC56" s="47"/>
    </row>
    <row r="57" spans="1:29" x14ac:dyDescent="0.25">
      <c r="AC57" s="47"/>
    </row>
    <row r="58" spans="1:29" x14ac:dyDescent="0.25">
      <c r="AC58" s="47"/>
    </row>
    <row r="59" spans="1:29" x14ac:dyDescent="0.25">
      <c r="AC59" s="47"/>
    </row>
    <row r="60" spans="1:29" x14ac:dyDescent="0.25">
      <c r="AC60" s="47"/>
    </row>
    <row r="61" spans="1:29" x14ac:dyDescent="0.25">
      <c r="AC61" s="47"/>
    </row>
    <row r="62" spans="1:29" x14ac:dyDescent="0.25">
      <c r="AC62" s="47"/>
    </row>
    <row r="63" spans="1:29" x14ac:dyDescent="0.25">
      <c r="AC63" s="47"/>
    </row>
    <row r="64" spans="1:29" x14ac:dyDescent="0.25">
      <c r="AC64" s="47"/>
    </row>
    <row r="65" spans="29:29" x14ac:dyDescent="0.25">
      <c r="AC65" s="47"/>
    </row>
    <row r="66" spans="29:29" x14ac:dyDescent="0.25">
      <c r="AC66" s="47"/>
    </row>
    <row r="67" spans="29:29" x14ac:dyDescent="0.25">
      <c r="AC67" s="47"/>
    </row>
    <row r="68" spans="29:29" x14ac:dyDescent="0.25">
      <c r="AC68" s="47"/>
    </row>
    <row r="69" spans="29:29" x14ac:dyDescent="0.25">
      <c r="AC69" s="47"/>
    </row>
    <row r="70" spans="29:29" x14ac:dyDescent="0.25">
      <c r="AC70" s="47"/>
    </row>
    <row r="71" spans="29:29" x14ac:dyDescent="0.25">
      <c r="AC71" s="47"/>
    </row>
    <row r="72" spans="29:29" x14ac:dyDescent="0.25">
      <c r="AC72" s="47"/>
    </row>
    <row r="73" spans="29:29" x14ac:dyDescent="0.25">
      <c r="AC73" s="47"/>
    </row>
    <row r="74" spans="29:29" x14ac:dyDescent="0.25">
      <c r="AC74" s="47"/>
    </row>
    <row r="75" spans="29:29" x14ac:dyDescent="0.25">
      <c r="AC75" s="47"/>
    </row>
    <row r="76" spans="29:29" x14ac:dyDescent="0.25">
      <c r="AC76" s="47"/>
    </row>
    <row r="77" spans="29:29" x14ac:dyDescent="0.25">
      <c r="AC77" s="47"/>
    </row>
    <row r="78" spans="29:29" x14ac:dyDescent="0.25">
      <c r="AC78" s="47"/>
    </row>
    <row r="79" spans="29:29" x14ac:dyDescent="0.25">
      <c r="AC79" s="47"/>
    </row>
    <row r="80" spans="29:29" x14ac:dyDescent="0.25">
      <c r="AC80" s="47"/>
    </row>
    <row r="81" spans="29:29" x14ac:dyDescent="0.25">
      <c r="AC81" s="47"/>
    </row>
    <row r="82" spans="29:29" x14ac:dyDescent="0.25">
      <c r="AC82" s="47"/>
    </row>
    <row r="83" spans="29:29" x14ac:dyDescent="0.25">
      <c r="AC83" s="47"/>
    </row>
    <row r="84" spans="29:29" x14ac:dyDescent="0.25">
      <c r="AC84" s="47"/>
    </row>
    <row r="85" spans="29:29" x14ac:dyDescent="0.25">
      <c r="AC85" s="47"/>
    </row>
    <row r="86" spans="29:29" x14ac:dyDescent="0.25">
      <c r="AC86" s="47"/>
    </row>
    <row r="87" spans="29:29" x14ac:dyDescent="0.25">
      <c r="AC87" s="47"/>
    </row>
    <row r="88" spans="29:29" x14ac:dyDescent="0.25">
      <c r="AC88" s="47"/>
    </row>
    <row r="89" spans="29:29" x14ac:dyDescent="0.25">
      <c r="AC89" s="47"/>
    </row>
    <row r="90" spans="29:29" x14ac:dyDescent="0.25">
      <c r="AC90" s="47"/>
    </row>
    <row r="91" spans="29:29" x14ac:dyDescent="0.25">
      <c r="AC91" s="47"/>
    </row>
    <row r="92" spans="29:29" x14ac:dyDescent="0.25">
      <c r="AC92" s="47"/>
    </row>
    <row r="93" spans="29:29" x14ac:dyDescent="0.25">
      <c r="AC93" s="47"/>
    </row>
    <row r="94" spans="29:29" x14ac:dyDescent="0.25">
      <c r="AC94" s="47"/>
    </row>
    <row r="95" spans="29:29" x14ac:dyDescent="0.25">
      <c r="AC95" s="47"/>
    </row>
    <row r="96" spans="29:29" x14ac:dyDescent="0.25">
      <c r="AC96" s="47"/>
    </row>
    <row r="97" spans="29:29" x14ac:dyDescent="0.25">
      <c r="AC97" s="47"/>
    </row>
    <row r="98" spans="29:29" x14ac:dyDescent="0.25">
      <c r="AC98" s="47"/>
    </row>
    <row r="99" spans="29:29" x14ac:dyDescent="0.25">
      <c r="AC99" s="47"/>
    </row>
    <row r="100" spans="29:29" x14ac:dyDescent="0.25">
      <c r="AC100" s="47"/>
    </row>
    <row r="101" spans="29:29" x14ac:dyDescent="0.25">
      <c r="AC101" s="47"/>
    </row>
    <row r="102" spans="29:29" x14ac:dyDescent="0.25">
      <c r="AC102" s="47"/>
    </row>
    <row r="103" spans="29:29" x14ac:dyDescent="0.25">
      <c r="AC103" s="47"/>
    </row>
    <row r="104" spans="29:29" x14ac:dyDescent="0.25">
      <c r="AC104" s="47"/>
    </row>
    <row r="105" spans="29:29" x14ac:dyDescent="0.25">
      <c r="AC105" s="47"/>
    </row>
    <row r="106" spans="29:29" x14ac:dyDescent="0.25">
      <c r="AC106" s="47"/>
    </row>
    <row r="107" spans="29:29" x14ac:dyDescent="0.25">
      <c r="AC107" s="47"/>
    </row>
    <row r="108" spans="29:29" x14ac:dyDescent="0.25">
      <c r="AC108" s="47"/>
    </row>
    <row r="109" spans="29:29" x14ac:dyDescent="0.25">
      <c r="AC109" s="47"/>
    </row>
    <row r="110" spans="29:29" x14ac:dyDescent="0.25">
      <c r="AC110" s="47"/>
    </row>
    <row r="111" spans="29:29" x14ac:dyDescent="0.25">
      <c r="AC111" s="47"/>
    </row>
    <row r="112" spans="29:29" x14ac:dyDescent="0.25">
      <c r="AC112" s="47"/>
    </row>
    <row r="113" spans="29:29" x14ac:dyDescent="0.25">
      <c r="AC113" s="47"/>
    </row>
    <row r="114" spans="29:29" x14ac:dyDescent="0.25">
      <c r="AC114" s="47"/>
    </row>
    <row r="115" spans="29:29" x14ac:dyDescent="0.25">
      <c r="AC115" s="47"/>
    </row>
    <row r="116" spans="29:29" x14ac:dyDescent="0.25">
      <c r="AC116" s="47"/>
    </row>
    <row r="117" spans="29:29" x14ac:dyDescent="0.25">
      <c r="AC117" s="47"/>
    </row>
    <row r="118" spans="29:29" x14ac:dyDescent="0.25">
      <c r="AC118" s="47"/>
    </row>
    <row r="119" spans="29:29" x14ac:dyDescent="0.25">
      <c r="AC119" s="47"/>
    </row>
    <row r="120" spans="29:29" x14ac:dyDescent="0.25">
      <c r="AC120" s="47"/>
    </row>
    <row r="121" spans="29:29" x14ac:dyDescent="0.25">
      <c r="AC121" s="47"/>
    </row>
  </sheetData>
  <mergeCells count="1">
    <mergeCell ref="A42:N4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Standard Suits</vt:lpstr>
      <vt:lpstr>Suit Builder</vt:lpstr>
      <vt:lpstr>Item Builder</vt:lpstr>
      <vt:lpstr>Suit Store</vt:lpstr>
      <vt:lpstr>Tables</vt:lpstr>
      <vt:lpstr>COVERAGE</vt:lpstr>
      <vt:lpstr>ITEMS</vt:lpstr>
      <vt:lpstr>LAYERS</vt:lpstr>
      <vt:lpstr>MATERIAL</vt:lpstr>
      <vt:lpstr>MWS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Gibson</dc:creator>
  <dc:description/>
  <cp:lastModifiedBy>Andy Gibson</cp:lastModifiedBy>
  <cp:revision>4</cp:revision>
  <cp:lastPrinted>2025-08-03T17:09:18Z</cp:lastPrinted>
  <dcterms:created xsi:type="dcterms:W3CDTF">2025-01-29T13:34:03Z</dcterms:created>
  <dcterms:modified xsi:type="dcterms:W3CDTF">2026-01-15T11:02:39Z</dcterms:modified>
  <dc:language>en-US</dc:language>
</cp:coreProperties>
</file>